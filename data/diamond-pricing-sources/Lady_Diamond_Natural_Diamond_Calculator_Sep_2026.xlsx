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d04bd6fce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13ce5efd46454fb1"/>
    <x:sheet xmlns:r="http://schemas.openxmlformats.org/officeDocument/2006/relationships" name="Base Market" sheetId="2" r:id="R44a7c9f5b1af4e9f"/>
    <x:sheet xmlns:r="http://schemas.openxmlformats.org/officeDocument/2006/relationships" name="Quality Matrix" sheetId="3" r:id="R4e58d9ebd55f4080"/>
    <x:sheet xmlns:r="http://schemas.openxmlformats.org/officeDocument/2006/relationships" name="All Combinations" sheetId="4" r:id="R9976226bf550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FDE68A"/>
      </x:patternFill>
    </x:fill>
    <x:fill>
      <x:patternFill patternType="solid">
        <x:fgColor rgb="FFFFFBEB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3" fillId="5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10aad9bdf4d90" /><Relationship Type="http://schemas.openxmlformats.org/officeDocument/2006/relationships/theme" Target="/xl/theme/theme1.xml" Id="R4543e54adbb34ef6" /><Relationship Type="http://schemas.openxmlformats.org/officeDocument/2006/relationships/sharedStrings" Target="/xl/sharedStrings.xml" Id="R0d4505847dea4d54" /><Relationship Type="http://schemas.openxmlformats.org/officeDocument/2006/relationships/worksheet" Target="/xl/worksheets/sheet1.xml" Id="R13ce5efd46454fb1" /><Relationship Type="http://schemas.openxmlformats.org/officeDocument/2006/relationships/worksheet" Target="/xl/worksheets/sheet2.xml" Id="R44a7c9f5b1af4e9f" /><Relationship Type="http://schemas.openxmlformats.org/officeDocument/2006/relationships/worksheet" Target="/xl/worksheets/sheet3.xml" Id="R4e58d9ebd55f4080" /><Relationship Type="http://schemas.openxmlformats.org/officeDocument/2006/relationships/worksheet" Target="/xl/worksheets/sheet4.xml" Id="R9976226bf5504781" /></Relationships>
</file>

<file path=xl/tables/table1.xml><?xml version="1.0" encoding="utf-8"?>
<x:table xmlns:x="http://schemas.openxmlformats.org/spreadsheetml/2006/main" id="1" name="BaseMarketTable" displayName="BaseMarketTable" ref="A1:D101" headerRowCount="1" totalsRowCount="0" totalsRowShown="0">
  <x:tableColumns count="4">
    <x:tableColumn id="1" name="Carat"/>
    <x:tableColumn id="2" name="Shape"/>
    <x:tableColumn id="3" name="Market Avg USD"/>
    <x:tableColumn id="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MatrixTable" displayName="QualityMatrixTable" ref="A1:J9" headerRowCount="1" totalsRowCount="0" totalsRowShown="0">
  <x:tableColumns count="10">
    <x:tableColumn id="1" name="Color"/>
    <x:tableColumn id="2" name="FL"/>
    <x:tableColumn id="3" name="IF"/>
    <x:tableColumn id="4" name="VVS1"/>
    <x:tableColumn id="5" name="VVS2"/>
    <x:tableColumn id="6" name="VS1"/>
    <x:tableColumn id="7" name="VS2"/>
    <x:tableColumn id="8" name="SI1"/>
    <x:tableColumn id="9" name="SI2"/>
    <x:tableColumn id="10" name="Source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DiamondCombinations" displayName="AllDiamondCombinations" ref="A1:L6401" headerRowCount="1" totalsRowCount="0" totalsRowShown="0">
  <x:tableColumns count="12">
    <x:tableColumn id="1" name="Carat"/>
    <x:tableColumn id="2" name="Shape"/>
    <x:tableColumn id="3" name="Color"/>
    <x:tableColumn id="4" name="Clarity"/>
    <x:tableColumn id="5" name="Observed Shape/Carat Avg USD"/>
    <x:tableColumn id="6" name="1ct Round Quality Ref USD"/>
    <x:tableColumn id="7" name="Quality Factor"/>
    <x:tableColumn id="8" name="Estimated Retail USD"/>
    <x:tableColumn id="9" name="Estimated USD/ct"/>
    <x:tableColumn id="10" name="Data Status"/>
    <x:tableColumn id="11" name="StoneAlgo Source"/>
    <x:tableColumn id="12" name="PriceScop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55d636f483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0f61800f14d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52daa42c8481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Lady Diamond – Natural Diamond Internal Market Calculator</x:v>
      </x:c>
      <x:c r="B1" s="5"/>
      <x:c r="C1" s="5"/>
      <x:c r="D1" s="5"/>
      <x:c r="E1" s="5"/>
      <x:c r="F1" s="5"/>
      <x:c r="G1" s="44"/>
      <x:c r="H1" s="44"/>
      <x:c r="I1" s="44"/>
      <x:c r="J1" s="44"/>
      <x:c r="K1" s="44"/>
      <x:c r="L1" s="44"/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3">
      <x:c r="A3" s="45" t="str">
        <x:v>Carat</x:v>
      </x:c>
      <x:c r="B3" s="46" t="n">
        <x:v>1</x:v>
      </x:c>
      <x:c r="C3" s="44"/>
      <x:c r="D3" s="44"/>
      <x:c r="E3" s="44"/>
      <x:c r="F3" s="44"/>
      <x:c r="G3" s="44"/>
      <x:c r="H3" s="44"/>
      <x:c r="I3" s="44"/>
      <x:c r="J3" s="44"/>
      <x:c r="K3" s="44"/>
      <x:c r="L3" s="44"/>
    </x:row>
    <x:row r="4">
      <x:c r="A4" s="45" t="str">
        <x:v>Shape</x:v>
      </x:c>
      <x:c r="B4" s="46" t="str">
        <x:v>Round</x:v>
      </x:c>
      <x:c r="C4" s="44"/>
      <x:c r="D4" s="44"/>
      <x:c r="E4" s="44"/>
      <x:c r="F4" s="44"/>
      <x:c r="G4" s="44"/>
      <x:c r="H4" s="44"/>
      <x:c r="I4" s="44"/>
      <x:c r="J4" s="44"/>
      <x:c r="K4" s="44"/>
      <x:c r="L4" s="44"/>
    </x:row>
    <x:row r="5">
      <x:c r="A5" s="45" t="str">
        <x:v>Color</x:v>
      </x:c>
      <x:c r="B5" s="46" t="str">
        <x:v>G</x:v>
      </x:c>
      <x:c r="C5" s="44"/>
      <x:c r="D5" s="44"/>
      <x:c r="E5" s="44"/>
      <x:c r="F5" s="44"/>
      <x:c r="G5" s="44"/>
      <x:c r="H5" s="44"/>
      <x:c r="I5" s="44"/>
      <x:c r="J5" s="44"/>
      <x:c r="K5" s="44"/>
      <x:c r="L5" s="44"/>
    </x:row>
    <x:row r="6">
      <x:c r="A6" s="45" t="str">
        <x:v>Clarity</x:v>
      </x:c>
      <x:c r="B6" s="46" t="str">
        <x:v>VS2</x:v>
      </x:c>
      <x:c r="C6" s="44"/>
      <x:c r="D6" s="44"/>
      <x:c r="E6" s="44"/>
      <x:c r="F6" s="44"/>
      <x:c r="G6" s="44"/>
      <x:c r="H6" s="44"/>
      <x:c r="I6" s="44"/>
      <x:c r="J6" s="44"/>
      <x:c r="K6" s="44"/>
      <x:c r="L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>
      <x:c r="A8" s="45" t="str">
        <x:v>Estimated retail market price (USD)</x:v>
      </x:c>
      <x:c r="B8" s="47" t="n">
        <x:f>SUMIFS('All Combinations'!$H$2:$H$6401,'All Combinations'!$A$2:$A$6401,B3,'All Combinations'!$B$2:$B$6401,B4,'All Combinations'!$C$2:$C$6401,B5,'All Combinations'!$D$2:$D$6401,B6)</x:f>
        <x:v>4585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</x:row>
    <x:row r="9">
      <x:c r="A9" s="45" t="str">
        <x:v>Estimated price per carat (USD)</x:v>
      </x:c>
      <x:c r="B9" s="47" t="n">
        <x:f>IFERROR(B8/B3,0)</x:f>
        <x:v>4585</x:v>
      </x:c>
      <x:c r="C9" s="44"/>
      <x:c r="D9" s="44"/>
      <x:c r="E9" s="44"/>
      <x:c r="F9" s="44"/>
      <x:c r="G9" s="44"/>
      <x:c r="H9" s="44"/>
      <x:c r="I9" s="44"/>
      <x:c r="J9" s="44"/>
      <x:c r="K9" s="44"/>
      <x:c r="L9" s="44"/>
    </x:row>
    <x:row r="10">
      <x:c r="A10" s="45" t="str">
        <x:v>Model</x:v>
      </x:c>
      <x:c r="B10" s="44" t="str">
        <x:v>Sep 2026 public market-index estimate</x:v>
      </x:c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</x:row>
    <x:row r="12">
      <x:c r="A12" s="48" t="str">
        <x:v>Important</x:v>
      </x:c>
      <x:c r="B12" s="48" t="str"/>
      <x:c r="C12" s="48" t="str"/>
      <x:c r="D12" s="48" t="str"/>
      <x:c r="E12" s="48" t="str"/>
      <x:c r="F12" s="48" t="str"/>
      <x:c r="G12" s="44"/>
      <x:c r="H12" s="44"/>
      <x:c r="I12" s="44"/>
      <x:c r="J12" s="44"/>
      <x:c r="K12" s="44"/>
      <x:c r="L12" s="44"/>
    </x:row>
    <x:row r="13">
      <x:c r="A13" s="49" t="str">
        <x:v>This is a retail-market estimator, NOT Rapaport and NOT a guaranteed dealer purchase price.</x:v>
      </x:c>
      <x:c r="B13" s="49" t="str"/>
      <x:c r="C13" s="49" t="str"/>
      <x:c r="D13" s="49" t="str"/>
      <x:c r="E13" s="49" t="str"/>
      <x:c r="F13" s="49" t="str"/>
      <x:c r="G13" s="44"/>
      <x:c r="H13" s="44"/>
      <x:c r="I13" s="44"/>
      <x:c r="J13" s="44"/>
      <x:c r="K13" s="44"/>
      <x:c r="L13" s="44"/>
    </x:row>
    <x:row r="14">
      <x:c r="A14" s="49" t="str">
        <x:v>StoneAlgo shape/carat indices are live asking-price averages and can move daily.</x:v>
      </x:c>
      <x:c r="B14" s="49" t="str"/>
      <x:c r="C14" s="49" t="str"/>
      <x:c r="D14" s="49" t="str"/>
      <x:c r="E14" s="49" t="str"/>
      <x:c r="F14" s="49" t="str"/>
      <x:c r="G14" s="44"/>
      <x:c r="H14" s="44"/>
      <x:c r="I14" s="44"/>
      <x:c r="J14" s="44"/>
      <x:c r="K14" s="44"/>
      <x:c r="L14" s="44"/>
    </x:row>
    <x:row r="15">
      <x:c r="A15" s="49" t="str">
        <x:v>Color/clarity adjustment is anchored to PriceScope's Sep 2026 1.00–1.19 ct round table.</x:v>
      </x:c>
      <x:c r="B15" s="49" t="str"/>
      <x:c r="C15" s="49" t="str"/>
      <x:c r="D15" s="49" t="str"/>
      <x:c r="E15" s="49" t="str"/>
      <x:c r="F15" s="49" t="str"/>
      <x:c r="G15" s="44"/>
      <x:c r="H15" s="44"/>
      <x:c r="I15" s="44"/>
      <x:c r="J15" s="44"/>
      <x:c r="K15" s="44"/>
      <x:c r="L15" s="44"/>
    </x:row>
    <x:row r="16">
      <x:c r="A16" s="49" t="str">
        <x:v>Large stones (especially 7–10 ct) have thin inventory, so averages can move sharply.</x:v>
      </x:c>
      <x:c r="B16" s="49" t="str"/>
      <x:c r="C16" s="49" t="str"/>
      <x:c r="D16" s="49" t="str"/>
      <x:c r="E16" s="49" t="str"/>
      <x:c r="F16" s="49" t="str"/>
      <x:c r="G16" s="44"/>
      <x:c r="H16" s="44"/>
      <x:c r="I16" s="44"/>
      <x:c r="J16" s="44"/>
      <x:c r="K16" s="44"/>
      <x:c r="L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</x:row>
    <x:row r="18">
      <x:c r="A18" s="50" t="str">
        <x:v>Sources</x:v>
      </x:c>
      <x:c r="B18" s="44" t="str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</x:row>
    <x:row r="19">
      <x:c r="A19" s="50" t="str">
        <x:v>StoneAlgo</x:v>
      </x:c>
      <x:c r="B19" s="44" t="str">
        <x:v>https://www.stonealgo.com/diamond-prices/</x:v>
      </x:c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</x:row>
    <x:row r="20">
      <x:c r="A20" s="50" t="str">
        <x:v>PriceScope</x:v>
      </x:c>
      <x:c r="B20" s="44" t="str">
        <x:v>https://www.pricescope.com/blog/natural-diamond-prices-september-2026</x:v>
      </x:c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</x:row>
  </x:sheetData>
  <x:mergeCells>
    <x:mergeCell ref="A1:F1"/>
    <x:mergeCell ref="A12:F12"/>
    <x:mergeCell ref="A13:F13"/>
    <x:mergeCell ref="A14:F14"/>
    <x:mergeCell ref="A15:F15"/>
    <x:mergeCell ref="A16:F16"/>
  </x:mergeCells>
  <x:dataValidations count="4">
    <x:dataValidation type="list" sqref="B3">
      <x:formula1>"1,2,3,4,5,6,7,8,9,10"</x:formula1>
    </x:dataValidation>
    <x:dataValidation type="list" sqref="B4">
      <x:formula1>"Round,Oval,Princess,Emerald,Cushion,Radiant,Pear,Heart,Marquise,Asscher"</x:formula1>
    </x:dataValidation>
    <x:dataValidation type="list" sqref="B5">
      <x:formula1>"D,E,F,G,H,I,J,K"</x:formula1>
    </x:dataValidation>
    <x:dataValidation type="list" sqref="B6">
      <x:formula1>"FL,IF,VVS1,VVS2,VS1,VS2,SI1,SI2"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45" hidden="0" customWidth="1"/>
  </x:cols>
  <x:sheetData>
    <x:row r="1">
      <x:c r="A1" s="58" t="str">
        <x:v>Carat</x:v>
      </x:c>
      <x:c r="B1" s="58" t="str">
        <x:v>Shape</x:v>
      </x:c>
      <x:c r="C1" s="58" t="str">
        <x:v>Market Avg USD</x:v>
      </x:c>
      <x:c r="D1" s="58" t="str">
        <x:v>Source</x:v>
      </x:c>
      <x:c r="E1" s="44"/>
      <x:c r="F1" s="44"/>
      <x:c r="G1" s="44"/>
      <x:c r="H1" s="44"/>
      <x:c r="I1" s="44"/>
      <x:c r="J1" s="44"/>
      <x:c r="K1" s="44"/>
      <x:c r="L1" s="44"/>
    </x:row>
    <x:row r="2">
      <x:c r="A2" s="44" t="n">
        <x:v>1</x:v>
      </x:c>
      <x:c r="B2" s="44" t="str">
        <x:v>Round</x:v>
      </x:c>
      <x:c r="C2" s="59" t="n">
        <x:v>4662</x:v>
      </x:c>
      <x:c r="D2" s="44" t="str">
        <x:v>https://www.stonealgo.com/diamond-prices/</x:v>
      </x:c>
      <x:c r="E2" s="44"/>
      <x:c r="F2" s="44"/>
      <x:c r="G2" s="44"/>
      <x:c r="H2" s="44"/>
      <x:c r="I2" s="44"/>
      <x:c r="J2" s="44"/>
      <x:c r="K2" s="44"/>
      <x:c r="L2" s="44"/>
    </x:row>
    <x:row r="3">
      <x:c r="A3" s="44" t="n">
        <x:v>1</x:v>
      </x:c>
      <x:c r="B3" s="44" t="str">
        <x:v>Oval</x:v>
      </x:c>
      <x:c r="C3" s="59" t="n">
        <x:v>3830</x:v>
      </x:c>
      <x:c r="D3" s="44" t="str">
        <x:v>https://www.stonealgo.com/diamond-prices/</x:v>
      </x:c>
      <x:c r="E3" s="44"/>
      <x:c r="F3" s="44"/>
      <x:c r="G3" s="44"/>
      <x:c r="H3" s="44"/>
      <x:c r="I3" s="44"/>
      <x:c r="J3" s="44"/>
      <x:c r="K3" s="44"/>
      <x:c r="L3" s="44"/>
    </x:row>
    <x:row r="4">
      <x:c r="A4" s="44" t="n">
        <x:v>1</x:v>
      </x:c>
      <x:c r="B4" s="44" t="str">
        <x:v>Princess</x:v>
      </x:c>
      <x:c r="C4" s="59" t="n">
        <x:v>2810</x:v>
      </x:c>
      <x:c r="D4" s="44" t="str">
        <x:v>https://www.stonealgo.com/diamond-prices/</x:v>
      </x:c>
      <x:c r="E4" s="44"/>
      <x:c r="F4" s="44"/>
      <x:c r="G4" s="44"/>
      <x:c r="H4" s="44"/>
      <x:c r="I4" s="44"/>
      <x:c r="J4" s="44"/>
      <x:c r="K4" s="44"/>
      <x:c r="L4" s="44"/>
    </x:row>
    <x:row r="5">
      <x:c r="A5" s="44" t="n">
        <x:v>1</x:v>
      </x:c>
      <x:c r="B5" s="44" t="str">
        <x:v>Emerald</x:v>
      </x:c>
      <x:c r="C5" s="59" t="n">
        <x:v>2880</x:v>
      </x:c>
      <x:c r="D5" s="44" t="str">
        <x:v>https://www.stonealgo.com/diamond-prices/</x:v>
      </x:c>
      <x:c r="E5" s="44"/>
      <x:c r="F5" s="44"/>
      <x:c r="G5" s="44"/>
      <x:c r="H5" s="44"/>
      <x:c r="I5" s="44"/>
      <x:c r="J5" s="44"/>
      <x:c r="K5" s="44"/>
      <x:c r="L5" s="44"/>
    </x:row>
    <x:row r="6">
      <x:c r="A6" s="44" t="n">
        <x:v>1</x:v>
      </x:c>
      <x:c r="B6" s="44" t="str">
        <x:v>Cushion</x:v>
      </x:c>
      <x:c r="C6" s="59" t="n">
        <x:v>2800</x:v>
      </x:c>
      <x:c r="D6" s="44" t="str">
        <x:v>https://www.stonealgo.com/diamond-prices/</x:v>
      </x:c>
      <x:c r="E6" s="44"/>
      <x:c r="F6" s="44"/>
      <x:c r="G6" s="44"/>
      <x:c r="H6" s="44"/>
      <x:c r="I6" s="44"/>
      <x:c r="J6" s="44"/>
      <x:c r="K6" s="44"/>
      <x:c r="L6" s="44"/>
    </x:row>
    <x:row r="7">
      <x:c r="A7" s="44" t="n">
        <x:v>1</x:v>
      </x:c>
      <x:c r="B7" s="44" t="str">
        <x:v>Radiant</x:v>
      </x:c>
      <x:c r="C7" s="59" t="n">
        <x:v>2880</x:v>
      </x:c>
      <x:c r="D7" s="44" t="str">
        <x:v>https://www.stonealgo.com/diamond-prices/</x:v>
      </x:c>
      <x:c r="E7" s="44"/>
      <x:c r="F7" s="44"/>
      <x:c r="G7" s="44"/>
      <x:c r="H7" s="44"/>
      <x:c r="I7" s="44"/>
      <x:c r="J7" s="44"/>
      <x:c r="K7" s="44"/>
      <x:c r="L7" s="44"/>
    </x:row>
    <x:row r="8">
      <x:c r="A8" s="44" t="n">
        <x:v>1</x:v>
      </x:c>
      <x:c r="B8" s="44" t="str">
        <x:v>Pear</x:v>
      </x:c>
      <x:c r="C8" s="59" t="n">
        <x:v>3749</x:v>
      </x:c>
      <x:c r="D8" s="44" t="str">
        <x:v>https://www.stonealgo.com/diamond-prices/</x:v>
      </x:c>
      <x:c r="E8" s="44"/>
      <x:c r="F8" s="44"/>
      <x:c r="G8" s="44"/>
      <x:c r="H8" s="44"/>
      <x:c r="I8" s="44"/>
      <x:c r="J8" s="44"/>
      <x:c r="K8" s="44"/>
      <x:c r="L8" s="44"/>
    </x:row>
    <x:row r="9">
      <x:c r="A9" s="44" t="n">
        <x:v>1</x:v>
      </x:c>
      <x:c r="B9" s="44" t="str">
        <x:v>Heart</x:v>
      </x:c>
      <x:c r="C9" s="59" t="n">
        <x:v>2530</x:v>
      </x:c>
      <x:c r="D9" s="44" t="str">
        <x:v>https://www.stonealgo.com/diamond-prices/</x:v>
      </x:c>
      <x:c r="E9" s="44"/>
      <x:c r="F9" s="44"/>
      <x:c r="G9" s="44"/>
      <x:c r="H9" s="44"/>
      <x:c r="I9" s="44"/>
      <x:c r="J9" s="44"/>
      <x:c r="K9" s="44"/>
      <x:c r="L9" s="44"/>
    </x:row>
    <x:row r="10">
      <x:c r="A10" s="44" t="n">
        <x:v>1</x:v>
      </x:c>
      <x:c r="B10" s="44" t="str">
        <x:v>Marquise</x:v>
      </x:c>
      <x:c r="C10" s="59" t="n">
        <x:v>3480</x:v>
      </x:c>
      <x:c r="D10" s="44" t="str">
        <x:v>https://www.stonealgo.com/diamond-prices/</x:v>
      </x:c>
      <x:c r="E10" s="44"/>
      <x:c r="F10" s="44"/>
      <x:c r="G10" s="44"/>
      <x:c r="H10" s="44"/>
      <x:c r="I10" s="44"/>
      <x:c r="J10" s="44"/>
      <x:c r="K10" s="44"/>
      <x:c r="L10" s="44"/>
    </x:row>
    <x:row r="11">
      <x:c r="A11" s="44" t="n">
        <x:v>1</x:v>
      </x:c>
      <x:c r="B11" s="44" t="str">
        <x:v>Asscher</x:v>
      </x:c>
      <x:c r="C11" s="59" t="n">
        <x:v>2680</x:v>
      </x:c>
      <x:c r="D11" s="44" t="str">
        <x:v>https://www.stonealgo.com/diamond-prices/</x:v>
      </x:c>
      <x:c r="E11" s="44"/>
      <x:c r="F11" s="44"/>
      <x:c r="G11" s="44"/>
      <x:c r="H11" s="44"/>
      <x:c r="I11" s="44"/>
      <x:c r="J11" s="44"/>
      <x:c r="K11" s="44"/>
      <x:c r="L11" s="44"/>
    </x:row>
    <x:row r="12">
      <x:c r="A12" s="44" t="n">
        <x:v>2</x:v>
      </x:c>
      <x:c r="B12" s="44" t="str">
        <x:v>Round</x:v>
      </x:c>
      <x:c r="C12" s="59" t="n">
        <x:v>19969</x:v>
      </x:c>
      <x:c r="D12" s="44" t="str">
        <x:v>https://www.stonealgo.com/diamond-prices/</x:v>
      </x:c>
      <x:c r="E12" s="44"/>
      <x:c r="F12" s="44"/>
      <x:c r="G12" s="44"/>
      <x:c r="H12" s="44"/>
      <x:c r="I12" s="44"/>
      <x:c r="J12" s="44"/>
      <x:c r="K12" s="44"/>
      <x:c r="L12" s="44"/>
    </x:row>
    <x:row r="13">
      <x:c r="A13" s="44" t="n">
        <x:v>2</x:v>
      </x:c>
      <x:c r="B13" s="44" t="str">
        <x:v>Oval</x:v>
      </x:c>
      <x:c r="C13" s="59" t="n">
        <x:v>19180</x:v>
      </x:c>
      <x:c r="D13" s="44" t="str">
        <x:v>https://www.stonealgo.com/diamond-prices/</x:v>
      </x:c>
      <x:c r="E13" s="44"/>
      <x:c r="F13" s="44"/>
      <x:c r="G13" s="44"/>
      <x:c r="H13" s="44"/>
      <x:c r="I13" s="44"/>
      <x:c r="J13" s="44"/>
      <x:c r="K13" s="44"/>
      <x:c r="L13" s="44"/>
    </x:row>
    <x:row r="14">
      <x:c r="A14" s="44" t="n">
        <x:v>2</x:v>
      </x:c>
      <x:c r="B14" s="44" t="str">
        <x:v>Princess</x:v>
      </x:c>
      <x:c r="C14" s="59" t="n">
        <x:v>13000</x:v>
      </x:c>
      <x:c r="D14" s="44" t="str">
        <x:v>https://www.stonealgo.com/diamond-prices/</x:v>
      </x:c>
      <x:c r="E14" s="44"/>
      <x:c r="F14" s="44"/>
      <x:c r="G14" s="44"/>
      <x:c r="H14" s="44"/>
      <x:c r="I14" s="44"/>
      <x:c r="J14" s="44"/>
      <x:c r="K14" s="44"/>
      <x:c r="L14" s="44"/>
    </x:row>
    <x:row r="15">
      <x:c r="A15" s="44" t="n">
        <x:v>2</x:v>
      </x:c>
      <x:c r="B15" s="44" t="str">
        <x:v>Emerald</x:v>
      </x:c>
      <x:c r="C15" s="59" t="n">
        <x:v>14900</x:v>
      </x:c>
      <x:c r="D15" s="44" t="str">
        <x:v>https://www.stonealgo.com/diamond-prices/</x:v>
      </x:c>
      <x:c r="E15" s="44"/>
      <x:c r="F15" s="44"/>
      <x:c r="G15" s="44"/>
      <x:c r="H15" s="44"/>
      <x:c r="I15" s="44"/>
      <x:c r="J15" s="44"/>
      <x:c r="K15" s="44"/>
      <x:c r="L15" s="44"/>
    </x:row>
    <x:row r="16">
      <x:c r="A16" s="44" t="n">
        <x:v>2</x:v>
      </x:c>
      <x:c r="B16" s="44" t="str">
        <x:v>Cushion</x:v>
      </x:c>
      <x:c r="C16" s="59" t="n">
        <x:v>13500</x:v>
      </x:c>
      <x:c r="D16" s="44" t="str">
        <x:v>https://www.stonealgo.com/diamond-prices/</x:v>
      </x:c>
      <x:c r="E16" s="44"/>
      <x:c r="F16" s="44"/>
      <x:c r="G16" s="44"/>
      <x:c r="H16" s="44"/>
      <x:c r="I16" s="44"/>
      <x:c r="J16" s="44"/>
      <x:c r="K16" s="44"/>
      <x:c r="L16" s="44"/>
    </x:row>
    <x:row r="17">
      <x:c r="A17" s="44" t="n">
        <x:v>2</x:v>
      </x:c>
      <x:c r="B17" s="44" t="str">
        <x:v>Radiant</x:v>
      </x:c>
      <x:c r="C17" s="59" t="n">
        <x:v>14300</x:v>
      </x:c>
      <x:c r="D17" s="44" t="str">
        <x:v>https://www.stonealgo.com/diamond-prices/</x:v>
      </x:c>
      <x:c r="E17" s="44"/>
      <x:c r="F17" s="44"/>
      <x:c r="G17" s="44"/>
      <x:c r="H17" s="44"/>
      <x:c r="I17" s="44"/>
      <x:c r="J17" s="44"/>
      <x:c r="K17" s="44"/>
      <x:c r="L17" s="44"/>
    </x:row>
    <x:row r="18">
      <x:c r="A18" s="44" t="n">
        <x:v>2</x:v>
      </x:c>
      <x:c r="B18" s="44" t="str">
        <x:v>Pear</x:v>
      </x:c>
      <x:c r="C18" s="59" t="n">
        <x:v>19520</x:v>
      </x:c>
      <x:c r="D18" s="44" t="str">
        <x:v>https://www.stonealgo.com/diamond-prices/</x:v>
      </x:c>
      <x:c r="E18" s="44"/>
      <x:c r="F18" s="44"/>
      <x:c r="G18" s="44"/>
      <x:c r="H18" s="44"/>
      <x:c r="I18" s="44"/>
      <x:c r="J18" s="44"/>
      <x:c r="K18" s="44"/>
      <x:c r="L18" s="44"/>
    </x:row>
    <x:row r="19">
      <x:c r="A19" s="44" t="n">
        <x:v>2</x:v>
      </x:c>
      <x:c r="B19" s="44" t="str">
        <x:v>Heart</x:v>
      </x:c>
      <x:c r="C19" s="59" t="n">
        <x:v>12300</x:v>
      </x:c>
      <x:c r="D19" s="44" t="str">
        <x:v>https://www.stonealgo.com/diamond-prices/</x:v>
      </x:c>
      <x:c r="E19" s="44"/>
      <x:c r="F19" s="44"/>
      <x:c r="G19" s="44"/>
      <x:c r="H19" s="44"/>
      <x:c r="I19" s="44"/>
      <x:c r="J19" s="44"/>
      <x:c r="K19" s="44"/>
      <x:c r="L19" s="44"/>
    </x:row>
    <x:row r="20">
      <x:c r="A20" s="44" t="n">
        <x:v>2</x:v>
      </x:c>
      <x:c r="B20" s="44" t="str">
        <x:v>Marquise</x:v>
      </x:c>
      <x:c r="C20" s="59" t="n">
        <x:v>19300</x:v>
      </x:c>
      <x:c r="D20" s="44" t="str">
        <x:v>https://www.stonealgo.com/diamond-prices/</x:v>
      </x:c>
      <x:c r="E20" s="44"/>
      <x:c r="F20" s="44"/>
      <x:c r="G20" s="44"/>
      <x:c r="H20" s="44"/>
      <x:c r="I20" s="44"/>
      <x:c r="J20" s="44"/>
      <x:c r="K20" s="44"/>
      <x:c r="L20" s="44"/>
    </x:row>
    <x:row r="21">
      <x:c r="A21" t="n">
        <x:v>2</x:v>
      </x:c>
      <x:c r="B21" t="str">
        <x:v>Asscher</x:v>
      </x:c>
      <x:c r="C21" s="36" t="n">
        <x:v>11900</x:v>
      </x:c>
      <x:c r="D21" t="str">
        <x:v>https://www.stonealgo.com/diamond-prices/</x:v>
      </x:c>
    </x:row>
    <x:row r="22">
      <x:c r="A22" t="n">
        <x:v>3</x:v>
      </x:c>
      <x:c r="B22" t="str">
        <x:v>Round</x:v>
      </x:c>
      <x:c r="C22" s="36" t="n">
        <x:v>39105</x:v>
      </x:c>
      <x:c r="D22" t="str">
        <x:v>https://www.stonealgo.com/diamond-prices/</x:v>
      </x:c>
    </x:row>
    <x:row r="23">
      <x:c r="A23" t="n">
        <x:v>3</x:v>
      </x:c>
      <x:c r="B23" t="str">
        <x:v>Oval</x:v>
      </x:c>
      <x:c r="C23" s="36" t="n">
        <x:v>46650</x:v>
      </x:c>
      <x:c r="D23" t="str">
        <x:v>https://www.stonealgo.com/diamond-prices/</x:v>
      </x:c>
    </x:row>
    <x:row r="24">
      <x:c r="A24" t="n">
        <x:v>3</x:v>
      </x:c>
      <x:c r="B24" t="str">
        <x:v>Princess</x:v>
      </x:c>
      <x:c r="C24" s="36" t="n">
        <x:v>32900</x:v>
      </x:c>
      <x:c r="D24" t="str">
        <x:v>https://www.stonealgo.com/diamond-prices/</x:v>
      </x:c>
    </x:row>
    <x:row r="25">
      <x:c r="A25" t="n">
        <x:v>3</x:v>
      </x:c>
      <x:c r="B25" t="str">
        <x:v>Emerald</x:v>
      </x:c>
      <x:c r="C25" s="36" t="n">
        <x:v>38100</x:v>
      </x:c>
      <x:c r="D25" t="str">
        <x:v>https://www.stonealgo.com/diamond-prices/</x:v>
      </x:c>
    </x:row>
    <x:row r="26">
      <x:c r="A26" t="n">
        <x:v>3</x:v>
      </x:c>
      <x:c r="B26" t="str">
        <x:v>Cushion</x:v>
      </x:c>
      <x:c r="C26" s="36" t="n">
        <x:v>38000</x:v>
      </x:c>
      <x:c r="D26" t="str">
        <x:v>https://www.stonealgo.com/diamond-prices/</x:v>
      </x:c>
    </x:row>
    <x:row r="27">
      <x:c r="A27" t="n">
        <x:v>3</x:v>
      </x:c>
      <x:c r="B27" t="str">
        <x:v>Radiant</x:v>
      </x:c>
      <x:c r="C27" s="36" t="n">
        <x:v>37700</x:v>
      </x:c>
      <x:c r="D27" t="str">
        <x:v>https://www.stonealgo.com/diamond-prices/</x:v>
      </x:c>
    </x:row>
    <x:row r="28">
      <x:c r="A28" t="n">
        <x:v>3</x:v>
      </x:c>
      <x:c r="B28" t="str">
        <x:v>Pear</x:v>
      </x:c>
      <x:c r="C28" s="36" t="n">
        <x:v>49503</x:v>
      </x:c>
      <x:c r="D28" t="str">
        <x:v>https://www.stonealgo.com/diamond-prices/</x:v>
      </x:c>
    </x:row>
    <x:row r="29">
      <x:c r="A29" t="n">
        <x:v>3</x:v>
      </x:c>
      <x:c r="B29" t="str">
        <x:v>Heart</x:v>
      </x:c>
      <x:c r="C29" s="36" t="n">
        <x:v>37300</x:v>
      </x:c>
      <x:c r="D29" t="str">
        <x:v>https://www.stonealgo.com/diamond-prices/</x:v>
      </x:c>
    </x:row>
    <x:row r="30">
      <x:c r="A30" t="n">
        <x:v>3</x:v>
      </x:c>
      <x:c r="B30" t="str">
        <x:v>Marquise</x:v>
      </x:c>
      <x:c r="C30" s="36" t="n">
        <x:v>46200</x:v>
      </x:c>
      <x:c r="D30" t="str">
        <x:v>https://www.stonealgo.com/diamond-prices/</x:v>
      </x:c>
    </x:row>
    <x:row r="31">
      <x:c r="A31" t="n">
        <x:v>3</x:v>
      </x:c>
      <x:c r="B31" t="str">
        <x:v>Asscher</x:v>
      </x:c>
      <x:c r="C31" s="36" t="n">
        <x:v>34300</x:v>
      </x:c>
      <x:c r="D31" t="str">
        <x:v>https://www.stonealgo.com/diamond-prices/</x:v>
      </x:c>
    </x:row>
    <x:row r="32">
      <x:c r="A32" t="n">
        <x:v>4</x:v>
      </x:c>
      <x:c r="B32" t="str">
        <x:v>Round</x:v>
      </x:c>
      <x:c r="C32" s="36" t="n">
        <x:v>70295</x:v>
      </x:c>
      <x:c r="D32" t="str">
        <x:v>https://www.stonealgo.com/diamond-prices/</x:v>
      </x:c>
    </x:row>
    <x:row r="33">
      <x:c r="A33" t="n">
        <x:v>4</x:v>
      </x:c>
      <x:c r="B33" t="str">
        <x:v>Oval</x:v>
      </x:c>
      <x:c r="C33" s="36" t="n">
        <x:v>79865</x:v>
      </x:c>
      <x:c r="D33" t="str">
        <x:v>https://www.stonealgo.com/diamond-prices/</x:v>
      </x:c>
    </x:row>
    <x:row r="34">
      <x:c r="A34" t="n">
        <x:v>4</x:v>
      </x:c>
      <x:c r="B34" t="str">
        <x:v>Princess</x:v>
      </x:c>
      <x:c r="C34" s="36" t="n">
        <x:v>62400</x:v>
      </x:c>
      <x:c r="D34" t="str">
        <x:v>https://www.stonealgo.com/diamond-prices/</x:v>
      </x:c>
    </x:row>
    <x:row r="35">
      <x:c r="A35" t="n">
        <x:v>4</x:v>
      </x:c>
      <x:c r="B35" t="str">
        <x:v>Emerald</x:v>
      </x:c>
      <x:c r="C35" s="36" t="n">
        <x:v>70400</x:v>
      </x:c>
      <x:c r="D35" t="str">
        <x:v>https://www.stonealgo.com/diamond-prices/</x:v>
      </x:c>
    </x:row>
    <x:row r="36">
      <x:c r="A36" t="n">
        <x:v>4</x:v>
      </x:c>
      <x:c r="B36" t="str">
        <x:v>Cushion</x:v>
      </x:c>
      <x:c r="C36" s="36" t="n">
        <x:v>68000</x:v>
      </x:c>
      <x:c r="D36" t="str">
        <x:v>https://www.stonealgo.com/diamond-prices/</x:v>
      </x:c>
    </x:row>
    <x:row r="37">
      <x:c r="A37" t="n">
        <x:v>4</x:v>
      </x:c>
      <x:c r="B37" t="str">
        <x:v>Radiant</x:v>
      </x:c>
      <x:c r="C37" s="36" t="n">
        <x:v>67500</x:v>
      </x:c>
      <x:c r="D37" t="str">
        <x:v>https://www.stonealgo.com/diamond-prices/</x:v>
      </x:c>
    </x:row>
    <x:row r="38">
      <x:c r="A38" t="n">
        <x:v>4</x:v>
      </x:c>
      <x:c r="B38" t="str">
        <x:v>Pear</x:v>
      </x:c>
      <x:c r="C38" s="36" t="n">
        <x:v>96372</x:v>
      </x:c>
      <x:c r="D38" t="str">
        <x:v>https://www.stonealgo.com/diamond-prices/</x:v>
      </x:c>
    </x:row>
    <x:row r="39">
      <x:c r="A39" t="n">
        <x:v>4</x:v>
      </x:c>
      <x:c r="B39" t="str">
        <x:v>Heart</x:v>
      </x:c>
      <x:c r="C39" s="36" t="n">
        <x:v>73500</x:v>
      </x:c>
      <x:c r="D39" t="str">
        <x:v>https://www.stonealgo.com/diamond-prices/</x:v>
      </x:c>
    </x:row>
    <x:row r="40">
      <x:c r="A40" t="n">
        <x:v>4</x:v>
      </x:c>
      <x:c r="B40" t="str">
        <x:v>Marquise</x:v>
      </x:c>
      <x:c r="C40" s="36" t="n">
        <x:v>89700</x:v>
      </x:c>
      <x:c r="D40" t="str">
        <x:v>https://www.stonealgo.com/diamond-prices/</x:v>
      </x:c>
    </x:row>
    <x:row r="41">
      <x:c r="A41" t="n">
        <x:v>4</x:v>
      </x:c>
      <x:c r="B41" t="str">
        <x:v>Asscher</x:v>
      </x:c>
      <x:c r="C41" s="36" t="n">
        <x:v>59500</x:v>
      </x:c>
      <x:c r="D41" t="str">
        <x:v>https://www.stonealgo.com/diamond-prices/</x:v>
      </x:c>
    </x:row>
    <x:row r="42">
      <x:c r="A42" t="n">
        <x:v>5</x:v>
      </x:c>
      <x:c r="B42" t="str">
        <x:v>Round</x:v>
      </x:c>
      <x:c r="C42" s="36" t="n">
        <x:v>112148</x:v>
      </x:c>
      <x:c r="D42" t="str">
        <x:v>https://www.stonealgo.com/diamond-prices/</x:v>
      </x:c>
    </x:row>
    <x:row r="43">
      <x:c r="A43" t="n">
        <x:v>5</x:v>
      </x:c>
      <x:c r="B43" t="str">
        <x:v>Oval</x:v>
      </x:c>
      <x:c r="C43" s="36" t="n">
        <x:v>130566</x:v>
      </x:c>
      <x:c r="D43" t="str">
        <x:v>https://www.stonealgo.com/diamond-prices/</x:v>
      </x:c>
    </x:row>
    <x:row r="44">
      <x:c r="A44" t="n">
        <x:v>5</x:v>
      </x:c>
      <x:c r="B44" t="str">
        <x:v>Princess</x:v>
      </x:c>
      <x:c r="C44" s="36" t="n">
        <x:v>87200</x:v>
      </x:c>
      <x:c r="D44" t="str">
        <x:v>https://www.stonealgo.com/diamond-prices/</x:v>
      </x:c>
    </x:row>
    <x:row r="45">
      <x:c r="A45" t="n">
        <x:v>5</x:v>
      </x:c>
      <x:c r="B45" t="str">
        <x:v>Emerald</x:v>
      </x:c>
      <x:c r="C45" s="36" t="n">
        <x:v>114000</x:v>
      </x:c>
      <x:c r="D45" t="str">
        <x:v>https://www.stonealgo.com/diamond-prices/</x:v>
      </x:c>
    </x:row>
    <x:row r="46">
      <x:c r="A46" t="n">
        <x:v>5</x:v>
      </x:c>
      <x:c r="B46" t="str">
        <x:v>Cushion</x:v>
      </x:c>
      <x:c r="C46" s="36" t="n">
        <x:v>105000</x:v>
      </x:c>
      <x:c r="D46" t="str">
        <x:v>https://www.stonealgo.com/diamond-prices/</x:v>
      </x:c>
    </x:row>
    <x:row r="47">
      <x:c r="A47" t="n">
        <x:v>5</x:v>
      </x:c>
      <x:c r="B47" t="str">
        <x:v>Radiant</x:v>
      </x:c>
      <x:c r="C47" s="36" t="n">
        <x:v>90900</x:v>
      </x:c>
      <x:c r="D47" t="str">
        <x:v>https://www.stonealgo.com/diamond-prices/</x:v>
      </x:c>
    </x:row>
    <x:row r="48">
      <x:c r="A48" t="n">
        <x:v>5</x:v>
      </x:c>
      <x:c r="B48" t="str">
        <x:v>Pear</x:v>
      </x:c>
      <x:c r="C48" s="36" t="n">
        <x:v>156636</x:v>
      </x:c>
      <x:c r="D48" t="str">
        <x:v>https://www.stonealgo.com/diamond-prices/</x:v>
      </x:c>
    </x:row>
    <x:row r="49">
      <x:c r="A49" t="n">
        <x:v>5</x:v>
      </x:c>
      <x:c r="B49" t="str">
        <x:v>Heart</x:v>
      </x:c>
      <x:c r="C49" s="36" t="n">
        <x:v>131000</x:v>
      </x:c>
      <x:c r="D49" t="str">
        <x:v>https://www.stonealgo.com/diamond-prices/</x:v>
      </x:c>
    </x:row>
    <x:row r="50">
      <x:c r="A50" t="n">
        <x:v>5</x:v>
      </x:c>
      <x:c r="B50" t="str">
        <x:v>Marquise</x:v>
      </x:c>
      <x:c r="C50" s="36" t="n">
        <x:v>125000</x:v>
      </x:c>
      <x:c r="D50" t="str">
        <x:v>https://www.stonealgo.com/diamond-prices/</x:v>
      </x:c>
    </x:row>
    <x:row r="51">
      <x:c r="A51" t="n">
        <x:v>5</x:v>
      </x:c>
      <x:c r="B51" t="str">
        <x:v>Asscher</x:v>
      </x:c>
      <x:c r="C51" s="36" t="n">
        <x:v>95300</x:v>
      </x:c>
      <x:c r="D51" t="str">
        <x:v>https://www.stonealgo.com/diamond-prices/</x:v>
      </x:c>
    </x:row>
    <x:row r="52">
      <x:c r="A52" t="n">
        <x:v>6</x:v>
      </x:c>
      <x:c r="B52" t="str">
        <x:v>Round</x:v>
      </x:c>
      <x:c r="C52" s="36" t="n">
        <x:v>147600</x:v>
      </x:c>
      <x:c r="D52" t="str">
        <x:v>https://www.stonealgo.com/diamond-prices/</x:v>
      </x:c>
    </x:row>
    <x:row r="53">
      <x:c r="A53" t="n">
        <x:v>6</x:v>
      </x:c>
      <x:c r="B53" t="str">
        <x:v>Oval</x:v>
      </x:c>
      <x:c r="C53" s="36" t="n">
        <x:v>182501</x:v>
      </x:c>
      <x:c r="D53" t="str">
        <x:v>https://www.stonealgo.com/diamond-prices/</x:v>
      </x:c>
    </x:row>
    <x:row r="54">
      <x:c r="A54" t="n">
        <x:v>6</x:v>
      </x:c>
      <x:c r="B54" t="str">
        <x:v>Princess</x:v>
      </x:c>
      <x:c r="C54" s="36" t="n">
        <x:v>112000</x:v>
      </x:c>
      <x:c r="D54" t="str">
        <x:v>https://www.stonealgo.com/diamond-prices/</x:v>
      </x:c>
    </x:row>
    <x:row r="55">
      <x:c r="A55" t="n">
        <x:v>6</x:v>
      </x:c>
      <x:c r="B55" t="str">
        <x:v>Emerald</x:v>
      </x:c>
      <x:c r="C55" s="36" t="n">
        <x:v>157000</x:v>
      </x:c>
      <x:c r="D55" t="str">
        <x:v>https://www.stonealgo.com/diamond-prices/</x:v>
      </x:c>
    </x:row>
    <x:row r="56">
      <x:c r="A56" t="n">
        <x:v>6</x:v>
      </x:c>
      <x:c r="B56" t="str">
        <x:v>Cushion</x:v>
      </x:c>
      <x:c r="C56" s="36" t="n">
        <x:v>129000</x:v>
      </x:c>
      <x:c r="D56" t="str">
        <x:v>https://www.stonealgo.com/diamond-prices/</x:v>
      </x:c>
    </x:row>
    <x:row r="57">
      <x:c r="A57" t="n">
        <x:v>6</x:v>
      </x:c>
      <x:c r="B57" t="str">
        <x:v>Radiant</x:v>
      </x:c>
      <x:c r="C57" s="36" t="n">
        <x:v>126000</x:v>
      </x:c>
      <x:c r="D57" t="str">
        <x:v>https://www.stonealgo.com/diamond-prices/</x:v>
      </x:c>
    </x:row>
    <x:row r="58">
      <x:c r="A58" t="n">
        <x:v>6</x:v>
      </x:c>
      <x:c r="B58" t="str">
        <x:v>Pear</x:v>
      </x:c>
      <x:c r="C58" s="36" t="n">
        <x:v>226354</x:v>
      </x:c>
      <x:c r="D58" t="str">
        <x:v>https://www.stonealgo.com/diamond-prices/</x:v>
      </x:c>
    </x:row>
    <x:row r="59">
      <x:c r="A59" t="n">
        <x:v>6</x:v>
      </x:c>
      <x:c r="B59" t="str">
        <x:v>Heart</x:v>
      </x:c>
      <x:c r="C59" s="36" t="n">
        <x:v>197000</x:v>
      </x:c>
      <x:c r="D59" t="str">
        <x:v>https://www.stonealgo.com/diamond-prices/</x:v>
      </x:c>
    </x:row>
    <x:row r="60">
      <x:c r="A60" t="n">
        <x:v>6</x:v>
      </x:c>
      <x:c r="B60" t="str">
        <x:v>Marquise</x:v>
      </x:c>
      <x:c r="C60" s="36" t="n">
        <x:v>241000</x:v>
      </x:c>
      <x:c r="D60" t="str">
        <x:v>https://www.stonealgo.com/diamond-prices/</x:v>
      </x:c>
    </x:row>
    <x:row r="61">
      <x:c r="A61" t="n">
        <x:v>6</x:v>
      </x:c>
      <x:c r="B61" t="str">
        <x:v>Asscher</x:v>
      </x:c>
      <x:c r="C61" s="36" t="n">
        <x:v>141000</x:v>
      </x:c>
      <x:c r="D61" t="str">
        <x:v>https://www.stonealgo.com/diamond-prices/</x:v>
      </x:c>
    </x:row>
    <x:row r="62">
      <x:c r="A62" t="n">
        <x:v>7</x:v>
      </x:c>
      <x:c r="B62" t="str">
        <x:v>Round</x:v>
      </x:c>
      <x:c r="C62" s="36" t="n">
        <x:v>197887</x:v>
      </x:c>
      <x:c r="D62" t="str">
        <x:v>https://www.stonealgo.com/diamond-prices/</x:v>
      </x:c>
    </x:row>
    <x:row r="63">
      <x:c r="A63" t="n">
        <x:v>7</x:v>
      </x:c>
      <x:c r="B63" t="str">
        <x:v>Oval</x:v>
      </x:c>
      <x:c r="C63" s="36" t="n">
        <x:v>216500</x:v>
      </x:c>
      <x:c r="D63" t="str">
        <x:v>https://www.stonealgo.com/diamond-prices/</x:v>
      </x:c>
    </x:row>
    <x:row r="64">
      <x:c r="A64" t="n">
        <x:v>7</x:v>
      </x:c>
      <x:c r="B64" t="str">
        <x:v>Princess</x:v>
      </x:c>
      <x:c r="C64" s="36" t="n">
        <x:v>112000</x:v>
      </x:c>
      <x:c r="D64" t="str">
        <x:v>https://www.stonealgo.com/diamond-prices/</x:v>
      </x:c>
    </x:row>
    <x:row r="65">
      <x:c r="A65" t="n">
        <x:v>7</x:v>
      </x:c>
      <x:c r="B65" t="str">
        <x:v>Emerald</x:v>
      </x:c>
      <x:c r="C65" s="36" t="n">
        <x:v>211000</x:v>
      </x:c>
      <x:c r="D65" t="str">
        <x:v>https://www.stonealgo.com/diamond-prices/</x:v>
      </x:c>
    </x:row>
    <x:row r="66">
      <x:c r="A66" t="n">
        <x:v>7</x:v>
      </x:c>
      <x:c r="B66" t="str">
        <x:v>Cushion</x:v>
      </x:c>
      <x:c r="C66" s="36" t="n">
        <x:v>206000</x:v>
      </x:c>
      <x:c r="D66" t="str">
        <x:v>https://www.stonealgo.com/diamond-prices/</x:v>
      </x:c>
    </x:row>
    <x:row r="67">
      <x:c r="A67" t="n">
        <x:v>7</x:v>
      </x:c>
      <x:c r="B67" t="str">
        <x:v>Radiant</x:v>
      </x:c>
      <x:c r="C67" s="36" t="n">
        <x:v>193000</x:v>
      </x:c>
      <x:c r="D67" t="str">
        <x:v>https://www.stonealgo.com/diamond-prices/</x:v>
      </x:c>
    </x:row>
    <x:row r="68">
      <x:c r="A68" t="n">
        <x:v>7</x:v>
      </x:c>
      <x:c r="B68" t="str">
        <x:v>Pear</x:v>
      </x:c>
      <x:c r="C68" s="36" t="n">
        <x:v>270814</x:v>
      </x:c>
      <x:c r="D68" t="str">
        <x:v>https://www.stonealgo.com/diamond-prices/</x:v>
      </x:c>
    </x:row>
    <x:row r="69">
      <x:c r="A69" t="n">
        <x:v>7</x:v>
      </x:c>
      <x:c r="B69" t="str">
        <x:v>Heart</x:v>
      </x:c>
      <x:c r="C69" s="36" t="n">
        <x:v>332000</x:v>
      </x:c>
      <x:c r="D69" t="str">
        <x:v>https://www.stonealgo.com/diamond-prices/</x:v>
      </x:c>
    </x:row>
    <x:row r="70">
      <x:c r="A70" t="n">
        <x:v>7</x:v>
      </x:c>
      <x:c r="B70" t="str">
        <x:v>Marquise</x:v>
      </x:c>
      <x:c r="C70" s="36" t="n">
        <x:v>231000</x:v>
      </x:c>
      <x:c r="D70" t="str">
        <x:v>https://www.stonealgo.com/diamond-prices/</x:v>
      </x:c>
    </x:row>
    <x:row r="71">
      <x:c r="A71" t="n">
        <x:v>7</x:v>
      </x:c>
      <x:c r="B71" t="str">
        <x:v>Asscher</x:v>
      </x:c>
      <x:c r="C71" s="36" t="n">
        <x:v>217000</x:v>
      </x:c>
      <x:c r="D71" t="str">
        <x:v>https://www.stonealgo.com/diamond-prices/</x:v>
      </x:c>
    </x:row>
    <x:row r="72">
      <x:c r="A72" t="n">
        <x:v>8</x:v>
      </x:c>
      <x:c r="B72" t="str">
        <x:v>Round</x:v>
      </x:c>
      <x:c r="C72" s="36" t="n">
        <x:v>200565</x:v>
      </x:c>
      <x:c r="D72" t="str">
        <x:v>https://www.stonealgo.com/diamond-prices/</x:v>
      </x:c>
    </x:row>
    <x:row r="73">
      <x:c r="A73" t="n">
        <x:v>8</x:v>
      </x:c>
      <x:c r="B73" t="str">
        <x:v>Oval</x:v>
      </x:c>
      <x:c r="C73" s="36" t="n">
        <x:v>305215</x:v>
      </x:c>
      <x:c r="D73" t="str">
        <x:v>https://www.stonealgo.com/diamond-prices/</x:v>
      </x:c>
    </x:row>
    <x:row r="74">
      <x:c r="A74" t="n">
        <x:v>8</x:v>
      </x:c>
      <x:c r="B74" t="str">
        <x:v>Princess</x:v>
      </x:c>
      <x:c r="C74" s="36" t="n">
        <x:v>174000</x:v>
      </x:c>
      <x:c r="D74" t="str">
        <x:v>https://www.stonealgo.com/diamond-prices/</x:v>
      </x:c>
    </x:row>
    <x:row r="75">
      <x:c r="A75" t="n">
        <x:v>8</x:v>
      </x:c>
      <x:c r="B75" t="str">
        <x:v>Emerald</x:v>
      </x:c>
      <x:c r="C75" s="36" t="n">
        <x:v>228000</x:v>
      </x:c>
      <x:c r="D75" t="str">
        <x:v>https://www.stonealgo.com/diamond-prices/</x:v>
      </x:c>
    </x:row>
    <x:row r="76">
      <x:c r="A76" t="n">
        <x:v>8</x:v>
      </x:c>
      <x:c r="B76" t="str">
        <x:v>Cushion</x:v>
      </x:c>
      <x:c r="C76" s="36" t="n">
        <x:v>263000</x:v>
      </x:c>
      <x:c r="D76" t="str">
        <x:v>https://www.stonealgo.com/diamond-prices/</x:v>
      </x:c>
    </x:row>
    <x:row r="77">
      <x:c r="A77" t="n">
        <x:v>8</x:v>
      </x:c>
      <x:c r="B77" t="str">
        <x:v>Radiant</x:v>
      </x:c>
      <x:c r="C77" s="36" t="n">
        <x:v>168000</x:v>
      </x:c>
      <x:c r="D77" t="str">
        <x:v>https://www.stonealgo.com/diamond-prices/</x:v>
      </x:c>
    </x:row>
    <x:row r="78">
      <x:c r="A78" t="n">
        <x:v>8</x:v>
      </x:c>
      <x:c r="B78" t="str">
        <x:v>Pear</x:v>
      </x:c>
      <x:c r="C78" s="36" t="n">
        <x:v>335717</x:v>
      </x:c>
      <x:c r="D78" t="str">
        <x:v>https://www.stonealgo.com/diamond-prices/</x:v>
      </x:c>
    </x:row>
    <x:row r="79">
      <x:c r="A79" t="n">
        <x:v>8</x:v>
      </x:c>
      <x:c r="B79" t="str">
        <x:v>Heart</x:v>
      </x:c>
      <x:c r="C79" s="36" t="n">
        <x:v>301000</x:v>
      </x:c>
      <x:c r="D79" t="str">
        <x:v>https://www.stonealgo.com/diamond-prices/</x:v>
      </x:c>
    </x:row>
    <x:row r="80">
      <x:c r="A80" t="n">
        <x:v>8</x:v>
      </x:c>
      <x:c r="B80" t="str">
        <x:v>Marquise</x:v>
      </x:c>
      <x:c r="C80" s="36" t="n">
        <x:v>247000</x:v>
      </x:c>
      <x:c r="D80" t="str">
        <x:v>https://www.stonealgo.com/diamond-prices/</x:v>
      </x:c>
    </x:row>
    <x:row r="81">
      <x:c r="A81" t="n">
        <x:v>8</x:v>
      </x:c>
      <x:c r="B81" t="str">
        <x:v>Asscher</x:v>
      </x:c>
      <x:c r="C81" s="36" t="n">
        <x:v>300000</x:v>
      </x:c>
      <x:c r="D81" t="str">
        <x:v>https://www.stonealgo.com/diamond-prices/</x:v>
      </x:c>
    </x:row>
    <x:row r="82">
      <x:c r="A82" t="n">
        <x:v>9</x:v>
      </x:c>
      <x:c r="B82" t="str">
        <x:v>Round</x:v>
      </x:c>
      <x:c r="C82" s="36" t="n">
        <x:v>260882</x:v>
      </x:c>
      <x:c r="D82" t="str">
        <x:v>https://www.stonealgo.com/diamond-prices/</x:v>
      </x:c>
    </x:row>
    <x:row r="83">
      <x:c r="A83" t="n">
        <x:v>9</x:v>
      </x:c>
      <x:c r="B83" t="str">
        <x:v>Oval</x:v>
      </x:c>
      <x:c r="C83" s="36" t="n">
        <x:v>307261</x:v>
      </x:c>
      <x:c r="D83" t="str">
        <x:v>https://www.stonealgo.com/diamond-prices/</x:v>
      </x:c>
    </x:row>
    <x:row r="84">
      <x:c r="A84" t="n">
        <x:v>9</x:v>
      </x:c>
      <x:c r="B84" t="str">
        <x:v>Princess</x:v>
      </x:c>
      <x:c r="C84" s="36" t="n">
        <x:v>123000</x:v>
      </x:c>
      <x:c r="D84" t="str">
        <x:v>https://www.stonealgo.com/diamond-prices/</x:v>
      </x:c>
    </x:row>
    <x:row r="85">
      <x:c r="A85" t="n">
        <x:v>9</x:v>
      </x:c>
      <x:c r="B85" t="str">
        <x:v>Emerald</x:v>
      </x:c>
      <x:c r="C85" s="36" t="n">
        <x:v>250000</x:v>
      </x:c>
      <x:c r="D85" t="str">
        <x:v>https://www.stonealgo.com/diamond-prices/</x:v>
      </x:c>
    </x:row>
    <x:row r="86">
      <x:c r="A86" t="n">
        <x:v>9</x:v>
      </x:c>
      <x:c r="B86" t="str">
        <x:v>Cushion</x:v>
      </x:c>
      <x:c r="C86" s="36" t="n">
        <x:v>328000</x:v>
      </x:c>
      <x:c r="D86" t="str">
        <x:v>https://www.stonealgo.com/diamond-prices/</x:v>
      </x:c>
    </x:row>
    <x:row r="87">
      <x:c r="A87" t="n">
        <x:v>9</x:v>
      </x:c>
      <x:c r="B87" t="str">
        <x:v>Radiant</x:v>
      </x:c>
      <x:c r="C87" s="36" t="n">
        <x:v>215000</x:v>
      </x:c>
      <x:c r="D87" t="str">
        <x:v>https://www.stonealgo.com/diamond-prices/</x:v>
      </x:c>
    </x:row>
    <x:row r="88">
      <x:c r="A88" t="n">
        <x:v>9</x:v>
      </x:c>
      <x:c r="B88" t="str">
        <x:v>Pear</x:v>
      </x:c>
      <x:c r="C88" s="36" t="n">
        <x:v>468037</x:v>
      </x:c>
      <x:c r="D88" t="str">
        <x:v>https://www.stonealgo.com/diamond-prices/</x:v>
      </x:c>
    </x:row>
    <x:row r="89">
      <x:c r="A89" t="n">
        <x:v>9</x:v>
      </x:c>
      <x:c r="B89" t="str">
        <x:v>Heart</x:v>
      </x:c>
      <x:c r="C89" s="36" t="n">
        <x:v>314000</x:v>
      </x:c>
      <x:c r="D89" t="str">
        <x:v>https://www.stonealgo.com/diamond-prices/</x:v>
      </x:c>
    </x:row>
    <x:row r="90">
      <x:c r="A90" t="n">
        <x:v>9</x:v>
      </x:c>
      <x:c r="B90" t="str">
        <x:v>Marquise</x:v>
      </x:c>
      <x:c r="C90" s="36" t="n">
        <x:v>363000</x:v>
      </x:c>
      <x:c r="D90" t="str">
        <x:v>https://www.stonealgo.com/diamond-prices/</x:v>
      </x:c>
    </x:row>
    <x:row r="91">
      <x:c r="A91" t="n">
        <x:v>9</x:v>
      </x:c>
      <x:c r="B91" t="str">
        <x:v>Asscher</x:v>
      </x:c>
      <x:c r="C91" s="36" t="n">
        <x:v>388000</x:v>
      </x:c>
      <x:c r="D91" t="str">
        <x:v>https://www.stonealgo.com/diamond-prices/</x:v>
      </x:c>
    </x:row>
    <x:row r="92">
      <x:c r="A92" t="n">
        <x:v>10</x:v>
      </x:c>
      <x:c r="B92" t="str">
        <x:v>Round</x:v>
      </x:c>
      <x:c r="C92" s="36" t="n">
        <x:v>374385</x:v>
      </x:c>
      <x:c r="D92" t="str">
        <x:v>https://www.stonealgo.com/diamond-prices/</x:v>
      </x:c>
    </x:row>
    <x:row r="93">
      <x:c r="A93" t="n">
        <x:v>10</x:v>
      </x:c>
      <x:c r="B93" t="str">
        <x:v>Oval</x:v>
      </x:c>
      <x:c r="C93" s="36" t="n">
        <x:v>424760</x:v>
      </x:c>
      <x:c r="D93" t="str">
        <x:v>https://www.stonealgo.com/diamond-prices/</x:v>
      </x:c>
    </x:row>
    <x:row r="94">
      <x:c r="A94" t="n">
        <x:v>10</x:v>
      </x:c>
      <x:c r="B94" t="str">
        <x:v>Princess</x:v>
      </x:c>
      <x:c r="C94" s="36" t="n">
        <x:v>343000</x:v>
      </x:c>
      <x:c r="D94" t="str">
        <x:v>https://www.stonealgo.com/diamond-prices/</x:v>
      </x:c>
    </x:row>
    <x:row r="95">
      <x:c r="A95" t="n">
        <x:v>10</x:v>
      </x:c>
      <x:c r="B95" t="str">
        <x:v>Emerald</x:v>
      </x:c>
      <x:c r="C95" s="36" t="n">
        <x:v>305000</x:v>
      </x:c>
      <x:c r="D95" t="str">
        <x:v>https://www.stonealgo.com/diamond-prices/</x:v>
      </x:c>
    </x:row>
    <x:row r="96">
      <x:c r="A96" t="n">
        <x:v>10</x:v>
      </x:c>
      <x:c r="B96" t="str">
        <x:v>Cushion</x:v>
      </x:c>
      <x:c r="C96" s="36" t="n">
        <x:v>388000</x:v>
      </x:c>
      <x:c r="D96" t="str">
        <x:v>https://www.stonealgo.com/diamond-prices/</x:v>
      </x:c>
    </x:row>
    <x:row r="97">
      <x:c r="A97" t="n">
        <x:v>10</x:v>
      </x:c>
      <x:c r="B97" t="str">
        <x:v>Radiant</x:v>
      </x:c>
      <x:c r="C97" s="36" t="n">
        <x:v>239000</x:v>
      </x:c>
      <x:c r="D97" t="str">
        <x:v>https://www.stonealgo.com/diamond-prices/</x:v>
      </x:c>
    </x:row>
    <x:row r="98">
      <x:c r="A98" t="n">
        <x:v>10</x:v>
      </x:c>
      <x:c r="B98" t="str">
        <x:v>Pear</x:v>
      </x:c>
      <x:c r="C98" s="36" t="n">
        <x:v>554082</x:v>
      </x:c>
      <x:c r="D98" t="str">
        <x:v>https://www.stonealgo.com/diamond-prices/</x:v>
      </x:c>
    </x:row>
    <x:row r="99">
      <x:c r="A99" t="n">
        <x:v>10</x:v>
      </x:c>
      <x:c r="B99" t="str">
        <x:v>Heart</x:v>
      </x:c>
      <x:c r="C99" s="36" t="n">
        <x:v>548000</x:v>
      </x:c>
      <x:c r="D99" t="str">
        <x:v>https://www.stonealgo.com/diamond-prices/</x:v>
      </x:c>
    </x:row>
    <x:row r="100">
      <x:c r="A100" t="n">
        <x:v>10</x:v>
      </x:c>
      <x:c r="B100" t="str">
        <x:v>Marquise</x:v>
      </x:c>
      <x:c r="C100" s="36" t="n">
        <x:v>608000</x:v>
      </x:c>
      <x:c r="D100" t="str">
        <x:v>https://www.stonealgo.com/diamond-prices/</x:v>
      </x:c>
    </x:row>
    <x:row r="101">
      <x:c r="A101" t="n">
        <x:v>10</x:v>
      </x:c>
      <x:c r="B101" t="str">
        <x:v>Asscher</x:v>
      </x:c>
      <x:c r="C101" s="36" t="n">
        <x:v>305000</x:v>
      </x:c>
      <x:c r="D101" t="str">
        <x:v>https://www.stonealgo.com/diamond-prices/</x:v>
      </x:c>
    </x:row>
  </x:sheetData>
  <x:pageMargins left="0.7" right="0.7" top="0.75" bottom="0.75" header="0.3" footer="0.3"/>
  <x:tableParts count="1">
    <x:tablePart xmlns:r="http://schemas.openxmlformats.org/officeDocument/2006/relationships" r:id="R6055d636f48341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55" hidden="0" customWidth="1"/>
  </x:cols>
  <x:sheetData>
    <x:row r="1">
      <x:c r="A1" s="58" t="str">
        <x:v>Color</x:v>
      </x:c>
      <x:c r="B1" s="58" t="str">
        <x:v>FL</x:v>
      </x:c>
      <x:c r="C1" s="58" t="str">
        <x:v>IF</x:v>
      </x:c>
      <x:c r="D1" s="58" t="str">
        <x:v>VVS1</x:v>
      </x:c>
      <x:c r="E1" s="58" t="str">
        <x:v>VVS2</x:v>
      </x:c>
      <x:c r="F1" s="58" t="str">
        <x:v>VS1</x:v>
      </x:c>
      <x:c r="G1" s="58" t="str">
        <x:v>VS2</x:v>
      </x:c>
      <x:c r="H1" s="58" t="str">
        <x:v>SI1</x:v>
      </x:c>
      <x:c r="I1" s="58" t="str">
        <x:v>SI2</x:v>
      </x:c>
      <x:c r="J1" s="58" t="str">
        <x:v>Source / Note</x:v>
      </x:c>
      <x:c r="K1" s="44"/>
      <x:c r="L1" s="44"/>
    </x:row>
    <x:row r="2">
      <x:c r="A2" s="44" t="str">
        <x:v>D</x:v>
      </x:c>
      <x:c r="B2" s="59" t="n">
        <x:v>12665</x:v>
      </x:c>
      <x:c r="C2" s="59" t="n">
        <x:v>13240</x:v>
      </x:c>
      <x:c r="D2" s="59" t="n">
        <x:v>9555</x:v>
      </x:c>
      <x:c r="E2" s="59" t="n">
        <x:v>6660</x:v>
      </x:c>
      <x:c r="F2" s="59" t="n">
        <x:v>6247</x:v>
      </x:c>
      <x:c r="G2" s="59" t="n">
        <x:v>5841</x:v>
      </x:c>
      <x:c r="H2" s="59" t="n">
        <x:v>3762</x:v>
      </x:c>
      <x:c r="I2" s="59" t="n">
        <x:v>3026</x:v>
      </x:c>
      <x:c r="J2" s="44" t="str">
        <x:v>https://www.pricescope.com/blog/natural-diamond-prices-september-2026</x:v>
      </x:c>
      <x:c r="K2" s="44"/>
      <x:c r="L2" s="44"/>
    </x:row>
    <x:row r="3">
      <x:c r="A3" s="44" t="str">
        <x:v>E</x:v>
      </x:c>
      <x:c r="B3" s="59" t="n">
        <x:v>10072</x:v>
      </x:c>
      <x:c r="C3" s="59" t="n">
        <x:v>8672</x:v>
      </x:c>
      <x:c r="D3" s="59" t="n">
        <x:v>7842</x:v>
      </x:c>
      <x:c r="E3" s="59" t="n">
        <x:v>6880</x:v>
      </x:c>
      <x:c r="F3" s="59" t="n">
        <x:v>6307</x:v>
      </x:c>
      <x:c r="G3" s="59" t="n">
        <x:v>5249</x:v>
      </x:c>
      <x:c r="H3" s="59" t="n">
        <x:v>3551</x:v>
      </x:c>
      <x:c r="I3" s="59" t="n">
        <x:v>2993</x:v>
      </x:c>
      <x:c r="J3" s="44" t="str">
        <x:v>https://www.pricescope.com/blog/natural-diamond-prices-september-2026</x:v>
      </x:c>
      <x:c r="K3" s="44"/>
      <x:c r="L3" s="44"/>
    </x:row>
    <x:row r="4">
      <x:c r="A4" s="44" t="str">
        <x:v>F</x:v>
      </x:c>
      <x:c r="B4" s="59" t="n">
        <x:v>6830</x:v>
      </x:c>
      <x:c r="C4" s="59" t="n">
        <x:v>7302</x:v>
      </x:c>
      <x:c r="D4" s="59" t="n">
        <x:v>7542</x:v>
      </x:c>
      <x:c r="E4" s="59" t="n">
        <x:v>6352</x:v>
      </x:c>
      <x:c r="F4" s="59" t="n">
        <x:v>5647</x:v>
      </x:c>
      <x:c r="G4" s="59" t="n">
        <x:v>4730</x:v>
      </x:c>
      <x:c r="H4" s="59" t="n">
        <x:v>3331</x:v>
      </x:c>
      <x:c r="I4" s="59" t="n">
        <x:v>2733</x:v>
      </x:c>
      <x:c r="J4" s="44" t="str">
        <x:v>https://www.pricescope.com/blog/natural-diamond-prices-september-2026</x:v>
      </x:c>
      <x:c r="K4" s="44"/>
      <x:c r="L4" s="44"/>
    </x:row>
    <x:row r="5">
      <x:c r="A5" s="44" t="str">
        <x:v>G</x:v>
      </x:c>
      <x:c r="B5" s="59" t="n">
        <x:v>5905</x:v>
      </x:c>
      <x:c r="C5" s="59" t="n">
        <x:v>5601</x:v>
      </x:c>
      <x:c r="D5" s="59" t="n">
        <x:v>5124</x:v>
      </x:c>
      <x:c r="E5" s="59" t="n">
        <x:v>4962</x:v>
      </x:c>
      <x:c r="F5" s="59" t="n">
        <x:v>4615</x:v>
      </x:c>
      <x:c r="G5" s="59" t="n">
        <x:v>4585</x:v>
      </x:c>
      <x:c r="H5" s="59" t="n">
        <x:v>3664</x:v>
      </x:c>
      <x:c r="I5" s="59" t="n">
        <x:v>2537</x:v>
      </x:c>
      <x:c r="J5" s="44" t="str">
        <x:v>https://www.pricescope.com/blog/natural-diamond-prices-september-2026</x:v>
      </x:c>
      <x:c r="K5" s="44"/>
      <x:c r="L5" s="44"/>
    </x:row>
    <x:row r="6">
      <x:c r="A6" s="44" t="str">
        <x:v>H</x:v>
      </x:c>
      <x:c r="B6" s="59" t="n">
        <x:v>4563</x:v>
      </x:c>
      <x:c r="C6" s="59" t="n">
        <x:v>4809</x:v>
      </x:c>
      <x:c r="D6" s="59" t="n">
        <x:v>4911</x:v>
      </x:c>
      <x:c r="E6" s="59" t="n">
        <x:v>4046</x:v>
      </x:c>
      <x:c r="F6" s="59" t="n">
        <x:v>3893</x:v>
      </x:c>
      <x:c r="G6" s="59" t="n">
        <x:v>3989</x:v>
      </x:c>
      <x:c r="H6" s="59" t="n">
        <x:v>2828</x:v>
      </x:c>
      <x:c r="I6" s="59" t="n">
        <x:v>2328</x:v>
      </x:c>
      <x:c r="J6" s="44" t="str">
        <x:v>https://www.pricescope.com/blog/natural-diamond-prices-september-2026</x:v>
      </x:c>
      <x:c r="K6" s="44"/>
      <x:c r="L6" s="44"/>
    </x:row>
    <x:row r="7">
      <x:c r="A7" s="44" t="str">
        <x:v>I</x:v>
      </x:c>
      <x:c r="B7" s="59" t="n">
        <x:v>4623</x:v>
      </x:c>
      <x:c r="C7" s="59" t="n">
        <x:v>4005</x:v>
      </x:c>
      <x:c r="D7" s="59" t="n">
        <x:v>3670</x:v>
      </x:c>
      <x:c r="E7" s="59" t="n">
        <x:v>3447</x:v>
      </x:c>
      <x:c r="F7" s="59" t="n">
        <x:v>3313</x:v>
      </x:c>
      <x:c r="G7" s="59" t="n">
        <x:v>3240</x:v>
      </x:c>
      <x:c r="H7" s="59" t="n">
        <x:v>3199</x:v>
      </x:c>
      <x:c r="I7" s="59" t="n">
        <x:v>2874</x:v>
      </x:c>
      <x:c r="J7" s="44" t="str">
        <x:v>https://www.pricescope.com/blog/natural-diamond-prices-september-2026</x:v>
      </x:c>
      <x:c r="K7" s="44"/>
      <x:c r="L7" s="44"/>
    </x:row>
    <x:row r="8">
      <x:c r="A8" s="44" t="str">
        <x:v>J</x:v>
      </x:c>
      <x:c r="B8" s="59" t="n">
        <x:v>3646</x:v>
      </x:c>
      <x:c r="C8" s="59" t="n">
        <x:v>3368</x:v>
      </x:c>
      <x:c r="D8" s="59" t="n">
        <x:v>2956</x:v>
      </x:c>
      <x:c r="E8" s="59" t="n">
        <x:v>2612</x:v>
      </x:c>
      <x:c r="F8" s="59" t="n">
        <x:v>3002</x:v>
      </x:c>
      <x:c r="G8" s="59" t="n">
        <x:v>2559</x:v>
      </x:c>
      <x:c r="H8" s="59" t="n">
        <x:v>2195</x:v>
      </x:c>
      <x:c r="I8" s="59" t="n">
        <x:v>2079</x:v>
      </x:c>
      <x:c r="J8" s="44" t="str">
        <x:v>https://www.pricescope.com/blog/natural-diamond-prices-september-2026</x:v>
      </x:c>
      <x:c r="K8" s="44"/>
      <x:c r="L8" s="44"/>
    </x:row>
    <x:row r="9">
      <x:c r="A9" s="44" t="str">
        <x:v>K</x:v>
      </x:c>
      <x:c r="B9" s="59" t="n">
        <x:v>2858</x:v>
      </x:c>
      <x:c r="C9" s="59" t="n">
        <x:v>2743</x:v>
      </x:c>
      <x:c r="D9" s="59" t="n">
        <x:v>2529</x:v>
      </x:c>
      <x:c r="E9" s="59" t="n">
        <x:v>2374</x:v>
      </x:c>
      <x:c r="F9" s="59" t="n">
        <x:v>2223</x:v>
      </x:c>
      <x:c r="G9" s="59" t="n">
        <x:v>2098</x:v>
      </x:c>
      <x:c r="H9" s="59" t="n">
        <x:v>1922</x:v>
      </x:c>
      <x:c r="I9" s="59" t="n">
        <x:v>1764</x:v>
      </x:c>
      <x:c r="J9" s="44" t="str">
        <x:v>K/FL modeled; all other K cells from PriceScope. https://www.pricescope.com/blog/natural-diamond-prices-september-2026</x:v>
      </x:c>
      <x:c r="K9" s="44"/>
      <x:c r="L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</x:row>
    <x:row r="12">
      <x:c r="A12" s="45" t="str">
        <x:v>Reference</x:v>
      </x:c>
      <x:c r="B12" s="45" t="str">
        <x:v>Value</x:v>
      </x:c>
      <x:c r="C12" s="45" t="str">
        <x:v>Explanation</x:v>
      </x:c>
      <x:c r="D12" s="44"/>
      <x:c r="E12" s="44"/>
      <x:c r="F12" s="44"/>
      <x:c r="G12" s="44"/>
      <x:c r="H12" s="44"/>
      <x:c r="I12" s="44"/>
      <x:c r="J12" s="44"/>
      <x:c r="K12" s="44"/>
      <x:c r="L12" s="44"/>
    </x:row>
    <x:row r="13">
      <x:c r="A13" s="44" t="str">
        <x:v>1 ct Round StoneAlgo avg</x:v>
      </x:c>
      <x:c r="B13" s="59" t="n">
        <x:v>4662</x:v>
      </x:c>
      <x:c r="C13" s="44" t="str">
        <x:v>Used as denominator for the quality adjustment factor.</x:v>
      </x:c>
      <x:c r="D13" s="44"/>
      <x:c r="E13" s="44"/>
      <x:c r="F13" s="44"/>
      <x:c r="G13" s="44"/>
      <x:c r="H13" s="44"/>
      <x:c r="I13" s="44"/>
      <x:c r="J13" s="44"/>
      <x:c r="K13" s="44"/>
      <x:c r="L13" s="44"/>
    </x:row>
    <x:row r="14">
      <x:c r="A14" s="44" t="str">
        <x:v>Formula</x:v>
      </x:c>
      <x:c r="B14" s="44" t="str"/>
      <x:c r="C14" s="44" t="str">
        <x:v>Estimated price = Shape/Carat market average × (Color/Clarity reference ÷ 1 ct Round market average).</x:v>
      </x:c>
      <x:c r="D14" s="44"/>
      <x:c r="E14" s="44"/>
      <x:c r="F14" s="44"/>
      <x:c r="G14" s="44"/>
      <x:c r="H14" s="44"/>
      <x:c r="I14" s="44"/>
      <x:c r="J14" s="44"/>
      <x:c r="K14" s="44"/>
      <x:c r="L14" s="44"/>
    </x:row>
    <x:row r="15">
      <x:c r="A15" s="44" t="str">
        <x:v>Scope</x:v>
      </x:c>
      <x:c r="B15" s="44" t="str"/>
      <x:c r="C15" s="44" t="str">
        <x:v>D–K, FL–SI2, natural diamonds only.</x:v>
      </x:c>
      <x:c r="D15" s="44"/>
      <x:c r="E15" s="44"/>
      <x:c r="F15" s="44"/>
      <x:c r="G15" s="44"/>
      <x:c r="H15" s="44"/>
      <x:c r="I15" s="44"/>
      <x:c r="J15" s="44"/>
      <x:c r="K15" s="44"/>
      <x:c r="L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</x:row>
  </x:sheetData>
  <x:pageMargins left="0.7" right="0.7" top="0.75" bottom="0.75" header="0.3" footer="0.3"/>
  <x:tableParts count="1">
    <x:tablePart xmlns:r="http://schemas.openxmlformats.org/officeDocument/2006/relationships" r:id="R6610f61800f14d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0" hidden="0" customWidth="1"/>
    <x:col min="4" max="4" width="10" hidden="0" customWidth="1"/>
    <x:col min="5" max="5" width="22" hidden="0" customWidth="1"/>
    <x:col min="6" max="6" width="22" hidden="0" customWidth="1"/>
    <x:col min="7" max="7" width="14" hidden="0" customWidth="1"/>
    <x:col min="8" max="8" width="20" hidden="0" customWidth="1"/>
    <x:col min="9" max="9" width="20" hidden="0" customWidth="1"/>
    <x:col min="10" max="10" width="40" hidden="0" customWidth="1"/>
    <x:col min="11" max="11" width="45" hidden="0" customWidth="1"/>
    <x:col min="12" max="12" width="45" hidden="0" customWidth="1"/>
  </x:cols>
  <x:sheetData>
    <x:row r="1">
      <x:c r="A1" s="62" t="str">
        <x:v>Carat</x:v>
      </x:c>
      <x:c r="B1" s="62" t="str">
        <x:v>Shape</x:v>
      </x:c>
      <x:c r="C1" s="62" t="str">
        <x:v>Color</x:v>
      </x:c>
      <x:c r="D1" s="62" t="str">
        <x:v>Clarity</x:v>
      </x:c>
      <x:c r="E1" s="62" t="str">
        <x:v>Observed Shape/Carat Avg USD</x:v>
      </x:c>
      <x:c r="F1" s="62" t="str">
        <x:v>1ct Round Quality Ref USD</x:v>
      </x:c>
      <x:c r="G1" s="62" t="str">
        <x:v>Quality Factor</x:v>
      </x:c>
      <x:c r="H1" s="62" t="str">
        <x:v>Estimated Retail USD</x:v>
      </x:c>
      <x:c r="I1" s="62" t="str">
        <x:v>Estimated USD/ct</x:v>
      </x:c>
      <x:c r="J1" s="62" t="str">
        <x:v>Data Status</x:v>
      </x:c>
      <x:c r="K1" s="62" t="str">
        <x:v>StoneAlgo Source</x:v>
      </x:c>
      <x:c r="L1" s="62" t="str">
        <x:v>PriceScope Source</x:v>
      </x:c>
    </x:row>
    <x:row r="2">
      <x:c r="A2" s="44" t="n">
        <x:v>1</x:v>
      </x:c>
      <x:c r="B2" s="44" t="str">
        <x:v>Round</x:v>
      </x:c>
      <x:c r="C2" s="44" t="str">
        <x:v>D</x:v>
      </x:c>
      <x:c r="D2" s="44" t="str">
        <x:v>FL</x:v>
      </x:c>
      <x:c r="E2" s="59" t="n">
        <x:v>4662</x:v>
      </x:c>
      <x:c r="F2" s="59" t="n">
        <x:v>12665</x:v>
      </x:c>
      <x:c r="G2" s="63" t="n">
        <x:v>2.7166452166452166</x:v>
      </x:c>
      <x:c r="H2" s="59" t="n">
        <x:f>E2*G2</x:f>
        <x:v>12665</x:v>
      </x:c>
      <x:c r="I2" s="59" t="n">
        <x:f>IFERROR(H2/A2,0)</x:f>
        <x:v>12665</x:v>
      </x:c>
      <x:c r="J2" s="66" t="str">
        <x:v>Direct 1ct-round quality reference</x:v>
      </x:c>
      <x:c r="K2" s="66" t="str">
        <x:v>https://www.stonealgo.com/diamond-prices/</x:v>
      </x:c>
      <x:c r="L2" s="66" t="str">
        <x:v>https://www.pricescope.com/blog/natural-diamond-prices-september-2026</x:v>
      </x:c>
    </x:row>
    <x:row r="3">
      <x:c r="A3" s="44" t="n">
        <x:v>1</x:v>
      </x:c>
      <x:c r="B3" s="44" t="str">
        <x:v>Round</x:v>
      </x:c>
      <x:c r="C3" s="44" t="str">
        <x:v>D</x:v>
      </x:c>
      <x:c r="D3" s="44" t="str">
        <x:v>IF</x:v>
      </x:c>
      <x:c r="E3" s="59" t="n">
        <x:v>4662</x:v>
      </x:c>
      <x:c r="F3" s="59" t="n">
        <x:v>13240</x:v>
      </x:c>
      <x:c r="G3" s="63" t="n">
        <x:v>2.83998283998284</x:v>
      </x:c>
      <x:c r="H3" s="59" t="n">
        <x:f>E3*G3</x:f>
        <x:v>13240.000000000002</x:v>
      </x:c>
      <x:c r="I3" s="59" t="n">
        <x:f>IFERROR(H3/A3,0)</x:f>
        <x:v>13240.000000000002</x:v>
      </x:c>
      <x:c r="J3" s="66" t="str">
        <x:v>Direct 1ct-round quality reference</x:v>
      </x:c>
      <x:c r="K3" s="66" t="str">
        <x:v>https://www.stonealgo.com/diamond-prices/</x:v>
      </x:c>
      <x:c r="L3" s="66" t="str">
        <x:v>https://www.pricescope.com/blog/natural-diamond-prices-september-2026</x:v>
      </x:c>
    </x:row>
    <x:row r="4">
      <x:c r="A4" s="44" t="n">
        <x:v>1</x:v>
      </x:c>
      <x:c r="B4" s="44" t="str">
        <x:v>Round</x:v>
      </x:c>
      <x:c r="C4" s="44" t="str">
        <x:v>D</x:v>
      </x:c>
      <x:c r="D4" s="44" t="str">
        <x:v>VVS1</x:v>
      </x:c>
      <x:c r="E4" s="59" t="n">
        <x:v>4662</x:v>
      </x:c>
      <x:c r="F4" s="59" t="n">
        <x:v>9555</x:v>
      </x:c>
      <x:c r="G4" s="63" t="n">
        <x:v>2.0495495495495497</x:v>
      </x:c>
      <x:c r="H4" s="59" t="n">
        <x:f>E4*G4</x:f>
        <x:v>9555</x:v>
      </x:c>
      <x:c r="I4" s="59" t="n">
        <x:f>IFERROR(H4/A4,0)</x:f>
        <x:v>9555</x:v>
      </x:c>
      <x:c r="J4" s="66" t="str">
        <x:v>Direct 1ct-round quality reference</x:v>
      </x:c>
      <x:c r="K4" s="66" t="str">
        <x:v>https://www.stonealgo.com/diamond-prices/</x:v>
      </x:c>
      <x:c r="L4" s="66" t="str">
        <x:v>https://www.pricescope.com/blog/natural-diamond-prices-september-2026</x:v>
      </x:c>
    </x:row>
    <x:row r="5">
      <x:c r="A5" s="44" t="n">
        <x:v>1</x:v>
      </x:c>
      <x:c r="B5" s="44" t="str">
        <x:v>Round</x:v>
      </x:c>
      <x:c r="C5" s="44" t="str">
        <x:v>D</x:v>
      </x:c>
      <x:c r="D5" s="44" t="str">
        <x:v>VVS2</x:v>
      </x:c>
      <x:c r="E5" s="59" t="n">
        <x:v>4662</x:v>
      </x:c>
      <x:c r="F5" s="59" t="n">
        <x:v>6660</x:v>
      </x:c>
      <x:c r="G5" s="63" t="n">
        <x:v>1.4285714285714286</x:v>
      </x:c>
      <x:c r="H5" s="59" t="n">
        <x:f>E5*G5</x:f>
        <x:v>6660</x:v>
      </x:c>
      <x:c r="I5" s="59" t="n">
        <x:f>IFERROR(H5/A5,0)</x:f>
        <x:v>6660</x:v>
      </x:c>
      <x:c r="J5" s="66" t="str">
        <x:v>Direct 1ct-round quality reference</x:v>
      </x:c>
      <x:c r="K5" s="66" t="str">
        <x:v>https://www.stonealgo.com/diamond-prices/</x:v>
      </x:c>
      <x:c r="L5" s="66" t="str">
        <x:v>https://www.pricescope.com/blog/natural-diamond-prices-september-2026</x:v>
      </x:c>
    </x:row>
    <x:row r="6">
      <x:c r="A6" s="44" t="n">
        <x:v>1</x:v>
      </x:c>
      <x:c r="B6" s="44" t="str">
        <x:v>Round</x:v>
      </x:c>
      <x:c r="C6" s="44" t="str">
        <x:v>D</x:v>
      </x:c>
      <x:c r="D6" s="44" t="str">
        <x:v>VS1</x:v>
      </x:c>
      <x:c r="E6" s="59" t="n">
        <x:v>4662</x:v>
      </x:c>
      <x:c r="F6" s="59" t="n">
        <x:v>6247</x:v>
      </x:c>
      <x:c r="G6" s="63" t="n">
        <x:v>1.33998283998284</x:v>
      </x:c>
      <x:c r="H6" s="59" t="n">
        <x:f>E6*G6</x:f>
        <x:v>6247</x:v>
      </x:c>
      <x:c r="I6" s="59" t="n">
        <x:f>IFERROR(H6/A6,0)</x:f>
        <x:v>6247</x:v>
      </x:c>
      <x:c r="J6" s="66" t="str">
        <x:v>Direct 1ct-round quality reference</x:v>
      </x:c>
      <x:c r="K6" s="66" t="str">
        <x:v>https://www.stonealgo.com/diamond-prices/</x:v>
      </x:c>
      <x:c r="L6" s="66" t="str">
        <x:v>https://www.pricescope.com/blog/natural-diamond-prices-september-2026</x:v>
      </x:c>
    </x:row>
    <x:row r="7">
      <x:c r="A7" s="44" t="n">
        <x:v>1</x:v>
      </x:c>
      <x:c r="B7" s="44" t="str">
        <x:v>Round</x:v>
      </x:c>
      <x:c r="C7" s="44" t="str">
        <x:v>D</x:v>
      </x:c>
      <x:c r="D7" s="44" t="str">
        <x:v>VS2</x:v>
      </x:c>
      <x:c r="E7" s="59" t="n">
        <x:v>4662</x:v>
      </x:c>
      <x:c r="F7" s="59" t="n">
        <x:v>5841</x:v>
      </x:c>
      <x:c r="G7" s="63" t="n">
        <x:v>1.252895752895753</x:v>
      </x:c>
      <x:c r="H7" s="59" t="n">
        <x:f>E7*G7</x:f>
        <x:v>5841</x:v>
      </x:c>
      <x:c r="I7" s="59" t="n">
        <x:f>IFERROR(H7/A7,0)</x:f>
        <x:v>5841</x:v>
      </x:c>
      <x:c r="J7" s="66" t="str">
        <x:v>Direct 1ct-round quality reference</x:v>
      </x:c>
      <x:c r="K7" s="66" t="str">
        <x:v>https://www.stonealgo.com/diamond-prices/</x:v>
      </x:c>
      <x:c r="L7" s="66" t="str">
        <x:v>https://www.pricescope.com/blog/natural-diamond-prices-september-2026</x:v>
      </x:c>
    </x:row>
    <x:row r="8">
      <x:c r="A8" s="44" t="n">
        <x:v>1</x:v>
      </x:c>
      <x:c r="B8" s="44" t="str">
        <x:v>Round</x:v>
      </x:c>
      <x:c r="C8" s="44" t="str">
        <x:v>D</x:v>
      </x:c>
      <x:c r="D8" s="44" t="str">
        <x:v>SI1</x:v>
      </x:c>
      <x:c r="E8" s="59" t="n">
        <x:v>4662</x:v>
      </x:c>
      <x:c r="F8" s="59" t="n">
        <x:v>3762</x:v>
      </x:c>
      <x:c r="G8" s="63" t="n">
        <x:v>0.806949806949807</x:v>
      </x:c>
      <x:c r="H8" s="59" t="n">
        <x:f>E8*G8</x:f>
        <x:v>3762.0000000000005</x:v>
      </x:c>
      <x:c r="I8" s="59" t="n">
        <x:f>IFERROR(H8/A8,0)</x:f>
        <x:v>3762.0000000000005</x:v>
      </x:c>
      <x:c r="J8" s="66" t="str">
        <x:v>Direct 1ct-round quality reference</x:v>
      </x:c>
      <x:c r="K8" s="66" t="str">
        <x:v>https://www.stonealgo.com/diamond-prices/</x:v>
      </x:c>
      <x:c r="L8" s="66" t="str">
        <x:v>https://www.pricescope.com/blog/natural-diamond-prices-september-2026</x:v>
      </x:c>
    </x:row>
    <x:row r="9">
      <x:c r="A9" s="44" t="n">
        <x:v>1</x:v>
      </x:c>
      <x:c r="B9" s="44" t="str">
        <x:v>Round</x:v>
      </x:c>
      <x:c r="C9" s="44" t="str">
        <x:v>D</x:v>
      </x:c>
      <x:c r="D9" s="44" t="str">
        <x:v>SI2</x:v>
      </x:c>
      <x:c r="E9" s="59" t="n">
        <x:v>4662</x:v>
      </x:c>
      <x:c r="F9" s="59" t="n">
        <x:v>3026</x:v>
      </x:c>
      <x:c r="G9" s="63" t="n">
        <x:v>0.6490776490776491</x:v>
      </x:c>
      <x:c r="H9" s="59" t="n">
        <x:f>E9*G9</x:f>
        <x:v>3026</x:v>
      </x:c>
      <x:c r="I9" s="59" t="n">
        <x:f>IFERROR(H9/A9,0)</x:f>
        <x:v>3026</x:v>
      </x:c>
      <x:c r="J9" s="66" t="str">
        <x:v>Direct 1ct-round quality reference</x:v>
      </x:c>
      <x:c r="K9" s="66" t="str">
        <x:v>https://www.stonealgo.com/diamond-prices/</x:v>
      </x:c>
      <x:c r="L9" s="66" t="str">
        <x:v>https://www.pricescope.com/blog/natural-diamond-prices-september-2026</x:v>
      </x:c>
    </x:row>
    <x:row r="10">
      <x:c r="A10" s="44" t="n">
        <x:v>1</x:v>
      </x:c>
      <x:c r="B10" s="44" t="str">
        <x:v>Round</x:v>
      </x:c>
      <x:c r="C10" s="44" t="str">
        <x:v>E</x:v>
      </x:c>
      <x:c r="D10" s="44" t="str">
        <x:v>FL</x:v>
      </x:c>
      <x:c r="E10" s="59" t="n">
        <x:v>4662</x:v>
      </x:c>
      <x:c r="F10" s="59" t="n">
        <x:v>10072</x:v>
      </x:c>
      <x:c r="G10" s="63" t="n">
        <x:v>2.1604461604461602</x:v>
      </x:c>
      <x:c r="H10" s="59" t="n">
        <x:f>E10*G10</x:f>
        <x:v>10071.999999999998</x:v>
      </x:c>
      <x:c r="I10" s="59" t="n">
        <x:f>IFERROR(H10/A10,0)</x:f>
        <x:v>10071.999999999998</x:v>
      </x:c>
      <x:c r="J10" s="66" t="str">
        <x:v>Direct 1ct-round quality reference</x:v>
      </x:c>
      <x:c r="K10" s="66" t="str">
        <x:v>https://www.stonealgo.com/diamond-prices/</x:v>
      </x:c>
      <x:c r="L10" s="66" t="str">
        <x:v>https://www.pricescope.com/blog/natural-diamond-prices-september-2026</x:v>
      </x:c>
    </x:row>
    <x:row r="11">
      <x:c r="A11" s="44" t="n">
        <x:v>1</x:v>
      </x:c>
      <x:c r="B11" s="44" t="str">
        <x:v>Round</x:v>
      </x:c>
      <x:c r="C11" s="44" t="str">
        <x:v>E</x:v>
      </x:c>
      <x:c r="D11" s="44" t="str">
        <x:v>IF</x:v>
      </x:c>
      <x:c r="E11" s="59" t="n">
        <x:v>4662</x:v>
      </x:c>
      <x:c r="F11" s="59" t="n">
        <x:v>8672</x:v>
      </x:c>
      <x:c r="G11" s="63" t="n">
        <x:v>1.8601458601458603</x:v>
      </x:c>
      <x:c r="H11" s="59" t="n">
        <x:f>E11*G11</x:f>
        <x:v>8672</x:v>
      </x:c>
      <x:c r="I11" s="59" t="n">
        <x:f>IFERROR(H11/A11,0)</x:f>
        <x:v>8672</x:v>
      </x:c>
      <x:c r="J11" s="66" t="str">
        <x:v>Direct 1ct-round quality reference</x:v>
      </x:c>
      <x:c r="K11" s="66" t="str">
        <x:v>https://www.stonealgo.com/diamond-prices/</x:v>
      </x:c>
      <x:c r="L11" s="66" t="str">
        <x:v>https://www.pricescope.com/blog/natural-diamond-prices-september-2026</x:v>
      </x:c>
    </x:row>
    <x:row r="12">
      <x:c r="A12" s="44" t="n">
        <x:v>1</x:v>
      </x:c>
      <x:c r="B12" s="44" t="str">
        <x:v>Round</x:v>
      </x:c>
      <x:c r="C12" s="44" t="str">
        <x:v>E</x:v>
      </x:c>
      <x:c r="D12" s="44" t="str">
        <x:v>VVS1</x:v>
      </x:c>
      <x:c r="E12" s="59" t="n">
        <x:v>4662</x:v>
      </x:c>
      <x:c r="F12" s="59" t="n">
        <x:v>7842</x:v>
      </x:c>
      <x:c r="G12" s="63" t="n">
        <x:v>1.6821106821106822</x:v>
      </x:c>
      <x:c r="H12" s="59" t="n">
        <x:f>E12*G12</x:f>
        <x:v>7842</x:v>
      </x:c>
      <x:c r="I12" s="59" t="n">
        <x:f>IFERROR(H12/A12,0)</x:f>
        <x:v>7842</x:v>
      </x:c>
      <x:c r="J12" s="66" t="str">
        <x:v>Direct 1ct-round quality reference</x:v>
      </x:c>
      <x:c r="K12" s="66" t="str">
        <x:v>https://www.stonealgo.com/diamond-prices/</x:v>
      </x:c>
      <x:c r="L12" s="66" t="str">
        <x:v>https://www.pricescope.com/blog/natural-diamond-prices-september-2026</x:v>
      </x:c>
    </x:row>
    <x:row r="13">
      <x:c r="A13" s="44" t="n">
        <x:v>1</x:v>
      </x:c>
      <x:c r="B13" s="44" t="str">
        <x:v>Round</x:v>
      </x:c>
      <x:c r="C13" s="44" t="str">
        <x:v>E</x:v>
      </x:c>
      <x:c r="D13" s="44" t="str">
        <x:v>VVS2</x:v>
      </x:c>
      <x:c r="E13" s="59" t="n">
        <x:v>4662</x:v>
      </x:c>
      <x:c r="F13" s="59" t="n">
        <x:v>6880</x:v>
      </x:c>
      <x:c r="G13" s="63" t="n">
        <x:v>1.4757614757614759</x:v>
      </x:c>
      <x:c r="H13" s="59" t="n">
        <x:f>E13*G13</x:f>
        <x:v>6880.000000000001</x:v>
      </x:c>
      <x:c r="I13" s="59" t="n">
        <x:f>IFERROR(H13/A13,0)</x:f>
        <x:v>6880.000000000001</x:v>
      </x:c>
      <x:c r="J13" s="66" t="str">
        <x:v>Direct 1ct-round quality reference</x:v>
      </x:c>
      <x:c r="K13" s="66" t="str">
        <x:v>https://www.stonealgo.com/diamond-prices/</x:v>
      </x:c>
      <x:c r="L13" s="66" t="str">
        <x:v>https://www.pricescope.com/blog/natural-diamond-prices-september-2026</x:v>
      </x:c>
    </x:row>
    <x:row r="14">
      <x:c r="A14" s="44" t="n">
        <x:v>1</x:v>
      </x:c>
      <x:c r="B14" s="44" t="str">
        <x:v>Round</x:v>
      </x:c>
      <x:c r="C14" s="44" t="str">
        <x:v>E</x:v>
      </x:c>
      <x:c r="D14" s="44" t="str">
        <x:v>VS1</x:v>
      </x:c>
      <x:c r="E14" s="59" t="n">
        <x:v>4662</x:v>
      </x:c>
      <x:c r="F14" s="59" t="n">
        <x:v>6307</x:v>
      </x:c>
      <x:c r="G14" s="63" t="n">
        <x:v>1.352852852852853</x:v>
      </x:c>
      <x:c r="H14" s="59" t="n">
        <x:f>E14*G14</x:f>
        <x:v>6307</x:v>
      </x:c>
      <x:c r="I14" s="59" t="n">
        <x:f>IFERROR(H14/A14,0)</x:f>
        <x:v>6307</x:v>
      </x:c>
      <x:c r="J14" s="66" t="str">
        <x:v>Direct 1ct-round quality reference</x:v>
      </x:c>
      <x:c r="K14" s="66" t="str">
        <x:v>https://www.stonealgo.com/diamond-prices/</x:v>
      </x:c>
      <x:c r="L14" s="66" t="str">
        <x:v>https://www.pricescope.com/blog/natural-diamond-prices-september-2026</x:v>
      </x:c>
    </x:row>
    <x:row r="15">
      <x:c r="A15" s="44" t="n">
        <x:v>1</x:v>
      </x:c>
      <x:c r="B15" s="44" t="str">
        <x:v>Round</x:v>
      </x:c>
      <x:c r="C15" s="44" t="str">
        <x:v>E</x:v>
      </x:c>
      <x:c r="D15" s="44" t="str">
        <x:v>VS2</x:v>
      </x:c>
      <x:c r="E15" s="59" t="n">
        <x:v>4662</x:v>
      </x:c>
      <x:c r="F15" s="59" t="n">
        <x:v>5249</x:v>
      </x:c>
      <x:c r="G15" s="63" t="n">
        <x:v>1.125911625911626</x:v>
      </x:c>
      <x:c r="H15" s="59" t="n">
        <x:f>E15*G15</x:f>
        <x:v>5249</x:v>
      </x:c>
      <x:c r="I15" s="59" t="n">
        <x:f>IFERROR(H15/A15,0)</x:f>
        <x:v>5249</x:v>
      </x:c>
      <x:c r="J15" s="66" t="str">
        <x:v>Direct 1ct-round quality reference</x:v>
      </x:c>
      <x:c r="K15" s="66" t="str">
        <x:v>https://www.stonealgo.com/diamond-prices/</x:v>
      </x:c>
      <x:c r="L15" s="66" t="str">
        <x:v>https://www.pricescope.com/blog/natural-diamond-prices-september-2026</x:v>
      </x:c>
    </x:row>
    <x:row r="16">
      <x:c r="A16" s="44" t="n">
        <x:v>1</x:v>
      </x:c>
      <x:c r="B16" s="44" t="str">
        <x:v>Round</x:v>
      </x:c>
      <x:c r="C16" s="44" t="str">
        <x:v>E</x:v>
      </x:c>
      <x:c r="D16" s="44" t="str">
        <x:v>SI1</x:v>
      </x:c>
      <x:c r="E16" s="59" t="n">
        <x:v>4662</x:v>
      </x:c>
      <x:c r="F16" s="59" t="n">
        <x:v>3551</x:v>
      </x:c>
      <x:c r="G16" s="63" t="n">
        <x:v>0.7616902616902617</x:v>
      </x:c>
      <x:c r="H16" s="59" t="n">
        <x:f>E16*G16</x:f>
        <x:v>3551</x:v>
      </x:c>
      <x:c r="I16" s="59" t="n">
        <x:f>IFERROR(H16/A16,0)</x:f>
        <x:v>3551</x:v>
      </x:c>
      <x:c r="J16" s="66" t="str">
        <x:v>Direct 1ct-round quality reference</x:v>
      </x:c>
      <x:c r="K16" s="66" t="str">
        <x:v>https://www.stonealgo.com/diamond-prices/</x:v>
      </x:c>
      <x:c r="L16" s="66" t="str">
        <x:v>https://www.pricescope.com/blog/natural-diamond-prices-september-2026</x:v>
      </x:c>
    </x:row>
    <x:row r="17">
      <x:c r="A17" s="44" t="n">
        <x:v>1</x:v>
      </x:c>
      <x:c r="B17" s="44" t="str">
        <x:v>Round</x:v>
      </x:c>
      <x:c r="C17" s="44" t="str">
        <x:v>E</x:v>
      </x:c>
      <x:c r="D17" s="44" t="str">
        <x:v>SI2</x:v>
      </x:c>
      <x:c r="E17" s="59" t="n">
        <x:v>4662</x:v>
      </x:c>
      <x:c r="F17" s="59" t="n">
        <x:v>2993</x:v>
      </x:c>
      <x:c r="G17" s="63" t="n">
        <x:v>0.641999141999142</x:v>
      </x:c>
      <x:c r="H17" s="59" t="n">
        <x:f>E17*G17</x:f>
        <x:v>2993</x:v>
      </x:c>
      <x:c r="I17" s="59" t="n">
        <x:f>IFERROR(H17/A17,0)</x:f>
        <x:v>2993</x:v>
      </x:c>
      <x:c r="J17" s="66" t="str">
        <x:v>Direct 1ct-round quality reference</x:v>
      </x:c>
      <x:c r="K17" s="66" t="str">
        <x:v>https://www.stonealgo.com/diamond-prices/</x:v>
      </x:c>
      <x:c r="L17" s="66" t="str">
        <x:v>https://www.pricescope.com/blog/natural-diamond-prices-september-2026</x:v>
      </x:c>
    </x:row>
    <x:row r="18">
      <x:c r="A18" s="44" t="n">
        <x:v>1</x:v>
      </x:c>
      <x:c r="B18" s="44" t="str">
        <x:v>Round</x:v>
      </x:c>
      <x:c r="C18" s="44" t="str">
        <x:v>F</x:v>
      </x:c>
      <x:c r="D18" s="44" t="str">
        <x:v>FL</x:v>
      </x:c>
      <x:c r="E18" s="59" t="n">
        <x:v>4662</x:v>
      </x:c>
      <x:c r="F18" s="59" t="n">
        <x:v>6830</x:v>
      </x:c>
      <x:c r="G18" s="63" t="n">
        <x:v>1.4650364650364651</x:v>
      </x:c>
      <x:c r="H18" s="59" t="n">
        <x:f>E18*G18</x:f>
        <x:v>6830</x:v>
      </x:c>
      <x:c r="I18" s="59" t="n">
        <x:f>IFERROR(H18/A18,0)</x:f>
        <x:v>6830</x:v>
      </x:c>
      <x:c r="J18" s="66" t="str">
        <x:v>Direct 1ct-round quality reference</x:v>
      </x:c>
      <x:c r="K18" s="66" t="str">
        <x:v>https://www.stonealgo.com/diamond-prices/</x:v>
      </x:c>
      <x:c r="L18" s="66" t="str">
        <x:v>https://www.pricescope.com/blog/natural-diamond-prices-september-2026</x:v>
      </x:c>
    </x:row>
    <x:row r="19">
      <x:c r="A19" s="44" t="n">
        <x:v>1</x:v>
      </x:c>
      <x:c r="B19" s="44" t="str">
        <x:v>Round</x:v>
      </x:c>
      <x:c r="C19" s="44" t="str">
        <x:v>F</x:v>
      </x:c>
      <x:c r="D19" s="44" t="str">
        <x:v>IF</x:v>
      </x:c>
      <x:c r="E19" s="59" t="n">
        <x:v>4662</x:v>
      </x:c>
      <x:c r="F19" s="59" t="n">
        <x:v>7302</x:v>
      </x:c>
      <x:c r="G19" s="63" t="n">
        <x:v>1.5662805662805663</x:v>
      </x:c>
      <x:c r="H19" s="59" t="n">
        <x:f>E19*G19</x:f>
        <x:v>7302</x:v>
      </x:c>
      <x:c r="I19" s="59" t="n">
        <x:f>IFERROR(H19/A19,0)</x:f>
        <x:v>7302</x:v>
      </x:c>
      <x:c r="J19" s="66" t="str">
        <x:v>Direct 1ct-round quality reference</x:v>
      </x:c>
      <x:c r="K19" s="66" t="str">
        <x:v>https://www.stonealgo.com/diamond-prices/</x:v>
      </x:c>
      <x:c r="L19" s="66" t="str">
        <x:v>https://www.pricescope.com/blog/natural-diamond-prices-september-2026</x:v>
      </x:c>
    </x:row>
    <x:row r="20">
      <x:c r="A20" s="44" t="n">
        <x:v>1</x:v>
      </x:c>
      <x:c r="B20" s="44" t="str">
        <x:v>Round</x:v>
      </x:c>
      <x:c r="C20" s="44" t="str">
        <x:v>F</x:v>
      </x:c>
      <x:c r="D20" s="44" t="str">
        <x:v>VVS1</x:v>
      </x:c>
      <x:c r="E20" s="59" t="n">
        <x:v>4662</x:v>
      </x:c>
      <x:c r="F20" s="59" t="n">
        <x:v>7542</x:v>
      </x:c>
      <x:c r="G20" s="63" t="n">
        <x:v>1.6177606177606179</x:v>
      </x:c>
      <x:c r="H20" s="59" t="n">
        <x:f>E20*G20</x:f>
        <x:v>7542.000000000001</x:v>
      </x:c>
      <x:c r="I20" s="59" t="n">
        <x:f>IFERROR(H20/A20,0)</x:f>
        <x:v>7542.000000000001</x:v>
      </x:c>
      <x:c r="J20" s="66" t="str">
        <x:v>Direct 1ct-round quality reference</x:v>
      </x:c>
      <x:c r="K20" s="66" t="str">
        <x:v>https://www.stonealgo.com/diamond-prices/</x:v>
      </x:c>
      <x:c r="L20" s="66" t="str">
        <x:v>https://www.pricescope.com/blog/natural-diamond-prices-september-2026</x:v>
      </x:c>
    </x:row>
    <x:row r="21">
      <x:c r="A21" t="n">
        <x:v>1</x:v>
      </x:c>
      <x:c r="B21" t="str">
        <x:v>Round</x:v>
      </x:c>
      <x:c r="C21" t="str">
        <x:v>F</x:v>
      </x:c>
      <x:c r="D21" t="str">
        <x:v>VVS2</x:v>
      </x:c>
      <x:c r="E21" s="36" t="n">
        <x:v>4662</x:v>
      </x:c>
      <x:c r="F21" s="36" t="n">
        <x:v>6352</x:v>
      </x:c>
      <x:c r="G21" s="42" t="n">
        <x:v>1.3625053625053625</x:v>
      </x:c>
      <x:c r="H21" s="36" t="n">
        <x:f>E21*G21</x:f>
        <x:v>6352</x:v>
      </x:c>
      <x:c r="I21" s="36" t="n">
        <x:f>IFERROR(H21/A21,0)</x:f>
        <x:v>6352</x:v>
      </x:c>
      <x:c r="J21" s="67" t="str">
        <x:v>Direct 1ct-round quality reference</x:v>
      </x:c>
      <x:c r="K21" s="67" t="str">
        <x:v>https://www.stonealgo.com/diamond-prices/</x:v>
      </x:c>
      <x:c r="L21" s="67" t="str">
        <x:v>https://www.pricescope.com/blog/natural-diamond-prices-september-2026</x:v>
      </x:c>
    </x:row>
    <x:row r="22">
      <x:c r="A22" t="n">
        <x:v>1</x:v>
      </x:c>
      <x:c r="B22" t="str">
        <x:v>Round</x:v>
      </x:c>
      <x:c r="C22" t="str">
        <x:v>F</x:v>
      </x:c>
      <x:c r="D22" t="str">
        <x:v>VS1</x:v>
      </x:c>
      <x:c r="E22" s="36" t="n">
        <x:v>4662</x:v>
      </x:c>
      <x:c r="F22" s="36" t="n">
        <x:v>5647</x:v>
      </x:c>
      <x:c r="G22" s="42" t="n">
        <x:v>1.2112827112827114</x:v>
      </x:c>
      <x:c r="H22" s="36" t="n">
        <x:f>E22*G22</x:f>
        <x:v>5647</x:v>
      </x:c>
      <x:c r="I22" s="36" t="n">
        <x:f>IFERROR(H22/A22,0)</x:f>
        <x:v>5647</x:v>
      </x:c>
      <x:c r="J22" s="67" t="str">
        <x:v>Direct 1ct-round quality reference</x:v>
      </x:c>
      <x:c r="K22" s="67" t="str">
        <x:v>https://www.stonealgo.com/diamond-prices/</x:v>
      </x:c>
      <x:c r="L22" s="67" t="str">
        <x:v>https://www.pricescope.com/blog/natural-diamond-prices-september-2026</x:v>
      </x:c>
    </x:row>
    <x:row r="23">
      <x:c r="A23" t="n">
        <x:v>1</x:v>
      </x:c>
      <x:c r="B23" t="str">
        <x:v>Round</x:v>
      </x:c>
      <x:c r="C23" t="str">
        <x:v>F</x:v>
      </x:c>
      <x:c r="D23" t="str">
        <x:v>VS2</x:v>
      </x:c>
      <x:c r="E23" s="36" t="n">
        <x:v>4662</x:v>
      </x:c>
      <x:c r="F23" s="36" t="n">
        <x:v>4730</x:v>
      </x:c>
      <x:c r="G23" s="42" t="n">
        <x:v>1.0145860145860146</x:v>
      </x:c>
      <x:c r="H23" s="36" t="n">
        <x:f>E23*G23</x:f>
        <x:v>4730</x:v>
      </x:c>
      <x:c r="I23" s="36" t="n">
        <x:f>IFERROR(H23/A23,0)</x:f>
        <x:v>4730</x:v>
      </x:c>
      <x:c r="J23" s="67" t="str">
        <x:v>Direct 1ct-round quality reference</x:v>
      </x:c>
      <x:c r="K23" s="67" t="str">
        <x:v>https://www.stonealgo.com/diamond-prices/</x:v>
      </x:c>
      <x:c r="L23" s="67" t="str">
        <x:v>https://www.pricescope.com/blog/natural-diamond-prices-september-2026</x:v>
      </x:c>
    </x:row>
    <x:row r="24">
      <x:c r="A24" t="n">
        <x:v>1</x:v>
      </x:c>
      <x:c r="B24" t="str">
        <x:v>Round</x:v>
      </x:c>
      <x:c r="C24" t="str">
        <x:v>F</x:v>
      </x:c>
      <x:c r="D24" t="str">
        <x:v>SI1</x:v>
      </x:c>
      <x:c r="E24" s="36" t="n">
        <x:v>4662</x:v>
      </x:c>
      <x:c r="F24" s="36" t="n">
        <x:v>3331</x:v>
      </x:c>
      <x:c r="G24" s="42" t="n">
        <x:v>0.7145002145002145</x:v>
      </x:c>
      <x:c r="H24" s="36" t="n">
        <x:f>E24*G24</x:f>
        <x:v>3331</x:v>
      </x:c>
      <x:c r="I24" s="36" t="n">
        <x:f>IFERROR(H24/A24,0)</x:f>
        <x:v>3331</x:v>
      </x:c>
      <x:c r="J24" s="67" t="str">
        <x:v>Direct 1ct-round quality reference</x:v>
      </x:c>
      <x:c r="K24" s="67" t="str">
        <x:v>https://www.stonealgo.com/diamond-prices/</x:v>
      </x:c>
      <x:c r="L24" s="67" t="str">
        <x:v>https://www.pricescope.com/blog/natural-diamond-prices-september-2026</x:v>
      </x:c>
    </x:row>
    <x:row r="25">
      <x:c r="A25" t="n">
        <x:v>1</x:v>
      </x:c>
      <x:c r="B25" t="str">
        <x:v>Round</x:v>
      </x:c>
      <x:c r="C25" t="str">
        <x:v>F</x:v>
      </x:c>
      <x:c r="D25" t="str">
        <x:v>SI2</x:v>
      </x:c>
      <x:c r="E25" s="36" t="n">
        <x:v>4662</x:v>
      </x:c>
      <x:c r="F25" s="36" t="n">
        <x:v>2733</x:v>
      </x:c>
      <x:c r="G25" s="42" t="n">
        <x:v>0.5862290862290862</x:v>
      </x:c>
      <x:c r="H25" s="36" t="n">
        <x:f>E25*G25</x:f>
        <x:v>2733</x:v>
      </x:c>
      <x:c r="I25" s="36" t="n">
        <x:f>IFERROR(H25/A25,0)</x:f>
        <x:v>2733</x:v>
      </x:c>
      <x:c r="J25" s="67" t="str">
        <x:v>Direct 1ct-round quality reference</x:v>
      </x:c>
      <x:c r="K25" s="67" t="str">
        <x:v>https://www.stonealgo.com/diamond-prices/</x:v>
      </x:c>
      <x:c r="L25" s="67" t="str">
        <x:v>https://www.pricescope.com/blog/natural-diamond-prices-september-2026</x:v>
      </x:c>
    </x:row>
    <x:row r="26">
      <x:c r="A26" t="n">
        <x:v>1</x:v>
      </x:c>
      <x:c r="B26" t="str">
        <x:v>Round</x:v>
      </x:c>
      <x:c r="C26" t="str">
        <x:v>G</x:v>
      </x:c>
      <x:c r="D26" t="str">
        <x:v>FL</x:v>
      </x:c>
      <x:c r="E26" s="36" t="n">
        <x:v>4662</x:v>
      </x:c>
      <x:c r="F26" s="36" t="n">
        <x:v>5905</x:v>
      </x:c>
      <x:c r="G26" s="42" t="n">
        <x:v>1.2666237666237665</x:v>
      </x:c>
      <x:c r="H26" s="36" t="n">
        <x:f>E26*G26</x:f>
        <x:v>5904.999999999999</x:v>
      </x:c>
      <x:c r="I26" s="36" t="n">
        <x:f>IFERROR(H26/A26,0)</x:f>
        <x:v>5904.999999999999</x:v>
      </x:c>
      <x:c r="J26" s="67" t="str">
        <x:v>Direct 1ct-round quality reference</x:v>
      </x:c>
      <x:c r="K26" s="67" t="str">
        <x:v>https://www.stonealgo.com/diamond-prices/</x:v>
      </x:c>
      <x:c r="L26" s="67" t="str">
        <x:v>https://www.pricescope.com/blog/natural-diamond-prices-september-2026</x:v>
      </x:c>
    </x:row>
    <x:row r="27">
      <x:c r="A27" t="n">
        <x:v>1</x:v>
      </x:c>
      <x:c r="B27" t="str">
        <x:v>Round</x:v>
      </x:c>
      <x:c r="C27" t="str">
        <x:v>G</x:v>
      </x:c>
      <x:c r="D27" t="str">
        <x:v>IF</x:v>
      </x:c>
      <x:c r="E27" s="36" t="n">
        <x:v>4662</x:v>
      </x:c>
      <x:c r="F27" s="36" t="n">
        <x:v>5601</x:v>
      </x:c>
      <x:c r="G27" s="42" t="n">
        <x:v>1.2014157014157014</x:v>
      </x:c>
      <x:c r="H27" s="36" t="n">
        <x:f>E27*G27</x:f>
        <x:v>5601</x:v>
      </x:c>
      <x:c r="I27" s="36" t="n">
        <x:f>IFERROR(H27/A27,0)</x:f>
        <x:v>5601</x:v>
      </x:c>
      <x:c r="J27" s="67" t="str">
        <x:v>Direct 1ct-round quality reference</x:v>
      </x:c>
      <x:c r="K27" s="67" t="str">
        <x:v>https://www.stonealgo.com/diamond-prices/</x:v>
      </x:c>
      <x:c r="L27" s="67" t="str">
        <x:v>https://www.pricescope.com/blog/natural-diamond-prices-september-2026</x:v>
      </x:c>
    </x:row>
    <x:row r="28">
      <x:c r="A28" t="n">
        <x:v>1</x:v>
      </x:c>
      <x:c r="B28" t="str">
        <x:v>Round</x:v>
      </x:c>
      <x:c r="C28" t="str">
        <x:v>G</x:v>
      </x:c>
      <x:c r="D28" t="str">
        <x:v>VVS1</x:v>
      </x:c>
      <x:c r="E28" s="36" t="n">
        <x:v>4662</x:v>
      </x:c>
      <x:c r="F28" s="36" t="n">
        <x:v>5124</x:v>
      </x:c>
      <x:c r="G28" s="42" t="n">
        <x:v>1.0990990990990992</x:v>
      </x:c>
      <x:c r="H28" s="36" t="n">
        <x:f>E28*G28</x:f>
        <x:v>5124.000000000001</x:v>
      </x:c>
      <x:c r="I28" s="36" t="n">
        <x:f>IFERROR(H28/A28,0)</x:f>
        <x:v>5124.000000000001</x:v>
      </x:c>
      <x:c r="J28" s="67" t="str">
        <x:v>Direct 1ct-round quality reference</x:v>
      </x:c>
      <x:c r="K28" s="67" t="str">
        <x:v>https://www.stonealgo.com/diamond-prices/</x:v>
      </x:c>
      <x:c r="L28" s="67" t="str">
        <x:v>https://www.pricescope.com/blog/natural-diamond-prices-september-2026</x:v>
      </x:c>
    </x:row>
    <x:row r="29">
      <x:c r="A29" t="n">
        <x:v>1</x:v>
      </x:c>
      <x:c r="B29" t="str">
        <x:v>Round</x:v>
      </x:c>
      <x:c r="C29" t="str">
        <x:v>G</x:v>
      </x:c>
      <x:c r="D29" t="str">
        <x:v>VVS2</x:v>
      </x:c>
      <x:c r="E29" s="36" t="n">
        <x:v>4662</x:v>
      </x:c>
      <x:c r="F29" s="36" t="n">
        <x:v>4962</x:v>
      </x:c>
      <x:c r="G29" s="42" t="n">
        <x:v>1.0643500643500643</x:v>
      </x:c>
      <x:c r="H29" s="36" t="n">
        <x:f>E29*G29</x:f>
        <x:v>4962</x:v>
      </x:c>
      <x:c r="I29" s="36" t="n">
        <x:f>IFERROR(H29/A29,0)</x:f>
        <x:v>4962</x:v>
      </x:c>
      <x:c r="J29" s="67" t="str">
        <x:v>Direct 1ct-round quality reference</x:v>
      </x:c>
      <x:c r="K29" s="67" t="str">
        <x:v>https://www.stonealgo.com/diamond-prices/</x:v>
      </x:c>
      <x:c r="L29" s="67" t="str">
        <x:v>https://www.pricescope.com/blog/natural-diamond-prices-september-2026</x:v>
      </x:c>
    </x:row>
    <x:row r="30">
      <x:c r="A30" t="n">
        <x:v>1</x:v>
      </x:c>
      <x:c r="B30" t="str">
        <x:v>Round</x:v>
      </x:c>
      <x:c r="C30" t="str">
        <x:v>G</x:v>
      </x:c>
      <x:c r="D30" t="str">
        <x:v>VS1</x:v>
      </x:c>
      <x:c r="E30" s="36" t="n">
        <x:v>4662</x:v>
      </x:c>
      <x:c r="F30" s="36" t="n">
        <x:v>4615</x:v>
      </x:c>
      <x:c r="G30" s="42" t="n">
        <x:v>0.98991848991849</x:v>
      </x:c>
      <x:c r="H30" s="36" t="n">
        <x:f>E30*G30</x:f>
        <x:v>4615</x:v>
      </x:c>
      <x:c r="I30" s="36" t="n">
        <x:f>IFERROR(H30/A30,0)</x:f>
        <x:v>4615</x:v>
      </x:c>
      <x:c r="J30" s="67" t="str">
        <x:v>Direct 1ct-round quality reference</x:v>
      </x:c>
      <x:c r="K30" s="67" t="str">
        <x:v>https://www.stonealgo.com/diamond-prices/</x:v>
      </x:c>
      <x:c r="L30" s="67" t="str">
        <x:v>https://www.pricescope.com/blog/natural-diamond-prices-september-2026</x:v>
      </x:c>
    </x:row>
    <x:row r="31">
      <x:c r="A31" t="n">
        <x:v>1</x:v>
      </x:c>
      <x:c r="B31" t="str">
        <x:v>Round</x:v>
      </x:c>
      <x:c r="C31" t="str">
        <x:v>G</x:v>
      </x:c>
      <x:c r="D31" t="str">
        <x:v>VS2</x:v>
      </x:c>
      <x:c r="E31" s="36" t="n">
        <x:v>4662</x:v>
      </x:c>
      <x:c r="F31" s="36" t="n">
        <x:v>4585</x:v>
      </x:c>
      <x:c r="G31" s="42" t="n">
        <x:v>0.9834834834834835</x:v>
      </x:c>
      <x:c r="H31" s="36" t="n">
        <x:f>E31*G31</x:f>
        <x:v>4585</x:v>
      </x:c>
      <x:c r="I31" s="36" t="n">
        <x:f>IFERROR(H31/A31,0)</x:f>
        <x:v>4585</x:v>
      </x:c>
      <x:c r="J31" s="67" t="str">
        <x:v>Direct 1ct-round quality reference</x:v>
      </x:c>
      <x:c r="K31" s="67" t="str">
        <x:v>https://www.stonealgo.com/diamond-prices/</x:v>
      </x:c>
      <x:c r="L31" s="67" t="str">
        <x:v>https://www.pricescope.com/blog/natural-diamond-prices-september-2026</x:v>
      </x:c>
    </x:row>
    <x:row r="32">
      <x:c r="A32" t="n">
        <x:v>1</x:v>
      </x:c>
      <x:c r="B32" t="str">
        <x:v>Round</x:v>
      </x:c>
      <x:c r="C32" t="str">
        <x:v>G</x:v>
      </x:c>
      <x:c r="D32" t="str">
        <x:v>SI1</x:v>
      </x:c>
      <x:c r="E32" s="36" t="n">
        <x:v>4662</x:v>
      </x:c>
      <x:c r="F32" s="36" t="n">
        <x:v>3664</x:v>
      </x:c>
      <x:c r="G32" s="42" t="n">
        <x:v>0.7859287859287859</x:v>
      </x:c>
      <x:c r="H32" s="36" t="n">
        <x:f>E32*G32</x:f>
        <x:v>3664</x:v>
      </x:c>
      <x:c r="I32" s="36" t="n">
        <x:f>IFERROR(H32/A32,0)</x:f>
        <x:v>3664</x:v>
      </x:c>
      <x:c r="J32" s="67" t="str">
        <x:v>Direct 1ct-round quality reference</x:v>
      </x:c>
      <x:c r="K32" s="67" t="str">
        <x:v>https://www.stonealgo.com/diamond-prices/</x:v>
      </x:c>
      <x:c r="L32" s="67" t="str">
        <x:v>https://www.pricescope.com/blog/natural-diamond-prices-september-2026</x:v>
      </x:c>
    </x:row>
    <x:row r="33">
      <x:c r="A33" t="n">
        <x:v>1</x:v>
      </x:c>
      <x:c r="B33" t="str">
        <x:v>Round</x:v>
      </x:c>
      <x:c r="C33" t="str">
        <x:v>G</x:v>
      </x:c>
      <x:c r="D33" t="str">
        <x:v>SI2</x:v>
      </x:c>
      <x:c r="E33" s="36" t="n">
        <x:v>4662</x:v>
      </x:c>
      <x:c r="F33" s="36" t="n">
        <x:v>2537</x:v>
      </x:c>
      <x:c r="G33" s="42" t="n">
        <x:v>0.5441870441870442</x:v>
      </x:c>
      <x:c r="H33" s="36" t="n">
        <x:f>E33*G33</x:f>
        <x:v>2537</x:v>
      </x:c>
      <x:c r="I33" s="36" t="n">
        <x:f>IFERROR(H33/A33,0)</x:f>
        <x:v>2537</x:v>
      </x:c>
      <x:c r="J33" s="67" t="str">
        <x:v>Direct 1ct-round quality reference</x:v>
      </x:c>
      <x:c r="K33" s="67" t="str">
        <x:v>https://www.stonealgo.com/diamond-prices/</x:v>
      </x:c>
      <x:c r="L33" s="67" t="str">
        <x:v>https://www.pricescope.com/blog/natural-diamond-prices-september-2026</x:v>
      </x:c>
    </x:row>
    <x:row r="34">
      <x:c r="A34" t="n">
        <x:v>1</x:v>
      </x:c>
      <x:c r="B34" t="str">
        <x:v>Round</x:v>
      </x:c>
      <x:c r="C34" t="str">
        <x:v>H</x:v>
      </x:c>
      <x:c r="D34" t="str">
        <x:v>FL</x:v>
      </x:c>
      <x:c r="E34" s="36" t="n">
        <x:v>4662</x:v>
      </x:c>
      <x:c r="F34" s="36" t="n">
        <x:v>4563</x:v>
      </x:c>
      <x:c r="G34" s="42" t="n">
        <x:v>0.9787644787644788</x:v>
      </x:c>
      <x:c r="H34" s="36" t="n">
        <x:f>E34*G34</x:f>
        <x:v>4563</x:v>
      </x:c>
      <x:c r="I34" s="36" t="n">
        <x:f>IFERROR(H34/A34,0)</x:f>
        <x:v>4563</x:v>
      </x:c>
      <x:c r="J34" s="67" t="str">
        <x:v>Direct 1ct-round quality reference</x:v>
      </x:c>
      <x:c r="K34" s="67" t="str">
        <x:v>https://www.stonealgo.com/diamond-prices/</x:v>
      </x:c>
      <x:c r="L34" s="67" t="str">
        <x:v>https://www.pricescope.com/blog/natural-diamond-prices-september-2026</x:v>
      </x:c>
    </x:row>
    <x:row r="35">
      <x:c r="A35" t="n">
        <x:v>1</x:v>
      </x:c>
      <x:c r="B35" t="str">
        <x:v>Round</x:v>
      </x:c>
      <x:c r="C35" t="str">
        <x:v>H</x:v>
      </x:c>
      <x:c r="D35" t="str">
        <x:v>IF</x:v>
      </x:c>
      <x:c r="E35" s="36" t="n">
        <x:v>4662</x:v>
      </x:c>
      <x:c r="F35" s="36" t="n">
        <x:v>4809</x:v>
      </x:c>
      <x:c r="G35" s="42" t="n">
        <x:v>1.0315315315315314</x:v>
      </x:c>
      <x:c r="H35" s="36" t="n">
        <x:f>E35*G35</x:f>
        <x:v>4808.999999999999</x:v>
      </x:c>
      <x:c r="I35" s="36" t="n">
        <x:f>IFERROR(H35/A35,0)</x:f>
        <x:v>4808.999999999999</x:v>
      </x:c>
      <x:c r="J35" s="67" t="str">
        <x:v>Direct 1ct-round quality reference</x:v>
      </x:c>
      <x:c r="K35" s="67" t="str">
        <x:v>https://www.stonealgo.com/diamond-prices/</x:v>
      </x:c>
      <x:c r="L35" s="67" t="str">
        <x:v>https://www.pricescope.com/blog/natural-diamond-prices-september-2026</x:v>
      </x:c>
    </x:row>
    <x:row r="36">
      <x:c r="A36" t="n">
        <x:v>1</x:v>
      </x:c>
      <x:c r="B36" t="str">
        <x:v>Round</x:v>
      </x:c>
      <x:c r="C36" t="str">
        <x:v>H</x:v>
      </x:c>
      <x:c r="D36" t="str">
        <x:v>VVS1</x:v>
      </x:c>
      <x:c r="E36" s="36" t="n">
        <x:v>4662</x:v>
      </x:c>
      <x:c r="F36" s="36" t="n">
        <x:v>4911</x:v>
      </x:c>
      <x:c r="G36" s="42" t="n">
        <x:v>1.0534105534105533</x:v>
      </x:c>
      <x:c r="H36" s="36" t="n">
        <x:f>E36*G36</x:f>
        <x:v>4911</x:v>
      </x:c>
      <x:c r="I36" s="36" t="n">
        <x:f>IFERROR(H36/A36,0)</x:f>
        <x:v>4911</x:v>
      </x:c>
      <x:c r="J36" s="67" t="str">
        <x:v>Direct 1ct-round quality reference</x:v>
      </x:c>
      <x:c r="K36" s="67" t="str">
        <x:v>https://www.stonealgo.com/diamond-prices/</x:v>
      </x:c>
      <x:c r="L36" s="67" t="str">
        <x:v>https://www.pricescope.com/blog/natural-diamond-prices-september-2026</x:v>
      </x:c>
    </x:row>
    <x:row r="37">
      <x:c r="A37" t="n">
        <x:v>1</x:v>
      </x:c>
      <x:c r="B37" t="str">
        <x:v>Round</x:v>
      </x:c>
      <x:c r="C37" t="str">
        <x:v>H</x:v>
      </x:c>
      <x:c r="D37" t="str">
        <x:v>VVS2</x:v>
      </x:c>
      <x:c r="E37" s="36" t="n">
        <x:v>4662</x:v>
      </x:c>
      <x:c r="F37" s="36" t="n">
        <x:v>4046</x:v>
      </x:c>
      <x:c r="G37" s="42" t="n">
        <x:v>0.8678678678678678</x:v>
      </x:c>
      <x:c r="H37" s="36" t="n">
        <x:f>E37*G37</x:f>
        <x:v>4046</x:v>
      </x:c>
      <x:c r="I37" s="36" t="n">
        <x:f>IFERROR(H37/A37,0)</x:f>
        <x:v>4046</x:v>
      </x:c>
      <x:c r="J37" s="67" t="str">
        <x:v>Direct 1ct-round quality reference</x:v>
      </x:c>
      <x:c r="K37" s="67" t="str">
        <x:v>https://www.stonealgo.com/diamond-prices/</x:v>
      </x:c>
      <x:c r="L37" s="67" t="str">
        <x:v>https://www.pricescope.com/blog/natural-diamond-prices-september-2026</x:v>
      </x:c>
    </x:row>
    <x:row r="38">
      <x:c r="A38" t="n">
        <x:v>1</x:v>
      </x:c>
      <x:c r="B38" t="str">
        <x:v>Round</x:v>
      </x:c>
      <x:c r="C38" t="str">
        <x:v>H</x:v>
      </x:c>
      <x:c r="D38" t="str">
        <x:v>VS1</x:v>
      </x:c>
      <x:c r="E38" s="36" t="n">
        <x:v>4662</x:v>
      </x:c>
      <x:c r="F38" s="36" t="n">
        <x:v>3893</x:v>
      </x:c>
      <x:c r="G38" s="42" t="n">
        <x:v>0.8350493350493351</x:v>
      </x:c>
      <x:c r="H38" s="36" t="n">
        <x:f>E38*G38</x:f>
        <x:v>3893</x:v>
      </x:c>
      <x:c r="I38" s="36" t="n">
        <x:f>IFERROR(H38/A38,0)</x:f>
        <x:v>3893</x:v>
      </x:c>
      <x:c r="J38" s="67" t="str">
        <x:v>Direct 1ct-round quality reference</x:v>
      </x:c>
      <x:c r="K38" s="67" t="str">
        <x:v>https://www.stonealgo.com/diamond-prices/</x:v>
      </x:c>
      <x:c r="L38" s="67" t="str">
        <x:v>https://www.pricescope.com/blog/natural-diamond-prices-september-2026</x:v>
      </x:c>
    </x:row>
    <x:row r="39">
      <x:c r="A39" t="n">
        <x:v>1</x:v>
      </x:c>
      <x:c r="B39" t="str">
        <x:v>Round</x:v>
      </x:c>
      <x:c r="C39" t="str">
        <x:v>H</x:v>
      </x:c>
      <x:c r="D39" t="str">
        <x:v>VS2</x:v>
      </x:c>
      <x:c r="E39" s="36" t="n">
        <x:v>4662</x:v>
      </x:c>
      <x:c r="F39" s="36" t="n">
        <x:v>3989</x:v>
      </x:c>
      <x:c r="G39" s="42" t="n">
        <x:v>0.8556413556413557</x:v>
      </x:c>
      <x:c r="H39" s="36" t="n">
        <x:f>E39*G39</x:f>
        <x:v>3989</x:v>
      </x:c>
      <x:c r="I39" s="36" t="n">
        <x:f>IFERROR(H39/A39,0)</x:f>
        <x:v>3989</x:v>
      </x:c>
      <x:c r="J39" s="67" t="str">
        <x:v>Direct 1ct-round quality reference</x:v>
      </x:c>
      <x:c r="K39" s="67" t="str">
        <x:v>https://www.stonealgo.com/diamond-prices/</x:v>
      </x:c>
      <x:c r="L39" s="67" t="str">
        <x:v>https://www.pricescope.com/blog/natural-diamond-prices-september-2026</x:v>
      </x:c>
    </x:row>
    <x:row r="40">
      <x:c r="A40" t="n">
        <x:v>1</x:v>
      </x:c>
      <x:c r="B40" t="str">
        <x:v>Round</x:v>
      </x:c>
      <x:c r="C40" t="str">
        <x:v>H</x:v>
      </x:c>
      <x:c r="D40" t="str">
        <x:v>SI1</x:v>
      </x:c>
      <x:c r="E40" s="36" t="n">
        <x:v>4662</x:v>
      </x:c>
      <x:c r="F40" s="36" t="n">
        <x:v>2828</x:v>
      </x:c>
      <x:c r="G40" s="42" t="n">
        <x:v>0.6066066066066066</x:v>
      </x:c>
      <x:c r="H40" s="36" t="n">
        <x:f>E40*G40</x:f>
        <x:v>2828</x:v>
      </x:c>
      <x:c r="I40" s="36" t="n">
        <x:f>IFERROR(H40/A40,0)</x:f>
        <x:v>2828</x:v>
      </x:c>
      <x:c r="J40" s="67" t="str">
        <x:v>Direct 1ct-round quality reference</x:v>
      </x:c>
      <x:c r="K40" s="67" t="str">
        <x:v>https://www.stonealgo.com/diamond-prices/</x:v>
      </x:c>
      <x:c r="L40" s="67" t="str">
        <x:v>https://www.pricescope.com/blog/natural-diamond-prices-september-2026</x:v>
      </x:c>
    </x:row>
    <x:row r="41">
      <x:c r="A41" t="n">
        <x:v>1</x:v>
      </x:c>
      <x:c r="B41" t="str">
        <x:v>Round</x:v>
      </x:c>
      <x:c r="C41" t="str">
        <x:v>H</x:v>
      </x:c>
      <x:c r="D41" t="str">
        <x:v>SI2</x:v>
      </x:c>
      <x:c r="E41" s="36" t="n">
        <x:v>4662</x:v>
      </x:c>
      <x:c r="F41" s="36" t="n">
        <x:v>2328</x:v>
      </x:c>
      <x:c r="G41" s="42" t="n">
        <x:v>0.49935649935649934</x:v>
      </x:c>
      <x:c r="H41" s="36" t="n">
        <x:f>E41*G41</x:f>
        <x:v>2328</x:v>
      </x:c>
      <x:c r="I41" s="36" t="n">
        <x:f>IFERROR(H41/A41,0)</x:f>
        <x:v>2328</x:v>
      </x:c>
      <x:c r="J41" s="67" t="str">
        <x:v>Direct 1ct-round quality reference</x:v>
      </x:c>
      <x:c r="K41" s="67" t="str">
        <x:v>https://www.stonealgo.com/diamond-prices/</x:v>
      </x:c>
      <x:c r="L41" s="67" t="str">
        <x:v>https://www.pricescope.com/blog/natural-diamond-prices-september-2026</x:v>
      </x:c>
    </x:row>
    <x:row r="42">
      <x:c r="A42" t="n">
        <x:v>1</x:v>
      </x:c>
      <x:c r="B42" t="str">
        <x:v>Round</x:v>
      </x:c>
      <x:c r="C42" t="str">
        <x:v>I</x:v>
      </x:c>
      <x:c r="D42" t="str">
        <x:v>FL</x:v>
      </x:c>
      <x:c r="E42" s="36" t="n">
        <x:v>4662</x:v>
      </x:c>
      <x:c r="F42" s="36" t="n">
        <x:v>4623</x:v>
      </x:c>
      <x:c r="G42" s="42" t="n">
        <x:v>0.9916344916344917</x:v>
      </x:c>
      <x:c r="H42" s="36" t="n">
        <x:f>E42*G42</x:f>
        <x:v>4623</x:v>
      </x:c>
      <x:c r="I42" s="36" t="n">
        <x:f>IFERROR(H42/A42,0)</x:f>
        <x:v>4623</x:v>
      </x:c>
      <x:c r="J42" s="67" t="str">
        <x:v>Direct 1ct-round quality reference</x:v>
      </x:c>
      <x:c r="K42" s="67" t="str">
        <x:v>https://www.stonealgo.com/diamond-prices/</x:v>
      </x:c>
      <x:c r="L42" s="67" t="str">
        <x:v>https://www.pricescope.com/blog/natural-diamond-prices-september-2026</x:v>
      </x:c>
    </x:row>
    <x:row r="43">
      <x:c r="A43" t="n">
        <x:v>1</x:v>
      </x:c>
      <x:c r="B43" t="str">
        <x:v>Round</x:v>
      </x:c>
      <x:c r="C43" t="str">
        <x:v>I</x:v>
      </x:c>
      <x:c r="D43" t="str">
        <x:v>IF</x:v>
      </x:c>
      <x:c r="E43" s="36" t="n">
        <x:v>4662</x:v>
      </x:c>
      <x:c r="F43" s="36" t="n">
        <x:v>4005</x:v>
      </x:c>
      <x:c r="G43" s="42" t="n">
        <x:v>0.859073359073359</x:v>
      </x:c>
      <x:c r="H43" s="36" t="n">
        <x:f>E43*G43</x:f>
        <x:v>4004.9999999999995</x:v>
      </x:c>
      <x:c r="I43" s="36" t="n">
        <x:f>IFERROR(H43/A43,0)</x:f>
        <x:v>4004.9999999999995</x:v>
      </x:c>
      <x:c r="J43" s="67" t="str">
        <x:v>Direct 1ct-round quality reference</x:v>
      </x:c>
      <x:c r="K43" s="67" t="str">
        <x:v>https://www.stonealgo.com/diamond-prices/</x:v>
      </x:c>
      <x:c r="L43" s="67" t="str">
        <x:v>https://www.pricescope.com/blog/natural-diamond-prices-september-2026</x:v>
      </x:c>
    </x:row>
    <x:row r="44">
      <x:c r="A44" t="n">
        <x:v>1</x:v>
      </x:c>
      <x:c r="B44" t="str">
        <x:v>Round</x:v>
      </x:c>
      <x:c r="C44" t="str">
        <x:v>I</x:v>
      </x:c>
      <x:c r="D44" t="str">
        <x:v>VVS1</x:v>
      </x:c>
      <x:c r="E44" s="36" t="n">
        <x:v>4662</x:v>
      </x:c>
      <x:c r="F44" s="36" t="n">
        <x:v>3670</x:v>
      </x:c>
      <x:c r="G44" s="42" t="n">
        <x:v>0.7872157872157872</x:v>
      </x:c>
      <x:c r="H44" s="36" t="n">
        <x:f>E44*G44</x:f>
        <x:v>3670</x:v>
      </x:c>
      <x:c r="I44" s="36" t="n">
        <x:f>IFERROR(H44/A44,0)</x:f>
        <x:v>3670</x:v>
      </x:c>
      <x:c r="J44" s="67" t="str">
        <x:v>Direct 1ct-round quality reference</x:v>
      </x:c>
      <x:c r="K44" s="67" t="str">
        <x:v>https://www.stonealgo.com/diamond-prices/</x:v>
      </x:c>
      <x:c r="L44" s="67" t="str">
        <x:v>https://www.pricescope.com/blog/natural-diamond-prices-september-2026</x:v>
      </x:c>
    </x:row>
    <x:row r="45">
      <x:c r="A45" t="n">
        <x:v>1</x:v>
      </x:c>
      <x:c r="B45" t="str">
        <x:v>Round</x:v>
      </x:c>
      <x:c r="C45" t="str">
        <x:v>I</x:v>
      </x:c>
      <x:c r="D45" t="str">
        <x:v>VVS2</x:v>
      </x:c>
      <x:c r="E45" s="36" t="n">
        <x:v>4662</x:v>
      </x:c>
      <x:c r="F45" s="36" t="n">
        <x:v>3447</x:v>
      </x:c>
      <x:c r="G45" s="42" t="n">
        <x:v>0.7393822393822393</x:v>
      </x:c>
      <x:c r="H45" s="36" t="n">
        <x:f>E45*G45</x:f>
        <x:v>3447</x:v>
      </x:c>
      <x:c r="I45" s="36" t="n">
        <x:f>IFERROR(H45/A45,0)</x:f>
        <x:v>3447</x:v>
      </x:c>
      <x:c r="J45" s="67" t="str">
        <x:v>Direct 1ct-round quality reference</x:v>
      </x:c>
      <x:c r="K45" s="67" t="str">
        <x:v>https://www.stonealgo.com/diamond-prices/</x:v>
      </x:c>
      <x:c r="L45" s="67" t="str">
        <x:v>https://www.pricescope.com/blog/natural-diamond-prices-september-2026</x:v>
      </x:c>
    </x:row>
    <x:row r="46">
      <x:c r="A46" t="n">
        <x:v>1</x:v>
      </x:c>
      <x:c r="B46" t="str">
        <x:v>Round</x:v>
      </x:c>
      <x:c r="C46" t="str">
        <x:v>I</x:v>
      </x:c>
      <x:c r="D46" t="str">
        <x:v>VS1</x:v>
      </x:c>
      <x:c r="E46" s="36" t="n">
        <x:v>4662</x:v>
      </x:c>
      <x:c r="F46" s="36" t="n">
        <x:v>3313</x:v>
      </x:c>
      <x:c r="G46" s="42" t="n">
        <x:v>0.7106392106392107</x:v>
      </x:c>
      <x:c r="H46" s="36" t="n">
        <x:f>E46*G46</x:f>
        <x:v>3313</x:v>
      </x:c>
      <x:c r="I46" s="36" t="n">
        <x:f>IFERROR(H46/A46,0)</x:f>
        <x:v>3313</x:v>
      </x:c>
      <x:c r="J46" s="67" t="str">
        <x:v>Direct 1ct-round quality reference</x:v>
      </x:c>
      <x:c r="K46" s="67" t="str">
        <x:v>https://www.stonealgo.com/diamond-prices/</x:v>
      </x:c>
      <x:c r="L46" s="67" t="str">
        <x:v>https://www.pricescope.com/blog/natural-diamond-prices-september-2026</x:v>
      </x:c>
    </x:row>
    <x:row r="47">
      <x:c r="A47" t="n">
        <x:v>1</x:v>
      </x:c>
      <x:c r="B47" t="str">
        <x:v>Round</x:v>
      </x:c>
      <x:c r="C47" t="str">
        <x:v>I</x:v>
      </x:c>
      <x:c r="D47" t="str">
        <x:v>VS2</x:v>
      </x:c>
      <x:c r="E47" s="36" t="n">
        <x:v>4662</x:v>
      </x:c>
      <x:c r="F47" s="36" t="n">
        <x:v>3240</x:v>
      </x:c>
      <x:c r="G47" s="42" t="n">
        <x:v>0.694980694980695</x:v>
      </x:c>
      <x:c r="H47" s="36" t="n">
        <x:f>E47*G47</x:f>
        <x:v>3240.0000000000005</x:v>
      </x:c>
      <x:c r="I47" s="36" t="n">
        <x:f>IFERROR(H47/A47,0)</x:f>
        <x:v>3240.0000000000005</x:v>
      </x:c>
      <x:c r="J47" s="67" t="str">
        <x:v>Direct 1ct-round quality reference</x:v>
      </x:c>
      <x:c r="K47" s="67" t="str">
        <x:v>https://www.stonealgo.com/diamond-prices/</x:v>
      </x:c>
      <x:c r="L47" s="67" t="str">
        <x:v>https://www.pricescope.com/blog/natural-diamond-prices-september-2026</x:v>
      </x:c>
    </x:row>
    <x:row r="48">
      <x:c r="A48" t="n">
        <x:v>1</x:v>
      </x:c>
      <x:c r="B48" t="str">
        <x:v>Round</x:v>
      </x:c>
      <x:c r="C48" t="str">
        <x:v>I</x:v>
      </x:c>
      <x:c r="D48" t="str">
        <x:v>SI1</x:v>
      </x:c>
      <x:c r="E48" s="36" t="n">
        <x:v>4662</x:v>
      </x:c>
      <x:c r="F48" s="36" t="n">
        <x:v>3199</x:v>
      </x:c>
      <x:c r="G48" s="42" t="n">
        <x:v>0.6861861861861862</x:v>
      </x:c>
      <x:c r="H48" s="36" t="n">
        <x:f>E48*G48</x:f>
        <x:v>3199</x:v>
      </x:c>
      <x:c r="I48" s="36" t="n">
        <x:f>IFERROR(H48/A48,0)</x:f>
        <x:v>3199</x:v>
      </x:c>
      <x:c r="J48" s="67" t="str">
        <x:v>Direct 1ct-round quality reference</x:v>
      </x:c>
      <x:c r="K48" s="67" t="str">
        <x:v>https://www.stonealgo.com/diamond-prices/</x:v>
      </x:c>
      <x:c r="L48" s="67" t="str">
        <x:v>https://www.pricescope.com/blog/natural-diamond-prices-september-2026</x:v>
      </x:c>
    </x:row>
    <x:row r="49">
      <x:c r="A49" t="n">
        <x:v>1</x:v>
      </x:c>
      <x:c r="B49" t="str">
        <x:v>Round</x:v>
      </x:c>
      <x:c r="C49" t="str">
        <x:v>I</x:v>
      </x:c>
      <x:c r="D49" t="str">
        <x:v>SI2</x:v>
      </x:c>
      <x:c r="E49" s="36" t="n">
        <x:v>4662</x:v>
      </x:c>
      <x:c r="F49" s="36" t="n">
        <x:v>2874</x:v>
      </x:c>
      <x:c r="G49" s="42" t="n">
        <x:v>0.6164736164736164</x:v>
      </x:c>
      <x:c r="H49" s="36" t="n">
        <x:f>E49*G49</x:f>
        <x:v>2874</x:v>
      </x:c>
      <x:c r="I49" s="36" t="n">
        <x:f>IFERROR(H49/A49,0)</x:f>
        <x:v>2874</x:v>
      </x:c>
      <x:c r="J49" s="67" t="str">
        <x:v>Direct 1ct-round quality reference</x:v>
      </x:c>
      <x:c r="K49" s="67" t="str">
        <x:v>https://www.stonealgo.com/diamond-prices/</x:v>
      </x:c>
      <x:c r="L49" s="67" t="str">
        <x:v>https://www.pricescope.com/blog/natural-diamond-prices-september-2026</x:v>
      </x:c>
    </x:row>
    <x:row r="50">
      <x:c r="A50" t="n">
        <x:v>1</x:v>
      </x:c>
      <x:c r="B50" t="str">
        <x:v>Round</x:v>
      </x:c>
      <x:c r="C50" t="str">
        <x:v>J</x:v>
      </x:c>
      <x:c r="D50" t="str">
        <x:v>FL</x:v>
      </x:c>
      <x:c r="E50" s="36" t="n">
        <x:v>4662</x:v>
      </x:c>
      <x:c r="F50" s="36" t="n">
        <x:v>3646</x:v>
      </x:c>
      <x:c r="G50" s="42" t="n">
        <x:v>0.782067782067782</x:v>
      </x:c>
      <x:c r="H50" s="36" t="n">
        <x:f>E50*G50</x:f>
        <x:v>3646</x:v>
      </x:c>
      <x:c r="I50" s="36" t="n">
        <x:f>IFERROR(H50/A50,0)</x:f>
        <x:v>3646</x:v>
      </x:c>
      <x:c r="J50" s="67" t="str">
        <x:v>Direct 1ct-round quality reference</x:v>
      </x:c>
      <x:c r="K50" s="67" t="str">
        <x:v>https://www.stonealgo.com/diamond-prices/</x:v>
      </x:c>
      <x:c r="L50" s="67" t="str">
        <x:v>https://www.pricescope.com/blog/natural-diamond-prices-september-2026</x:v>
      </x:c>
    </x:row>
    <x:row r="51">
      <x:c r="A51" t="n">
        <x:v>1</x:v>
      </x:c>
      <x:c r="B51" t="str">
        <x:v>Round</x:v>
      </x:c>
      <x:c r="C51" t="str">
        <x:v>J</x:v>
      </x:c>
      <x:c r="D51" t="str">
        <x:v>IF</x:v>
      </x:c>
      <x:c r="E51" s="36" t="n">
        <x:v>4662</x:v>
      </x:c>
      <x:c r="F51" s="36" t="n">
        <x:v>3368</x:v>
      </x:c>
      <x:c r="G51" s="42" t="n">
        <x:v>0.7224367224367224</x:v>
      </x:c>
      <x:c r="H51" s="36" t="n">
        <x:f>E51*G51</x:f>
        <x:v>3368</x:v>
      </x:c>
      <x:c r="I51" s="36" t="n">
        <x:f>IFERROR(H51/A51,0)</x:f>
        <x:v>3368</x:v>
      </x:c>
      <x:c r="J51" s="67" t="str">
        <x:v>Direct 1ct-round quality reference</x:v>
      </x:c>
      <x:c r="K51" s="67" t="str">
        <x:v>https://www.stonealgo.com/diamond-prices/</x:v>
      </x:c>
      <x:c r="L51" s="67" t="str">
        <x:v>https://www.pricescope.com/blog/natural-diamond-prices-september-2026</x:v>
      </x:c>
    </x:row>
    <x:row r="52">
      <x:c r="A52" t="n">
        <x:v>1</x:v>
      </x:c>
      <x:c r="B52" t="str">
        <x:v>Round</x:v>
      </x:c>
      <x:c r="C52" t="str">
        <x:v>J</x:v>
      </x:c>
      <x:c r="D52" t="str">
        <x:v>VVS1</x:v>
      </x:c>
      <x:c r="E52" s="36" t="n">
        <x:v>4662</x:v>
      </x:c>
      <x:c r="F52" s="36" t="n">
        <x:v>2956</x:v>
      </x:c>
      <x:c r="G52" s="42" t="n">
        <x:v>0.6340626340626341</x:v>
      </x:c>
      <x:c r="H52" s="36" t="n">
        <x:f>E52*G52</x:f>
        <x:v>2956</x:v>
      </x:c>
      <x:c r="I52" s="36" t="n">
        <x:f>IFERROR(H52/A52,0)</x:f>
        <x:v>2956</x:v>
      </x:c>
      <x:c r="J52" s="67" t="str">
        <x:v>Direct 1ct-round quality reference</x:v>
      </x:c>
      <x:c r="K52" s="67" t="str">
        <x:v>https://www.stonealgo.com/diamond-prices/</x:v>
      </x:c>
      <x:c r="L52" s="67" t="str">
        <x:v>https://www.pricescope.com/blog/natural-diamond-prices-september-2026</x:v>
      </x:c>
    </x:row>
    <x:row r="53">
      <x:c r="A53" t="n">
        <x:v>1</x:v>
      </x:c>
      <x:c r="B53" t="str">
        <x:v>Round</x:v>
      </x:c>
      <x:c r="C53" t="str">
        <x:v>J</x:v>
      </x:c>
      <x:c r="D53" t="str">
        <x:v>VVS2</x:v>
      </x:c>
      <x:c r="E53" s="36" t="n">
        <x:v>4662</x:v>
      </x:c>
      <x:c r="F53" s="36" t="n">
        <x:v>2612</x:v>
      </x:c>
      <x:c r="G53" s="42" t="n">
        <x:v>0.5602745602745602</x:v>
      </x:c>
      <x:c r="H53" s="36" t="n">
        <x:f>E53*G53</x:f>
        <x:v>2612</x:v>
      </x:c>
      <x:c r="I53" s="36" t="n">
        <x:f>IFERROR(H53/A53,0)</x:f>
        <x:v>2612</x:v>
      </x:c>
      <x:c r="J53" s="67" t="str">
        <x:v>Direct 1ct-round quality reference</x:v>
      </x:c>
      <x:c r="K53" s="67" t="str">
        <x:v>https://www.stonealgo.com/diamond-prices/</x:v>
      </x:c>
      <x:c r="L53" s="67" t="str">
        <x:v>https://www.pricescope.com/blog/natural-diamond-prices-september-2026</x:v>
      </x:c>
    </x:row>
    <x:row r="54">
      <x:c r="A54" t="n">
        <x:v>1</x:v>
      </x:c>
      <x:c r="B54" t="str">
        <x:v>Round</x:v>
      </x:c>
      <x:c r="C54" t="str">
        <x:v>J</x:v>
      </x:c>
      <x:c r="D54" t="str">
        <x:v>VS1</x:v>
      </x:c>
      <x:c r="E54" s="36" t="n">
        <x:v>4662</x:v>
      </x:c>
      <x:c r="F54" s="36" t="n">
        <x:v>3002</x:v>
      </x:c>
      <x:c r="G54" s="42" t="n">
        <x:v>0.6439296439296439</x:v>
      </x:c>
      <x:c r="H54" s="36" t="n">
        <x:f>E54*G54</x:f>
        <x:v>3002</x:v>
      </x:c>
      <x:c r="I54" s="36" t="n">
        <x:f>IFERROR(H54/A54,0)</x:f>
        <x:v>3002</x:v>
      </x:c>
      <x:c r="J54" s="67" t="str">
        <x:v>Direct 1ct-round quality reference</x:v>
      </x:c>
      <x:c r="K54" s="67" t="str">
        <x:v>https://www.stonealgo.com/diamond-prices/</x:v>
      </x:c>
      <x:c r="L54" s="67" t="str">
        <x:v>https://www.pricescope.com/blog/natural-diamond-prices-september-2026</x:v>
      </x:c>
    </x:row>
    <x:row r="55">
      <x:c r="A55" t="n">
        <x:v>1</x:v>
      </x:c>
      <x:c r="B55" t="str">
        <x:v>Round</x:v>
      </x:c>
      <x:c r="C55" t="str">
        <x:v>J</x:v>
      </x:c>
      <x:c r="D55" t="str">
        <x:v>VS2</x:v>
      </x:c>
      <x:c r="E55" s="36" t="n">
        <x:v>4662</x:v>
      </x:c>
      <x:c r="F55" s="36" t="n">
        <x:v>2559</x:v>
      </x:c>
      <x:c r="G55" s="42" t="n">
        <x:v>0.5489060489060489</x:v>
      </x:c>
      <x:c r="H55" s="36" t="n">
        <x:f>E55*G55</x:f>
        <x:v>2559</x:v>
      </x:c>
      <x:c r="I55" s="36" t="n">
        <x:f>IFERROR(H55/A55,0)</x:f>
        <x:v>2559</x:v>
      </x:c>
      <x:c r="J55" s="67" t="str">
        <x:v>Direct 1ct-round quality reference</x:v>
      </x:c>
      <x:c r="K55" s="67" t="str">
        <x:v>https://www.stonealgo.com/diamond-prices/</x:v>
      </x:c>
      <x:c r="L55" s="67" t="str">
        <x:v>https://www.pricescope.com/blog/natural-diamond-prices-september-2026</x:v>
      </x:c>
    </x:row>
    <x:row r="56">
      <x:c r="A56" t="n">
        <x:v>1</x:v>
      </x:c>
      <x:c r="B56" t="str">
        <x:v>Round</x:v>
      </x:c>
      <x:c r="C56" t="str">
        <x:v>J</x:v>
      </x:c>
      <x:c r="D56" t="str">
        <x:v>SI1</x:v>
      </x:c>
      <x:c r="E56" s="36" t="n">
        <x:v>4662</x:v>
      </x:c>
      <x:c r="F56" s="36" t="n">
        <x:v>2195</x:v>
      </x:c>
      <x:c r="G56" s="42" t="n">
        <x:v>0.47082797082797084</x:v>
      </x:c>
      <x:c r="H56" s="36" t="n">
        <x:f>E56*G56</x:f>
        <x:v>2195</x:v>
      </x:c>
      <x:c r="I56" s="36" t="n">
        <x:f>IFERROR(H56/A56,0)</x:f>
        <x:v>2195</x:v>
      </x:c>
      <x:c r="J56" s="67" t="str">
        <x:v>Direct 1ct-round quality reference</x:v>
      </x:c>
      <x:c r="K56" s="67" t="str">
        <x:v>https://www.stonealgo.com/diamond-prices/</x:v>
      </x:c>
      <x:c r="L56" s="67" t="str">
        <x:v>https://www.pricescope.com/blog/natural-diamond-prices-september-2026</x:v>
      </x:c>
    </x:row>
    <x:row r="57">
      <x:c r="A57" t="n">
        <x:v>1</x:v>
      </x:c>
      <x:c r="B57" t="str">
        <x:v>Round</x:v>
      </x:c>
      <x:c r="C57" t="str">
        <x:v>J</x:v>
      </x:c>
      <x:c r="D57" t="str">
        <x:v>SI2</x:v>
      </x:c>
      <x:c r="E57" s="36" t="n">
        <x:v>4662</x:v>
      </x:c>
      <x:c r="F57" s="36" t="n">
        <x:v>2079</x:v>
      </x:c>
      <x:c r="G57" s="42" t="n">
        <x:v>0.44594594594594594</x:v>
      </x:c>
      <x:c r="H57" s="36" t="n">
        <x:f>E57*G57</x:f>
        <x:v>2079</x:v>
      </x:c>
      <x:c r="I57" s="36" t="n">
        <x:f>IFERROR(H57/A57,0)</x:f>
        <x:v>2079</x:v>
      </x:c>
      <x:c r="J57" s="67" t="str">
        <x:v>Direct 1ct-round quality reference</x:v>
      </x:c>
      <x:c r="K57" s="67" t="str">
        <x:v>https://www.stonealgo.com/diamond-prices/</x:v>
      </x:c>
      <x:c r="L57" s="67" t="str">
        <x:v>https://www.pricescope.com/blog/natural-diamond-prices-september-2026</x:v>
      </x:c>
    </x:row>
    <x:row r="58">
      <x:c r="A58" t="n">
        <x:v>1</x:v>
      </x:c>
      <x:c r="B58" t="str">
        <x:v>Round</x:v>
      </x:c>
      <x:c r="C58" t="str">
        <x:v>K</x:v>
      </x:c>
      <x:c r="D58" t="str">
        <x:v>FL</x:v>
      </x:c>
      <x:c r="E58" s="36" t="n">
        <x:v>4662</x:v>
      </x:c>
      <x:c r="F58" s="36" t="n">
        <x:v>2858</x:v>
      </x:c>
      <x:c r="G58" s="42" t="n">
        <x:v>0.6130416130416131</x:v>
      </x:c>
      <x:c r="H58" s="36" t="n">
        <x:f>E58*G58</x:f>
        <x:v>2858</x:v>
      </x:c>
      <x:c r="I58" s="36" t="n">
        <x:f>IFERROR(H58/A58,0)</x:f>
        <x:v>2858</x:v>
      </x:c>
      <x:c r="J58" s="67" t="str">
        <x:v>Direct 1ct-round quality reference; K/FL quality cell modeled</x:v>
      </x:c>
      <x:c r="K58" s="67" t="str">
        <x:v>https://www.stonealgo.com/diamond-prices/</x:v>
      </x:c>
      <x:c r="L58" s="67" t="str">
        <x:v>https://www.pricescope.com/blog/natural-diamond-prices-september-2026</x:v>
      </x:c>
    </x:row>
    <x:row r="59">
      <x:c r="A59" t="n">
        <x:v>1</x:v>
      </x:c>
      <x:c r="B59" t="str">
        <x:v>Round</x:v>
      </x:c>
      <x:c r="C59" t="str">
        <x:v>K</x:v>
      </x:c>
      <x:c r="D59" t="str">
        <x:v>IF</x:v>
      </x:c>
      <x:c r="E59" s="36" t="n">
        <x:v>4662</x:v>
      </x:c>
      <x:c r="F59" s="36" t="n">
        <x:v>2743</x:v>
      </x:c>
      <x:c r="G59" s="42" t="n">
        <x:v>0.5883740883740883</x:v>
      </x:c>
      <x:c r="H59" s="36" t="n">
        <x:f>E59*G59</x:f>
        <x:v>2743</x:v>
      </x:c>
      <x:c r="I59" s="36" t="n">
        <x:f>IFERROR(H59/A59,0)</x:f>
        <x:v>2743</x:v>
      </x:c>
      <x:c r="J59" s="67" t="str">
        <x:v>Direct 1ct-round quality reference</x:v>
      </x:c>
      <x:c r="K59" s="67" t="str">
        <x:v>https://www.stonealgo.com/diamond-prices/</x:v>
      </x:c>
      <x:c r="L59" s="67" t="str">
        <x:v>https://www.pricescope.com/blog/natural-diamond-prices-september-2026</x:v>
      </x:c>
    </x:row>
    <x:row r="60">
      <x:c r="A60" t="n">
        <x:v>1</x:v>
      </x:c>
      <x:c r="B60" t="str">
        <x:v>Round</x:v>
      </x:c>
      <x:c r="C60" t="str">
        <x:v>K</x:v>
      </x:c>
      <x:c r="D60" t="str">
        <x:v>VVS1</x:v>
      </x:c>
      <x:c r="E60" s="36" t="n">
        <x:v>4662</x:v>
      </x:c>
      <x:c r="F60" s="36" t="n">
        <x:v>2529</x:v>
      </x:c>
      <x:c r="G60" s="42" t="n">
        <x:v>0.5424710424710425</x:v>
      </x:c>
      <x:c r="H60" s="36" t="n">
        <x:f>E60*G60</x:f>
        <x:v>2529</x:v>
      </x:c>
      <x:c r="I60" s="36" t="n">
        <x:f>IFERROR(H60/A60,0)</x:f>
        <x:v>2529</x:v>
      </x:c>
      <x:c r="J60" s="67" t="str">
        <x:v>Direct 1ct-round quality reference</x:v>
      </x:c>
      <x:c r="K60" s="67" t="str">
        <x:v>https://www.stonealgo.com/diamond-prices/</x:v>
      </x:c>
      <x:c r="L60" s="67" t="str">
        <x:v>https://www.pricescope.com/blog/natural-diamond-prices-september-2026</x:v>
      </x:c>
    </x:row>
    <x:row r="61">
      <x:c r="A61" t="n">
        <x:v>1</x:v>
      </x:c>
      <x:c r="B61" t="str">
        <x:v>Round</x:v>
      </x:c>
      <x:c r="C61" t="str">
        <x:v>K</x:v>
      </x:c>
      <x:c r="D61" t="str">
        <x:v>VVS2</x:v>
      </x:c>
      <x:c r="E61" s="36" t="n">
        <x:v>4662</x:v>
      </x:c>
      <x:c r="F61" s="36" t="n">
        <x:v>2374</x:v>
      </x:c>
      <x:c r="G61" s="42" t="n">
        <x:v>0.5092235092235092</x:v>
      </x:c>
      <x:c r="H61" s="36" t="n">
        <x:f>E61*G61</x:f>
        <x:v>2374</x:v>
      </x:c>
      <x:c r="I61" s="36" t="n">
        <x:f>IFERROR(H61/A61,0)</x:f>
        <x:v>2374</x:v>
      </x:c>
      <x:c r="J61" s="67" t="str">
        <x:v>Direct 1ct-round quality reference</x:v>
      </x:c>
      <x:c r="K61" s="67" t="str">
        <x:v>https://www.stonealgo.com/diamond-prices/</x:v>
      </x:c>
      <x:c r="L61" s="67" t="str">
        <x:v>https://www.pricescope.com/blog/natural-diamond-prices-september-2026</x:v>
      </x:c>
    </x:row>
    <x:row r="62">
      <x:c r="A62" t="n">
        <x:v>1</x:v>
      </x:c>
      <x:c r="B62" t="str">
        <x:v>Round</x:v>
      </x:c>
      <x:c r="C62" t="str">
        <x:v>K</x:v>
      </x:c>
      <x:c r="D62" t="str">
        <x:v>VS1</x:v>
      </x:c>
      <x:c r="E62" s="36" t="n">
        <x:v>4662</x:v>
      </x:c>
      <x:c r="F62" s="36" t="n">
        <x:v>2223</x:v>
      </x:c>
      <x:c r="G62" s="42" t="n">
        <x:v>0.4768339768339768</x:v>
      </x:c>
      <x:c r="H62" s="36" t="n">
        <x:f>E62*G62</x:f>
        <x:v>2223</x:v>
      </x:c>
      <x:c r="I62" s="36" t="n">
        <x:f>IFERROR(H62/A62,0)</x:f>
        <x:v>2223</x:v>
      </x:c>
      <x:c r="J62" s="67" t="str">
        <x:v>Direct 1ct-round quality reference</x:v>
      </x:c>
      <x:c r="K62" s="67" t="str">
        <x:v>https://www.stonealgo.com/diamond-prices/</x:v>
      </x:c>
      <x:c r="L62" s="67" t="str">
        <x:v>https://www.pricescope.com/blog/natural-diamond-prices-september-2026</x:v>
      </x:c>
    </x:row>
    <x:row r="63">
      <x:c r="A63" t="n">
        <x:v>1</x:v>
      </x:c>
      <x:c r="B63" t="str">
        <x:v>Round</x:v>
      </x:c>
      <x:c r="C63" t="str">
        <x:v>K</x:v>
      </x:c>
      <x:c r="D63" t="str">
        <x:v>VS2</x:v>
      </x:c>
      <x:c r="E63" s="36" t="n">
        <x:v>4662</x:v>
      </x:c>
      <x:c r="F63" s="36" t="n">
        <x:v>2098</x:v>
      </x:c>
      <x:c r="G63" s="42" t="n">
        <x:v>0.45002145002145</x:v>
      </x:c>
      <x:c r="H63" s="36" t="n">
        <x:f>E63*G63</x:f>
        <x:v>2098</x:v>
      </x:c>
      <x:c r="I63" s="36" t="n">
        <x:f>IFERROR(H63/A63,0)</x:f>
        <x:v>2098</x:v>
      </x:c>
      <x:c r="J63" s="67" t="str">
        <x:v>Direct 1ct-round quality reference</x:v>
      </x:c>
      <x:c r="K63" s="67" t="str">
        <x:v>https://www.stonealgo.com/diamond-prices/</x:v>
      </x:c>
      <x:c r="L63" s="67" t="str">
        <x:v>https://www.pricescope.com/blog/natural-diamond-prices-september-2026</x:v>
      </x:c>
    </x:row>
    <x:row r="64">
      <x:c r="A64" t="n">
        <x:v>1</x:v>
      </x:c>
      <x:c r="B64" t="str">
        <x:v>Round</x:v>
      </x:c>
      <x:c r="C64" t="str">
        <x:v>K</x:v>
      </x:c>
      <x:c r="D64" t="str">
        <x:v>SI1</x:v>
      </x:c>
      <x:c r="E64" s="36" t="n">
        <x:v>4662</x:v>
      </x:c>
      <x:c r="F64" s="36" t="n">
        <x:v>1922</x:v>
      </x:c>
      <x:c r="G64" s="42" t="n">
        <x:v>0.41226941226941227</x:v>
      </x:c>
      <x:c r="H64" s="36" t="n">
        <x:f>E64*G64</x:f>
        <x:v>1922</x:v>
      </x:c>
      <x:c r="I64" s="36" t="n">
        <x:f>IFERROR(H64/A64,0)</x:f>
        <x:v>1922</x:v>
      </x:c>
      <x:c r="J64" s="67" t="str">
        <x:v>Direct 1ct-round quality reference</x:v>
      </x:c>
      <x:c r="K64" s="67" t="str">
        <x:v>https://www.stonealgo.com/diamond-prices/</x:v>
      </x:c>
      <x:c r="L64" s="67" t="str">
        <x:v>https://www.pricescope.com/blog/natural-diamond-prices-september-2026</x:v>
      </x:c>
    </x:row>
    <x:row r="65">
      <x:c r="A65" t="n">
        <x:v>1</x:v>
      </x:c>
      <x:c r="B65" t="str">
        <x:v>Round</x:v>
      </x:c>
      <x:c r="C65" t="str">
        <x:v>K</x:v>
      </x:c>
      <x:c r="D65" t="str">
        <x:v>SI2</x:v>
      </x:c>
      <x:c r="E65" s="36" t="n">
        <x:v>4662</x:v>
      </x:c>
      <x:c r="F65" s="36" t="n">
        <x:v>1764</x:v>
      </x:c>
      <x:c r="G65" s="42" t="n">
        <x:v>0.3783783783783784</x:v>
      </x:c>
      <x:c r="H65" s="36" t="n">
        <x:f>E65*G65</x:f>
        <x:v>1764</x:v>
      </x:c>
      <x:c r="I65" s="36" t="n">
        <x:f>IFERROR(H65/A65,0)</x:f>
        <x:v>1764</x:v>
      </x:c>
      <x:c r="J65" s="67" t="str">
        <x:v>Direct 1ct-round quality reference</x:v>
      </x:c>
      <x:c r="K65" s="67" t="str">
        <x:v>https://www.stonealgo.com/diamond-prices/</x:v>
      </x:c>
      <x:c r="L65" s="67" t="str">
        <x:v>https://www.pricescope.com/blog/natural-diamond-prices-september-2026</x:v>
      </x:c>
    </x:row>
    <x:row r="66">
      <x:c r="A66" t="n">
        <x:v>1</x:v>
      </x:c>
      <x:c r="B66" t="str">
        <x:v>Oval</x:v>
      </x:c>
      <x:c r="C66" t="str">
        <x:v>D</x:v>
      </x:c>
      <x:c r="D66" t="str">
        <x:v>FL</x:v>
      </x:c>
      <x:c r="E66" s="36" t="n">
        <x:v>3830</x:v>
      </x:c>
      <x:c r="F66" s="36" t="n">
        <x:v>12665</x:v>
      </x:c>
      <x:c r="G66" s="42" t="n">
        <x:v>2.7166452166452166</x:v>
      </x:c>
      <x:c r="H66" s="36" t="n">
        <x:f>E66*G66</x:f>
        <x:v>10404.75117975118</x:v>
      </x:c>
      <x:c r="I66" s="36" t="n">
        <x:f>IFERROR(H66/A66,0)</x:f>
        <x:v>10404.75117975118</x:v>
      </x:c>
      <x:c r="J66" s="67" t="str">
        <x:v>Modeled from live base + Sep-2026 quality ratio</x:v>
      </x:c>
      <x:c r="K66" s="67" t="str">
        <x:v>https://www.stonealgo.com/diamond-prices/</x:v>
      </x:c>
      <x:c r="L66" s="67" t="str">
        <x:v>https://www.pricescope.com/blog/natural-diamond-prices-september-2026</x:v>
      </x:c>
    </x:row>
    <x:row r="67">
      <x:c r="A67" t="n">
        <x:v>1</x:v>
      </x:c>
      <x:c r="B67" t="str">
        <x:v>Oval</x:v>
      </x:c>
      <x:c r="C67" t="str">
        <x:v>D</x:v>
      </x:c>
      <x:c r="D67" t="str">
        <x:v>IF</x:v>
      </x:c>
      <x:c r="E67" s="36" t="n">
        <x:v>3830</x:v>
      </x:c>
      <x:c r="F67" s="36" t="n">
        <x:v>13240</x:v>
      </x:c>
      <x:c r="G67" s="42" t="n">
        <x:v>2.83998283998284</x:v>
      </x:c>
      <x:c r="H67" s="36" t="n">
        <x:f>E67*G67</x:f>
        <x:v>10877.134277134277</x:v>
      </x:c>
      <x:c r="I67" s="36" t="n">
        <x:f>IFERROR(H67/A67,0)</x:f>
        <x:v>10877.134277134277</x:v>
      </x:c>
      <x:c r="J67" s="67" t="str">
        <x:v>Modeled from live base + Sep-2026 quality ratio</x:v>
      </x:c>
      <x:c r="K67" s="67" t="str">
        <x:v>https://www.stonealgo.com/diamond-prices/</x:v>
      </x:c>
      <x:c r="L67" s="67" t="str">
        <x:v>https://www.pricescope.com/blog/natural-diamond-prices-september-2026</x:v>
      </x:c>
    </x:row>
    <x:row r="68">
      <x:c r="A68" t="n">
        <x:v>1</x:v>
      </x:c>
      <x:c r="B68" t="str">
        <x:v>Oval</x:v>
      </x:c>
      <x:c r="C68" t="str">
        <x:v>D</x:v>
      </x:c>
      <x:c r="D68" t="str">
        <x:v>VVS1</x:v>
      </x:c>
      <x:c r="E68" s="36" t="n">
        <x:v>3830</x:v>
      </x:c>
      <x:c r="F68" s="36" t="n">
        <x:v>9555</x:v>
      </x:c>
      <x:c r="G68" s="42" t="n">
        <x:v>2.0495495495495497</x:v>
      </x:c>
      <x:c r="H68" s="36" t="n">
        <x:f>E68*G68</x:f>
        <x:v>7849.774774774775</x:v>
      </x:c>
      <x:c r="I68" s="36" t="n">
        <x:f>IFERROR(H68/A68,0)</x:f>
        <x:v>7849.774774774775</x:v>
      </x:c>
      <x:c r="J68" s="67" t="str">
        <x:v>Modeled from live base + Sep-2026 quality ratio</x:v>
      </x:c>
      <x:c r="K68" s="67" t="str">
        <x:v>https://www.stonealgo.com/diamond-prices/</x:v>
      </x:c>
      <x:c r="L68" s="67" t="str">
        <x:v>https://www.pricescope.com/blog/natural-diamond-prices-september-2026</x:v>
      </x:c>
    </x:row>
    <x:row r="69">
      <x:c r="A69" t="n">
        <x:v>1</x:v>
      </x:c>
      <x:c r="B69" t="str">
        <x:v>Oval</x:v>
      </x:c>
      <x:c r="C69" t="str">
        <x:v>D</x:v>
      </x:c>
      <x:c r="D69" t="str">
        <x:v>VVS2</x:v>
      </x:c>
      <x:c r="E69" s="36" t="n">
        <x:v>3830</x:v>
      </x:c>
      <x:c r="F69" s="36" t="n">
        <x:v>6660</x:v>
      </x:c>
      <x:c r="G69" s="42" t="n">
        <x:v>1.4285714285714286</x:v>
      </x:c>
      <x:c r="H69" s="36" t="n">
        <x:f>E69*G69</x:f>
        <x:v>5471.428571428572</x:v>
      </x:c>
      <x:c r="I69" s="36" t="n">
        <x:f>IFERROR(H69/A69,0)</x:f>
        <x:v>5471.428571428572</x:v>
      </x:c>
      <x:c r="J69" s="67" t="str">
        <x:v>Modeled from live base + Sep-2026 quality ratio</x:v>
      </x:c>
      <x:c r="K69" s="67" t="str">
        <x:v>https://www.stonealgo.com/diamond-prices/</x:v>
      </x:c>
      <x:c r="L69" s="67" t="str">
        <x:v>https://www.pricescope.com/blog/natural-diamond-prices-september-2026</x:v>
      </x:c>
    </x:row>
    <x:row r="70">
      <x:c r="A70" t="n">
        <x:v>1</x:v>
      </x:c>
      <x:c r="B70" t="str">
        <x:v>Oval</x:v>
      </x:c>
      <x:c r="C70" t="str">
        <x:v>D</x:v>
      </x:c>
      <x:c r="D70" t="str">
        <x:v>VS1</x:v>
      </x:c>
      <x:c r="E70" s="36" t="n">
        <x:v>3830</x:v>
      </x:c>
      <x:c r="F70" s="36" t="n">
        <x:v>6247</x:v>
      </x:c>
      <x:c r="G70" s="42" t="n">
        <x:v>1.33998283998284</x:v>
      </x:c>
      <x:c r="H70" s="36" t="n">
        <x:f>E70*G70</x:f>
        <x:v>5132.134277134277</x:v>
      </x:c>
      <x:c r="I70" s="36" t="n">
        <x:f>IFERROR(H70/A70,0)</x:f>
        <x:v>5132.134277134277</x:v>
      </x:c>
      <x:c r="J70" s="67" t="str">
        <x:v>Modeled from live base + Sep-2026 quality ratio</x:v>
      </x:c>
      <x:c r="K70" s="67" t="str">
        <x:v>https://www.stonealgo.com/diamond-prices/</x:v>
      </x:c>
      <x:c r="L70" s="67" t="str">
        <x:v>https://www.pricescope.com/blog/natural-diamond-prices-september-2026</x:v>
      </x:c>
    </x:row>
    <x:row r="71">
      <x:c r="A71" t="n">
        <x:v>1</x:v>
      </x:c>
      <x:c r="B71" t="str">
        <x:v>Oval</x:v>
      </x:c>
      <x:c r="C71" t="str">
        <x:v>D</x:v>
      </x:c>
      <x:c r="D71" t="str">
        <x:v>VS2</x:v>
      </x:c>
      <x:c r="E71" s="36" t="n">
        <x:v>3830</x:v>
      </x:c>
      <x:c r="F71" s="36" t="n">
        <x:v>5841</x:v>
      </x:c>
      <x:c r="G71" s="42" t="n">
        <x:v>1.252895752895753</x:v>
      </x:c>
      <x:c r="H71" s="36" t="n">
        <x:f>E71*G71</x:f>
        <x:v>4798.590733590734</x:v>
      </x:c>
      <x:c r="I71" s="36" t="n">
        <x:f>IFERROR(H71/A71,0)</x:f>
        <x:v>4798.590733590734</x:v>
      </x:c>
      <x:c r="J71" s="67" t="str">
        <x:v>Modeled from live base + Sep-2026 quality ratio</x:v>
      </x:c>
      <x:c r="K71" s="67" t="str">
        <x:v>https://www.stonealgo.com/diamond-prices/</x:v>
      </x:c>
      <x:c r="L71" s="67" t="str">
        <x:v>https://www.pricescope.com/blog/natural-diamond-prices-september-2026</x:v>
      </x:c>
    </x:row>
    <x:row r="72">
      <x:c r="A72" t="n">
        <x:v>1</x:v>
      </x:c>
      <x:c r="B72" t="str">
        <x:v>Oval</x:v>
      </x:c>
      <x:c r="C72" t="str">
        <x:v>D</x:v>
      </x:c>
      <x:c r="D72" t="str">
        <x:v>SI1</x:v>
      </x:c>
      <x:c r="E72" s="36" t="n">
        <x:v>3830</x:v>
      </x:c>
      <x:c r="F72" s="36" t="n">
        <x:v>3762</x:v>
      </x:c>
      <x:c r="G72" s="42" t="n">
        <x:v>0.806949806949807</x:v>
      </x:c>
      <x:c r="H72" s="36" t="n">
        <x:f>E72*G72</x:f>
        <x:v>3090.6177606177607</x:v>
      </x:c>
      <x:c r="I72" s="36" t="n">
        <x:f>IFERROR(H72/A72,0)</x:f>
        <x:v>3090.6177606177607</x:v>
      </x:c>
      <x:c r="J72" s="67" t="str">
        <x:v>Modeled from live base + Sep-2026 quality ratio</x:v>
      </x:c>
      <x:c r="K72" s="67" t="str">
        <x:v>https://www.stonealgo.com/diamond-prices/</x:v>
      </x:c>
      <x:c r="L72" s="67" t="str">
        <x:v>https://www.pricescope.com/blog/natural-diamond-prices-september-2026</x:v>
      </x:c>
    </x:row>
    <x:row r="73">
      <x:c r="A73" t="n">
        <x:v>1</x:v>
      </x:c>
      <x:c r="B73" t="str">
        <x:v>Oval</x:v>
      </x:c>
      <x:c r="C73" t="str">
        <x:v>D</x:v>
      </x:c>
      <x:c r="D73" t="str">
        <x:v>SI2</x:v>
      </x:c>
      <x:c r="E73" s="36" t="n">
        <x:v>3830</x:v>
      </x:c>
      <x:c r="F73" s="36" t="n">
        <x:v>3026</x:v>
      </x:c>
      <x:c r="G73" s="42" t="n">
        <x:v>0.6490776490776491</x:v>
      </x:c>
      <x:c r="H73" s="36" t="n">
        <x:f>E73*G73</x:f>
        <x:v>2485.967395967396</x:v>
      </x:c>
      <x:c r="I73" s="36" t="n">
        <x:f>IFERROR(H73/A73,0)</x:f>
        <x:v>2485.967395967396</x:v>
      </x:c>
      <x:c r="J73" s="67" t="str">
        <x:v>Modeled from live base + Sep-2026 quality ratio</x:v>
      </x:c>
      <x:c r="K73" s="67" t="str">
        <x:v>https://www.stonealgo.com/diamond-prices/</x:v>
      </x:c>
      <x:c r="L73" s="67" t="str">
        <x:v>https://www.pricescope.com/blog/natural-diamond-prices-september-2026</x:v>
      </x:c>
    </x:row>
    <x:row r="74">
      <x:c r="A74" t="n">
        <x:v>1</x:v>
      </x:c>
      <x:c r="B74" t="str">
        <x:v>Oval</x:v>
      </x:c>
      <x:c r="C74" t="str">
        <x:v>E</x:v>
      </x:c>
      <x:c r="D74" t="str">
        <x:v>FL</x:v>
      </x:c>
      <x:c r="E74" s="36" t="n">
        <x:v>3830</x:v>
      </x:c>
      <x:c r="F74" s="36" t="n">
        <x:v>10072</x:v>
      </x:c>
      <x:c r="G74" s="42" t="n">
        <x:v>2.1604461604461602</x:v>
      </x:c>
      <x:c r="H74" s="36" t="n">
        <x:f>E74*G74</x:f>
        <x:v>8274.508794508794</x:v>
      </x:c>
      <x:c r="I74" s="36" t="n">
        <x:f>IFERROR(H74/A74,0)</x:f>
        <x:v>8274.508794508794</x:v>
      </x:c>
      <x:c r="J74" s="67" t="str">
        <x:v>Modeled from live base + Sep-2026 quality ratio</x:v>
      </x:c>
      <x:c r="K74" s="67" t="str">
        <x:v>https://www.stonealgo.com/diamond-prices/</x:v>
      </x:c>
      <x:c r="L74" s="67" t="str">
        <x:v>https://www.pricescope.com/blog/natural-diamond-prices-september-2026</x:v>
      </x:c>
    </x:row>
    <x:row r="75">
      <x:c r="A75" t="n">
        <x:v>1</x:v>
      </x:c>
      <x:c r="B75" t="str">
        <x:v>Oval</x:v>
      </x:c>
      <x:c r="C75" t="str">
        <x:v>E</x:v>
      </x:c>
      <x:c r="D75" t="str">
        <x:v>IF</x:v>
      </x:c>
      <x:c r="E75" s="36" t="n">
        <x:v>3830</x:v>
      </x:c>
      <x:c r="F75" s="36" t="n">
        <x:v>8672</x:v>
      </x:c>
      <x:c r="G75" s="42" t="n">
        <x:v>1.8601458601458603</x:v>
      </x:c>
      <x:c r="H75" s="36" t="n">
        <x:f>E75*G75</x:f>
        <x:v>7124.358644358645</x:v>
      </x:c>
      <x:c r="I75" s="36" t="n">
        <x:f>IFERROR(H75/A75,0)</x:f>
        <x:v>7124.358644358645</x:v>
      </x:c>
      <x:c r="J75" s="67" t="str">
        <x:v>Modeled from live base + Sep-2026 quality ratio</x:v>
      </x:c>
      <x:c r="K75" s="67" t="str">
        <x:v>https://www.stonealgo.com/diamond-prices/</x:v>
      </x:c>
      <x:c r="L75" s="67" t="str">
        <x:v>https://www.pricescope.com/blog/natural-diamond-prices-september-2026</x:v>
      </x:c>
    </x:row>
    <x:row r="76">
      <x:c r="A76" t="n">
        <x:v>1</x:v>
      </x:c>
      <x:c r="B76" t="str">
        <x:v>Oval</x:v>
      </x:c>
      <x:c r="C76" t="str">
        <x:v>E</x:v>
      </x:c>
      <x:c r="D76" t="str">
        <x:v>VVS1</x:v>
      </x:c>
      <x:c r="E76" s="36" t="n">
        <x:v>3830</x:v>
      </x:c>
      <x:c r="F76" s="36" t="n">
        <x:v>7842</x:v>
      </x:c>
      <x:c r="G76" s="42" t="n">
        <x:v>1.6821106821106822</x:v>
      </x:c>
      <x:c r="H76" s="36" t="n">
        <x:f>E76*G76</x:f>
        <x:v>6442.483912483913</x:v>
      </x:c>
      <x:c r="I76" s="36" t="n">
        <x:f>IFERROR(H76/A76,0)</x:f>
        <x:v>6442.483912483913</x:v>
      </x:c>
      <x:c r="J76" s="67" t="str">
        <x:v>Modeled from live base + Sep-2026 quality ratio</x:v>
      </x:c>
      <x:c r="K76" s="67" t="str">
        <x:v>https://www.stonealgo.com/diamond-prices/</x:v>
      </x:c>
      <x:c r="L76" s="67" t="str">
        <x:v>https://www.pricescope.com/blog/natural-diamond-prices-september-2026</x:v>
      </x:c>
    </x:row>
    <x:row r="77">
      <x:c r="A77" t="n">
        <x:v>1</x:v>
      </x:c>
      <x:c r="B77" t="str">
        <x:v>Oval</x:v>
      </x:c>
      <x:c r="C77" t="str">
        <x:v>E</x:v>
      </x:c>
      <x:c r="D77" t="str">
        <x:v>VVS2</x:v>
      </x:c>
      <x:c r="E77" s="36" t="n">
        <x:v>3830</x:v>
      </x:c>
      <x:c r="F77" s="36" t="n">
        <x:v>6880</x:v>
      </x:c>
      <x:c r="G77" s="42" t="n">
        <x:v>1.4757614757614759</x:v>
      </x:c>
      <x:c r="H77" s="36" t="n">
        <x:f>E77*G77</x:f>
        <x:v>5652.1664521664525</x:v>
      </x:c>
      <x:c r="I77" s="36" t="n">
        <x:f>IFERROR(H77/A77,0)</x:f>
        <x:v>5652.1664521664525</x:v>
      </x:c>
      <x:c r="J77" s="67" t="str">
        <x:v>Modeled from live base + Sep-2026 quality ratio</x:v>
      </x:c>
      <x:c r="K77" s="67" t="str">
        <x:v>https://www.stonealgo.com/diamond-prices/</x:v>
      </x:c>
      <x:c r="L77" s="67" t="str">
        <x:v>https://www.pricescope.com/blog/natural-diamond-prices-september-2026</x:v>
      </x:c>
    </x:row>
    <x:row r="78">
      <x:c r="A78" t="n">
        <x:v>1</x:v>
      </x:c>
      <x:c r="B78" t="str">
        <x:v>Oval</x:v>
      </x:c>
      <x:c r="C78" t="str">
        <x:v>E</x:v>
      </x:c>
      <x:c r="D78" t="str">
        <x:v>VS1</x:v>
      </x:c>
      <x:c r="E78" s="36" t="n">
        <x:v>3830</x:v>
      </x:c>
      <x:c r="F78" s="36" t="n">
        <x:v>6307</x:v>
      </x:c>
      <x:c r="G78" s="42" t="n">
        <x:v>1.352852852852853</x:v>
      </x:c>
      <x:c r="H78" s="36" t="n">
        <x:f>E78*G78</x:f>
        <x:v>5181.426426426427</x:v>
      </x:c>
      <x:c r="I78" s="36" t="n">
        <x:f>IFERROR(H78/A78,0)</x:f>
        <x:v>5181.426426426427</x:v>
      </x:c>
      <x:c r="J78" s="67" t="str">
        <x:v>Modeled from live base + Sep-2026 quality ratio</x:v>
      </x:c>
      <x:c r="K78" s="67" t="str">
        <x:v>https://www.stonealgo.com/diamond-prices/</x:v>
      </x:c>
      <x:c r="L78" s="67" t="str">
        <x:v>https://www.pricescope.com/blog/natural-diamond-prices-september-2026</x:v>
      </x:c>
    </x:row>
    <x:row r="79">
      <x:c r="A79" t="n">
        <x:v>1</x:v>
      </x:c>
      <x:c r="B79" t="str">
        <x:v>Oval</x:v>
      </x:c>
      <x:c r="C79" t="str">
        <x:v>E</x:v>
      </x:c>
      <x:c r="D79" t="str">
        <x:v>VS2</x:v>
      </x:c>
      <x:c r="E79" s="36" t="n">
        <x:v>3830</x:v>
      </x:c>
      <x:c r="F79" s="36" t="n">
        <x:v>5249</x:v>
      </x:c>
      <x:c r="G79" s="42" t="n">
        <x:v>1.125911625911626</x:v>
      </x:c>
      <x:c r="H79" s="36" t="n">
        <x:f>E79*G79</x:f>
        <x:v>4312.241527241527</x:v>
      </x:c>
      <x:c r="I79" s="36" t="n">
        <x:f>IFERROR(H79/A79,0)</x:f>
        <x:v>4312.241527241527</x:v>
      </x:c>
      <x:c r="J79" s="67" t="str">
        <x:v>Modeled from live base + Sep-2026 quality ratio</x:v>
      </x:c>
      <x:c r="K79" s="67" t="str">
        <x:v>https://www.stonealgo.com/diamond-prices/</x:v>
      </x:c>
      <x:c r="L79" s="67" t="str">
        <x:v>https://www.pricescope.com/blog/natural-diamond-prices-september-2026</x:v>
      </x:c>
    </x:row>
    <x:row r="80">
      <x:c r="A80" t="n">
        <x:v>1</x:v>
      </x:c>
      <x:c r="B80" t="str">
        <x:v>Oval</x:v>
      </x:c>
      <x:c r="C80" t="str">
        <x:v>E</x:v>
      </x:c>
      <x:c r="D80" t="str">
        <x:v>SI1</x:v>
      </x:c>
      <x:c r="E80" s="36" t="n">
        <x:v>3830</x:v>
      </x:c>
      <x:c r="F80" s="36" t="n">
        <x:v>3551</x:v>
      </x:c>
      <x:c r="G80" s="42" t="n">
        <x:v>0.7616902616902617</x:v>
      </x:c>
      <x:c r="H80" s="36" t="n">
        <x:f>E80*G80</x:f>
        <x:v>2917.2737022737024</x:v>
      </x:c>
      <x:c r="I80" s="36" t="n">
        <x:f>IFERROR(H80/A80,0)</x:f>
        <x:v>2917.2737022737024</x:v>
      </x:c>
      <x:c r="J80" s="67" t="str">
        <x:v>Modeled from live base + Sep-2026 quality ratio</x:v>
      </x:c>
      <x:c r="K80" s="67" t="str">
        <x:v>https://www.stonealgo.com/diamond-prices/</x:v>
      </x:c>
      <x:c r="L80" s="67" t="str">
        <x:v>https://www.pricescope.com/blog/natural-diamond-prices-september-2026</x:v>
      </x:c>
    </x:row>
    <x:row r="81">
      <x:c r="A81" t="n">
        <x:v>1</x:v>
      </x:c>
      <x:c r="B81" t="str">
        <x:v>Oval</x:v>
      </x:c>
      <x:c r="C81" t="str">
        <x:v>E</x:v>
      </x:c>
      <x:c r="D81" t="str">
        <x:v>SI2</x:v>
      </x:c>
      <x:c r="E81" s="36" t="n">
        <x:v>3830</x:v>
      </x:c>
      <x:c r="F81" s="36" t="n">
        <x:v>2993</x:v>
      </x:c>
      <x:c r="G81" s="42" t="n">
        <x:v>0.641999141999142</x:v>
      </x:c>
      <x:c r="H81" s="36" t="n">
        <x:f>E81*G81</x:f>
        <x:v>2458.8567138567137</x:v>
      </x:c>
      <x:c r="I81" s="36" t="n">
        <x:f>IFERROR(H81/A81,0)</x:f>
        <x:v>2458.8567138567137</x:v>
      </x:c>
      <x:c r="J81" s="67" t="str">
        <x:v>Modeled from live base + Sep-2026 quality ratio</x:v>
      </x:c>
      <x:c r="K81" s="67" t="str">
        <x:v>https://www.stonealgo.com/diamond-prices/</x:v>
      </x:c>
      <x:c r="L81" s="67" t="str">
        <x:v>https://www.pricescope.com/blog/natural-diamond-prices-september-2026</x:v>
      </x:c>
    </x:row>
    <x:row r="82">
      <x:c r="A82" t="n">
        <x:v>1</x:v>
      </x:c>
      <x:c r="B82" t="str">
        <x:v>Oval</x:v>
      </x:c>
      <x:c r="C82" t="str">
        <x:v>F</x:v>
      </x:c>
      <x:c r="D82" t="str">
        <x:v>FL</x:v>
      </x:c>
      <x:c r="E82" s="36" t="n">
        <x:v>3830</x:v>
      </x:c>
      <x:c r="F82" s="36" t="n">
        <x:v>6830</x:v>
      </x:c>
      <x:c r="G82" s="42" t="n">
        <x:v>1.4650364650364651</x:v>
      </x:c>
      <x:c r="H82" s="36" t="n">
        <x:f>E82*G82</x:f>
        <x:v>5611.089661089662</x:v>
      </x:c>
      <x:c r="I82" s="36" t="n">
        <x:f>IFERROR(H82/A82,0)</x:f>
        <x:v>5611.089661089662</x:v>
      </x:c>
      <x:c r="J82" s="67" t="str">
        <x:v>Modeled from live base + Sep-2026 quality ratio</x:v>
      </x:c>
      <x:c r="K82" s="67" t="str">
        <x:v>https://www.stonealgo.com/diamond-prices/</x:v>
      </x:c>
      <x:c r="L82" s="67" t="str">
        <x:v>https://www.pricescope.com/blog/natural-diamond-prices-september-2026</x:v>
      </x:c>
    </x:row>
    <x:row r="83">
      <x:c r="A83" t="n">
        <x:v>1</x:v>
      </x:c>
      <x:c r="B83" t="str">
        <x:v>Oval</x:v>
      </x:c>
      <x:c r="C83" t="str">
        <x:v>F</x:v>
      </x:c>
      <x:c r="D83" t="str">
        <x:v>IF</x:v>
      </x:c>
      <x:c r="E83" s="36" t="n">
        <x:v>3830</x:v>
      </x:c>
      <x:c r="F83" s="36" t="n">
        <x:v>7302</x:v>
      </x:c>
      <x:c r="G83" s="42" t="n">
        <x:v>1.5662805662805663</x:v>
      </x:c>
      <x:c r="H83" s="36" t="n">
        <x:f>E83*G83</x:f>
        <x:v>5998.854568854569</x:v>
      </x:c>
      <x:c r="I83" s="36" t="n">
        <x:f>IFERROR(H83/A83,0)</x:f>
        <x:v>5998.854568854569</x:v>
      </x:c>
      <x:c r="J83" s="67" t="str">
        <x:v>Modeled from live base + Sep-2026 quality ratio</x:v>
      </x:c>
      <x:c r="K83" s="67" t="str">
        <x:v>https://www.stonealgo.com/diamond-prices/</x:v>
      </x:c>
      <x:c r="L83" s="67" t="str">
        <x:v>https://www.pricescope.com/blog/natural-diamond-prices-september-2026</x:v>
      </x:c>
    </x:row>
    <x:row r="84">
      <x:c r="A84" t="n">
        <x:v>1</x:v>
      </x:c>
      <x:c r="B84" t="str">
        <x:v>Oval</x:v>
      </x:c>
      <x:c r="C84" t="str">
        <x:v>F</x:v>
      </x:c>
      <x:c r="D84" t="str">
        <x:v>VVS1</x:v>
      </x:c>
      <x:c r="E84" s="36" t="n">
        <x:v>3830</x:v>
      </x:c>
      <x:c r="F84" s="36" t="n">
        <x:v>7542</x:v>
      </x:c>
      <x:c r="G84" s="42" t="n">
        <x:v>1.6177606177606179</x:v>
      </x:c>
      <x:c r="H84" s="36" t="n">
        <x:f>E84*G84</x:f>
        <x:v>6196.023166023167</x:v>
      </x:c>
      <x:c r="I84" s="36" t="n">
        <x:f>IFERROR(H84/A84,0)</x:f>
        <x:v>6196.023166023167</x:v>
      </x:c>
      <x:c r="J84" s="67" t="str">
        <x:v>Modeled from live base + Sep-2026 quality ratio</x:v>
      </x:c>
      <x:c r="K84" s="67" t="str">
        <x:v>https://www.stonealgo.com/diamond-prices/</x:v>
      </x:c>
      <x:c r="L84" s="67" t="str">
        <x:v>https://www.pricescope.com/blog/natural-diamond-prices-september-2026</x:v>
      </x:c>
    </x:row>
    <x:row r="85">
      <x:c r="A85" t="n">
        <x:v>1</x:v>
      </x:c>
      <x:c r="B85" t="str">
        <x:v>Oval</x:v>
      </x:c>
      <x:c r="C85" t="str">
        <x:v>F</x:v>
      </x:c>
      <x:c r="D85" t="str">
        <x:v>VVS2</x:v>
      </x:c>
      <x:c r="E85" s="36" t="n">
        <x:v>3830</x:v>
      </x:c>
      <x:c r="F85" s="36" t="n">
        <x:v>6352</x:v>
      </x:c>
      <x:c r="G85" s="42" t="n">
        <x:v>1.3625053625053625</x:v>
      </x:c>
      <x:c r="H85" s="36" t="n">
        <x:f>E85*G85</x:f>
        <x:v>5218.395538395538</x:v>
      </x:c>
      <x:c r="I85" s="36" t="n">
        <x:f>IFERROR(H85/A85,0)</x:f>
        <x:v>5218.395538395538</x:v>
      </x:c>
      <x:c r="J85" s="67" t="str">
        <x:v>Modeled from live base + Sep-2026 quality ratio</x:v>
      </x:c>
      <x:c r="K85" s="67" t="str">
        <x:v>https://www.stonealgo.com/diamond-prices/</x:v>
      </x:c>
      <x:c r="L85" s="67" t="str">
        <x:v>https://www.pricescope.com/blog/natural-diamond-prices-september-2026</x:v>
      </x:c>
    </x:row>
    <x:row r="86">
      <x:c r="A86" t="n">
        <x:v>1</x:v>
      </x:c>
      <x:c r="B86" t="str">
        <x:v>Oval</x:v>
      </x:c>
      <x:c r="C86" t="str">
        <x:v>F</x:v>
      </x:c>
      <x:c r="D86" t="str">
        <x:v>VS1</x:v>
      </x:c>
      <x:c r="E86" s="36" t="n">
        <x:v>3830</x:v>
      </x:c>
      <x:c r="F86" s="36" t="n">
        <x:v>5647</x:v>
      </x:c>
      <x:c r="G86" s="42" t="n">
        <x:v>1.2112827112827114</x:v>
      </x:c>
      <x:c r="H86" s="36" t="n">
        <x:f>E86*G86</x:f>
        <x:v>4639.212784212785</x:v>
      </x:c>
      <x:c r="I86" s="36" t="n">
        <x:f>IFERROR(H86/A86,0)</x:f>
        <x:v>4639.212784212785</x:v>
      </x:c>
      <x:c r="J86" s="67" t="str">
        <x:v>Modeled from live base + Sep-2026 quality ratio</x:v>
      </x:c>
      <x:c r="K86" s="67" t="str">
        <x:v>https://www.stonealgo.com/diamond-prices/</x:v>
      </x:c>
      <x:c r="L86" s="67" t="str">
        <x:v>https://www.pricescope.com/blog/natural-diamond-prices-september-2026</x:v>
      </x:c>
    </x:row>
    <x:row r="87">
      <x:c r="A87" t="n">
        <x:v>1</x:v>
      </x:c>
      <x:c r="B87" t="str">
        <x:v>Oval</x:v>
      </x:c>
      <x:c r="C87" t="str">
        <x:v>F</x:v>
      </x:c>
      <x:c r="D87" t="str">
        <x:v>VS2</x:v>
      </x:c>
      <x:c r="E87" s="36" t="n">
        <x:v>3830</x:v>
      </x:c>
      <x:c r="F87" s="36" t="n">
        <x:v>4730</x:v>
      </x:c>
      <x:c r="G87" s="42" t="n">
        <x:v>1.0145860145860146</x:v>
      </x:c>
      <x:c r="H87" s="36" t="n">
        <x:f>E87*G87</x:f>
        <x:v>3885.864435864436</x:v>
      </x:c>
      <x:c r="I87" s="36" t="n">
        <x:f>IFERROR(H87/A87,0)</x:f>
        <x:v>3885.864435864436</x:v>
      </x:c>
      <x:c r="J87" s="67" t="str">
        <x:v>Modeled from live base + Sep-2026 quality ratio</x:v>
      </x:c>
      <x:c r="K87" s="67" t="str">
        <x:v>https://www.stonealgo.com/diamond-prices/</x:v>
      </x:c>
      <x:c r="L87" s="67" t="str">
        <x:v>https://www.pricescope.com/blog/natural-diamond-prices-september-2026</x:v>
      </x:c>
    </x:row>
    <x:row r="88">
      <x:c r="A88" t="n">
        <x:v>1</x:v>
      </x:c>
      <x:c r="B88" t="str">
        <x:v>Oval</x:v>
      </x:c>
      <x:c r="C88" t="str">
        <x:v>F</x:v>
      </x:c>
      <x:c r="D88" t="str">
        <x:v>SI1</x:v>
      </x:c>
      <x:c r="E88" s="36" t="n">
        <x:v>3830</x:v>
      </x:c>
      <x:c r="F88" s="36" t="n">
        <x:v>3331</x:v>
      </x:c>
      <x:c r="G88" s="42" t="n">
        <x:v>0.7145002145002145</x:v>
      </x:c>
      <x:c r="H88" s="36" t="n">
        <x:f>E88*G88</x:f>
        <x:v>2736.5358215358215</x:v>
      </x:c>
      <x:c r="I88" s="36" t="n">
        <x:f>IFERROR(H88/A88,0)</x:f>
        <x:v>2736.5358215358215</x:v>
      </x:c>
      <x:c r="J88" s="67" t="str">
        <x:v>Modeled from live base + Sep-2026 quality ratio</x:v>
      </x:c>
      <x:c r="K88" s="67" t="str">
        <x:v>https://www.stonealgo.com/diamond-prices/</x:v>
      </x:c>
      <x:c r="L88" s="67" t="str">
        <x:v>https://www.pricescope.com/blog/natural-diamond-prices-september-2026</x:v>
      </x:c>
    </x:row>
    <x:row r="89">
      <x:c r="A89" t="n">
        <x:v>1</x:v>
      </x:c>
      <x:c r="B89" t="str">
        <x:v>Oval</x:v>
      </x:c>
      <x:c r="C89" t="str">
        <x:v>F</x:v>
      </x:c>
      <x:c r="D89" t="str">
        <x:v>SI2</x:v>
      </x:c>
      <x:c r="E89" s="36" t="n">
        <x:v>3830</x:v>
      </x:c>
      <x:c r="F89" s="36" t="n">
        <x:v>2733</x:v>
      </x:c>
      <x:c r="G89" s="42" t="n">
        <x:v>0.5862290862290862</x:v>
      </x:c>
      <x:c r="H89" s="36" t="n">
        <x:f>E89*G89</x:f>
        <x:v>2245.2574002574</x:v>
      </x:c>
      <x:c r="I89" s="36" t="n">
        <x:f>IFERROR(H89/A89,0)</x:f>
        <x:v>2245.2574002574</x:v>
      </x:c>
      <x:c r="J89" s="67" t="str">
        <x:v>Modeled from live base + Sep-2026 quality ratio</x:v>
      </x:c>
      <x:c r="K89" s="67" t="str">
        <x:v>https://www.stonealgo.com/diamond-prices/</x:v>
      </x:c>
      <x:c r="L89" s="67" t="str">
        <x:v>https://www.pricescope.com/blog/natural-diamond-prices-september-2026</x:v>
      </x:c>
    </x:row>
    <x:row r="90">
      <x:c r="A90" t="n">
        <x:v>1</x:v>
      </x:c>
      <x:c r="B90" t="str">
        <x:v>Oval</x:v>
      </x:c>
      <x:c r="C90" t="str">
        <x:v>G</x:v>
      </x:c>
      <x:c r="D90" t="str">
        <x:v>FL</x:v>
      </x:c>
      <x:c r="E90" s="36" t="n">
        <x:v>3830</x:v>
      </x:c>
      <x:c r="F90" s="36" t="n">
        <x:v>5905</x:v>
      </x:c>
      <x:c r="G90" s="42" t="n">
        <x:v>1.2666237666237665</x:v>
      </x:c>
      <x:c r="H90" s="36" t="n">
        <x:f>E90*G90</x:f>
        <x:v>4851.1690261690255</x:v>
      </x:c>
      <x:c r="I90" s="36" t="n">
        <x:f>IFERROR(H90/A90,0)</x:f>
        <x:v>4851.1690261690255</x:v>
      </x:c>
      <x:c r="J90" s="67" t="str">
        <x:v>Modeled from live base + Sep-2026 quality ratio</x:v>
      </x:c>
      <x:c r="K90" s="67" t="str">
        <x:v>https://www.stonealgo.com/diamond-prices/</x:v>
      </x:c>
      <x:c r="L90" s="67" t="str">
        <x:v>https://www.pricescope.com/blog/natural-diamond-prices-september-2026</x:v>
      </x:c>
    </x:row>
    <x:row r="91">
      <x:c r="A91" t="n">
        <x:v>1</x:v>
      </x:c>
      <x:c r="B91" t="str">
        <x:v>Oval</x:v>
      </x:c>
      <x:c r="C91" t="str">
        <x:v>G</x:v>
      </x:c>
      <x:c r="D91" t="str">
        <x:v>IF</x:v>
      </x:c>
      <x:c r="E91" s="36" t="n">
        <x:v>3830</x:v>
      </x:c>
      <x:c r="F91" s="36" t="n">
        <x:v>5601</x:v>
      </x:c>
      <x:c r="G91" s="42" t="n">
        <x:v>1.2014157014157014</x:v>
      </x:c>
      <x:c r="H91" s="36" t="n">
        <x:f>E91*G91</x:f>
        <x:v>4601.422136422137</x:v>
      </x:c>
      <x:c r="I91" s="36" t="n">
        <x:f>IFERROR(H91/A91,0)</x:f>
        <x:v>4601.422136422137</x:v>
      </x:c>
      <x:c r="J91" s="67" t="str">
        <x:v>Modeled from live base + Sep-2026 quality ratio</x:v>
      </x:c>
      <x:c r="K91" s="67" t="str">
        <x:v>https://www.stonealgo.com/diamond-prices/</x:v>
      </x:c>
      <x:c r="L91" s="67" t="str">
        <x:v>https://www.pricescope.com/blog/natural-diamond-prices-september-2026</x:v>
      </x:c>
    </x:row>
    <x:row r="92">
      <x:c r="A92" t="n">
        <x:v>1</x:v>
      </x:c>
      <x:c r="B92" t="str">
        <x:v>Oval</x:v>
      </x:c>
      <x:c r="C92" t="str">
        <x:v>G</x:v>
      </x:c>
      <x:c r="D92" t="str">
        <x:v>VVS1</x:v>
      </x:c>
      <x:c r="E92" s="36" t="n">
        <x:v>3830</x:v>
      </x:c>
      <x:c r="F92" s="36" t="n">
        <x:v>5124</x:v>
      </x:c>
      <x:c r="G92" s="42" t="n">
        <x:v>1.0990990990990992</x:v>
      </x:c>
      <x:c r="H92" s="36" t="n">
        <x:f>E92*G92</x:f>
        <x:v>4209.54954954955</x:v>
      </x:c>
      <x:c r="I92" s="36" t="n">
        <x:f>IFERROR(H92/A92,0)</x:f>
        <x:v>4209.54954954955</x:v>
      </x:c>
      <x:c r="J92" s="67" t="str">
        <x:v>Modeled from live base + Sep-2026 quality ratio</x:v>
      </x:c>
      <x:c r="K92" s="67" t="str">
        <x:v>https://www.stonealgo.com/diamond-prices/</x:v>
      </x:c>
      <x:c r="L92" s="67" t="str">
        <x:v>https://www.pricescope.com/blog/natural-diamond-prices-september-2026</x:v>
      </x:c>
    </x:row>
    <x:row r="93">
      <x:c r="A93" t="n">
        <x:v>1</x:v>
      </x:c>
      <x:c r="B93" t="str">
        <x:v>Oval</x:v>
      </x:c>
      <x:c r="C93" t="str">
        <x:v>G</x:v>
      </x:c>
      <x:c r="D93" t="str">
        <x:v>VVS2</x:v>
      </x:c>
      <x:c r="E93" s="36" t="n">
        <x:v>3830</x:v>
      </x:c>
      <x:c r="F93" s="36" t="n">
        <x:v>4962</x:v>
      </x:c>
      <x:c r="G93" s="42" t="n">
        <x:v>1.0643500643500643</x:v>
      </x:c>
      <x:c r="H93" s="36" t="n">
        <x:f>E93*G93</x:f>
        <x:v>4076.460746460746</x:v>
      </x:c>
      <x:c r="I93" s="36" t="n">
        <x:f>IFERROR(H93/A93,0)</x:f>
        <x:v>4076.460746460746</x:v>
      </x:c>
      <x:c r="J93" s="67" t="str">
        <x:v>Modeled from live base + Sep-2026 quality ratio</x:v>
      </x:c>
      <x:c r="K93" s="67" t="str">
        <x:v>https://www.stonealgo.com/diamond-prices/</x:v>
      </x:c>
      <x:c r="L93" s="67" t="str">
        <x:v>https://www.pricescope.com/blog/natural-diamond-prices-september-2026</x:v>
      </x:c>
    </x:row>
    <x:row r="94">
      <x:c r="A94" t="n">
        <x:v>1</x:v>
      </x:c>
      <x:c r="B94" t="str">
        <x:v>Oval</x:v>
      </x:c>
      <x:c r="C94" t="str">
        <x:v>G</x:v>
      </x:c>
      <x:c r="D94" t="str">
        <x:v>VS1</x:v>
      </x:c>
      <x:c r="E94" s="36" t="n">
        <x:v>3830</x:v>
      </x:c>
      <x:c r="F94" s="36" t="n">
        <x:v>4615</x:v>
      </x:c>
      <x:c r="G94" s="42" t="n">
        <x:v>0.98991848991849</x:v>
      </x:c>
      <x:c r="H94" s="36" t="n">
        <x:f>E94*G94</x:f>
        <x:v>3791.3878163878167</x:v>
      </x:c>
      <x:c r="I94" s="36" t="n">
        <x:f>IFERROR(H94/A94,0)</x:f>
        <x:v>3791.3878163878167</x:v>
      </x:c>
      <x:c r="J94" s="67" t="str">
        <x:v>Modeled from live base + Sep-2026 quality ratio</x:v>
      </x:c>
      <x:c r="K94" s="67" t="str">
        <x:v>https://www.stonealgo.com/diamond-prices/</x:v>
      </x:c>
      <x:c r="L94" s="67" t="str">
        <x:v>https://www.pricescope.com/blog/natural-diamond-prices-september-2026</x:v>
      </x:c>
    </x:row>
    <x:row r="95">
      <x:c r="A95" t="n">
        <x:v>1</x:v>
      </x:c>
      <x:c r="B95" t="str">
        <x:v>Oval</x:v>
      </x:c>
      <x:c r="C95" t="str">
        <x:v>G</x:v>
      </x:c>
      <x:c r="D95" t="str">
        <x:v>VS2</x:v>
      </x:c>
      <x:c r="E95" s="36" t="n">
        <x:v>3830</x:v>
      </x:c>
      <x:c r="F95" s="36" t="n">
        <x:v>4585</x:v>
      </x:c>
      <x:c r="G95" s="42" t="n">
        <x:v>0.9834834834834835</x:v>
      </x:c>
      <x:c r="H95" s="36" t="n">
        <x:f>E95*G95</x:f>
        <x:v>3766.741741741742</x:v>
      </x:c>
      <x:c r="I95" s="36" t="n">
        <x:f>IFERROR(H95/A95,0)</x:f>
        <x:v>3766.741741741742</x:v>
      </x:c>
      <x:c r="J95" s="67" t="str">
        <x:v>Modeled from live base + Sep-2026 quality ratio</x:v>
      </x:c>
      <x:c r="K95" s="67" t="str">
        <x:v>https://www.stonealgo.com/diamond-prices/</x:v>
      </x:c>
      <x:c r="L95" s="67" t="str">
        <x:v>https://www.pricescope.com/blog/natural-diamond-prices-september-2026</x:v>
      </x:c>
    </x:row>
    <x:row r="96">
      <x:c r="A96" t="n">
        <x:v>1</x:v>
      </x:c>
      <x:c r="B96" t="str">
        <x:v>Oval</x:v>
      </x:c>
      <x:c r="C96" t="str">
        <x:v>G</x:v>
      </x:c>
      <x:c r="D96" t="str">
        <x:v>SI1</x:v>
      </x:c>
      <x:c r="E96" s="36" t="n">
        <x:v>3830</x:v>
      </x:c>
      <x:c r="F96" s="36" t="n">
        <x:v>3664</x:v>
      </x:c>
      <x:c r="G96" s="42" t="n">
        <x:v>0.7859287859287859</x:v>
      </x:c>
      <x:c r="H96" s="36" t="n">
        <x:f>E96*G96</x:f>
        <x:v>3010.10725010725</x:v>
      </x:c>
      <x:c r="I96" s="36" t="n">
        <x:f>IFERROR(H96/A96,0)</x:f>
        <x:v>3010.10725010725</x:v>
      </x:c>
      <x:c r="J96" s="67" t="str">
        <x:v>Modeled from live base + Sep-2026 quality ratio</x:v>
      </x:c>
      <x:c r="K96" s="67" t="str">
        <x:v>https://www.stonealgo.com/diamond-prices/</x:v>
      </x:c>
      <x:c r="L96" s="67" t="str">
        <x:v>https://www.pricescope.com/blog/natural-diamond-prices-september-2026</x:v>
      </x:c>
    </x:row>
    <x:row r="97">
      <x:c r="A97" t="n">
        <x:v>1</x:v>
      </x:c>
      <x:c r="B97" t="str">
        <x:v>Oval</x:v>
      </x:c>
      <x:c r="C97" t="str">
        <x:v>G</x:v>
      </x:c>
      <x:c r="D97" t="str">
        <x:v>SI2</x:v>
      </x:c>
      <x:c r="E97" s="36" t="n">
        <x:v>3830</x:v>
      </x:c>
      <x:c r="F97" s="36" t="n">
        <x:v>2537</x:v>
      </x:c>
      <x:c r="G97" s="42" t="n">
        <x:v>0.5441870441870442</x:v>
      </x:c>
      <x:c r="H97" s="36" t="n">
        <x:f>E97*G97</x:f>
        <x:v>2084.2363792363794</x:v>
      </x:c>
      <x:c r="I97" s="36" t="n">
        <x:f>IFERROR(H97/A97,0)</x:f>
        <x:v>2084.2363792363794</x:v>
      </x:c>
      <x:c r="J97" s="67" t="str">
        <x:v>Modeled from live base + Sep-2026 quality ratio</x:v>
      </x:c>
      <x:c r="K97" s="67" t="str">
        <x:v>https://www.stonealgo.com/diamond-prices/</x:v>
      </x:c>
      <x:c r="L97" s="67" t="str">
        <x:v>https://www.pricescope.com/blog/natural-diamond-prices-september-2026</x:v>
      </x:c>
    </x:row>
    <x:row r="98">
      <x:c r="A98" t="n">
        <x:v>1</x:v>
      </x:c>
      <x:c r="B98" t="str">
        <x:v>Oval</x:v>
      </x:c>
      <x:c r="C98" t="str">
        <x:v>H</x:v>
      </x:c>
      <x:c r="D98" t="str">
        <x:v>FL</x:v>
      </x:c>
      <x:c r="E98" s="36" t="n">
        <x:v>3830</x:v>
      </x:c>
      <x:c r="F98" s="36" t="n">
        <x:v>4563</x:v>
      </x:c>
      <x:c r="G98" s="42" t="n">
        <x:v>0.9787644787644788</x:v>
      </x:c>
      <x:c r="H98" s="36" t="n">
        <x:f>E98*G98</x:f>
        <x:v>3748.667953667954</x:v>
      </x:c>
      <x:c r="I98" s="36" t="n">
        <x:f>IFERROR(H98/A98,0)</x:f>
        <x:v>3748.667953667954</x:v>
      </x:c>
      <x:c r="J98" s="67" t="str">
        <x:v>Modeled from live base + Sep-2026 quality ratio</x:v>
      </x:c>
      <x:c r="K98" s="67" t="str">
        <x:v>https://www.stonealgo.com/diamond-prices/</x:v>
      </x:c>
      <x:c r="L98" s="67" t="str">
        <x:v>https://www.pricescope.com/blog/natural-diamond-prices-september-2026</x:v>
      </x:c>
    </x:row>
    <x:row r="99">
      <x:c r="A99" t="n">
        <x:v>1</x:v>
      </x:c>
      <x:c r="B99" t="str">
        <x:v>Oval</x:v>
      </x:c>
      <x:c r="C99" t="str">
        <x:v>H</x:v>
      </x:c>
      <x:c r="D99" t="str">
        <x:v>IF</x:v>
      </x:c>
      <x:c r="E99" s="36" t="n">
        <x:v>3830</x:v>
      </x:c>
      <x:c r="F99" s="36" t="n">
        <x:v>4809</x:v>
      </x:c>
      <x:c r="G99" s="42" t="n">
        <x:v>1.0315315315315314</x:v>
      </x:c>
      <x:c r="H99" s="36" t="n">
        <x:f>E99*G99</x:f>
        <x:v>3950.7657657657655</x:v>
      </x:c>
      <x:c r="I99" s="36" t="n">
        <x:f>IFERROR(H99/A99,0)</x:f>
        <x:v>3950.7657657657655</x:v>
      </x:c>
      <x:c r="J99" s="67" t="str">
        <x:v>Modeled from live base + Sep-2026 quality ratio</x:v>
      </x:c>
      <x:c r="K99" s="67" t="str">
        <x:v>https://www.stonealgo.com/diamond-prices/</x:v>
      </x:c>
      <x:c r="L99" s="67" t="str">
        <x:v>https://www.pricescope.com/blog/natural-diamond-prices-september-2026</x:v>
      </x:c>
    </x:row>
    <x:row r="100">
      <x:c r="A100" t="n">
        <x:v>1</x:v>
      </x:c>
      <x:c r="B100" t="str">
        <x:v>Oval</x:v>
      </x:c>
      <x:c r="C100" t="str">
        <x:v>H</x:v>
      </x:c>
      <x:c r="D100" t="str">
        <x:v>VVS1</x:v>
      </x:c>
      <x:c r="E100" s="36" t="n">
        <x:v>3830</x:v>
      </x:c>
      <x:c r="F100" s="36" t="n">
        <x:v>4911</x:v>
      </x:c>
      <x:c r="G100" s="42" t="n">
        <x:v>1.0534105534105533</x:v>
      </x:c>
      <x:c r="H100" s="36" t="n">
        <x:f>E100*G100</x:f>
        <x:v>4034.562419562419</x:v>
      </x:c>
      <x:c r="I100" s="36" t="n">
        <x:f>IFERROR(H100/A100,0)</x:f>
        <x:v>4034.562419562419</x:v>
      </x:c>
      <x:c r="J100" s="67" t="str">
        <x:v>Modeled from live base + Sep-2026 quality ratio</x:v>
      </x:c>
      <x:c r="K100" s="67" t="str">
        <x:v>https://www.stonealgo.com/diamond-prices/</x:v>
      </x:c>
      <x:c r="L100" s="67" t="str">
        <x:v>https://www.pricescope.com/blog/natural-diamond-prices-september-2026</x:v>
      </x:c>
    </x:row>
    <x:row r="101">
      <x:c r="A101" t="n">
        <x:v>1</x:v>
      </x:c>
      <x:c r="B101" t="str">
        <x:v>Oval</x:v>
      </x:c>
      <x:c r="C101" t="str">
        <x:v>H</x:v>
      </x:c>
      <x:c r="D101" t="str">
        <x:v>VVS2</x:v>
      </x:c>
      <x:c r="E101" s="36" t="n">
        <x:v>3830</x:v>
      </x:c>
      <x:c r="F101" s="36" t="n">
        <x:v>4046</x:v>
      </x:c>
      <x:c r="G101" s="42" t="n">
        <x:v>0.8678678678678678</x:v>
      </x:c>
      <x:c r="H101" s="36" t="n">
        <x:f>E101*G101</x:f>
        <x:v>3323.933933933934</x:v>
      </x:c>
      <x:c r="I101" s="36" t="n">
        <x:f>IFERROR(H101/A101,0)</x:f>
        <x:v>3323.933933933934</x:v>
      </x:c>
      <x:c r="J101" s="67" t="str">
        <x:v>Modeled from live base + Sep-2026 quality ratio</x:v>
      </x:c>
      <x:c r="K101" s="67" t="str">
        <x:v>https://www.stonealgo.com/diamond-prices/</x:v>
      </x:c>
      <x:c r="L101" s="67" t="str">
        <x:v>https://www.pricescope.com/blog/natural-diamond-prices-september-2026</x:v>
      </x:c>
    </x:row>
    <x:row r="102">
      <x:c r="A102" t="n">
        <x:v>1</x:v>
      </x:c>
      <x:c r="B102" t="str">
        <x:v>Oval</x:v>
      </x:c>
      <x:c r="C102" t="str">
        <x:v>H</x:v>
      </x:c>
      <x:c r="D102" t="str">
        <x:v>VS1</x:v>
      </x:c>
      <x:c r="E102" s="36" t="n">
        <x:v>3830</x:v>
      </x:c>
      <x:c r="F102" s="36" t="n">
        <x:v>3893</x:v>
      </x:c>
      <x:c r="G102" s="42" t="n">
        <x:v>0.8350493350493351</x:v>
      </x:c>
      <x:c r="H102" s="36" t="n">
        <x:f>E102*G102</x:f>
        <x:v>3198.2389532389534</x:v>
      </x:c>
      <x:c r="I102" s="36" t="n">
        <x:f>IFERROR(H102/A102,0)</x:f>
        <x:v>3198.2389532389534</x:v>
      </x:c>
      <x:c r="J102" s="67" t="str">
        <x:v>Modeled from live base + Sep-2026 quality ratio</x:v>
      </x:c>
      <x:c r="K102" s="67" t="str">
        <x:v>https://www.stonealgo.com/diamond-prices/</x:v>
      </x:c>
      <x:c r="L102" s="67" t="str">
        <x:v>https://www.pricescope.com/blog/natural-diamond-prices-september-2026</x:v>
      </x:c>
    </x:row>
    <x:row r="103">
      <x:c r="A103" t="n">
        <x:v>1</x:v>
      </x:c>
      <x:c r="B103" t="str">
        <x:v>Oval</x:v>
      </x:c>
      <x:c r="C103" t="str">
        <x:v>H</x:v>
      </x:c>
      <x:c r="D103" t="str">
        <x:v>VS2</x:v>
      </x:c>
      <x:c r="E103" s="36" t="n">
        <x:v>3830</x:v>
      </x:c>
      <x:c r="F103" s="36" t="n">
        <x:v>3989</x:v>
      </x:c>
      <x:c r="G103" s="42" t="n">
        <x:v>0.8556413556413557</x:v>
      </x:c>
      <x:c r="H103" s="36" t="n">
        <x:f>E103*G103</x:f>
        <x:v>3277.1063921063924</x:v>
      </x:c>
      <x:c r="I103" s="36" t="n">
        <x:f>IFERROR(H103/A103,0)</x:f>
        <x:v>3277.1063921063924</x:v>
      </x:c>
      <x:c r="J103" s="67" t="str">
        <x:v>Modeled from live base + Sep-2026 quality ratio</x:v>
      </x:c>
      <x:c r="K103" s="67" t="str">
        <x:v>https://www.stonealgo.com/diamond-prices/</x:v>
      </x:c>
      <x:c r="L103" s="67" t="str">
        <x:v>https://www.pricescope.com/blog/natural-diamond-prices-september-2026</x:v>
      </x:c>
    </x:row>
    <x:row r="104">
      <x:c r="A104" t="n">
        <x:v>1</x:v>
      </x:c>
      <x:c r="B104" t="str">
        <x:v>Oval</x:v>
      </x:c>
      <x:c r="C104" t="str">
        <x:v>H</x:v>
      </x:c>
      <x:c r="D104" t="str">
        <x:v>SI1</x:v>
      </x:c>
      <x:c r="E104" s="36" t="n">
        <x:v>3830</x:v>
      </x:c>
      <x:c r="F104" s="36" t="n">
        <x:v>2828</x:v>
      </x:c>
      <x:c r="G104" s="42" t="n">
        <x:v>0.6066066066066066</x:v>
      </x:c>
      <x:c r="H104" s="36" t="n">
        <x:f>E104*G104</x:f>
        <x:v>2323.3033033033034</x:v>
      </x:c>
      <x:c r="I104" s="36" t="n">
        <x:f>IFERROR(H104/A104,0)</x:f>
        <x:v>2323.3033033033034</x:v>
      </x:c>
      <x:c r="J104" s="67" t="str">
        <x:v>Modeled from live base + Sep-2026 quality ratio</x:v>
      </x:c>
      <x:c r="K104" s="67" t="str">
        <x:v>https://www.stonealgo.com/diamond-prices/</x:v>
      </x:c>
      <x:c r="L104" s="67" t="str">
        <x:v>https://www.pricescope.com/blog/natural-diamond-prices-september-2026</x:v>
      </x:c>
    </x:row>
    <x:row r="105">
      <x:c r="A105" t="n">
        <x:v>1</x:v>
      </x:c>
      <x:c r="B105" t="str">
        <x:v>Oval</x:v>
      </x:c>
      <x:c r="C105" t="str">
        <x:v>H</x:v>
      </x:c>
      <x:c r="D105" t="str">
        <x:v>SI2</x:v>
      </x:c>
      <x:c r="E105" s="36" t="n">
        <x:v>3830</x:v>
      </x:c>
      <x:c r="F105" s="36" t="n">
        <x:v>2328</x:v>
      </x:c>
      <x:c r="G105" s="42" t="n">
        <x:v>0.49935649935649934</x:v>
      </x:c>
      <x:c r="H105" s="36" t="n">
        <x:f>E105*G105</x:f>
        <x:v>1912.5353925353925</x:v>
      </x:c>
      <x:c r="I105" s="36" t="n">
        <x:f>IFERROR(H105/A105,0)</x:f>
        <x:v>1912.5353925353925</x:v>
      </x:c>
      <x:c r="J105" s="67" t="str">
        <x:v>Modeled from live base + Sep-2026 quality ratio</x:v>
      </x:c>
      <x:c r="K105" s="67" t="str">
        <x:v>https://www.stonealgo.com/diamond-prices/</x:v>
      </x:c>
      <x:c r="L105" s="67" t="str">
        <x:v>https://www.pricescope.com/blog/natural-diamond-prices-september-2026</x:v>
      </x:c>
    </x:row>
    <x:row r="106">
      <x:c r="A106" t="n">
        <x:v>1</x:v>
      </x:c>
      <x:c r="B106" t="str">
        <x:v>Oval</x:v>
      </x:c>
      <x:c r="C106" t="str">
        <x:v>I</x:v>
      </x:c>
      <x:c r="D106" t="str">
        <x:v>FL</x:v>
      </x:c>
      <x:c r="E106" s="36" t="n">
        <x:v>3830</x:v>
      </x:c>
      <x:c r="F106" s="36" t="n">
        <x:v>4623</x:v>
      </x:c>
      <x:c r="G106" s="42" t="n">
        <x:v>0.9916344916344917</x:v>
      </x:c>
      <x:c r="H106" s="36" t="n">
        <x:f>E106*G106</x:f>
        <x:v>3797.960102960103</x:v>
      </x:c>
      <x:c r="I106" s="36" t="n">
        <x:f>IFERROR(H106/A106,0)</x:f>
        <x:v>3797.960102960103</x:v>
      </x:c>
      <x:c r="J106" s="67" t="str">
        <x:v>Modeled from live base + Sep-2026 quality ratio</x:v>
      </x:c>
      <x:c r="K106" s="67" t="str">
        <x:v>https://www.stonealgo.com/diamond-prices/</x:v>
      </x:c>
      <x:c r="L106" s="67" t="str">
        <x:v>https://www.pricescope.com/blog/natural-diamond-prices-september-2026</x:v>
      </x:c>
    </x:row>
    <x:row r="107">
      <x:c r="A107" t="n">
        <x:v>1</x:v>
      </x:c>
      <x:c r="B107" t="str">
        <x:v>Oval</x:v>
      </x:c>
      <x:c r="C107" t="str">
        <x:v>I</x:v>
      </x:c>
      <x:c r="D107" t="str">
        <x:v>IF</x:v>
      </x:c>
      <x:c r="E107" s="36" t="n">
        <x:v>3830</x:v>
      </x:c>
      <x:c r="F107" s="36" t="n">
        <x:v>4005</x:v>
      </x:c>
      <x:c r="G107" s="42" t="n">
        <x:v>0.859073359073359</x:v>
      </x:c>
      <x:c r="H107" s="36" t="n">
        <x:f>E107*G107</x:f>
        <x:v>3290.2509652509652</x:v>
      </x:c>
      <x:c r="I107" s="36" t="n">
        <x:f>IFERROR(H107/A107,0)</x:f>
        <x:v>3290.2509652509652</x:v>
      </x:c>
      <x:c r="J107" s="67" t="str">
        <x:v>Modeled from live base + Sep-2026 quality ratio</x:v>
      </x:c>
      <x:c r="K107" s="67" t="str">
        <x:v>https://www.stonealgo.com/diamond-prices/</x:v>
      </x:c>
      <x:c r="L107" s="67" t="str">
        <x:v>https://www.pricescope.com/blog/natural-diamond-prices-september-2026</x:v>
      </x:c>
    </x:row>
    <x:row r="108">
      <x:c r="A108" t="n">
        <x:v>1</x:v>
      </x:c>
      <x:c r="B108" t="str">
        <x:v>Oval</x:v>
      </x:c>
      <x:c r="C108" t="str">
        <x:v>I</x:v>
      </x:c>
      <x:c r="D108" t="str">
        <x:v>VVS1</x:v>
      </x:c>
      <x:c r="E108" s="36" t="n">
        <x:v>3830</x:v>
      </x:c>
      <x:c r="F108" s="36" t="n">
        <x:v>3670</x:v>
      </x:c>
      <x:c r="G108" s="42" t="n">
        <x:v>0.7872157872157872</x:v>
      </x:c>
      <x:c r="H108" s="36" t="n">
        <x:f>E108*G108</x:f>
        <x:v>3015.036465036465</x:v>
      </x:c>
      <x:c r="I108" s="36" t="n">
        <x:f>IFERROR(H108/A108,0)</x:f>
        <x:v>3015.036465036465</x:v>
      </x:c>
      <x:c r="J108" s="67" t="str">
        <x:v>Modeled from live base + Sep-2026 quality ratio</x:v>
      </x:c>
      <x:c r="K108" s="67" t="str">
        <x:v>https://www.stonealgo.com/diamond-prices/</x:v>
      </x:c>
      <x:c r="L108" s="67" t="str">
        <x:v>https://www.pricescope.com/blog/natural-diamond-prices-september-2026</x:v>
      </x:c>
    </x:row>
    <x:row r="109">
      <x:c r="A109" t="n">
        <x:v>1</x:v>
      </x:c>
      <x:c r="B109" t="str">
        <x:v>Oval</x:v>
      </x:c>
      <x:c r="C109" t="str">
        <x:v>I</x:v>
      </x:c>
      <x:c r="D109" t="str">
        <x:v>VVS2</x:v>
      </x:c>
      <x:c r="E109" s="36" t="n">
        <x:v>3830</x:v>
      </x:c>
      <x:c r="F109" s="36" t="n">
        <x:v>3447</x:v>
      </x:c>
      <x:c r="G109" s="42" t="n">
        <x:v>0.7393822393822393</x:v>
      </x:c>
      <x:c r="H109" s="36" t="n">
        <x:f>E109*G109</x:f>
        <x:v>2831.8339768339765</x:v>
      </x:c>
      <x:c r="I109" s="36" t="n">
        <x:f>IFERROR(H109/A109,0)</x:f>
        <x:v>2831.8339768339765</x:v>
      </x:c>
      <x:c r="J109" s="67" t="str">
        <x:v>Modeled from live base + Sep-2026 quality ratio</x:v>
      </x:c>
      <x:c r="K109" s="67" t="str">
        <x:v>https://www.stonealgo.com/diamond-prices/</x:v>
      </x:c>
      <x:c r="L109" s="67" t="str">
        <x:v>https://www.pricescope.com/blog/natural-diamond-prices-september-2026</x:v>
      </x:c>
    </x:row>
    <x:row r="110">
      <x:c r="A110" t="n">
        <x:v>1</x:v>
      </x:c>
      <x:c r="B110" t="str">
        <x:v>Oval</x:v>
      </x:c>
      <x:c r="C110" t="str">
        <x:v>I</x:v>
      </x:c>
      <x:c r="D110" t="str">
        <x:v>VS1</x:v>
      </x:c>
      <x:c r="E110" s="36" t="n">
        <x:v>3830</x:v>
      </x:c>
      <x:c r="F110" s="36" t="n">
        <x:v>3313</x:v>
      </x:c>
      <x:c r="G110" s="42" t="n">
        <x:v>0.7106392106392107</x:v>
      </x:c>
      <x:c r="H110" s="36" t="n">
        <x:f>E110*G110</x:f>
        <x:v>2721.748176748177</x:v>
      </x:c>
      <x:c r="I110" s="36" t="n">
        <x:f>IFERROR(H110/A110,0)</x:f>
        <x:v>2721.748176748177</x:v>
      </x:c>
      <x:c r="J110" s="67" t="str">
        <x:v>Modeled from live base + Sep-2026 quality ratio</x:v>
      </x:c>
      <x:c r="K110" s="67" t="str">
        <x:v>https://www.stonealgo.com/diamond-prices/</x:v>
      </x:c>
      <x:c r="L110" s="67" t="str">
        <x:v>https://www.pricescope.com/blog/natural-diamond-prices-september-2026</x:v>
      </x:c>
    </x:row>
    <x:row r="111">
      <x:c r="A111" t="n">
        <x:v>1</x:v>
      </x:c>
      <x:c r="B111" t="str">
        <x:v>Oval</x:v>
      </x:c>
      <x:c r="C111" t="str">
        <x:v>I</x:v>
      </x:c>
      <x:c r="D111" t="str">
        <x:v>VS2</x:v>
      </x:c>
      <x:c r="E111" s="36" t="n">
        <x:v>3830</x:v>
      </x:c>
      <x:c r="F111" s="36" t="n">
        <x:v>3240</x:v>
      </x:c>
      <x:c r="G111" s="42" t="n">
        <x:v>0.694980694980695</x:v>
      </x:c>
      <x:c r="H111" s="36" t="n">
        <x:f>E111*G111</x:f>
        <x:v>2661.776061776062</x:v>
      </x:c>
      <x:c r="I111" s="36" t="n">
        <x:f>IFERROR(H111/A111,0)</x:f>
        <x:v>2661.776061776062</x:v>
      </x:c>
      <x:c r="J111" s="67" t="str">
        <x:v>Modeled from live base + Sep-2026 quality ratio</x:v>
      </x:c>
      <x:c r="K111" s="67" t="str">
        <x:v>https://www.stonealgo.com/diamond-prices/</x:v>
      </x:c>
      <x:c r="L111" s="67" t="str">
        <x:v>https://www.pricescope.com/blog/natural-diamond-prices-september-2026</x:v>
      </x:c>
    </x:row>
    <x:row r="112">
      <x:c r="A112" t="n">
        <x:v>1</x:v>
      </x:c>
      <x:c r="B112" t="str">
        <x:v>Oval</x:v>
      </x:c>
      <x:c r="C112" t="str">
        <x:v>I</x:v>
      </x:c>
      <x:c r="D112" t="str">
        <x:v>SI1</x:v>
      </x:c>
      <x:c r="E112" s="36" t="n">
        <x:v>3830</x:v>
      </x:c>
      <x:c r="F112" s="36" t="n">
        <x:v>3199</x:v>
      </x:c>
      <x:c r="G112" s="42" t="n">
        <x:v>0.6861861861861862</x:v>
      </x:c>
      <x:c r="H112" s="36" t="n">
        <x:f>E112*G112</x:f>
        <x:v>2628.093093093093</x:v>
      </x:c>
      <x:c r="I112" s="36" t="n">
        <x:f>IFERROR(H112/A112,0)</x:f>
        <x:v>2628.093093093093</x:v>
      </x:c>
      <x:c r="J112" s="67" t="str">
        <x:v>Modeled from live base + Sep-2026 quality ratio</x:v>
      </x:c>
      <x:c r="K112" s="67" t="str">
        <x:v>https://www.stonealgo.com/diamond-prices/</x:v>
      </x:c>
      <x:c r="L112" s="67" t="str">
        <x:v>https://www.pricescope.com/blog/natural-diamond-prices-september-2026</x:v>
      </x:c>
    </x:row>
    <x:row r="113">
      <x:c r="A113" t="n">
        <x:v>1</x:v>
      </x:c>
      <x:c r="B113" t="str">
        <x:v>Oval</x:v>
      </x:c>
      <x:c r="C113" t="str">
        <x:v>I</x:v>
      </x:c>
      <x:c r="D113" t="str">
        <x:v>SI2</x:v>
      </x:c>
      <x:c r="E113" s="36" t="n">
        <x:v>3830</x:v>
      </x:c>
      <x:c r="F113" s="36" t="n">
        <x:v>2874</x:v>
      </x:c>
      <x:c r="G113" s="42" t="n">
        <x:v>0.6164736164736164</x:v>
      </x:c>
      <x:c r="H113" s="36" t="n">
        <x:f>E113*G113</x:f>
        <x:v>2361.093951093951</x:v>
      </x:c>
      <x:c r="I113" s="36" t="n">
        <x:f>IFERROR(H113/A113,0)</x:f>
        <x:v>2361.093951093951</x:v>
      </x:c>
      <x:c r="J113" s="67" t="str">
        <x:v>Modeled from live base + Sep-2026 quality ratio</x:v>
      </x:c>
      <x:c r="K113" s="67" t="str">
        <x:v>https://www.stonealgo.com/diamond-prices/</x:v>
      </x:c>
      <x:c r="L113" s="67" t="str">
        <x:v>https://www.pricescope.com/blog/natural-diamond-prices-september-2026</x:v>
      </x:c>
    </x:row>
    <x:row r="114">
      <x:c r="A114" t="n">
        <x:v>1</x:v>
      </x:c>
      <x:c r="B114" t="str">
        <x:v>Oval</x:v>
      </x:c>
      <x:c r="C114" t="str">
        <x:v>J</x:v>
      </x:c>
      <x:c r="D114" t="str">
        <x:v>FL</x:v>
      </x:c>
      <x:c r="E114" s="36" t="n">
        <x:v>3830</x:v>
      </x:c>
      <x:c r="F114" s="36" t="n">
        <x:v>3646</x:v>
      </x:c>
      <x:c r="G114" s="42" t="n">
        <x:v>0.782067782067782</x:v>
      </x:c>
      <x:c r="H114" s="36" t="n">
        <x:f>E114*G114</x:f>
        <x:v>2995.319605319605</x:v>
      </x:c>
      <x:c r="I114" s="36" t="n">
        <x:f>IFERROR(H114/A114,0)</x:f>
        <x:v>2995.319605319605</x:v>
      </x:c>
      <x:c r="J114" s="67" t="str">
        <x:v>Modeled from live base + Sep-2026 quality ratio</x:v>
      </x:c>
      <x:c r="K114" s="67" t="str">
        <x:v>https://www.stonealgo.com/diamond-prices/</x:v>
      </x:c>
      <x:c r="L114" s="67" t="str">
        <x:v>https://www.pricescope.com/blog/natural-diamond-prices-september-2026</x:v>
      </x:c>
    </x:row>
    <x:row r="115">
      <x:c r="A115" t="n">
        <x:v>1</x:v>
      </x:c>
      <x:c r="B115" t="str">
        <x:v>Oval</x:v>
      </x:c>
      <x:c r="C115" t="str">
        <x:v>J</x:v>
      </x:c>
      <x:c r="D115" t="str">
        <x:v>IF</x:v>
      </x:c>
      <x:c r="E115" s="36" t="n">
        <x:v>3830</x:v>
      </x:c>
      <x:c r="F115" s="36" t="n">
        <x:v>3368</x:v>
      </x:c>
      <x:c r="G115" s="42" t="n">
        <x:v>0.7224367224367224</x:v>
      </x:c>
      <x:c r="H115" s="36" t="n">
        <x:f>E115*G115</x:f>
        <x:v>2766.932646932647</x:v>
      </x:c>
      <x:c r="I115" s="36" t="n">
        <x:f>IFERROR(H115/A115,0)</x:f>
        <x:v>2766.932646932647</x:v>
      </x:c>
      <x:c r="J115" s="67" t="str">
        <x:v>Modeled from live base + Sep-2026 quality ratio</x:v>
      </x:c>
      <x:c r="K115" s="67" t="str">
        <x:v>https://www.stonealgo.com/diamond-prices/</x:v>
      </x:c>
      <x:c r="L115" s="67" t="str">
        <x:v>https://www.pricescope.com/blog/natural-diamond-prices-september-2026</x:v>
      </x:c>
    </x:row>
    <x:row r="116">
      <x:c r="A116" t="n">
        <x:v>1</x:v>
      </x:c>
      <x:c r="B116" t="str">
        <x:v>Oval</x:v>
      </x:c>
      <x:c r="C116" t="str">
        <x:v>J</x:v>
      </x:c>
      <x:c r="D116" t="str">
        <x:v>VVS1</x:v>
      </x:c>
      <x:c r="E116" s="36" t="n">
        <x:v>3830</x:v>
      </x:c>
      <x:c r="F116" s="36" t="n">
        <x:v>2956</x:v>
      </x:c>
      <x:c r="G116" s="42" t="n">
        <x:v>0.6340626340626341</x:v>
      </x:c>
      <x:c r="H116" s="36" t="n">
        <x:f>E116*G116</x:f>
        <x:v>2428.4598884598886</x:v>
      </x:c>
      <x:c r="I116" s="36" t="n">
        <x:f>IFERROR(H116/A116,0)</x:f>
        <x:v>2428.4598884598886</x:v>
      </x:c>
      <x:c r="J116" s="67" t="str">
        <x:v>Modeled from live base + Sep-2026 quality ratio</x:v>
      </x:c>
      <x:c r="K116" s="67" t="str">
        <x:v>https://www.stonealgo.com/diamond-prices/</x:v>
      </x:c>
      <x:c r="L116" s="67" t="str">
        <x:v>https://www.pricescope.com/blog/natural-diamond-prices-september-2026</x:v>
      </x:c>
    </x:row>
    <x:row r="117">
      <x:c r="A117" t="n">
        <x:v>1</x:v>
      </x:c>
      <x:c r="B117" t="str">
        <x:v>Oval</x:v>
      </x:c>
      <x:c r="C117" t="str">
        <x:v>J</x:v>
      </x:c>
      <x:c r="D117" t="str">
        <x:v>VVS2</x:v>
      </x:c>
      <x:c r="E117" s="36" t="n">
        <x:v>3830</x:v>
      </x:c>
      <x:c r="F117" s="36" t="n">
        <x:v>2612</x:v>
      </x:c>
      <x:c r="G117" s="42" t="n">
        <x:v>0.5602745602745602</x:v>
      </x:c>
      <x:c r="H117" s="36" t="n">
        <x:f>E117*G117</x:f>
        <x:v>2145.8515658515657</x:v>
      </x:c>
      <x:c r="I117" s="36" t="n">
        <x:f>IFERROR(H117/A117,0)</x:f>
        <x:v>2145.8515658515657</x:v>
      </x:c>
      <x:c r="J117" s="67" t="str">
        <x:v>Modeled from live base + Sep-2026 quality ratio</x:v>
      </x:c>
      <x:c r="K117" s="67" t="str">
        <x:v>https://www.stonealgo.com/diamond-prices/</x:v>
      </x:c>
      <x:c r="L117" s="67" t="str">
        <x:v>https://www.pricescope.com/blog/natural-diamond-prices-september-2026</x:v>
      </x:c>
    </x:row>
    <x:row r="118">
      <x:c r="A118" t="n">
        <x:v>1</x:v>
      </x:c>
      <x:c r="B118" t="str">
        <x:v>Oval</x:v>
      </x:c>
      <x:c r="C118" t="str">
        <x:v>J</x:v>
      </x:c>
      <x:c r="D118" t="str">
        <x:v>VS1</x:v>
      </x:c>
      <x:c r="E118" s="36" t="n">
        <x:v>3830</x:v>
      </x:c>
      <x:c r="F118" s="36" t="n">
        <x:v>3002</x:v>
      </x:c>
      <x:c r="G118" s="42" t="n">
        <x:v>0.6439296439296439</x:v>
      </x:c>
      <x:c r="H118" s="36" t="n">
        <x:f>E118*G118</x:f>
        <x:v>2466.2505362505362</x:v>
      </x:c>
      <x:c r="I118" s="36" t="n">
        <x:f>IFERROR(H118/A118,0)</x:f>
        <x:v>2466.2505362505362</x:v>
      </x:c>
      <x:c r="J118" s="67" t="str">
        <x:v>Modeled from live base + Sep-2026 quality ratio</x:v>
      </x:c>
      <x:c r="K118" s="67" t="str">
        <x:v>https://www.stonealgo.com/diamond-prices/</x:v>
      </x:c>
      <x:c r="L118" s="67" t="str">
        <x:v>https://www.pricescope.com/blog/natural-diamond-prices-september-2026</x:v>
      </x:c>
    </x:row>
    <x:row r="119">
      <x:c r="A119" t="n">
        <x:v>1</x:v>
      </x:c>
      <x:c r="B119" t="str">
        <x:v>Oval</x:v>
      </x:c>
      <x:c r="C119" t="str">
        <x:v>J</x:v>
      </x:c>
      <x:c r="D119" t="str">
        <x:v>VS2</x:v>
      </x:c>
      <x:c r="E119" s="36" t="n">
        <x:v>3830</x:v>
      </x:c>
      <x:c r="F119" s="36" t="n">
        <x:v>2559</x:v>
      </x:c>
      <x:c r="G119" s="42" t="n">
        <x:v>0.5489060489060489</x:v>
      </x:c>
      <x:c r="H119" s="36" t="n">
        <x:f>E119*G119</x:f>
        <x:v>2102.3101673101673</x:v>
      </x:c>
      <x:c r="I119" s="36" t="n">
        <x:f>IFERROR(H119/A119,0)</x:f>
        <x:v>2102.3101673101673</x:v>
      </x:c>
      <x:c r="J119" s="67" t="str">
        <x:v>Modeled from live base + Sep-2026 quality ratio</x:v>
      </x:c>
      <x:c r="K119" s="67" t="str">
        <x:v>https://www.stonealgo.com/diamond-prices/</x:v>
      </x:c>
      <x:c r="L119" s="67" t="str">
        <x:v>https://www.pricescope.com/blog/natural-diamond-prices-september-2026</x:v>
      </x:c>
    </x:row>
    <x:row r="120">
      <x:c r="A120" t="n">
        <x:v>1</x:v>
      </x:c>
      <x:c r="B120" t="str">
        <x:v>Oval</x:v>
      </x:c>
      <x:c r="C120" t="str">
        <x:v>J</x:v>
      </x:c>
      <x:c r="D120" t="str">
        <x:v>SI1</x:v>
      </x:c>
      <x:c r="E120" s="36" t="n">
        <x:v>3830</x:v>
      </x:c>
      <x:c r="F120" s="36" t="n">
        <x:v>2195</x:v>
      </x:c>
      <x:c r="G120" s="42" t="n">
        <x:v>0.47082797082797084</x:v>
      </x:c>
      <x:c r="H120" s="36" t="n">
        <x:f>E120*G120</x:f>
        <x:v>1803.2711282711284</x:v>
      </x:c>
      <x:c r="I120" s="36" t="n">
        <x:f>IFERROR(H120/A120,0)</x:f>
        <x:v>1803.2711282711284</x:v>
      </x:c>
      <x:c r="J120" s="67" t="str">
        <x:v>Modeled from live base + Sep-2026 quality ratio</x:v>
      </x:c>
      <x:c r="K120" s="67" t="str">
        <x:v>https://www.stonealgo.com/diamond-prices/</x:v>
      </x:c>
      <x:c r="L120" s="67" t="str">
        <x:v>https://www.pricescope.com/blog/natural-diamond-prices-september-2026</x:v>
      </x:c>
    </x:row>
    <x:row r="121">
      <x:c r="A121" t="n">
        <x:v>1</x:v>
      </x:c>
      <x:c r="B121" t="str">
        <x:v>Oval</x:v>
      </x:c>
      <x:c r="C121" t="str">
        <x:v>J</x:v>
      </x:c>
      <x:c r="D121" t="str">
        <x:v>SI2</x:v>
      </x:c>
      <x:c r="E121" s="36" t="n">
        <x:v>3830</x:v>
      </x:c>
      <x:c r="F121" s="36" t="n">
        <x:v>2079</x:v>
      </x:c>
      <x:c r="G121" s="42" t="n">
        <x:v>0.44594594594594594</x:v>
      </x:c>
      <x:c r="H121" s="36" t="n">
        <x:f>E121*G121</x:f>
        <x:v>1707.972972972973</x:v>
      </x:c>
      <x:c r="I121" s="36" t="n">
        <x:f>IFERROR(H121/A121,0)</x:f>
        <x:v>1707.972972972973</x:v>
      </x:c>
      <x:c r="J121" s="67" t="str">
        <x:v>Modeled from live base + Sep-2026 quality ratio</x:v>
      </x:c>
      <x:c r="K121" s="67" t="str">
        <x:v>https://www.stonealgo.com/diamond-prices/</x:v>
      </x:c>
      <x:c r="L121" s="67" t="str">
        <x:v>https://www.pricescope.com/blog/natural-diamond-prices-september-2026</x:v>
      </x:c>
    </x:row>
    <x:row r="122">
      <x:c r="A122" t="n">
        <x:v>1</x:v>
      </x:c>
      <x:c r="B122" t="str">
        <x:v>Oval</x:v>
      </x:c>
      <x:c r="C122" t="str">
        <x:v>K</x:v>
      </x:c>
      <x:c r="D122" t="str">
        <x:v>FL</x:v>
      </x:c>
      <x:c r="E122" s="36" t="n">
        <x:v>3830</x:v>
      </x:c>
      <x:c r="F122" s="36" t="n">
        <x:v>2858</x:v>
      </x:c>
      <x:c r="G122" s="42" t="n">
        <x:v>0.6130416130416131</x:v>
      </x:c>
      <x:c r="H122" s="36" t="n">
        <x:f>E122*G122</x:f>
        <x:v>2347.9493779493782</x:v>
      </x:c>
      <x:c r="I122" s="36" t="n">
        <x:f>IFERROR(H122/A122,0)</x:f>
        <x:v>2347.9493779493782</x:v>
      </x:c>
      <x:c r="J122" s="67" t="str">
        <x:v>Modeled from live base + Sep-2026 quality ratio; K/FL quality cell modeled</x:v>
      </x:c>
      <x:c r="K122" s="67" t="str">
        <x:v>https://www.stonealgo.com/diamond-prices/</x:v>
      </x:c>
      <x:c r="L122" s="67" t="str">
        <x:v>https://www.pricescope.com/blog/natural-diamond-prices-september-2026</x:v>
      </x:c>
    </x:row>
    <x:row r="123">
      <x:c r="A123" t="n">
        <x:v>1</x:v>
      </x:c>
      <x:c r="B123" t="str">
        <x:v>Oval</x:v>
      </x:c>
      <x:c r="C123" t="str">
        <x:v>K</x:v>
      </x:c>
      <x:c r="D123" t="str">
        <x:v>IF</x:v>
      </x:c>
      <x:c r="E123" s="36" t="n">
        <x:v>3830</x:v>
      </x:c>
      <x:c r="F123" s="36" t="n">
        <x:v>2743</x:v>
      </x:c>
      <x:c r="G123" s="42" t="n">
        <x:v>0.5883740883740883</x:v>
      </x:c>
      <x:c r="H123" s="36" t="n">
        <x:f>E123*G123</x:f>
        <x:v>2253.4727584727584</x:v>
      </x:c>
      <x:c r="I123" s="36" t="n">
        <x:f>IFERROR(H123/A123,0)</x:f>
        <x:v>2253.4727584727584</x:v>
      </x:c>
      <x:c r="J123" s="67" t="str">
        <x:v>Modeled from live base + Sep-2026 quality ratio</x:v>
      </x:c>
      <x:c r="K123" s="67" t="str">
        <x:v>https://www.stonealgo.com/diamond-prices/</x:v>
      </x:c>
      <x:c r="L123" s="67" t="str">
        <x:v>https://www.pricescope.com/blog/natural-diamond-prices-september-2026</x:v>
      </x:c>
    </x:row>
    <x:row r="124">
      <x:c r="A124" t="n">
        <x:v>1</x:v>
      </x:c>
      <x:c r="B124" t="str">
        <x:v>Oval</x:v>
      </x:c>
      <x:c r="C124" t="str">
        <x:v>K</x:v>
      </x:c>
      <x:c r="D124" t="str">
        <x:v>VVS1</x:v>
      </x:c>
      <x:c r="E124" s="36" t="n">
        <x:v>3830</x:v>
      </x:c>
      <x:c r="F124" s="36" t="n">
        <x:v>2529</x:v>
      </x:c>
      <x:c r="G124" s="42" t="n">
        <x:v>0.5424710424710425</x:v>
      </x:c>
      <x:c r="H124" s="36" t="n">
        <x:f>E124*G124</x:f>
        <x:v>2077.6640926640925</x:v>
      </x:c>
      <x:c r="I124" s="36" t="n">
        <x:f>IFERROR(H124/A124,0)</x:f>
        <x:v>2077.6640926640925</x:v>
      </x:c>
      <x:c r="J124" s="67" t="str">
        <x:v>Modeled from live base + Sep-2026 quality ratio</x:v>
      </x:c>
      <x:c r="K124" s="67" t="str">
        <x:v>https://www.stonealgo.com/diamond-prices/</x:v>
      </x:c>
      <x:c r="L124" s="67" t="str">
        <x:v>https://www.pricescope.com/blog/natural-diamond-prices-september-2026</x:v>
      </x:c>
    </x:row>
    <x:row r="125">
      <x:c r="A125" t="n">
        <x:v>1</x:v>
      </x:c>
      <x:c r="B125" t="str">
        <x:v>Oval</x:v>
      </x:c>
      <x:c r="C125" t="str">
        <x:v>K</x:v>
      </x:c>
      <x:c r="D125" t="str">
        <x:v>VVS2</x:v>
      </x:c>
      <x:c r="E125" s="36" t="n">
        <x:v>3830</x:v>
      </x:c>
      <x:c r="F125" s="36" t="n">
        <x:v>2374</x:v>
      </x:c>
      <x:c r="G125" s="42" t="n">
        <x:v>0.5092235092235092</x:v>
      </x:c>
      <x:c r="H125" s="36" t="n">
        <x:f>E125*G125</x:f>
        <x:v>1950.3260403260404</x:v>
      </x:c>
      <x:c r="I125" s="36" t="n">
        <x:f>IFERROR(H125/A125,0)</x:f>
        <x:v>1950.3260403260404</x:v>
      </x:c>
      <x:c r="J125" s="67" t="str">
        <x:v>Modeled from live base + Sep-2026 quality ratio</x:v>
      </x:c>
      <x:c r="K125" s="67" t="str">
        <x:v>https://www.stonealgo.com/diamond-prices/</x:v>
      </x:c>
      <x:c r="L125" s="67" t="str">
        <x:v>https://www.pricescope.com/blog/natural-diamond-prices-september-2026</x:v>
      </x:c>
    </x:row>
    <x:row r="126">
      <x:c r="A126" t="n">
        <x:v>1</x:v>
      </x:c>
      <x:c r="B126" t="str">
        <x:v>Oval</x:v>
      </x:c>
      <x:c r="C126" t="str">
        <x:v>K</x:v>
      </x:c>
      <x:c r="D126" t="str">
        <x:v>VS1</x:v>
      </x:c>
      <x:c r="E126" s="36" t="n">
        <x:v>3830</x:v>
      </x:c>
      <x:c r="F126" s="36" t="n">
        <x:v>2223</x:v>
      </x:c>
      <x:c r="G126" s="42" t="n">
        <x:v>0.4768339768339768</x:v>
      </x:c>
      <x:c r="H126" s="36" t="n">
        <x:f>E126*G126</x:f>
        <x:v>1826.2741312741312</x:v>
      </x:c>
      <x:c r="I126" s="36" t="n">
        <x:f>IFERROR(H126/A126,0)</x:f>
        <x:v>1826.2741312741312</x:v>
      </x:c>
      <x:c r="J126" s="67" t="str">
        <x:v>Modeled from live base + Sep-2026 quality ratio</x:v>
      </x:c>
      <x:c r="K126" s="67" t="str">
        <x:v>https://www.stonealgo.com/diamond-prices/</x:v>
      </x:c>
      <x:c r="L126" s="67" t="str">
        <x:v>https://www.pricescope.com/blog/natural-diamond-prices-september-2026</x:v>
      </x:c>
    </x:row>
    <x:row r="127">
      <x:c r="A127" t="n">
        <x:v>1</x:v>
      </x:c>
      <x:c r="B127" t="str">
        <x:v>Oval</x:v>
      </x:c>
      <x:c r="C127" t="str">
        <x:v>K</x:v>
      </x:c>
      <x:c r="D127" t="str">
        <x:v>VS2</x:v>
      </x:c>
      <x:c r="E127" s="36" t="n">
        <x:v>3830</x:v>
      </x:c>
      <x:c r="F127" s="36" t="n">
        <x:v>2098</x:v>
      </x:c>
      <x:c r="G127" s="42" t="n">
        <x:v>0.45002145002145</x:v>
      </x:c>
      <x:c r="H127" s="36" t="n">
        <x:f>E127*G127</x:f>
        <x:v>1723.5821535821535</x:v>
      </x:c>
      <x:c r="I127" s="36" t="n">
        <x:f>IFERROR(H127/A127,0)</x:f>
        <x:v>1723.5821535821535</x:v>
      </x:c>
      <x:c r="J127" s="67" t="str">
        <x:v>Modeled from live base + Sep-2026 quality ratio</x:v>
      </x:c>
      <x:c r="K127" s="67" t="str">
        <x:v>https://www.stonealgo.com/diamond-prices/</x:v>
      </x:c>
      <x:c r="L127" s="67" t="str">
        <x:v>https://www.pricescope.com/blog/natural-diamond-prices-september-2026</x:v>
      </x:c>
    </x:row>
    <x:row r="128">
      <x:c r="A128" t="n">
        <x:v>1</x:v>
      </x:c>
      <x:c r="B128" t="str">
        <x:v>Oval</x:v>
      </x:c>
      <x:c r="C128" t="str">
        <x:v>K</x:v>
      </x:c>
      <x:c r="D128" t="str">
        <x:v>SI1</x:v>
      </x:c>
      <x:c r="E128" s="36" t="n">
        <x:v>3830</x:v>
      </x:c>
      <x:c r="F128" s="36" t="n">
        <x:v>1922</x:v>
      </x:c>
      <x:c r="G128" s="42" t="n">
        <x:v>0.41226941226941227</x:v>
      </x:c>
      <x:c r="H128" s="36" t="n">
        <x:f>E128*G128</x:f>
        <x:v>1578.991848991849</x:v>
      </x:c>
      <x:c r="I128" s="36" t="n">
        <x:f>IFERROR(H128/A128,0)</x:f>
        <x:v>1578.991848991849</x:v>
      </x:c>
      <x:c r="J128" s="67" t="str">
        <x:v>Modeled from live base + Sep-2026 quality ratio</x:v>
      </x:c>
      <x:c r="K128" s="67" t="str">
        <x:v>https://www.stonealgo.com/diamond-prices/</x:v>
      </x:c>
      <x:c r="L128" s="67" t="str">
        <x:v>https://www.pricescope.com/blog/natural-diamond-prices-september-2026</x:v>
      </x:c>
    </x:row>
    <x:row r="129">
      <x:c r="A129" t="n">
        <x:v>1</x:v>
      </x:c>
      <x:c r="B129" t="str">
        <x:v>Oval</x:v>
      </x:c>
      <x:c r="C129" t="str">
        <x:v>K</x:v>
      </x:c>
      <x:c r="D129" t="str">
        <x:v>SI2</x:v>
      </x:c>
      <x:c r="E129" s="36" t="n">
        <x:v>3830</x:v>
      </x:c>
      <x:c r="F129" s="36" t="n">
        <x:v>1764</x:v>
      </x:c>
      <x:c r="G129" s="42" t="n">
        <x:v>0.3783783783783784</x:v>
      </x:c>
      <x:c r="H129" s="36" t="n">
        <x:f>E129*G129</x:f>
        <x:v>1449.1891891891892</x:v>
      </x:c>
      <x:c r="I129" s="36" t="n">
        <x:f>IFERROR(H129/A129,0)</x:f>
        <x:v>1449.1891891891892</x:v>
      </x:c>
      <x:c r="J129" s="67" t="str">
        <x:v>Modeled from live base + Sep-2026 quality ratio</x:v>
      </x:c>
      <x:c r="K129" s="67" t="str">
        <x:v>https://www.stonealgo.com/diamond-prices/</x:v>
      </x:c>
      <x:c r="L129" s="67" t="str">
        <x:v>https://www.pricescope.com/blog/natural-diamond-prices-september-2026</x:v>
      </x:c>
    </x:row>
    <x:row r="130">
      <x:c r="A130" t="n">
        <x:v>1</x:v>
      </x:c>
      <x:c r="B130" t="str">
        <x:v>Princess</x:v>
      </x:c>
      <x:c r="C130" t="str">
        <x:v>D</x:v>
      </x:c>
      <x:c r="D130" t="str">
        <x:v>FL</x:v>
      </x:c>
      <x:c r="E130" s="36" t="n">
        <x:v>2810</x:v>
      </x:c>
      <x:c r="F130" s="36" t="n">
        <x:v>12665</x:v>
      </x:c>
      <x:c r="G130" s="42" t="n">
        <x:v>2.7166452166452166</x:v>
      </x:c>
      <x:c r="H130" s="36" t="n">
        <x:f>E130*G130</x:f>
        <x:v>7633.773058773058</x:v>
      </x:c>
      <x:c r="I130" s="36" t="n">
        <x:f>IFERROR(H130/A130,0)</x:f>
        <x:v>7633.773058773058</x:v>
      </x:c>
      <x:c r="J130" s="67" t="str">
        <x:v>Modeled from live base + Sep-2026 quality ratio</x:v>
      </x:c>
      <x:c r="K130" s="67" t="str">
        <x:v>https://www.stonealgo.com/diamond-prices/</x:v>
      </x:c>
      <x:c r="L130" s="67" t="str">
        <x:v>https://www.pricescope.com/blog/natural-diamond-prices-september-2026</x:v>
      </x:c>
    </x:row>
    <x:row r="131">
      <x:c r="A131" t="n">
        <x:v>1</x:v>
      </x:c>
      <x:c r="B131" t="str">
        <x:v>Princess</x:v>
      </x:c>
      <x:c r="C131" t="str">
        <x:v>D</x:v>
      </x:c>
      <x:c r="D131" t="str">
        <x:v>IF</x:v>
      </x:c>
      <x:c r="E131" s="36" t="n">
        <x:v>2810</x:v>
      </x:c>
      <x:c r="F131" s="36" t="n">
        <x:v>13240</x:v>
      </x:c>
      <x:c r="G131" s="42" t="n">
        <x:v>2.83998283998284</x:v>
      </x:c>
      <x:c r="H131" s="36" t="n">
        <x:f>E131*G131</x:f>
        <x:v>7980.351780351781</x:v>
      </x:c>
      <x:c r="I131" s="36" t="n">
        <x:f>IFERROR(H131/A131,0)</x:f>
        <x:v>7980.351780351781</x:v>
      </x:c>
      <x:c r="J131" s="67" t="str">
        <x:v>Modeled from live base + Sep-2026 quality ratio</x:v>
      </x:c>
      <x:c r="K131" s="67" t="str">
        <x:v>https://www.stonealgo.com/diamond-prices/</x:v>
      </x:c>
      <x:c r="L131" s="67" t="str">
        <x:v>https://www.pricescope.com/blog/natural-diamond-prices-september-2026</x:v>
      </x:c>
    </x:row>
    <x:row r="132">
      <x:c r="A132" t="n">
        <x:v>1</x:v>
      </x:c>
      <x:c r="B132" t="str">
        <x:v>Princess</x:v>
      </x:c>
      <x:c r="C132" t="str">
        <x:v>D</x:v>
      </x:c>
      <x:c r="D132" t="str">
        <x:v>VVS1</x:v>
      </x:c>
      <x:c r="E132" s="36" t="n">
        <x:v>2810</x:v>
      </x:c>
      <x:c r="F132" s="36" t="n">
        <x:v>9555</x:v>
      </x:c>
      <x:c r="G132" s="42" t="n">
        <x:v>2.0495495495495497</x:v>
      </x:c>
      <x:c r="H132" s="36" t="n">
        <x:f>E132*G132</x:f>
        <x:v>5759.2342342342345</x:v>
      </x:c>
      <x:c r="I132" s="36" t="n">
        <x:f>IFERROR(H132/A132,0)</x:f>
        <x:v>5759.2342342342345</x:v>
      </x:c>
      <x:c r="J132" s="67" t="str">
        <x:v>Modeled from live base + Sep-2026 quality ratio</x:v>
      </x:c>
      <x:c r="K132" s="67" t="str">
        <x:v>https://www.stonealgo.com/diamond-prices/</x:v>
      </x:c>
      <x:c r="L132" s="67" t="str">
        <x:v>https://www.pricescope.com/blog/natural-diamond-prices-september-2026</x:v>
      </x:c>
    </x:row>
    <x:row r="133">
      <x:c r="A133" t="n">
        <x:v>1</x:v>
      </x:c>
      <x:c r="B133" t="str">
        <x:v>Princess</x:v>
      </x:c>
      <x:c r="C133" t="str">
        <x:v>D</x:v>
      </x:c>
      <x:c r="D133" t="str">
        <x:v>VVS2</x:v>
      </x:c>
      <x:c r="E133" s="36" t="n">
        <x:v>2810</x:v>
      </x:c>
      <x:c r="F133" s="36" t="n">
        <x:v>6660</x:v>
      </x:c>
      <x:c r="G133" s="42" t="n">
        <x:v>1.4285714285714286</x:v>
      </x:c>
      <x:c r="H133" s="36" t="n">
        <x:f>E133*G133</x:f>
        <x:v>4014.285714285714</x:v>
      </x:c>
      <x:c r="I133" s="36" t="n">
        <x:f>IFERROR(H133/A133,0)</x:f>
        <x:v>4014.285714285714</x:v>
      </x:c>
      <x:c r="J133" s="67" t="str">
        <x:v>Modeled from live base + Sep-2026 quality ratio</x:v>
      </x:c>
      <x:c r="K133" s="67" t="str">
        <x:v>https://www.stonealgo.com/diamond-prices/</x:v>
      </x:c>
      <x:c r="L133" s="67" t="str">
        <x:v>https://www.pricescope.com/blog/natural-diamond-prices-september-2026</x:v>
      </x:c>
    </x:row>
    <x:row r="134">
      <x:c r="A134" t="n">
        <x:v>1</x:v>
      </x:c>
      <x:c r="B134" t="str">
        <x:v>Princess</x:v>
      </x:c>
      <x:c r="C134" t="str">
        <x:v>D</x:v>
      </x:c>
      <x:c r="D134" t="str">
        <x:v>VS1</x:v>
      </x:c>
      <x:c r="E134" s="36" t="n">
        <x:v>2810</x:v>
      </x:c>
      <x:c r="F134" s="36" t="n">
        <x:v>6247</x:v>
      </x:c>
      <x:c r="G134" s="42" t="n">
        <x:v>1.33998283998284</x:v>
      </x:c>
      <x:c r="H134" s="36" t="n">
        <x:f>E134*G134</x:f>
        <x:v>3765.3517803517802</x:v>
      </x:c>
      <x:c r="I134" s="36" t="n">
        <x:f>IFERROR(H134/A134,0)</x:f>
        <x:v>3765.3517803517802</x:v>
      </x:c>
      <x:c r="J134" s="67" t="str">
        <x:v>Modeled from live base + Sep-2026 quality ratio</x:v>
      </x:c>
      <x:c r="K134" s="67" t="str">
        <x:v>https://www.stonealgo.com/diamond-prices/</x:v>
      </x:c>
      <x:c r="L134" s="67" t="str">
        <x:v>https://www.pricescope.com/blog/natural-diamond-prices-september-2026</x:v>
      </x:c>
    </x:row>
    <x:row r="135">
      <x:c r="A135" t="n">
        <x:v>1</x:v>
      </x:c>
      <x:c r="B135" t="str">
        <x:v>Princess</x:v>
      </x:c>
      <x:c r="C135" t="str">
        <x:v>D</x:v>
      </x:c>
      <x:c r="D135" t="str">
        <x:v>VS2</x:v>
      </x:c>
      <x:c r="E135" s="36" t="n">
        <x:v>2810</x:v>
      </x:c>
      <x:c r="F135" s="36" t="n">
        <x:v>5841</x:v>
      </x:c>
      <x:c r="G135" s="42" t="n">
        <x:v>1.252895752895753</x:v>
      </x:c>
      <x:c r="H135" s="36" t="n">
        <x:f>E135*G135</x:f>
        <x:v>3520.637065637066</x:v>
      </x:c>
      <x:c r="I135" s="36" t="n">
        <x:f>IFERROR(H135/A135,0)</x:f>
        <x:v>3520.637065637066</x:v>
      </x:c>
      <x:c r="J135" s="67" t="str">
        <x:v>Modeled from live base + Sep-2026 quality ratio</x:v>
      </x:c>
      <x:c r="K135" s="67" t="str">
        <x:v>https://www.stonealgo.com/diamond-prices/</x:v>
      </x:c>
      <x:c r="L135" s="67" t="str">
        <x:v>https://www.pricescope.com/blog/natural-diamond-prices-september-2026</x:v>
      </x:c>
    </x:row>
    <x:row r="136">
      <x:c r="A136" t="n">
        <x:v>1</x:v>
      </x:c>
      <x:c r="B136" t="str">
        <x:v>Princess</x:v>
      </x:c>
      <x:c r="C136" t="str">
        <x:v>D</x:v>
      </x:c>
      <x:c r="D136" t="str">
        <x:v>SI1</x:v>
      </x:c>
      <x:c r="E136" s="36" t="n">
        <x:v>2810</x:v>
      </x:c>
      <x:c r="F136" s="36" t="n">
        <x:v>3762</x:v>
      </x:c>
      <x:c r="G136" s="42" t="n">
        <x:v>0.806949806949807</x:v>
      </x:c>
      <x:c r="H136" s="36" t="n">
        <x:f>E136*G136</x:f>
        <x:v>2267.5289575289576</x:v>
      </x:c>
      <x:c r="I136" s="36" t="n">
        <x:f>IFERROR(H136/A136,0)</x:f>
        <x:v>2267.5289575289576</x:v>
      </x:c>
      <x:c r="J136" s="67" t="str">
        <x:v>Modeled from live base + Sep-2026 quality ratio</x:v>
      </x:c>
      <x:c r="K136" s="67" t="str">
        <x:v>https://www.stonealgo.com/diamond-prices/</x:v>
      </x:c>
      <x:c r="L136" s="67" t="str">
        <x:v>https://www.pricescope.com/blog/natural-diamond-prices-september-2026</x:v>
      </x:c>
    </x:row>
    <x:row r="137">
      <x:c r="A137" t="n">
        <x:v>1</x:v>
      </x:c>
      <x:c r="B137" t="str">
        <x:v>Princess</x:v>
      </x:c>
      <x:c r="C137" t="str">
        <x:v>D</x:v>
      </x:c>
      <x:c r="D137" t="str">
        <x:v>SI2</x:v>
      </x:c>
      <x:c r="E137" s="36" t="n">
        <x:v>2810</x:v>
      </x:c>
      <x:c r="F137" s="36" t="n">
        <x:v>3026</x:v>
      </x:c>
      <x:c r="G137" s="42" t="n">
        <x:v>0.6490776490776491</x:v>
      </x:c>
      <x:c r="H137" s="36" t="n">
        <x:f>E137*G137</x:f>
        <x:v>1823.9081939081939</x:v>
      </x:c>
      <x:c r="I137" s="36" t="n">
        <x:f>IFERROR(H137/A137,0)</x:f>
        <x:v>1823.9081939081939</x:v>
      </x:c>
      <x:c r="J137" s="67" t="str">
        <x:v>Modeled from live base + Sep-2026 quality ratio</x:v>
      </x:c>
      <x:c r="K137" s="67" t="str">
        <x:v>https://www.stonealgo.com/diamond-prices/</x:v>
      </x:c>
      <x:c r="L137" s="67" t="str">
        <x:v>https://www.pricescope.com/blog/natural-diamond-prices-september-2026</x:v>
      </x:c>
    </x:row>
    <x:row r="138">
      <x:c r="A138" t="n">
        <x:v>1</x:v>
      </x:c>
      <x:c r="B138" t="str">
        <x:v>Princess</x:v>
      </x:c>
      <x:c r="C138" t="str">
        <x:v>E</x:v>
      </x:c>
      <x:c r="D138" t="str">
        <x:v>FL</x:v>
      </x:c>
      <x:c r="E138" s="36" t="n">
        <x:v>2810</x:v>
      </x:c>
      <x:c r="F138" s="36" t="n">
        <x:v>10072</x:v>
      </x:c>
      <x:c r="G138" s="42" t="n">
        <x:v>2.1604461604461602</x:v>
      </x:c>
      <x:c r="H138" s="36" t="n">
        <x:f>E138*G138</x:f>
        <x:v>6070.85371085371</x:v>
      </x:c>
      <x:c r="I138" s="36" t="n">
        <x:f>IFERROR(H138/A138,0)</x:f>
        <x:v>6070.85371085371</x:v>
      </x:c>
      <x:c r="J138" s="67" t="str">
        <x:v>Modeled from live base + Sep-2026 quality ratio</x:v>
      </x:c>
      <x:c r="K138" s="67" t="str">
        <x:v>https://www.stonealgo.com/diamond-prices/</x:v>
      </x:c>
      <x:c r="L138" s="67" t="str">
        <x:v>https://www.pricescope.com/blog/natural-diamond-prices-september-2026</x:v>
      </x:c>
    </x:row>
    <x:row r="139">
      <x:c r="A139" t="n">
        <x:v>1</x:v>
      </x:c>
      <x:c r="B139" t="str">
        <x:v>Princess</x:v>
      </x:c>
      <x:c r="C139" t="str">
        <x:v>E</x:v>
      </x:c>
      <x:c r="D139" t="str">
        <x:v>IF</x:v>
      </x:c>
      <x:c r="E139" s="36" t="n">
        <x:v>2810</x:v>
      </x:c>
      <x:c r="F139" s="36" t="n">
        <x:v>8672</x:v>
      </x:c>
      <x:c r="G139" s="42" t="n">
        <x:v>1.8601458601458603</x:v>
      </x:c>
      <x:c r="H139" s="36" t="n">
        <x:f>E139*G139</x:f>
        <x:v>5227.009867009867</x:v>
      </x:c>
      <x:c r="I139" s="36" t="n">
        <x:f>IFERROR(H139/A139,0)</x:f>
        <x:v>5227.009867009867</x:v>
      </x:c>
      <x:c r="J139" s="67" t="str">
        <x:v>Modeled from live base + Sep-2026 quality ratio</x:v>
      </x:c>
      <x:c r="K139" s="67" t="str">
        <x:v>https://www.stonealgo.com/diamond-prices/</x:v>
      </x:c>
      <x:c r="L139" s="67" t="str">
        <x:v>https://www.pricescope.com/blog/natural-diamond-prices-september-2026</x:v>
      </x:c>
    </x:row>
    <x:row r="140">
      <x:c r="A140" t="n">
        <x:v>1</x:v>
      </x:c>
      <x:c r="B140" t="str">
        <x:v>Princess</x:v>
      </x:c>
      <x:c r="C140" t="str">
        <x:v>E</x:v>
      </x:c>
      <x:c r="D140" t="str">
        <x:v>VVS1</x:v>
      </x:c>
      <x:c r="E140" s="36" t="n">
        <x:v>2810</x:v>
      </x:c>
      <x:c r="F140" s="36" t="n">
        <x:v>7842</x:v>
      </x:c>
      <x:c r="G140" s="42" t="n">
        <x:v>1.6821106821106822</x:v>
      </x:c>
      <x:c r="H140" s="36" t="n">
        <x:f>E140*G140</x:f>
        <x:v>4726.731016731017</x:v>
      </x:c>
      <x:c r="I140" s="36" t="n">
        <x:f>IFERROR(H140/A140,0)</x:f>
        <x:v>4726.731016731017</x:v>
      </x:c>
      <x:c r="J140" s="67" t="str">
        <x:v>Modeled from live base + Sep-2026 quality ratio</x:v>
      </x:c>
      <x:c r="K140" s="67" t="str">
        <x:v>https://www.stonealgo.com/diamond-prices/</x:v>
      </x:c>
      <x:c r="L140" s="67" t="str">
        <x:v>https://www.pricescope.com/blog/natural-diamond-prices-september-2026</x:v>
      </x:c>
    </x:row>
    <x:row r="141">
      <x:c r="A141" t="n">
        <x:v>1</x:v>
      </x:c>
      <x:c r="B141" t="str">
        <x:v>Princess</x:v>
      </x:c>
      <x:c r="C141" t="str">
        <x:v>E</x:v>
      </x:c>
      <x:c r="D141" t="str">
        <x:v>VVS2</x:v>
      </x:c>
      <x:c r="E141" s="36" t="n">
        <x:v>2810</x:v>
      </x:c>
      <x:c r="F141" s="36" t="n">
        <x:v>6880</x:v>
      </x:c>
      <x:c r="G141" s="42" t="n">
        <x:v>1.4757614757614759</x:v>
      </x:c>
      <x:c r="H141" s="36" t="n">
        <x:f>E141*G141</x:f>
        <x:v>4146.889746889748</x:v>
      </x:c>
      <x:c r="I141" s="36" t="n">
        <x:f>IFERROR(H141/A141,0)</x:f>
        <x:v>4146.889746889748</x:v>
      </x:c>
      <x:c r="J141" s="67" t="str">
        <x:v>Modeled from live base + Sep-2026 quality ratio</x:v>
      </x:c>
      <x:c r="K141" s="67" t="str">
        <x:v>https://www.stonealgo.com/diamond-prices/</x:v>
      </x:c>
      <x:c r="L141" s="67" t="str">
        <x:v>https://www.pricescope.com/blog/natural-diamond-prices-september-2026</x:v>
      </x:c>
    </x:row>
    <x:row r="142">
      <x:c r="A142" t="n">
        <x:v>1</x:v>
      </x:c>
      <x:c r="B142" t="str">
        <x:v>Princess</x:v>
      </x:c>
      <x:c r="C142" t="str">
        <x:v>E</x:v>
      </x:c>
      <x:c r="D142" t="str">
        <x:v>VS1</x:v>
      </x:c>
      <x:c r="E142" s="36" t="n">
        <x:v>2810</x:v>
      </x:c>
      <x:c r="F142" s="36" t="n">
        <x:v>6307</x:v>
      </x:c>
      <x:c r="G142" s="42" t="n">
        <x:v>1.352852852852853</x:v>
      </x:c>
      <x:c r="H142" s="36" t="n">
        <x:f>E142*G142</x:f>
        <x:v>3801.5165165165167</x:v>
      </x:c>
      <x:c r="I142" s="36" t="n">
        <x:f>IFERROR(H142/A142,0)</x:f>
        <x:v>3801.5165165165167</x:v>
      </x:c>
      <x:c r="J142" s="67" t="str">
        <x:v>Modeled from live base + Sep-2026 quality ratio</x:v>
      </x:c>
      <x:c r="K142" s="67" t="str">
        <x:v>https://www.stonealgo.com/diamond-prices/</x:v>
      </x:c>
      <x:c r="L142" s="67" t="str">
        <x:v>https://www.pricescope.com/blog/natural-diamond-prices-september-2026</x:v>
      </x:c>
    </x:row>
    <x:row r="143">
      <x:c r="A143" t="n">
        <x:v>1</x:v>
      </x:c>
      <x:c r="B143" t="str">
        <x:v>Princess</x:v>
      </x:c>
      <x:c r="C143" t="str">
        <x:v>E</x:v>
      </x:c>
      <x:c r="D143" t="str">
        <x:v>VS2</x:v>
      </x:c>
      <x:c r="E143" s="36" t="n">
        <x:v>2810</x:v>
      </x:c>
      <x:c r="F143" s="36" t="n">
        <x:v>5249</x:v>
      </x:c>
      <x:c r="G143" s="42" t="n">
        <x:v>1.125911625911626</x:v>
      </x:c>
      <x:c r="H143" s="36" t="n">
        <x:f>E143*G143</x:f>
        <x:v>3163.811668811669</x:v>
      </x:c>
      <x:c r="I143" s="36" t="n">
        <x:f>IFERROR(H143/A143,0)</x:f>
        <x:v>3163.811668811669</x:v>
      </x:c>
      <x:c r="J143" s="67" t="str">
        <x:v>Modeled from live base + Sep-2026 quality ratio</x:v>
      </x:c>
      <x:c r="K143" s="67" t="str">
        <x:v>https://www.stonealgo.com/diamond-prices/</x:v>
      </x:c>
      <x:c r="L143" s="67" t="str">
        <x:v>https://www.pricescope.com/blog/natural-diamond-prices-september-2026</x:v>
      </x:c>
    </x:row>
    <x:row r="144">
      <x:c r="A144" t="n">
        <x:v>1</x:v>
      </x:c>
      <x:c r="B144" t="str">
        <x:v>Princess</x:v>
      </x:c>
      <x:c r="C144" t="str">
        <x:v>E</x:v>
      </x:c>
      <x:c r="D144" t="str">
        <x:v>SI1</x:v>
      </x:c>
      <x:c r="E144" s="36" t="n">
        <x:v>2810</x:v>
      </x:c>
      <x:c r="F144" s="36" t="n">
        <x:v>3551</x:v>
      </x:c>
      <x:c r="G144" s="42" t="n">
        <x:v>0.7616902616902617</x:v>
      </x:c>
      <x:c r="H144" s="36" t="n">
        <x:f>E144*G144</x:f>
        <x:v>2140.3496353496353</x:v>
      </x:c>
      <x:c r="I144" s="36" t="n">
        <x:f>IFERROR(H144/A144,0)</x:f>
        <x:v>2140.3496353496353</x:v>
      </x:c>
      <x:c r="J144" s="67" t="str">
        <x:v>Modeled from live base + Sep-2026 quality ratio</x:v>
      </x:c>
      <x:c r="K144" s="67" t="str">
        <x:v>https://www.stonealgo.com/diamond-prices/</x:v>
      </x:c>
      <x:c r="L144" s="67" t="str">
        <x:v>https://www.pricescope.com/blog/natural-diamond-prices-september-2026</x:v>
      </x:c>
    </x:row>
    <x:row r="145">
      <x:c r="A145" t="n">
        <x:v>1</x:v>
      </x:c>
      <x:c r="B145" t="str">
        <x:v>Princess</x:v>
      </x:c>
      <x:c r="C145" t="str">
        <x:v>E</x:v>
      </x:c>
      <x:c r="D145" t="str">
        <x:v>SI2</x:v>
      </x:c>
      <x:c r="E145" s="36" t="n">
        <x:v>2810</x:v>
      </x:c>
      <x:c r="F145" s="36" t="n">
        <x:v>2993</x:v>
      </x:c>
      <x:c r="G145" s="42" t="n">
        <x:v>0.641999141999142</x:v>
      </x:c>
      <x:c r="H145" s="36" t="n">
        <x:f>E145*G145</x:f>
        <x:v>1804.017589017589</x:v>
      </x:c>
      <x:c r="I145" s="36" t="n">
        <x:f>IFERROR(H145/A145,0)</x:f>
        <x:v>1804.017589017589</x:v>
      </x:c>
      <x:c r="J145" s="67" t="str">
        <x:v>Modeled from live base + Sep-2026 quality ratio</x:v>
      </x:c>
      <x:c r="K145" s="67" t="str">
        <x:v>https://www.stonealgo.com/diamond-prices/</x:v>
      </x:c>
      <x:c r="L145" s="67" t="str">
        <x:v>https://www.pricescope.com/blog/natural-diamond-prices-september-2026</x:v>
      </x:c>
    </x:row>
    <x:row r="146">
      <x:c r="A146" t="n">
        <x:v>1</x:v>
      </x:c>
      <x:c r="B146" t="str">
        <x:v>Princess</x:v>
      </x:c>
      <x:c r="C146" t="str">
        <x:v>F</x:v>
      </x:c>
      <x:c r="D146" t="str">
        <x:v>FL</x:v>
      </x:c>
      <x:c r="E146" s="36" t="n">
        <x:v>2810</x:v>
      </x:c>
      <x:c r="F146" s="36" t="n">
        <x:v>6830</x:v>
      </x:c>
      <x:c r="G146" s="42" t="n">
        <x:v>1.4650364650364651</x:v>
      </x:c>
      <x:c r="H146" s="36" t="n">
        <x:f>E146*G146</x:f>
        <x:v>4116.752466752467</x:v>
      </x:c>
      <x:c r="I146" s="36" t="n">
        <x:f>IFERROR(H146/A146,0)</x:f>
        <x:v>4116.752466752467</x:v>
      </x:c>
      <x:c r="J146" s="67" t="str">
        <x:v>Modeled from live base + Sep-2026 quality ratio</x:v>
      </x:c>
      <x:c r="K146" s="67" t="str">
        <x:v>https://www.stonealgo.com/diamond-prices/</x:v>
      </x:c>
      <x:c r="L146" s="67" t="str">
        <x:v>https://www.pricescope.com/blog/natural-diamond-prices-september-2026</x:v>
      </x:c>
    </x:row>
    <x:row r="147">
      <x:c r="A147" t="n">
        <x:v>1</x:v>
      </x:c>
      <x:c r="B147" t="str">
        <x:v>Princess</x:v>
      </x:c>
      <x:c r="C147" t="str">
        <x:v>F</x:v>
      </x:c>
      <x:c r="D147" t="str">
        <x:v>IF</x:v>
      </x:c>
      <x:c r="E147" s="36" t="n">
        <x:v>2810</x:v>
      </x:c>
      <x:c r="F147" s="36" t="n">
        <x:v>7302</x:v>
      </x:c>
      <x:c r="G147" s="42" t="n">
        <x:v>1.5662805662805663</x:v>
      </x:c>
      <x:c r="H147" s="36" t="n">
        <x:f>E147*G147</x:f>
        <x:v>4401.248391248391</x:v>
      </x:c>
      <x:c r="I147" s="36" t="n">
        <x:f>IFERROR(H147/A147,0)</x:f>
        <x:v>4401.248391248391</x:v>
      </x:c>
      <x:c r="J147" s="67" t="str">
        <x:v>Modeled from live base + Sep-2026 quality ratio</x:v>
      </x:c>
      <x:c r="K147" s="67" t="str">
        <x:v>https://www.stonealgo.com/diamond-prices/</x:v>
      </x:c>
      <x:c r="L147" s="67" t="str">
        <x:v>https://www.pricescope.com/blog/natural-diamond-prices-september-2026</x:v>
      </x:c>
    </x:row>
    <x:row r="148">
      <x:c r="A148" t="n">
        <x:v>1</x:v>
      </x:c>
      <x:c r="B148" t="str">
        <x:v>Princess</x:v>
      </x:c>
      <x:c r="C148" t="str">
        <x:v>F</x:v>
      </x:c>
      <x:c r="D148" t="str">
        <x:v>VVS1</x:v>
      </x:c>
      <x:c r="E148" s="36" t="n">
        <x:v>2810</x:v>
      </x:c>
      <x:c r="F148" s="36" t="n">
        <x:v>7542</x:v>
      </x:c>
      <x:c r="G148" s="42" t="n">
        <x:v>1.6177606177606179</x:v>
      </x:c>
      <x:c r="H148" s="36" t="n">
        <x:f>E148*G148</x:f>
        <x:v>4545.907335907336</x:v>
      </x:c>
      <x:c r="I148" s="36" t="n">
        <x:f>IFERROR(H148/A148,0)</x:f>
        <x:v>4545.907335907336</x:v>
      </x:c>
      <x:c r="J148" s="67" t="str">
        <x:v>Modeled from live base + Sep-2026 quality ratio</x:v>
      </x:c>
      <x:c r="K148" s="67" t="str">
        <x:v>https://www.stonealgo.com/diamond-prices/</x:v>
      </x:c>
      <x:c r="L148" s="67" t="str">
        <x:v>https://www.pricescope.com/blog/natural-diamond-prices-september-2026</x:v>
      </x:c>
    </x:row>
    <x:row r="149">
      <x:c r="A149" t="n">
        <x:v>1</x:v>
      </x:c>
      <x:c r="B149" t="str">
        <x:v>Princess</x:v>
      </x:c>
      <x:c r="C149" t="str">
        <x:v>F</x:v>
      </x:c>
      <x:c r="D149" t="str">
        <x:v>VVS2</x:v>
      </x:c>
      <x:c r="E149" s="36" t="n">
        <x:v>2810</x:v>
      </x:c>
      <x:c r="F149" s="36" t="n">
        <x:v>6352</x:v>
      </x:c>
      <x:c r="G149" s="42" t="n">
        <x:v>1.3625053625053625</x:v>
      </x:c>
      <x:c r="H149" s="36" t="n">
        <x:f>E149*G149</x:f>
        <x:v>3828.6400686400684</x:v>
      </x:c>
      <x:c r="I149" s="36" t="n">
        <x:f>IFERROR(H149/A149,0)</x:f>
        <x:v>3828.6400686400684</x:v>
      </x:c>
      <x:c r="J149" s="67" t="str">
        <x:v>Modeled from live base + Sep-2026 quality ratio</x:v>
      </x:c>
      <x:c r="K149" s="67" t="str">
        <x:v>https://www.stonealgo.com/diamond-prices/</x:v>
      </x:c>
      <x:c r="L149" s="67" t="str">
        <x:v>https://www.pricescope.com/blog/natural-diamond-prices-september-2026</x:v>
      </x:c>
    </x:row>
    <x:row r="150">
      <x:c r="A150" t="n">
        <x:v>1</x:v>
      </x:c>
      <x:c r="B150" t="str">
        <x:v>Princess</x:v>
      </x:c>
      <x:c r="C150" t="str">
        <x:v>F</x:v>
      </x:c>
      <x:c r="D150" t="str">
        <x:v>VS1</x:v>
      </x:c>
      <x:c r="E150" s="36" t="n">
        <x:v>2810</x:v>
      </x:c>
      <x:c r="F150" s="36" t="n">
        <x:v>5647</x:v>
      </x:c>
      <x:c r="G150" s="42" t="n">
        <x:v>1.2112827112827114</x:v>
      </x:c>
      <x:c r="H150" s="36" t="n">
        <x:f>E150*G150</x:f>
        <x:v>3403.704418704419</x:v>
      </x:c>
      <x:c r="I150" s="36" t="n">
        <x:f>IFERROR(H150/A150,0)</x:f>
        <x:v>3403.704418704419</x:v>
      </x:c>
      <x:c r="J150" s="67" t="str">
        <x:v>Modeled from live base + Sep-2026 quality ratio</x:v>
      </x:c>
      <x:c r="K150" s="67" t="str">
        <x:v>https://www.stonealgo.com/diamond-prices/</x:v>
      </x:c>
      <x:c r="L150" s="67" t="str">
        <x:v>https://www.pricescope.com/blog/natural-diamond-prices-september-2026</x:v>
      </x:c>
    </x:row>
    <x:row r="151">
      <x:c r="A151" t="n">
        <x:v>1</x:v>
      </x:c>
      <x:c r="B151" t="str">
        <x:v>Princess</x:v>
      </x:c>
      <x:c r="C151" t="str">
        <x:v>F</x:v>
      </x:c>
      <x:c r="D151" t="str">
        <x:v>VS2</x:v>
      </x:c>
      <x:c r="E151" s="36" t="n">
        <x:v>2810</x:v>
      </x:c>
      <x:c r="F151" s="36" t="n">
        <x:v>4730</x:v>
      </x:c>
      <x:c r="G151" s="42" t="n">
        <x:v>1.0145860145860146</x:v>
      </x:c>
      <x:c r="H151" s="36" t="n">
        <x:f>E151*G151</x:f>
        <x:v>2850.986700986701</x:v>
      </x:c>
      <x:c r="I151" s="36" t="n">
        <x:f>IFERROR(H151/A151,0)</x:f>
        <x:v>2850.986700986701</x:v>
      </x:c>
      <x:c r="J151" s="67" t="str">
        <x:v>Modeled from live base + Sep-2026 quality ratio</x:v>
      </x:c>
      <x:c r="K151" s="67" t="str">
        <x:v>https://www.stonealgo.com/diamond-prices/</x:v>
      </x:c>
      <x:c r="L151" s="67" t="str">
        <x:v>https://www.pricescope.com/blog/natural-diamond-prices-september-2026</x:v>
      </x:c>
    </x:row>
    <x:row r="152">
      <x:c r="A152" t="n">
        <x:v>1</x:v>
      </x:c>
      <x:c r="B152" t="str">
        <x:v>Princess</x:v>
      </x:c>
      <x:c r="C152" t="str">
        <x:v>F</x:v>
      </x:c>
      <x:c r="D152" t="str">
        <x:v>SI1</x:v>
      </x:c>
      <x:c r="E152" s="36" t="n">
        <x:v>2810</x:v>
      </x:c>
      <x:c r="F152" s="36" t="n">
        <x:v>3331</x:v>
      </x:c>
      <x:c r="G152" s="42" t="n">
        <x:v>0.7145002145002145</x:v>
      </x:c>
      <x:c r="H152" s="36" t="n">
        <x:f>E152*G152</x:f>
        <x:v>2007.7456027456028</x:v>
      </x:c>
      <x:c r="I152" s="36" t="n">
        <x:f>IFERROR(H152/A152,0)</x:f>
        <x:v>2007.7456027456028</x:v>
      </x:c>
      <x:c r="J152" s="67" t="str">
        <x:v>Modeled from live base + Sep-2026 quality ratio</x:v>
      </x:c>
      <x:c r="K152" s="67" t="str">
        <x:v>https://www.stonealgo.com/diamond-prices/</x:v>
      </x:c>
      <x:c r="L152" s="67" t="str">
        <x:v>https://www.pricescope.com/blog/natural-diamond-prices-september-2026</x:v>
      </x:c>
    </x:row>
    <x:row r="153">
      <x:c r="A153" t="n">
        <x:v>1</x:v>
      </x:c>
      <x:c r="B153" t="str">
        <x:v>Princess</x:v>
      </x:c>
      <x:c r="C153" t="str">
        <x:v>F</x:v>
      </x:c>
      <x:c r="D153" t="str">
        <x:v>SI2</x:v>
      </x:c>
      <x:c r="E153" s="36" t="n">
        <x:v>2810</x:v>
      </x:c>
      <x:c r="F153" s="36" t="n">
        <x:v>2733</x:v>
      </x:c>
      <x:c r="G153" s="42" t="n">
        <x:v>0.5862290862290862</x:v>
      </x:c>
      <x:c r="H153" s="36" t="n">
        <x:f>E153*G153</x:f>
        <x:v>1647.3037323037322</x:v>
      </x:c>
      <x:c r="I153" s="36" t="n">
        <x:f>IFERROR(H153/A153,0)</x:f>
        <x:v>1647.3037323037322</x:v>
      </x:c>
      <x:c r="J153" s="67" t="str">
        <x:v>Modeled from live base + Sep-2026 quality ratio</x:v>
      </x:c>
      <x:c r="K153" s="67" t="str">
        <x:v>https://www.stonealgo.com/diamond-prices/</x:v>
      </x:c>
      <x:c r="L153" s="67" t="str">
        <x:v>https://www.pricescope.com/blog/natural-diamond-prices-september-2026</x:v>
      </x:c>
    </x:row>
    <x:row r="154">
      <x:c r="A154" t="n">
        <x:v>1</x:v>
      </x:c>
      <x:c r="B154" t="str">
        <x:v>Princess</x:v>
      </x:c>
      <x:c r="C154" t="str">
        <x:v>G</x:v>
      </x:c>
      <x:c r="D154" t="str">
        <x:v>FL</x:v>
      </x:c>
      <x:c r="E154" s="36" t="n">
        <x:v>2810</x:v>
      </x:c>
      <x:c r="F154" s="36" t="n">
        <x:v>5905</x:v>
      </x:c>
      <x:c r="G154" s="42" t="n">
        <x:v>1.2666237666237665</x:v>
      </x:c>
      <x:c r="H154" s="36" t="n">
        <x:f>E154*G154</x:f>
        <x:v>3559.212784212784</x:v>
      </x:c>
      <x:c r="I154" s="36" t="n">
        <x:f>IFERROR(H154/A154,0)</x:f>
        <x:v>3559.212784212784</x:v>
      </x:c>
      <x:c r="J154" s="67" t="str">
        <x:v>Modeled from live base + Sep-2026 quality ratio</x:v>
      </x:c>
      <x:c r="K154" s="67" t="str">
        <x:v>https://www.stonealgo.com/diamond-prices/</x:v>
      </x:c>
      <x:c r="L154" s="67" t="str">
        <x:v>https://www.pricescope.com/blog/natural-diamond-prices-september-2026</x:v>
      </x:c>
    </x:row>
    <x:row r="155">
      <x:c r="A155" t="n">
        <x:v>1</x:v>
      </x:c>
      <x:c r="B155" t="str">
        <x:v>Princess</x:v>
      </x:c>
      <x:c r="C155" t="str">
        <x:v>G</x:v>
      </x:c>
      <x:c r="D155" t="str">
        <x:v>IF</x:v>
      </x:c>
      <x:c r="E155" s="36" t="n">
        <x:v>2810</x:v>
      </x:c>
      <x:c r="F155" s="36" t="n">
        <x:v>5601</x:v>
      </x:c>
      <x:c r="G155" s="42" t="n">
        <x:v>1.2014157014157014</x:v>
      </x:c>
      <x:c r="H155" s="36" t="n">
        <x:f>E155*G155</x:f>
        <x:v>3375.978120978121</x:v>
      </x:c>
      <x:c r="I155" s="36" t="n">
        <x:f>IFERROR(H155/A155,0)</x:f>
        <x:v>3375.978120978121</x:v>
      </x:c>
      <x:c r="J155" s="67" t="str">
        <x:v>Modeled from live base + Sep-2026 quality ratio</x:v>
      </x:c>
      <x:c r="K155" s="67" t="str">
        <x:v>https://www.stonealgo.com/diamond-prices/</x:v>
      </x:c>
      <x:c r="L155" s="67" t="str">
        <x:v>https://www.pricescope.com/blog/natural-diamond-prices-september-2026</x:v>
      </x:c>
    </x:row>
    <x:row r="156">
      <x:c r="A156" t="n">
        <x:v>1</x:v>
      </x:c>
      <x:c r="B156" t="str">
        <x:v>Princess</x:v>
      </x:c>
      <x:c r="C156" t="str">
        <x:v>G</x:v>
      </x:c>
      <x:c r="D156" t="str">
        <x:v>VVS1</x:v>
      </x:c>
      <x:c r="E156" s="36" t="n">
        <x:v>2810</x:v>
      </x:c>
      <x:c r="F156" s="36" t="n">
        <x:v>5124</x:v>
      </x:c>
      <x:c r="G156" s="42" t="n">
        <x:v>1.0990990990990992</x:v>
      </x:c>
      <x:c r="H156" s="36" t="n">
        <x:f>E156*G156</x:f>
        <x:v>3088.468468468469</x:v>
      </x:c>
      <x:c r="I156" s="36" t="n">
        <x:f>IFERROR(H156/A156,0)</x:f>
        <x:v>3088.468468468469</x:v>
      </x:c>
      <x:c r="J156" s="67" t="str">
        <x:v>Modeled from live base + Sep-2026 quality ratio</x:v>
      </x:c>
      <x:c r="K156" s="67" t="str">
        <x:v>https://www.stonealgo.com/diamond-prices/</x:v>
      </x:c>
      <x:c r="L156" s="67" t="str">
        <x:v>https://www.pricescope.com/blog/natural-diamond-prices-september-2026</x:v>
      </x:c>
    </x:row>
    <x:row r="157">
      <x:c r="A157" t="n">
        <x:v>1</x:v>
      </x:c>
      <x:c r="B157" t="str">
        <x:v>Princess</x:v>
      </x:c>
      <x:c r="C157" t="str">
        <x:v>G</x:v>
      </x:c>
      <x:c r="D157" t="str">
        <x:v>VVS2</x:v>
      </x:c>
      <x:c r="E157" s="36" t="n">
        <x:v>2810</x:v>
      </x:c>
      <x:c r="F157" s="36" t="n">
        <x:v>4962</x:v>
      </x:c>
      <x:c r="G157" s="42" t="n">
        <x:v>1.0643500643500643</x:v>
      </x:c>
      <x:c r="H157" s="36" t="n">
        <x:f>E157*G157</x:f>
        <x:v>2990.8236808236807</x:v>
      </x:c>
      <x:c r="I157" s="36" t="n">
        <x:f>IFERROR(H157/A157,0)</x:f>
        <x:v>2990.8236808236807</x:v>
      </x:c>
      <x:c r="J157" s="67" t="str">
        <x:v>Modeled from live base + Sep-2026 quality ratio</x:v>
      </x:c>
      <x:c r="K157" s="67" t="str">
        <x:v>https://www.stonealgo.com/diamond-prices/</x:v>
      </x:c>
      <x:c r="L157" s="67" t="str">
        <x:v>https://www.pricescope.com/blog/natural-diamond-prices-september-2026</x:v>
      </x:c>
    </x:row>
    <x:row r="158">
      <x:c r="A158" t="n">
        <x:v>1</x:v>
      </x:c>
      <x:c r="B158" t="str">
        <x:v>Princess</x:v>
      </x:c>
      <x:c r="C158" t="str">
        <x:v>G</x:v>
      </x:c>
      <x:c r="D158" t="str">
        <x:v>VS1</x:v>
      </x:c>
      <x:c r="E158" s="36" t="n">
        <x:v>2810</x:v>
      </x:c>
      <x:c r="F158" s="36" t="n">
        <x:v>4615</x:v>
      </x:c>
      <x:c r="G158" s="42" t="n">
        <x:v>0.98991848991849</x:v>
      </x:c>
      <x:c r="H158" s="36" t="n">
        <x:f>E158*G158</x:f>
        <x:v>2781.670956670957</x:v>
      </x:c>
      <x:c r="I158" s="36" t="n">
        <x:f>IFERROR(H158/A158,0)</x:f>
        <x:v>2781.670956670957</x:v>
      </x:c>
      <x:c r="J158" s="67" t="str">
        <x:v>Modeled from live base + Sep-2026 quality ratio</x:v>
      </x:c>
      <x:c r="K158" s="67" t="str">
        <x:v>https://www.stonealgo.com/diamond-prices/</x:v>
      </x:c>
      <x:c r="L158" s="67" t="str">
        <x:v>https://www.pricescope.com/blog/natural-diamond-prices-september-2026</x:v>
      </x:c>
    </x:row>
    <x:row r="159">
      <x:c r="A159" t="n">
        <x:v>1</x:v>
      </x:c>
      <x:c r="B159" t="str">
        <x:v>Princess</x:v>
      </x:c>
      <x:c r="C159" t="str">
        <x:v>G</x:v>
      </x:c>
      <x:c r="D159" t="str">
        <x:v>VS2</x:v>
      </x:c>
      <x:c r="E159" s="36" t="n">
        <x:v>2810</x:v>
      </x:c>
      <x:c r="F159" s="36" t="n">
        <x:v>4585</x:v>
      </x:c>
      <x:c r="G159" s="42" t="n">
        <x:v>0.9834834834834835</x:v>
      </x:c>
      <x:c r="H159" s="36" t="n">
        <x:f>E159*G159</x:f>
        <x:v>2763.5885885885887</x:v>
      </x:c>
      <x:c r="I159" s="36" t="n">
        <x:f>IFERROR(H159/A159,0)</x:f>
        <x:v>2763.5885885885887</x:v>
      </x:c>
      <x:c r="J159" s="67" t="str">
        <x:v>Modeled from live base + Sep-2026 quality ratio</x:v>
      </x:c>
      <x:c r="K159" s="67" t="str">
        <x:v>https://www.stonealgo.com/diamond-prices/</x:v>
      </x:c>
      <x:c r="L159" s="67" t="str">
        <x:v>https://www.pricescope.com/blog/natural-diamond-prices-september-2026</x:v>
      </x:c>
    </x:row>
    <x:row r="160">
      <x:c r="A160" t="n">
        <x:v>1</x:v>
      </x:c>
      <x:c r="B160" t="str">
        <x:v>Princess</x:v>
      </x:c>
      <x:c r="C160" t="str">
        <x:v>G</x:v>
      </x:c>
      <x:c r="D160" t="str">
        <x:v>SI1</x:v>
      </x:c>
      <x:c r="E160" s="36" t="n">
        <x:v>2810</x:v>
      </x:c>
      <x:c r="F160" s="36" t="n">
        <x:v>3664</x:v>
      </x:c>
      <x:c r="G160" s="42" t="n">
        <x:v>0.7859287859287859</x:v>
      </x:c>
      <x:c r="H160" s="36" t="n">
        <x:f>E160*G160</x:f>
        <x:v>2208.4598884598886</x:v>
      </x:c>
      <x:c r="I160" s="36" t="n">
        <x:f>IFERROR(H160/A160,0)</x:f>
        <x:v>2208.4598884598886</x:v>
      </x:c>
      <x:c r="J160" s="67" t="str">
        <x:v>Modeled from live base + Sep-2026 quality ratio</x:v>
      </x:c>
      <x:c r="K160" s="67" t="str">
        <x:v>https://www.stonealgo.com/diamond-prices/</x:v>
      </x:c>
      <x:c r="L160" s="67" t="str">
        <x:v>https://www.pricescope.com/blog/natural-diamond-prices-september-2026</x:v>
      </x:c>
    </x:row>
    <x:row r="161">
      <x:c r="A161" t="n">
        <x:v>1</x:v>
      </x:c>
      <x:c r="B161" t="str">
        <x:v>Princess</x:v>
      </x:c>
      <x:c r="C161" t="str">
        <x:v>G</x:v>
      </x:c>
      <x:c r="D161" t="str">
        <x:v>SI2</x:v>
      </x:c>
      <x:c r="E161" s="36" t="n">
        <x:v>2810</x:v>
      </x:c>
      <x:c r="F161" s="36" t="n">
        <x:v>2537</x:v>
      </x:c>
      <x:c r="G161" s="42" t="n">
        <x:v>0.5441870441870442</x:v>
      </x:c>
      <x:c r="H161" s="36" t="n">
        <x:f>E161*G161</x:f>
        <x:v>1529.1655941655943</x:v>
      </x:c>
      <x:c r="I161" s="36" t="n">
        <x:f>IFERROR(H161/A161,0)</x:f>
        <x:v>1529.1655941655943</x:v>
      </x:c>
      <x:c r="J161" s="67" t="str">
        <x:v>Modeled from live base + Sep-2026 quality ratio</x:v>
      </x:c>
      <x:c r="K161" s="67" t="str">
        <x:v>https://www.stonealgo.com/diamond-prices/</x:v>
      </x:c>
      <x:c r="L161" s="67" t="str">
        <x:v>https://www.pricescope.com/blog/natural-diamond-prices-september-2026</x:v>
      </x:c>
    </x:row>
    <x:row r="162">
      <x:c r="A162" t="n">
        <x:v>1</x:v>
      </x:c>
      <x:c r="B162" t="str">
        <x:v>Princess</x:v>
      </x:c>
      <x:c r="C162" t="str">
        <x:v>H</x:v>
      </x:c>
      <x:c r="D162" t="str">
        <x:v>FL</x:v>
      </x:c>
      <x:c r="E162" s="36" t="n">
        <x:v>2810</x:v>
      </x:c>
      <x:c r="F162" s="36" t="n">
        <x:v>4563</x:v>
      </x:c>
      <x:c r="G162" s="42" t="n">
        <x:v>0.9787644787644788</x:v>
      </x:c>
      <x:c r="H162" s="36" t="n">
        <x:f>E162*G162</x:f>
        <x:v>2750.3281853281856</x:v>
      </x:c>
      <x:c r="I162" s="36" t="n">
        <x:f>IFERROR(H162/A162,0)</x:f>
        <x:v>2750.3281853281856</x:v>
      </x:c>
      <x:c r="J162" s="67" t="str">
        <x:v>Modeled from live base + Sep-2026 quality ratio</x:v>
      </x:c>
      <x:c r="K162" s="67" t="str">
        <x:v>https://www.stonealgo.com/diamond-prices/</x:v>
      </x:c>
      <x:c r="L162" s="67" t="str">
        <x:v>https://www.pricescope.com/blog/natural-diamond-prices-september-2026</x:v>
      </x:c>
    </x:row>
    <x:row r="163">
      <x:c r="A163" t="n">
        <x:v>1</x:v>
      </x:c>
      <x:c r="B163" t="str">
        <x:v>Princess</x:v>
      </x:c>
      <x:c r="C163" t="str">
        <x:v>H</x:v>
      </x:c>
      <x:c r="D163" t="str">
        <x:v>IF</x:v>
      </x:c>
      <x:c r="E163" s="36" t="n">
        <x:v>2810</x:v>
      </x:c>
      <x:c r="F163" s="36" t="n">
        <x:v>4809</x:v>
      </x:c>
      <x:c r="G163" s="42" t="n">
        <x:v>1.0315315315315314</x:v>
      </x:c>
      <x:c r="H163" s="36" t="n">
        <x:f>E163*G163</x:f>
        <x:v>2898.6036036036035</x:v>
      </x:c>
      <x:c r="I163" s="36" t="n">
        <x:f>IFERROR(H163/A163,0)</x:f>
        <x:v>2898.6036036036035</x:v>
      </x:c>
      <x:c r="J163" s="67" t="str">
        <x:v>Modeled from live base + Sep-2026 quality ratio</x:v>
      </x:c>
      <x:c r="K163" s="67" t="str">
        <x:v>https://www.stonealgo.com/diamond-prices/</x:v>
      </x:c>
      <x:c r="L163" s="67" t="str">
        <x:v>https://www.pricescope.com/blog/natural-diamond-prices-september-2026</x:v>
      </x:c>
    </x:row>
    <x:row r="164">
      <x:c r="A164" t="n">
        <x:v>1</x:v>
      </x:c>
      <x:c r="B164" t="str">
        <x:v>Princess</x:v>
      </x:c>
      <x:c r="C164" t="str">
        <x:v>H</x:v>
      </x:c>
      <x:c r="D164" t="str">
        <x:v>VVS1</x:v>
      </x:c>
      <x:c r="E164" s="36" t="n">
        <x:v>2810</x:v>
      </x:c>
      <x:c r="F164" s="36" t="n">
        <x:v>4911</x:v>
      </x:c>
      <x:c r="G164" s="42" t="n">
        <x:v>1.0534105534105533</x:v>
      </x:c>
      <x:c r="H164" s="36" t="n">
        <x:f>E164*G164</x:f>
        <x:v>2960.083655083655</x:v>
      </x:c>
      <x:c r="I164" s="36" t="n">
        <x:f>IFERROR(H164/A164,0)</x:f>
        <x:v>2960.083655083655</x:v>
      </x:c>
      <x:c r="J164" s="67" t="str">
        <x:v>Modeled from live base + Sep-2026 quality ratio</x:v>
      </x:c>
      <x:c r="K164" s="67" t="str">
        <x:v>https://www.stonealgo.com/diamond-prices/</x:v>
      </x:c>
      <x:c r="L164" s="67" t="str">
        <x:v>https://www.pricescope.com/blog/natural-diamond-prices-september-2026</x:v>
      </x:c>
    </x:row>
    <x:row r="165">
      <x:c r="A165" t="n">
        <x:v>1</x:v>
      </x:c>
      <x:c r="B165" t="str">
        <x:v>Princess</x:v>
      </x:c>
      <x:c r="C165" t="str">
        <x:v>H</x:v>
      </x:c>
      <x:c r="D165" t="str">
        <x:v>VVS2</x:v>
      </x:c>
      <x:c r="E165" s="36" t="n">
        <x:v>2810</x:v>
      </x:c>
      <x:c r="F165" s="36" t="n">
        <x:v>4046</x:v>
      </x:c>
      <x:c r="G165" s="42" t="n">
        <x:v>0.8678678678678678</x:v>
      </x:c>
      <x:c r="H165" s="36" t="n">
        <x:f>E165*G165</x:f>
        <x:v>2438.708708708709</x:v>
      </x:c>
      <x:c r="I165" s="36" t="n">
        <x:f>IFERROR(H165/A165,0)</x:f>
        <x:v>2438.708708708709</x:v>
      </x:c>
      <x:c r="J165" s="67" t="str">
        <x:v>Modeled from live base + Sep-2026 quality ratio</x:v>
      </x:c>
      <x:c r="K165" s="67" t="str">
        <x:v>https://www.stonealgo.com/diamond-prices/</x:v>
      </x:c>
      <x:c r="L165" s="67" t="str">
        <x:v>https://www.pricescope.com/blog/natural-diamond-prices-september-2026</x:v>
      </x:c>
    </x:row>
    <x:row r="166">
      <x:c r="A166" t="n">
        <x:v>1</x:v>
      </x:c>
      <x:c r="B166" t="str">
        <x:v>Princess</x:v>
      </x:c>
      <x:c r="C166" t="str">
        <x:v>H</x:v>
      </x:c>
      <x:c r="D166" t="str">
        <x:v>VS1</x:v>
      </x:c>
      <x:c r="E166" s="36" t="n">
        <x:v>2810</x:v>
      </x:c>
      <x:c r="F166" s="36" t="n">
        <x:v>3893</x:v>
      </x:c>
      <x:c r="G166" s="42" t="n">
        <x:v>0.8350493350493351</x:v>
      </x:c>
      <x:c r="H166" s="36" t="n">
        <x:f>E166*G166</x:f>
        <x:v>2346.4886314886317</x:v>
      </x:c>
      <x:c r="I166" s="36" t="n">
        <x:f>IFERROR(H166/A166,0)</x:f>
        <x:v>2346.4886314886317</x:v>
      </x:c>
      <x:c r="J166" s="67" t="str">
        <x:v>Modeled from live base + Sep-2026 quality ratio</x:v>
      </x:c>
      <x:c r="K166" s="67" t="str">
        <x:v>https://www.stonealgo.com/diamond-prices/</x:v>
      </x:c>
      <x:c r="L166" s="67" t="str">
        <x:v>https://www.pricescope.com/blog/natural-diamond-prices-september-2026</x:v>
      </x:c>
    </x:row>
    <x:row r="167">
      <x:c r="A167" t="n">
        <x:v>1</x:v>
      </x:c>
      <x:c r="B167" t="str">
        <x:v>Princess</x:v>
      </x:c>
      <x:c r="C167" t="str">
        <x:v>H</x:v>
      </x:c>
      <x:c r="D167" t="str">
        <x:v>VS2</x:v>
      </x:c>
      <x:c r="E167" s="36" t="n">
        <x:v>2810</x:v>
      </x:c>
      <x:c r="F167" s="36" t="n">
        <x:v>3989</x:v>
      </x:c>
      <x:c r="G167" s="42" t="n">
        <x:v>0.8556413556413557</x:v>
      </x:c>
      <x:c r="H167" s="36" t="n">
        <x:f>E167*G167</x:f>
        <x:v>2404.3522093522097</x:v>
      </x:c>
      <x:c r="I167" s="36" t="n">
        <x:f>IFERROR(H167/A167,0)</x:f>
        <x:v>2404.3522093522097</x:v>
      </x:c>
      <x:c r="J167" s="67" t="str">
        <x:v>Modeled from live base + Sep-2026 quality ratio</x:v>
      </x:c>
      <x:c r="K167" s="67" t="str">
        <x:v>https://www.stonealgo.com/diamond-prices/</x:v>
      </x:c>
      <x:c r="L167" s="67" t="str">
        <x:v>https://www.pricescope.com/blog/natural-diamond-prices-september-2026</x:v>
      </x:c>
    </x:row>
    <x:row r="168">
      <x:c r="A168" t="n">
        <x:v>1</x:v>
      </x:c>
      <x:c r="B168" t="str">
        <x:v>Princess</x:v>
      </x:c>
      <x:c r="C168" t="str">
        <x:v>H</x:v>
      </x:c>
      <x:c r="D168" t="str">
        <x:v>SI1</x:v>
      </x:c>
      <x:c r="E168" s="36" t="n">
        <x:v>2810</x:v>
      </x:c>
      <x:c r="F168" s="36" t="n">
        <x:v>2828</x:v>
      </x:c>
      <x:c r="G168" s="42" t="n">
        <x:v>0.6066066066066066</x:v>
      </x:c>
      <x:c r="H168" s="36" t="n">
        <x:f>E168*G168</x:f>
        <x:v>1704.5645645645645</x:v>
      </x:c>
      <x:c r="I168" s="36" t="n">
        <x:f>IFERROR(H168/A168,0)</x:f>
        <x:v>1704.5645645645645</x:v>
      </x:c>
      <x:c r="J168" s="67" t="str">
        <x:v>Modeled from live base + Sep-2026 quality ratio</x:v>
      </x:c>
      <x:c r="K168" s="67" t="str">
        <x:v>https://www.stonealgo.com/diamond-prices/</x:v>
      </x:c>
      <x:c r="L168" s="67" t="str">
        <x:v>https://www.pricescope.com/blog/natural-diamond-prices-september-2026</x:v>
      </x:c>
    </x:row>
    <x:row r="169">
      <x:c r="A169" t="n">
        <x:v>1</x:v>
      </x:c>
      <x:c r="B169" t="str">
        <x:v>Princess</x:v>
      </x:c>
      <x:c r="C169" t="str">
        <x:v>H</x:v>
      </x:c>
      <x:c r="D169" t="str">
        <x:v>SI2</x:v>
      </x:c>
      <x:c r="E169" s="36" t="n">
        <x:v>2810</x:v>
      </x:c>
      <x:c r="F169" s="36" t="n">
        <x:v>2328</x:v>
      </x:c>
      <x:c r="G169" s="42" t="n">
        <x:v>0.49935649935649934</x:v>
      </x:c>
      <x:c r="H169" s="36" t="n">
        <x:f>E169*G169</x:f>
        <x:v>1403.1917631917631</x:v>
      </x:c>
      <x:c r="I169" s="36" t="n">
        <x:f>IFERROR(H169/A169,0)</x:f>
        <x:v>1403.1917631917631</x:v>
      </x:c>
      <x:c r="J169" s="67" t="str">
        <x:v>Modeled from live base + Sep-2026 quality ratio</x:v>
      </x:c>
      <x:c r="K169" s="67" t="str">
        <x:v>https://www.stonealgo.com/diamond-prices/</x:v>
      </x:c>
      <x:c r="L169" s="67" t="str">
        <x:v>https://www.pricescope.com/blog/natural-diamond-prices-september-2026</x:v>
      </x:c>
    </x:row>
    <x:row r="170">
      <x:c r="A170" t="n">
        <x:v>1</x:v>
      </x:c>
      <x:c r="B170" t="str">
        <x:v>Princess</x:v>
      </x:c>
      <x:c r="C170" t="str">
        <x:v>I</x:v>
      </x:c>
      <x:c r="D170" t="str">
        <x:v>FL</x:v>
      </x:c>
      <x:c r="E170" s="36" t="n">
        <x:v>2810</x:v>
      </x:c>
      <x:c r="F170" s="36" t="n">
        <x:v>4623</x:v>
      </x:c>
      <x:c r="G170" s="42" t="n">
        <x:v>0.9916344916344917</x:v>
      </x:c>
      <x:c r="H170" s="36" t="n">
        <x:f>E170*G170</x:f>
        <x:v>2786.4929214929216</x:v>
      </x:c>
      <x:c r="I170" s="36" t="n">
        <x:f>IFERROR(H170/A170,0)</x:f>
        <x:v>2786.4929214929216</x:v>
      </x:c>
      <x:c r="J170" s="67" t="str">
        <x:v>Modeled from live base + Sep-2026 quality ratio</x:v>
      </x:c>
      <x:c r="K170" s="67" t="str">
        <x:v>https://www.stonealgo.com/diamond-prices/</x:v>
      </x:c>
      <x:c r="L170" s="67" t="str">
        <x:v>https://www.pricescope.com/blog/natural-diamond-prices-september-2026</x:v>
      </x:c>
    </x:row>
    <x:row r="171">
      <x:c r="A171" t="n">
        <x:v>1</x:v>
      </x:c>
      <x:c r="B171" t="str">
        <x:v>Princess</x:v>
      </x:c>
      <x:c r="C171" t="str">
        <x:v>I</x:v>
      </x:c>
      <x:c r="D171" t="str">
        <x:v>IF</x:v>
      </x:c>
      <x:c r="E171" s="36" t="n">
        <x:v>2810</x:v>
      </x:c>
      <x:c r="F171" s="36" t="n">
        <x:v>4005</x:v>
      </x:c>
      <x:c r="G171" s="42" t="n">
        <x:v>0.859073359073359</x:v>
      </x:c>
      <x:c r="H171" s="36" t="n">
        <x:f>E171*G171</x:f>
        <x:v>2413.996138996139</x:v>
      </x:c>
      <x:c r="I171" s="36" t="n">
        <x:f>IFERROR(H171/A171,0)</x:f>
        <x:v>2413.996138996139</x:v>
      </x:c>
      <x:c r="J171" s="67" t="str">
        <x:v>Modeled from live base + Sep-2026 quality ratio</x:v>
      </x:c>
      <x:c r="K171" s="67" t="str">
        <x:v>https://www.stonealgo.com/diamond-prices/</x:v>
      </x:c>
      <x:c r="L171" s="67" t="str">
        <x:v>https://www.pricescope.com/blog/natural-diamond-prices-september-2026</x:v>
      </x:c>
    </x:row>
    <x:row r="172">
      <x:c r="A172" t="n">
        <x:v>1</x:v>
      </x:c>
      <x:c r="B172" t="str">
        <x:v>Princess</x:v>
      </x:c>
      <x:c r="C172" t="str">
        <x:v>I</x:v>
      </x:c>
      <x:c r="D172" t="str">
        <x:v>VVS1</x:v>
      </x:c>
      <x:c r="E172" s="36" t="n">
        <x:v>2810</x:v>
      </x:c>
      <x:c r="F172" s="36" t="n">
        <x:v>3670</x:v>
      </x:c>
      <x:c r="G172" s="42" t="n">
        <x:v>0.7872157872157872</x:v>
      </x:c>
      <x:c r="H172" s="36" t="n">
        <x:f>E172*G172</x:f>
        <x:v>2212.076362076362</x:v>
      </x:c>
      <x:c r="I172" s="36" t="n">
        <x:f>IFERROR(H172/A172,0)</x:f>
        <x:v>2212.076362076362</x:v>
      </x:c>
      <x:c r="J172" s="67" t="str">
        <x:v>Modeled from live base + Sep-2026 quality ratio</x:v>
      </x:c>
      <x:c r="K172" s="67" t="str">
        <x:v>https://www.stonealgo.com/diamond-prices/</x:v>
      </x:c>
      <x:c r="L172" s="67" t="str">
        <x:v>https://www.pricescope.com/blog/natural-diamond-prices-september-2026</x:v>
      </x:c>
    </x:row>
    <x:row r="173">
      <x:c r="A173" t="n">
        <x:v>1</x:v>
      </x:c>
      <x:c r="B173" t="str">
        <x:v>Princess</x:v>
      </x:c>
      <x:c r="C173" t="str">
        <x:v>I</x:v>
      </x:c>
      <x:c r="D173" t="str">
        <x:v>VVS2</x:v>
      </x:c>
      <x:c r="E173" s="36" t="n">
        <x:v>2810</x:v>
      </x:c>
      <x:c r="F173" s="36" t="n">
        <x:v>3447</x:v>
      </x:c>
      <x:c r="G173" s="42" t="n">
        <x:v>0.7393822393822393</x:v>
      </x:c>
      <x:c r="H173" s="36" t="n">
        <x:f>E173*G173</x:f>
        <x:v>2077.6640926640925</x:v>
      </x:c>
      <x:c r="I173" s="36" t="n">
        <x:f>IFERROR(H173/A173,0)</x:f>
        <x:v>2077.6640926640925</x:v>
      </x:c>
      <x:c r="J173" s="67" t="str">
        <x:v>Modeled from live base + Sep-2026 quality ratio</x:v>
      </x:c>
      <x:c r="K173" s="67" t="str">
        <x:v>https://www.stonealgo.com/diamond-prices/</x:v>
      </x:c>
      <x:c r="L173" s="67" t="str">
        <x:v>https://www.pricescope.com/blog/natural-diamond-prices-september-2026</x:v>
      </x:c>
    </x:row>
    <x:row r="174">
      <x:c r="A174" t="n">
        <x:v>1</x:v>
      </x:c>
      <x:c r="B174" t="str">
        <x:v>Princess</x:v>
      </x:c>
      <x:c r="C174" t="str">
        <x:v>I</x:v>
      </x:c>
      <x:c r="D174" t="str">
        <x:v>VS1</x:v>
      </x:c>
      <x:c r="E174" s="36" t="n">
        <x:v>2810</x:v>
      </x:c>
      <x:c r="F174" s="36" t="n">
        <x:v>3313</x:v>
      </x:c>
      <x:c r="G174" s="42" t="n">
        <x:v>0.7106392106392107</x:v>
      </x:c>
      <x:c r="H174" s="36" t="n">
        <x:f>E174*G174</x:f>
        <x:v>1996.8961818961818</x:v>
      </x:c>
      <x:c r="I174" s="36" t="n">
        <x:f>IFERROR(H174/A174,0)</x:f>
        <x:v>1996.8961818961818</x:v>
      </x:c>
      <x:c r="J174" s="67" t="str">
        <x:v>Modeled from live base + Sep-2026 quality ratio</x:v>
      </x:c>
      <x:c r="K174" s="67" t="str">
        <x:v>https://www.stonealgo.com/diamond-prices/</x:v>
      </x:c>
      <x:c r="L174" s="67" t="str">
        <x:v>https://www.pricescope.com/blog/natural-diamond-prices-september-2026</x:v>
      </x:c>
    </x:row>
    <x:row r="175">
      <x:c r="A175" t="n">
        <x:v>1</x:v>
      </x:c>
      <x:c r="B175" t="str">
        <x:v>Princess</x:v>
      </x:c>
      <x:c r="C175" t="str">
        <x:v>I</x:v>
      </x:c>
      <x:c r="D175" t="str">
        <x:v>VS2</x:v>
      </x:c>
      <x:c r="E175" s="36" t="n">
        <x:v>2810</x:v>
      </x:c>
      <x:c r="F175" s="36" t="n">
        <x:v>3240</x:v>
      </x:c>
      <x:c r="G175" s="42" t="n">
        <x:v>0.694980694980695</x:v>
      </x:c>
      <x:c r="H175" s="36" t="n">
        <x:f>E175*G175</x:f>
        <x:v>1952.895752895753</x:v>
      </x:c>
      <x:c r="I175" s="36" t="n">
        <x:f>IFERROR(H175/A175,0)</x:f>
        <x:v>1952.895752895753</x:v>
      </x:c>
      <x:c r="J175" s="67" t="str">
        <x:v>Modeled from live base + Sep-2026 quality ratio</x:v>
      </x:c>
      <x:c r="K175" s="67" t="str">
        <x:v>https://www.stonealgo.com/diamond-prices/</x:v>
      </x:c>
      <x:c r="L175" s="67" t="str">
        <x:v>https://www.pricescope.com/blog/natural-diamond-prices-september-2026</x:v>
      </x:c>
    </x:row>
    <x:row r="176">
      <x:c r="A176" t="n">
        <x:v>1</x:v>
      </x:c>
      <x:c r="B176" t="str">
        <x:v>Princess</x:v>
      </x:c>
      <x:c r="C176" t="str">
        <x:v>I</x:v>
      </x:c>
      <x:c r="D176" t="str">
        <x:v>SI1</x:v>
      </x:c>
      <x:c r="E176" s="36" t="n">
        <x:v>2810</x:v>
      </x:c>
      <x:c r="F176" s="36" t="n">
        <x:v>3199</x:v>
      </x:c>
      <x:c r="G176" s="42" t="n">
        <x:v>0.6861861861861862</x:v>
      </x:c>
      <x:c r="H176" s="36" t="n">
        <x:f>E176*G176</x:f>
        <x:v>1928.1831831831832</x:v>
      </x:c>
      <x:c r="I176" s="36" t="n">
        <x:f>IFERROR(H176/A176,0)</x:f>
        <x:v>1928.1831831831832</x:v>
      </x:c>
      <x:c r="J176" s="67" t="str">
        <x:v>Modeled from live base + Sep-2026 quality ratio</x:v>
      </x:c>
      <x:c r="K176" s="67" t="str">
        <x:v>https://www.stonealgo.com/diamond-prices/</x:v>
      </x:c>
      <x:c r="L176" s="67" t="str">
        <x:v>https://www.pricescope.com/blog/natural-diamond-prices-september-2026</x:v>
      </x:c>
    </x:row>
    <x:row r="177">
      <x:c r="A177" t="n">
        <x:v>1</x:v>
      </x:c>
      <x:c r="B177" t="str">
        <x:v>Princess</x:v>
      </x:c>
      <x:c r="C177" t="str">
        <x:v>I</x:v>
      </x:c>
      <x:c r="D177" t="str">
        <x:v>SI2</x:v>
      </x:c>
      <x:c r="E177" s="36" t="n">
        <x:v>2810</x:v>
      </x:c>
      <x:c r="F177" s="36" t="n">
        <x:v>2874</x:v>
      </x:c>
      <x:c r="G177" s="42" t="n">
        <x:v>0.6164736164736164</x:v>
      </x:c>
      <x:c r="H177" s="36" t="n">
        <x:f>E177*G177</x:f>
        <x:v>1732.2908622908622</x:v>
      </x:c>
      <x:c r="I177" s="36" t="n">
        <x:f>IFERROR(H177/A177,0)</x:f>
        <x:v>1732.2908622908622</x:v>
      </x:c>
      <x:c r="J177" s="67" t="str">
        <x:v>Modeled from live base + Sep-2026 quality ratio</x:v>
      </x:c>
      <x:c r="K177" s="67" t="str">
        <x:v>https://www.stonealgo.com/diamond-prices/</x:v>
      </x:c>
      <x:c r="L177" s="67" t="str">
        <x:v>https://www.pricescope.com/blog/natural-diamond-prices-september-2026</x:v>
      </x:c>
    </x:row>
    <x:row r="178">
      <x:c r="A178" t="n">
        <x:v>1</x:v>
      </x:c>
      <x:c r="B178" t="str">
        <x:v>Princess</x:v>
      </x:c>
      <x:c r="C178" t="str">
        <x:v>J</x:v>
      </x:c>
      <x:c r="D178" t="str">
        <x:v>FL</x:v>
      </x:c>
      <x:c r="E178" s="36" t="n">
        <x:v>2810</x:v>
      </x:c>
      <x:c r="F178" s="36" t="n">
        <x:v>3646</x:v>
      </x:c>
      <x:c r="G178" s="42" t="n">
        <x:v>0.782067782067782</x:v>
      </x:c>
      <x:c r="H178" s="36" t="n">
        <x:f>E178*G178</x:f>
        <x:v>2197.6104676104674</x:v>
      </x:c>
      <x:c r="I178" s="36" t="n">
        <x:f>IFERROR(H178/A178,0)</x:f>
        <x:v>2197.6104676104674</x:v>
      </x:c>
      <x:c r="J178" s="67" t="str">
        <x:v>Modeled from live base + Sep-2026 quality ratio</x:v>
      </x:c>
      <x:c r="K178" s="67" t="str">
        <x:v>https://www.stonealgo.com/diamond-prices/</x:v>
      </x:c>
      <x:c r="L178" s="67" t="str">
        <x:v>https://www.pricescope.com/blog/natural-diamond-prices-september-2026</x:v>
      </x:c>
    </x:row>
    <x:row r="179">
      <x:c r="A179" t="n">
        <x:v>1</x:v>
      </x:c>
      <x:c r="B179" t="str">
        <x:v>Princess</x:v>
      </x:c>
      <x:c r="C179" t="str">
        <x:v>J</x:v>
      </x:c>
      <x:c r="D179" t="str">
        <x:v>IF</x:v>
      </x:c>
      <x:c r="E179" s="36" t="n">
        <x:v>2810</x:v>
      </x:c>
      <x:c r="F179" s="36" t="n">
        <x:v>3368</x:v>
      </x:c>
      <x:c r="G179" s="42" t="n">
        <x:v>0.7224367224367224</x:v>
      </x:c>
      <x:c r="H179" s="36" t="n">
        <x:f>E179*G179</x:f>
        <x:v>2030.04719004719</x:v>
      </x:c>
      <x:c r="I179" s="36" t="n">
        <x:f>IFERROR(H179/A179,0)</x:f>
        <x:v>2030.04719004719</x:v>
      </x:c>
      <x:c r="J179" s="67" t="str">
        <x:v>Modeled from live base + Sep-2026 quality ratio</x:v>
      </x:c>
      <x:c r="K179" s="67" t="str">
        <x:v>https://www.stonealgo.com/diamond-prices/</x:v>
      </x:c>
      <x:c r="L179" s="67" t="str">
        <x:v>https://www.pricescope.com/blog/natural-diamond-prices-september-2026</x:v>
      </x:c>
    </x:row>
    <x:row r="180">
      <x:c r="A180" t="n">
        <x:v>1</x:v>
      </x:c>
      <x:c r="B180" t="str">
        <x:v>Princess</x:v>
      </x:c>
      <x:c r="C180" t="str">
        <x:v>J</x:v>
      </x:c>
      <x:c r="D180" t="str">
        <x:v>VVS1</x:v>
      </x:c>
      <x:c r="E180" s="36" t="n">
        <x:v>2810</x:v>
      </x:c>
      <x:c r="F180" s="36" t="n">
        <x:v>2956</x:v>
      </x:c>
      <x:c r="G180" s="42" t="n">
        <x:v>0.6340626340626341</x:v>
      </x:c>
      <x:c r="H180" s="36" t="n">
        <x:f>E180*G180</x:f>
        <x:v>1781.7160017160018</x:v>
      </x:c>
      <x:c r="I180" s="36" t="n">
        <x:f>IFERROR(H180/A180,0)</x:f>
        <x:v>1781.7160017160018</x:v>
      </x:c>
      <x:c r="J180" s="67" t="str">
        <x:v>Modeled from live base + Sep-2026 quality ratio</x:v>
      </x:c>
      <x:c r="K180" s="67" t="str">
        <x:v>https://www.stonealgo.com/diamond-prices/</x:v>
      </x:c>
      <x:c r="L180" s="67" t="str">
        <x:v>https://www.pricescope.com/blog/natural-diamond-prices-september-2026</x:v>
      </x:c>
    </x:row>
    <x:row r="181">
      <x:c r="A181" t="n">
        <x:v>1</x:v>
      </x:c>
      <x:c r="B181" t="str">
        <x:v>Princess</x:v>
      </x:c>
      <x:c r="C181" t="str">
        <x:v>J</x:v>
      </x:c>
      <x:c r="D181" t="str">
        <x:v>VVS2</x:v>
      </x:c>
      <x:c r="E181" s="36" t="n">
        <x:v>2810</x:v>
      </x:c>
      <x:c r="F181" s="36" t="n">
        <x:v>2612</x:v>
      </x:c>
      <x:c r="G181" s="42" t="n">
        <x:v>0.5602745602745602</x:v>
      </x:c>
      <x:c r="H181" s="36" t="n">
        <x:f>E181*G181</x:f>
        <x:v>1574.3715143715142</x:v>
      </x:c>
      <x:c r="I181" s="36" t="n">
        <x:f>IFERROR(H181/A181,0)</x:f>
        <x:v>1574.3715143715142</x:v>
      </x:c>
      <x:c r="J181" s="67" t="str">
        <x:v>Modeled from live base + Sep-2026 quality ratio</x:v>
      </x:c>
      <x:c r="K181" s="67" t="str">
        <x:v>https://www.stonealgo.com/diamond-prices/</x:v>
      </x:c>
      <x:c r="L181" s="67" t="str">
        <x:v>https://www.pricescope.com/blog/natural-diamond-prices-september-2026</x:v>
      </x:c>
    </x:row>
    <x:row r="182">
      <x:c r="A182" t="n">
        <x:v>1</x:v>
      </x:c>
      <x:c r="B182" t="str">
        <x:v>Princess</x:v>
      </x:c>
      <x:c r="C182" t="str">
        <x:v>J</x:v>
      </x:c>
      <x:c r="D182" t="str">
        <x:v>VS1</x:v>
      </x:c>
      <x:c r="E182" s="36" t="n">
        <x:v>2810</x:v>
      </x:c>
      <x:c r="F182" s="36" t="n">
        <x:v>3002</x:v>
      </x:c>
      <x:c r="G182" s="42" t="n">
        <x:v>0.6439296439296439</x:v>
      </x:c>
      <x:c r="H182" s="36" t="n">
        <x:f>E182*G182</x:f>
        <x:v>1809.4422994422994</x:v>
      </x:c>
      <x:c r="I182" s="36" t="n">
        <x:f>IFERROR(H182/A182,0)</x:f>
        <x:v>1809.4422994422994</x:v>
      </x:c>
      <x:c r="J182" s="67" t="str">
        <x:v>Modeled from live base + Sep-2026 quality ratio</x:v>
      </x:c>
      <x:c r="K182" s="67" t="str">
        <x:v>https://www.stonealgo.com/diamond-prices/</x:v>
      </x:c>
      <x:c r="L182" s="67" t="str">
        <x:v>https://www.pricescope.com/blog/natural-diamond-prices-september-2026</x:v>
      </x:c>
    </x:row>
    <x:row r="183">
      <x:c r="A183" t="n">
        <x:v>1</x:v>
      </x:c>
      <x:c r="B183" t="str">
        <x:v>Princess</x:v>
      </x:c>
      <x:c r="C183" t="str">
        <x:v>J</x:v>
      </x:c>
      <x:c r="D183" t="str">
        <x:v>VS2</x:v>
      </x:c>
      <x:c r="E183" s="36" t="n">
        <x:v>2810</x:v>
      </x:c>
      <x:c r="F183" s="36" t="n">
        <x:v>2559</x:v>
      </x:c>
      <x:c r="G183" s="42" t="n">
        <x:v>0.5489060489060489</x:v>
      </x:c>
      <x:c r="H183" s="36" t="n">
        <x:f>E183*G183</x:f>
        <x:v>1542.4259974259974</x:v>
      </x:c>
      <x:c r="I183" s="36" t="n">
        <x:f>IFERROR(H183/A183,0)</x:f>
        <x:v>1542.4259974259974</x:v>
      </x:c>
      <x:c r="J183" s="67" t="str">
        <x:v>Modeled from live base + Sep-2026 quality ratio</x:v>
      </x:c>
      <x:c r="K183" s="67" t="str">
        <x:v>https://www.stonealgo.com/diamond-prices/</x:v>
      </x:c>
      <x:c r="L183" s="67" t="str">
        <x:v>https://www.pricescope.com/blog/natural-diamond-prices-september-2026</x:v>
      </x:c>
    </x:row>
    <x:row r="184">
      <x:c r="A184" t="n">
        <x:v>1</x:v>
      </x:c>
      <x:c r="B184" t="str">
        <x:v>Princess</x:v>
      </x:c>
      <x:c r="C184" t="str">
        <x:v>J</x:v>
      </x:c>
      <x:c r="D184" t="str">
        <x:v>SI1</x:v>
      </x:c>
      <x:c r="E184" s="36" t="n">
        <x:v>2810</x:v>
      </x:c>
      <x:c r="F184" s="36" t="n">
        <x:v>2195</x:v>
      </x:c>
      <x:c r="G184" s="42" t="n">
        <x:v>0.47082797082797084</x:v>
      </x:c>
      <x:c r="H184" s="36" t="n">
        <x:f>E184*G184</x:f>
        <x:v>1323.026598026598</x:v>
      </x:c>
      <x:c r="I184" s="36" t="n">
        <x:f>IFERROR(H184/A184,0)</x:f>
        <x:v>1323.026598026598</x:v>
      </x:c>
      <x:c r="J184" s="67" t="str">
        <x:v>Modeled from live base + Sep-2026 quality ratio</x:v>
      </x:c>
      <x:c r="K184" s="67" t="str">
        <x:v>https://www.stonealgo.com/diamond-prices/</x:v>
      </x:c>
      <x:c r="L184" s="67" t="str">
        <x:v>https://www.pricescope.com/blog/natural-diamond-prices-september-2026</x:v>
      </x:c>
    </x:row>
    <x:row r="185">
      <x:c r="A185" t="n">
        <x:v>1</x:v>
      </x:c>
      <x:c r="B185" t="str">
        <x:v>Princess</x:v>
      </x:c>
      <x:c r="C185" t="str">
        <x:v>J</x:v>
      </x:c>
      <x:c r="D185" t="str">
        <x:v>SI2</x:v>
      </x:c>
      <x:c r="E185" s="36" t="n">
        <x:v>2810</x:v>
      </x:c>
      <x:c r="F185" s="36" t="n">
        <x:v>2079</x:v>
      </x:c>
      <x:c r="G185" s="42" t="n">
        <x:v>0.44594594594594594</x:v>
      </x:c>
      <x:c r="H185" s="36" t="n">
        <x:f>E185*G185</x:f>
        <x:v>1253.1081081081081</x:v>
      </x:c>
      <x:c r="I185" s="36" t="n">
        <x:f>IFERROR(H185/A185,0)</x:f>
        <x:v>1253.1081081081081</x:v>
      </x:c>
      <x:c r="J185" s="67" t="str">
        <x:v>Modeled from live base + Sep-2026 quality ratio</x:v>
      </x:c>
      <x:c r="K185" s="67" t="str">
        <x:v>https://www.stonealgo.com/diamond-prices/</x:v>
      </x:c>
      <x:c r="L185" s="67" t="str">
        <x:v>https://www.pricescope.com/blog/natural-diamond-prices-september-2026</x:v>
      </x:c>
    </x:row>
    <x:row r="186">
      <x:c r="A186" t="n">
        <x:v>1</x:v>
      </x:c>
      <x:c r="B186" t="str">
        <x:v>Princess</x:v>
      </x:c>
      <x:c r="C186" t="str">
        <x:v>K</x:v>
      </x:c>
      <x:c r="D186" t="str">
        <x:v>FL</x:v>
      </x:c>
      <x:c r="E186" s="36" t="n">
        <x:v>2810</x:v>
      </x:c>
      <x:c r="F186" s="36" t="n">
        <x:v>2858</x:v>
      </x:c>
      <x:c r="G186" s="42" t="n">
        <x:v>0.6130416130416131</x:v>
      </x:c>
      <x:c r="H186" s="36" t="n">
        <x:f>E186*G186</x:f>
        <x:v>1722.6469326469328</x:v>
      </x:c>
      <x:c r="I186" s="36" t="n">
        <x:f>IFERROR(H186/A186,0)</x:f>
        <x:v>1722.6469326469328</x:v>
      </x:c>
      <x:c r="J186" s="67" t="str">
        <x:v>Modeled from live base + Sep-2026 quality ratio; K/FL quality cell modeled</x:v>
      </x:c>
      <x:c r="K186" s="67" t="str">
        <x:v>https://www.stonealgo.com/diamond-prices/</x:v>
      </x:c>
      <x:c r="L186" s="67" t="str">
        <x:v>https://www.pricescope.com/blog/natural-diamond-prices-september-2026</x:v>
      </x:c>
    </x:row>
    <x:row r="187">
      <x:c r="A187" t="n">
        <x:v>1</x:v>
      </x:c>
      <x:c r="B187" t="str">
        <x:v>Princess</x:v>
      </x:c>
      <x:c r="C187" t="str">
        <x:v>K</x:v>
      </x:c>
      <x:c r="D187" t="str">
        <x:v>IF</x:v>
      </x:c>
      <x:c r="E187" s="36" t="n">
        <x:v>2810</x:v>
      </x:c>
      <x:c r="F187" s="36" t="n">
        <x:v>2743</x:v>
      </x:c>
      <x:c r="G187" s="42" t="n">
        <x:v>0.5883740883740883</x:v>
      </x:c>
      <x:c r="H187" s="36" t="n">
        <x:f>E187*G187</x:f>
        <x:v>1653.3311883311883</x:v>
      </x:c>
      <x:c r="I187" s="36" t="n">
        <x:f>IFERROR(H187/A187,0)</x:f>
        <x:v>1653.3311883311883</x:v>
      </x:c>
      <x:c r="J187" s="67" t="str">
        <x:v>Modeled from live base + Sep-2026 quality ratio</x:v>
      </x:c>
      <x:c r="K187" s="67" t="str">
        <x:v>https://www.stonealgo.com/diamond-prices/</x:v>
      </x:c>
      <x:c r="L187" s="67" t="str">
        <x:v>https://www.pricescope.com/blog/natural-diamond-prices-september-2026</x:v>
      </x:c>
    </x:row>
    <x:row r="188">
      <x:c r="A188" t="n">
        <x:v>1</x:v>
      </x:c>
      <x:c r="B188" t="str">
        <x:v>Princess</x:v>
      </x:c>
      <x:c r="C188" t="str">
        <x:v>K</x:v>
      </x:c>
      <x:c r="D188" t="str">
        <x:v>VVS1</x:v>
      </x:c>
      <x:c r="E188" s="36" t="n">
        <x:v>2810</x:v>
      </x:c>
      <x:c r="F188" s="36" t="n">
        <x:v>2529</x:v>
      </x:c>
      <x:c r="G188" s="42" t="n">
        <x:v>0.5424710424710425</x:v>
      </x:c>
      <x:c r="H188" s="36" t="n">
        <x:f>E188*G188</x:f>
        <x:v>1524.3436293436293</x:v>
      </x:c>
      <x:c r="I188" s="36" t="n">
        <x:f>IFERROR(H188/A188,0)</x:f>
        <x:v>1524.3436293436293</x:v>
      </x:c>
      <x:c r="J188" s="67" t="str">
        <x:v>Modeled from live base + Sep-2026 quality ratio</x:v>
      </x:c>
      <x:c r="K188" s="67" t="str">
        <x:v>https://www.stonealgo.com/diamond-prices/</x:v>
      </x:c>
      <x:c r="L188" s="67" t="str">
        <x:v>https://www.pricescope.com/blog/natural-diamond-prices-september-2026</x:v>
      </x:c>
    </x:row>
    <x:row r="189">
      <x:c r="A189" t="n">
        <x:v>1</x:v>
      </x:c>
      <x:c r="B189" t="str">
        <x:v>Princess</x:v>
      </x:c>
      <x:c r="C189" t="str">
        <x:v>K</x:v>
      </x:c>
      <x:c r="D189" t="str">
        <x:v>VVS2</x:v>
      </x:c>
      <x:c r="E189" s="36" t="n">
        <x:v>2810</x:v>
      </x:c>
      <x:c r="F189" s="36" t="n">
        <x:v>2374</x:v>
      </x:c>
      <x:c r="G189" s="42" t="n">
        <x:v>0.5092235092235092</x:v>
      </x:c>
      <x:c r="H189" s="36" t="n">
        <x:f>E189*G189</x:f>
        <x:v>1430.918060918061</x:v>
      </x:c>
      <x:c r="I189" s="36" t="n">
        <x:f>IFERROR(H189/A189,0)</x:f>
        <x:v>1430.918060918061</x:v>
      </x:c>
      <x:c r="J189" s="67" t="str">
        <x:v>Modeled from live base + Sep-2026 quality ratio</x:v>
      </x:c>
      <x:c r="K189" s="67" t="str">
        <x:v>https://www.stonealgo.com/diamond-prices/</x:v>
      </x:c>
      <x:c r="L189" s="67" t="str">
        <x:v>https://www.pricescope.com/blog/natural-diamond-prices-september-2026</x:v>
      </x:c>
    </x:row>
    <x:row r="190">
      <x:c r="A190" t="n">
        <x:v>1</x:v>
      </x:c>
      <x:c r="B190" t="str">
        <x:v>Princess</x:v>
      </x:c>
      <x:c r="C190" t="str">
        <x:v>K</x:v>
      </x:c>
      <x:c r="D190" t="str">
        <x:v>VS1</x:v>
      </x:c>
      <x:c r="E190" s="36" t="n">
        <x:v>2810</x:v>
      </x:c>
      <x:c r="F190" s="36" t="n">
        <x:v>2223</x:v>
      </x:c>
      <x:c r="G190" s="42" t="n">
        <x:v>0.4768339768339768</x:v>
      </x:c>
      <x:c r="H190" s="36" t="n">
        <x:f>E190*G190</x:f>
        <x:v>1339.903474903475</x:v>
      </x:c>
      <x:c r="I190" s="36" t="n">
        <x:f>IFERROR(H190/A190,0)</x:f>
        <x:v>1339.903474903475</x:v>
      </x:c>
      <x:c r="J190" s="67" t="str">
        <x:v>Modeled from live base + Sep-2026 quality ratio</x:v>
      </x:c>
      <x:c r="K190" s="67" t="str">
        <x:v>https://www.stonealgo.com/diamond-prices/</x:v>
      </x:c>
      <x:c r="L190" s="67" t="str">
        <x:v>https://www.pricescope.com/blog/natural-diamond-prices-september-2026</x:v>
      </x:c>
    </x:row>
    <x:row r="191">
      <x:c r="A191" t="n">
        <x:v>1</x:v>
      </x:c>
      <x:c r="B191" t="str">
        <x:v>Princess</x:v>
      </x:c>
      <x:c r="C191" t="str">
        <x:v>K</x:v>
      </x:c>
      <x:c r="D191" t="str">
        <x:v>VS2</x:v>
      </x:c>
      <x:c r="E191" s="36" t="n">
        <x:v>2810</x:v>
      </x:c>
      <x:c r="F191" s="36" t="n">
        <x:v>2098</x:v>
      </x:c>
      <x:c r="G191" s="42" t="n">
        <x:v>0.45002145002145</x:v>
      </x:c>
      <x:c r="H191" s="36" t="n">
        <x:f>E191*G191</x:f>
        <x:v>1264.5602745602746</x:v>
      </x:c>
      <x:c r="I191" s="36" t="n">
        <x:f>IFERROR(H191/A191,0)</x:f>
        <x:v>1264.5602745602746</x:v>
      </x:c>
      <x:c r="J191" s="67" t="str">
        <x:v>Modeled from live base + Sep-2026 quality ratio</x:v>
      </x:c>
      <x:c r="K191" s="67" t="str">
        <x:v>https://www.stonealgo.com/diamond-prices/</x:v>
      </x:c>
      <x:c r="L191" s="67" t="str">
        <x:v>https://www.pricescope.com/blog/natural-diamond-prices-september-2026</x:v>
      </x:c>
    </x:row>
    <x:row r="192">
      <x:c r="A192" t="n">
        <x:v>1</x:v>
      </x:c>
      <x:c r="B192" t="str">
        <x:v>Princess</x:v>
      </x:c>
      <x:c r="C192" t="str">
        <x:v>K</x:v>
      </x:c>
      <x:c r="D192" t="str">
        <x:v>SI1</x:v>
      </x:c>
      <x:c r="E192" s="36" t="n">
        <x:v>2810</x:v>
      </x:c>
      <x:c r="F192" s="36" t="n">
        <x:v>1922</x:v>
      </x:c>
      <x:c r="G192" s="42" t="n">
        <x:v>0.41226941226941227</x:v>
      </x:c>
      <x:c r="H192" s="36" t="n">
        <x:f>E192*G192</x:f>
        <x:v>1158.4770484770486</x:v>
      </x:c>
      <x:c r="I192" s="36" t="n">
        <x:f>IFERROR(H192/A192,0)</x:f>
        <x:v>1158.4770484770486</x:v>
      </x:c>
      <x:c r="J192" s="67" t="str">
        <x:v>Modeled from live base + Sep-2026 quality ratio</x:v>
      </x:c>
      <x:c r="K192" s="67" t="str">
        <x:v>https://www.stonealgo.com/diamond-prices/</x:v>
      </x:c>
      <x:c r="L192" s="67" t="str">
        <x:v>https://www.pricescope.com/blog/natural-diamond-prices-september-2026</x:v>
      </x:c>
    </x:row>
    <x:row r="193">
      <x:c r="A193" t="n">
        <x:v>1</x:v>
      </x:c>
      <x:c r="B193" t="str">
        <x:v>Princess</x:v>
      </x:c>
      <x:c r="C193" t="str">
        <x:v>K</x:v>
      </x:c>
      <x:c r="D193" t="str">
        <x:v>SI2</x:v>
      </x:c>
      <x:c r="E193" s="36" t="n">
        <x:v>2810</x:v>
      </x:c>
      <x:c r="F193" s="36" t="n">
        <x:v>1764</x:v>
      </x:c>
      <x:c r="G193" s="42" t="n">
        <x:v>0.3783783783783784</x:v>
      </x:c>
      <x:c r="H193" s="36" t="n">
        <x:f>E193*G193</x:f>
        <x:v>1063.2432432432433</x:v>
      </x:c>
      <x:c r="I193" s="36" t="n">
        <x:f>IFERROR(H193/A193,0)</x:f>
        <x:v>1063.2432432432433</x:v>
      </x:c>
      <x:c r="J193" s="67" t="str">
        <x:v>Modeled from live base + Sep-2026 quality ratio</x:v>
      </x:c>
      <x:c r="K193" s="67" t="str">
        <x:v>https://www.stonealgo.com/diamond-prices/</x:v>
      </x:c>
      <x:c r="L193" s="67" t="str">
        <x:v>https://www.pricescope.com/blog/natural-diamond-prices-september-2026</x:v>
      </x:c>
    </x:row>
    <x:row r="194">
      <x:c r="A194" t="n">
        <x:v>1</x:v>
      </x:c>
      <x:c r="B194" t="str">
        <x:v>Emerald</x:v>
      </x:c>
      <x:c r="C194" t="str">
        <x:v>D</x:v>
      </x:c>
      <x:c r="D194" t="str">
        <x:v>FL</x:v>
      </x:c>
      <x:c r="E194" s="36" t="n">
        <x:v>2880</x:v>
      </x:c>
      <x:c r="F194" s="36" t="n">
        <x:v>12665</x:v>
      </x:c>
      <x:c r="G194" s="42" t="n">
        <x:v>2.7166452166452166</x:v>
      </x:c>
      <x:c r="H194" s="36" t="n">
        <x:f>E194*G194</x:f>
        <x:v>7823.938223938224</x:v>
      </x:c>
      <x:c r="I194" s="36" t="n">
        <x:f>IFERROR(H194/A194,0)</x:f>
        <x:v>7823.938223938224</x:v>
      </x:c>
      <x:c r="J194" s="67" t="str">
        <x:v>Modeled from live base + Sep-2026 quality ratio</x:v>
      </x:c>
      <x:c r="K194" s="67" t="str">
        <x:v>https://www.stonealgo.com/diamond-prices/</x:v>
      </x:c>
      <x:c r="L194" s="67" t="str">
        <x:v>https://www.pricescope.com/blog/natural-diamond-prices-september-2026</x:v>
      </x:c>
    </x:row>
    <x:row r="195">
      <x:c r="A195" t="n">
        <x:v>1</x:v>
      </x:c>
      <x:c r="B195" t="str">
        <x:v>Emerald</x:v>
      </x:c>
      <x:c r="C195" t="str">
        <x:v>D</x:v>
      </x:c>
      <x:c r="D195" t="str">
        <x:v>IF</x:v>
      </x:c>
      <x:c r="E195" s="36" t="n">
        <x:v>2880</x:v>
      </x:c>
      <x:c r="F195" s="36" t="n">
        <x:v>13240</x:v>
      </x:c>
      <x:c r="G195" s="42" t="n">
        <x:v>2.83998283998284</x:v>
      </x:c>
      <x:c r="H195" s="36" t="n">
        <x:f>E195*G195</x:f>
        <x:v>8179.15057915058</x:v>
      </x:c>
      <x:c r="I195" s="36" t="n">
        <x:f>IFERROR(H195/A195,0)</x:f>
        <x:v>8179.15057915058</x:v>
      </x:c>
      <x:c r="J195" s="67" t="str">
        <x:v>Modeled from live base + Sep-2026 quality ratio</x:v>
      </x:c>
      <x:c r="K195" s="67" t="str">
        <x:v>https://www.stonealgo.com/diamond-prices/</x:v>
      </x:c>
      <x:c r="L195" s="67" t="str">
        <x:v>https://www.pricescope.com/blog/natural-diamond-prices-september-2026</x:v>
      </x:c>
    </x:row>
    <x:row r="196">
      <x:c r="A196" t="n">
        <x:v>1</x:v>
      </x:c>
      <x:c r="B196" t="str">
        <x:v>Emerald</x:v>
      </x:c>
      <x:c r="C196" t="str">
        <x:v>D</x:v>
      </x:c>
      <x:c r="D196" t="str">
        <x:v>VVS1</x:v>
      </x:c>
      <x:c r="E196" s="36" t="n">
        <x:v>2880</x:v>
      </x:c>
      <x:c r="F196" s="36" t="n">
        <x:v>9555</x:v>
      </x:c>
      <x:c r="G196" s="42" t="n">
        <x:v>2.0495495495495497</x:v>
      </x:c>
      <x:c r="H196" s="36" t="n">
        <x:f>E196*G196</x:f>
        <x:v>5902.702702702703</x:v>
      </x:c>
      <x:c r="I196" s="36" t="n">
        <x:f>IFERROR(H196/A196,0)</x:f>
        <x:v>5902.702702702703</x:v>
      </x:c>
      <x:c r="J196" s="67" t="str">
        <x:v>Modeled from live base + Sep-2026 quality ratio</x:v>
      </x:c>
      <x:c r="K196" s="67" t="str">
        <x:v>https://www.stonealgo.com/diamond-prices/</x:v>
      </x:c>
      <x:c r="L196" s="67" t="str">
        <x:v>https://www.pricescope.com/blog/natural-diamond-prices-september-2026</x:v>
      </x:c>
    </x:row>
    <x:row r="197">
      <x:c r="A197" t="n">
        <x:v>1</x:v>
      </x:c>
      <x:c r="B197" t="str">
        <x:v>Emerald</x:v>
      </x:c>
      <x:c r="C197" t="str">
        <x:v>D</x:v>
      </x:c>
      <x:c r="D197" t="str">
        <x:v>VVS2</x:v>
      </x:c>
      <x:c r="E197" s="36" t="n">
        <x:v>2880</x:v>
      </x:c>
      <x:c r="F197" s="36" t="n">
        <x:v>6660</x:v>
      </x:c>
      <x:c r="G197" s="42" t="n">
        <x:v>1.4285714285714286</x:v>
      </x:c>
      <x:c r="H197" s="36" t="n">
        <x:f>E197*G197</x:f>
        <x:v>4114.285714285715</x:v>
      </x:c>
      <x:c r="I197" s="36" t="n">
        <x:f>IFERROR(H197/A197,0)</x:f>
        <x:v>4114.285714285715</x:v>
      </x:c>
      <x:c r="J197" s="67" t="str">
        <x:v>Modeled from live base + Sep-2026 quality ratio</x:v>
      </x:c>
      <x:c r="K197" s="67" t="str">
        <x:v>https://www.stonealgo.com/diamond-prices/</x:v>
      </x:c>
      <x:c r="L197" s="67" t="str">
        <x:v>https://www.pricescope.com/blog/natural-diamond-prices-september-2026</x:v>
      </x:c>
    </x:row>
    <x:row r="198">
      <x:c r="A198" t="n">
        <x:v>1</x:v>
      </x:c>
      <x:c r="B198" t="str">
        <x:v>Emerald</x:v>
      </x:c>
      <x:c r="C198" t="str">
        <x:v>D</x:v>
      </x:c>
      <x:c r="D198" t="str">
        <x:v>VS1</x:v>
      </x:c>
      <x:c r="E198" s="36" t="n">
        <x:v>2880</x:v>
      </x:c>
      <x:c r="F198" s="36" t="n">
        <x:v>6247</x:v>
      </x:c>
      <x:c r="G198" s="42" t="n">
        <x:v>1.33998283998284</x:v>
      </x:c>
      <x:c r="H198" s="36" t="n">
        <x:f>E198*G198</x:f>
        <x:v>3859.1505791505792</x:v>
      </x:c>
      <x:c r="I198" s="36" t="n">
        <x:f>IFERROR(H198/A198,0)</x:f>
        <x:v>3859.1505791505792</x:v>
      </x:c>
      <x:c r="J198" s="67" t="str">
        <x:v>Modeled from live base + Sep-2026 quality ratio</x:v>
      </x:c>
      <x:c r="K198" s="67" t="str">
        <x:v>https://www.stonealgo.com/diamond-prices/</x:v>
      </x:c>
      <x:c r="L198" s="67" t="str">
        <x:v>https://www.pricescope.com/blog/natural-diamond-prices-september-2026</x:v>
      </x:c>
    </x:row>
    <x:row r="199">
      <x:c r="A199" t="n">
        <x:v>1</x:v>
      </x:c>
      <x:c r="B199" t="str">
        <x:v>Emerald</x:v>
      </x:c>
      <x:c r="C199" t="str">
        <x:v>D</x:v>
      </x:c>
      <x:c r="D199" t="str">
        <x:v>VS2</x:v>
      </x:c>
      <x:c r="E199" s="36" t="n">
        <x:v>2880</x:v>
      </x:c>
      <x:c r="F199" s="36" t="n">
        <x:v>5841</x:v>
      </x:c>
      <x:c r="G199" s="42" t="n">
        <x:v>1.252895752895753</x:v>
      </x:c>
      <x:c r="H199" s="36" t="n">
        <x:f>E199*G199</x:f>
        <x:v>3608.3397683397684</x:v>
      </x:c>
      <x:c r="I199" s="36" t="n">
        <x:f>IFERROR(H199/A199,0)</x:f>
        <x:v>3608.3397683397684</x:v>
      </x:c>
      <x:c r="J199" s="67" t="str">
        <x:v>Modeled from live base + Sep-2026 quality ratio</x:v>
      </x:c>
      <x:c r="K199" s="67" t="str">
        <x:v>https://www.stonealgo.com/diamond-prices/</x:v>
      </x:c>
      <x:c r="L199" s="67" t="str">
        <x:v>https://www.pricescope.com/blog/natural-diamond-prices-september-2026</x:v>
      </x:c>
    </x:row>
    <x:row r="200">
      <x:c r="A200" t="n">
        <x:v>1</x:v>
      </x:c>
      <x:c r="B200" t="str">
        <x:v>Emerald</x:v>
      </x:c>
      <x:c r="C200" t="str">
        <x:v>D</x:v>
      </x:c>
      <x:c r="D200" t="str">
        <x:v>SI1</x:v>
      </x:c>
      <x:c r="E200" s="36" t="n">
        <x:v>2880</x:v>
      </x:c>
      <x:c r="F200" s="36" t="n">
        <x:v>3762</x:v>
      </x:c>
      <x:c r="G200" s="42" t="n">
        <x:v>0.806949806949807</x:v>
      </x:c>
      <x:c r="H200" s="36" t="n">
        <x:f>E200*G200</x:f>
        <x:v>2324.0154440154442</x:v>
      </x:c>
      <x:c r="I200" s="36" t="n">
        <x:f>IFERROR(H200/A200,0)</x:f>
        <x:v>2324.0154440154442</x:v>
      </x:c>
      <x:c r="J200" s="67" t="str">
        <x:v>Modeled from live base + Sep-2026 quality ratio</x:v>
      </x:c>
      <x:c r="K200" s="67" t="str">
        <x:v>https://www.stonealgo.com/diamond-prices/</x:v>
      </x:c>
      <x:c r="L200" s="67" t="str">
        <x:v>https://www.pricescope.com/blog/natural-diamond-prices-september-2026</x:v>
      </x:c>
    </x:row>
    <x:row r="201">
      <x:c r="A201" t="n">
        <x:v>1</x:v>
      </x:c>
      <x:c r="B201" t="str">
        <x:v>Emerald</x:v>
      </x:c>
      <x:c r="C201" t="str">
        <x:v>D</x:v>
      </x:c>
      <x:c r="D201" t="str">
        <x:v>SI2</x:v>
      </x:c>
      <x:c r="E201" s="36" t="n">
        <x:v>2880</x:v>
      </x:c>
      <x:c r="F201" s="36" t="n">
        <x:v>3026</x:v>
      </x:c>
      <x:c r="G201" s="42" t="n">
        <x:v>0.6490776490776491</x:v>
      </x:c>
      <x:c r="H201" s="36" t="n">
        <x:f>E201*G201</x:f>
        <x:v>1869.3436293436293</x:v>
      </x:c>
      <x:c r="I201" s="36" t="n">
        <x:f>IFERROR(H201/A201,0)</x:f>
        <x:v>1869.3436293436293</x:v>
      </x:c>
      <x:c r="J201" s="67" t="str">
        <x:v>Modeled from live base + Sep-2026 quality ratio</x:v>
      </x:c>
      <x:c r="K201" s="67" t="str">
        <x:v>https://www.stonealgo.com/diamond-prices/</x:v>
      </x:c>
      <x:c r="L201" s="67" t="str">
        <x:v>https://www.pricescope.com/blog/natural-diamond-prices-september-2026</x:v>
      </x:c>
    </x:row>
    <x:row r="202">
      <x:c r="A202" t="n">
        <x:v>1</x:v>
      </x:c>
      <x:c r="B202" t="str">
        <x:v>Emerald</x:v>
      </x:c>
      <x:c r="C202" t="str">
        <x:v>E</x:v>
      </x:c>
      <x:c r="D202" t="str">
        <x:v>FL</x:v>
      </x:c>
      <x:c r="E202" s="36" t="n">
        <x:v>2880</x:v>
      </x:c>
      <x:c r="F202" s="36" t="n">
        <x:v>10072</x:v>
      </x:c>
      <x:c r="G202" s="42" t="n">
        <x:v>2.1604461604461602</x:v>
      </x:c>
      <x:c r="H202" s="36" t="n">
        <x:f>E202*G202</x:f>
        <x:v>6222.084942084942</x:v>
      </x:c>
      <x:c r="I202" s="36" t="n">
        <x:f>IFERROR(H202/A202,0)</x:f>
        <x:v>6222.084942084942</x:v>
      </x:c>
      <x:c r="J202" s="67" t="str">
        <x:v>Modeled from live base + Sep-2026 quality ratio</x:v>
      </x:c>
      <x:c r="K202" s="67" t="str">
        <x:v>https://www.stonealgo.com/diamond-prices/</x:v>
      </x:c>
      <x:c r="L202" s="67" t="str">
        <x:v>https://www.pricescope.com/blog/natural-diamond-prices-september-2026</x:v>
      </x:c>
    </x:row>
    <x:row r="203">
      <x:c r="A203" t="n">
        <x:v>1</x:v>
      </x:c>
      <x:c r="B203" t="str">
        <x:v>Emerald</x:v>
      </x:c>
      <x:c r="C203" t="str">
        <x:v>E</x:v>
      </x:c>
      <x:c r="D203" t="str">
        <x:v>IF</x:v>
      </x:c>
      <x:c r="E203" s="36" t="n">
        <x:v>2880</x:v>
      </x:c>
      <x:c r="F203" s="36" t="n">
        <x:v>8672</x:v>
      </x:c>
      <x:c r="G203" s="42" t="n">
        <x:v>1.8601458601458603</x:v>
      </x:c>
      <x:c r="H203" s="36" t="n">
        <x:f>E203*G203</x:f>
        <x:v>5357.220077220078</x:v>
      </x:c>
      <x:c r="I203" s="36" t="n">
        <x:f>IFERROR(H203/A203,0)</x:f>
        <x:v>5357.220077220078</x:v>
      </x:c>
      <x:c r="J203" s="67" t="str">
        <x:v>Modeled from live base + Sep-2026 quality ratio</x:v>
      </x:c>
      <x:c r="K203" s="67" t="str">
        <x:v>https://www.stonealgo.com/diamond-prices/</x:v>
      </x:c>
      <x:c r="L203" s="67" t="str">
        <x:v>https://www.pricescope.com/blog/natural-diamond-prices-september-2026</x:v>
      </x:c>
    </x:row>
    <x:row r="204">
      <x:c r="A204" t="n">
        <x:v>1</x:v>
      </x:c>
      <x:c r="B204" t="str">
        <x:v>Emerald</x:v>
      </x:c>
      <x:c r="C204" t="str">
        <x:v>E</x:v>
      </x:c>
      <x:c r="D204" t="str">
        <x:v>VVS1</x:v>
      </x:c>
      <x:c r="E204" s="36" t="n">
        <x:v>2880</x:v>
      </x:c>
      <x:c r="F204" s="36" t="n">
        <x:v>7842</x:v>
      </x:c>
      <x:c r="G204" s="42" t="n">
        <x:v>1.6821106821106822</x:v>
      </x:c>
      <x:c r="H204" s="36" t="n">
        <x:f>E204*G204</x:f>
        <x:v>4844.478764478765</x:v>
      </x:c>
      <x:c r="I204" s="36" t="n">
        <x:f>IFERROR(H204/A204,0)</x:f>
        <x:v>4844.478764478765</x:v>
      </x:c>
      <x:c r="J204" s="67" t="str">
        <x:v>Modeled from live base + Sep-2026 quality ratio</x:v>
      </x:c>
      <x:c r="K204" s="67" t="str">
        <x:v>https://www.stonealgo.com/diamond-prices/</x:v>
      </x:c>
      <x:c r="L204" s="67" t="str">
        <x:v>https://www.pricescope.com/blog/natural-diamond-prices-september-2026</x:v>
      </x:c>
    </x:row>
    <x:row r="205">
      <x:c r="A205" t="n">
        <x:v>1</x:v>
      </x:c>
      <x:c r="B205" t="str">
        <x:v>Emerald</x:v>
      </x:c>
      <x:c r="C205" t="str">
        <x:v>E</x:v>
      </x:c>
      <x:c r="D205" t="str">
        <x:v>VVS2</x:v>
      </x:c>
      <x:c r="E205" s="36" t="n">
        <x:v>2880</x:v>
      </x:c>
      <x:c r="F205" s="36" t="n">
        <x:v>6880</x:v>
      </x:c>
      <x:c r="G205" s="42" t="n">
        <x:v>1.4757614757614759</x:v>
      </x:c>
      <x:c r="H205" s="36" t="n">
        <x:f>E205*G205</x:f>
        <x:v>4250.19305019305</x:v>
      </x:c>
      <x:c r="I205" s="36" t="n">
        <x:f>IFERROR(H205/A205,0)</x:f>
        <x:v>4250.19305019305</x:v>
      </x:c>
      <x:c r="J205" s="67" t="str">
        <x:v>Modeled from live base + Sep-2026 quality ratio</x:v>
      </x:c>
      <x:c r="K205" s="67" t="str">
        <x:v>https://www.stonealgo.com/diamond-prices/</x:v>
      </x:c>
      <x:c r="L205" s="67" t="str">
        <x:v>https://www.pricescope.com/blog/natural-diamond-prices-september-2026</x:v>
      </x:c>
    </x:row>
    <x:row r="206">
      <x:c r="A206" t="n">
        <x:v>1</x:v>
      </x:c>
      <x:c r="B206" t="str">
        <x:v>Emerald</x:v>
      </x:c>
      <x:c r="C206" t="str">
        <x:v>E</x:v>
      </x:c>
      <x:c r="D206" t="str">
        <x:v>VS1</x:v>
      </x:c>
      <x:c r="E206" s="36" t="n">
        <x:v>2880</x:v>
      </x:c>
      <x:c r="F206" s="36" t="n">
        <x:v>6307</x:v>
      </x:c>
      <x:c r="G206" s="42" t="n">
        <x:v>1.352852852852853</x:v>
      </x:c>
      <x:c r="H206" s="36" t="n">
        <x:f>E206*G206</x:f>
        <x:v>3896.2162162162167</x:v>
      </x:c>
      <x:c r="I206" s="36" t="n">
        <x:f>IFERROR(H206/A206,0)</x:f>
        <x:v>3896.2162162162167</x:v>
      </x:c>
      <x:c r="J206" s="67" t="str">
        <x:v>Modeled from live base + Sep-2026 quality ratio</x:v>
      </x:c>
      <x:c r="K206" s="67" t="str">
        <x:v>https://www.stonealgo.com/diamond-prices/</x:v>
      </x:c>
      <x:c r="L206" s="67" t="str">
        <x:v>https://www.pricescope.com/blog/natural-diamond-prices-september-2026</x:v>
      </x:c>
    </x:row>
    <x:row r="207">
      <x:c r="A207" t="n">
        <x:v>1</x:v>
      </x:c>
      <x:c r="B207" t="str">
        <x:v>Emerald</x:v>
      </x:c>
      <x:c r="C207" t="str">
        <x:v>E</x:v>
      </x:c>
      <x:c r="D207" t="str">
        <x:v>VS2</x:v>
      </x:c>
      <x:c r="E207" s="36" t="n">
        <x:v>2880</x:v>
      </x:c>
      <x:c r="F207" s="36" t="n">
        <x:v>5249</x:v>
      </x:c>
      <x:c r="G207" s="42" t="n">
        <x:v>1.125911625911626</x:v>
      </x:c>
      <x:c r="H207" s="36" t="n">
        <x:f>E207*G207</x:f>
        <x:v>3242.6254826254826</x:v>
      </x:c>
      <x:c r="I207" s="36" t="n">
        <x:f>IFERROR(H207/A207,0)</x:f>
        <x:v>3242.6254826254826</x:v>
      </x:c>
      <x:c r="J207" s="67" t="str">
        <x:v>Modeled from live base + Sep-2026 quality ratio</x:v>
      </x:c>
      <x:c r="K207" s="67" t="str">
        <x:v>https://www.stonealgo.com/diamond-prices/</x:v>
      </x:c>
      <x:c r="L207" s="67" t="str">
        <x:v>https://www.pricescope.com/blog/natural-diamond-prices-september-2026</x:v>
      </x:c>
    </x:row>
    <x:row r="208">
      <x:c r="A208" t="n">
        <x:v>1</x:v>
      </x:c>
      <x:c r="B208" t="str">
        <x:v>Emerald</x:v>
      </x:c>
      <x:c r="C208" t="str">
        <x:v>E</x:v>
      </x:c>
      <x:c r="D208" t="str">
        <x:v>SI1</x:v>
      </x:c>
      <x:c r="E208" s="36" t="n">
        <x:v>2880</x:v>
      </x:c>
      <x:c r="F208" s="36" t="n">
        <x:v>3551</x:v>
      </x:c>
      <x:c r="G208" s="42" t="n">
        <x:v>0.7616902616902617</x:v>
      </x:c>
      <x:c r="H208" s="36" t="n">
        <x:f>E208*G208</x:f>
        <x:v>2193.6679536679535</x:v>
      </x:c>
      <x:c r="I208" s="36" t="n">
        <x:f>IFERROR(H208/A208,0)</x:f>
        <x:v>2193.6679536679535</x:v>
      </x:c>
      <x:c r="J208" s="67" t="str">
        <x:v>Modeled from live base + Sep-2026 quality ratio</x:v>
      </x:c>
      <x:c r="K208" s="67" t="str">
        <x:v>https://www.stonealgo.com/diamond-prices/</x:v>
      </x:c>
      <x:c r="L208" s="67" t="str">
        <x:v>https://www.pricescope.com/blog/natural-diamond-prices-september-2026</x:v>
      </x:c>
    </x:row>
    <x:row r="209">
      <x:c r="A209" t="n">
        <x:v>1</x:v>
      </x:c>
      <x:c r="B209" t="str">
        <x:v>Emerald</x:v>
      </x:c>
      <x:c r="C209" t="str">
        <x:v>E</x:v>
      </x:c>
      <x:c r="D209" t="str">
        <x:v>SI2</x:v>
      </x:c>
      <x:c r="E209" s="36" t="n">
        <x:v>2880</x:v>
      </x:c>
      <x:c r="F209" s="36" t="n">
        <x:v>2993</x:v>
      </x:c>
      <x:c r="G209" s="42" t="n">
        <x:v>0.641999141999142</x:v>
      </x:c>
      <x:c r="H209" s="36" t="n">
        <x:f>E209*G209</x:f>
        <x:v>1848.957528957529</x:v>
      </x:c>
      <x:c r="I209" s="36" t="n">
        <x:f>IFERROR(H209/A209,0)</x:f>
        <x:v>1848.957528957529</x:v>
      </x:c>
      <x:c r="J209" s="67" t="str">
        <x:v>Modeled from live base + Sep-2026 quality ratio</x:v>
      </x:c>
      <x:c r="K209" s="67" t="str">
        <x:v>https://www.stonealgo.com/diamond-prices/</x:v>
      </x:c>
      <x:c r="L209" s="67" t="str">
        <x:v>https://www.pricescope.com/blog/natural-diamond-prices-september-2026</x:v>
      </x:c>
    </x:row>
    <x:row r="210">
      <x:c r="A210" t="n">
        <x:v>1</x:v>
      </x:c>
      <x:c r="B210" t="str">
        <x:v>Emerald</x:v>
      </x:c>
      <x:c r="C210" t="str">
        <x:v>F</x:v>
      </x:c>
      <x:c r="D210" t="str">
        <x:v>FL</x:v>
      </x:c>
      <x:c r="E210" s="36" t="n">
        <x:v>2880</x:v>
      </x:c>
      <x:c r="F210" s="36" t="n">
        <x:v>6830</x:v>
      </x:c>
      <x:c r="G210" s="42" t="n">
        <x:v>1.4650364650364651</x:v>
      </x:c>
      <x:c r="H210" s="36" t="n">
        <x:f>E210*G210</x:f>
        <x:v>4219.305019305019</x:v>
      </x:c>
      <x:c r="I210" s="36" t="n">
        <x:f>IFERROR(H210/A210,0)</x:f>
        <x:v>4219.305019305019</x:v>
      </x:c>
      <x:c r="J210" s="67" t="str">
        <x:v>Modeled from live base + Sep-2026 quality ratio</x:v>
      </x:c>
      <x:c r="K210" s="67" t="str">
        <x:v>https://www.stonealgo.com/diamond-prices/</x:v>
      </x:c>
      <x:c r="L210" s="67" t="str">
        <x:v>https://www.pricescope.com/blog/natural-diamond-prices-september-2026</x:v>
      </x:c>
    </x:row>
    <x:row r="211">
      <x:c r="A211" t="n">
        <x:v>1</x:v>
      </x:c>
      <x:c r="B211" t="str">
        <x:v>Emerald</x:v>
      </x:c>
      <x:c r="C211" t="str">
        <x:v>F</x:v>
      </x:c>
      <x:c r="D211" t="str">
        <x:v>IF</x:v>
      </x:c>
      <x:c r="E211" s="36" t="n">
        <x:v>2880</x:v>
      </x:c>
      <x:c r="F211" s="36" t="n">
        <x:v>7302</x:v>
      </x:c>
      <x:c r="G211" s="42" t="n">
        <x:v>1.5662805662805663</x:v>
      </x:c>
      <x:c r="H211" s="36" t="n">
        <x:f>E211*G211</x:f>
        <x:v>4510.888030888031</x:v>
      </x:c>
      <x:c r="I211" s="36" t="n">
        <x:f>IFERROR(H211/A211,0)</x:f>
        <x:v>4510.888030888031</x:v>
      </x:c>
      <x:c r="J211" s="67" t="str">
        <x:v>Modeled from live base + Sep-2026 quality ratio</x:v>
      </x:c>
      <x:c r="K211" s="67" t="str">
        <x:v>https://www.stonealgo.com/diamond-prices/</x:v>
      </x:c>
      <x:c r="L211" s="67" t="str">
        <x:v>https://www.pricescope.com/blog/natural-diamond-prices-september-2026</x:v>
      </x:c>
    </x:row>
    <x:row r="212">
      <x:c r="A212" t="n">
        <x:v>1</x:v>
      </x:c>
      <x:c r="B212" t="str">
        <x:v>Emerald</x:v>
      </x:c>
      <x:c r="C212" t="str">
        <x:v>F</x:v>
      </x:c>
      <x:c r="D212" t="str">
        <x:v>VVS1</x:v>
      </x:c>
      <x:c r="E212" s="36" t="n">
        <x:v>2880</x:v>
      </x:c>
      <x:c r="F212" s="36" t="n">
        <x:v>7542</x:v>
      </x:c>
      <x:c r="G212" s="42" t="n">
        <x:v>1.6177606177606179</x:v>
      </x:c>
      <x:c r="H212" s="36" t="n">
        <x:f>E212*G212</x:f>
        <x:v>4659.15057915058</x:v>
      </x:c>
      <x:c r="I212" s="36" t="n">
        <x:f>IFERROR(H212/A212,0)</x:f>
        <x:v>4659.15057915058</x:v>
      </x:c>
      <x:c r="J212" s="67" t="str">
        <x:v>Modeled from live base + Sep-2026 quality ratio</x:v>
      </x:c>
      <x:c r="K212" s="67" t="str">
        <x:v>https://www.stonealgo.com/diamond-prices/</x:v>
      </x:c>
      <x:c r="L212" s="67" t="str">
        <x:v>https://www.pricescope.com/blog/natural-diamond-prices-september-2026</x:v>
      </x:c>
    </x:row>
    <x:row r="213">
      <x:c r="A213" t="n">
        <x:v>1</x:v>
      </x:c>
      <x:c r="B213" t="str">
        <x:v>Emerald</x:v>
      </x:c>
      <x:c r="C213" t="str">
        <x:v>F</x:v>
      </x:c>
      <x:c r="D213" t="str">
        <x:v>VVS2</x:v>
      </x:c>
      <x:c r="E213" s="36" t="n">
        <x:v>2880</x:v>
      </x:c>
      <x:c r="F213" s="36" t="n">
        <x:v>6352</x:v>
      </x:c>
      <x:c r="G213" s="42" t="n">
        <x:v>1.3625053625053625</x:v>
      </x:c>
      <x:c r="H213" s="36" t="n">
        <x:f>E213*G213</x:f>
        <x:v>3924.015444015444</x:v>
      </x:c>
      <x:c r="I213" s="36" t="n">
        <x:f>IFERROR(H213/A213,0)</x:f>
        <x:v>3924.015444015444</x:v>
      </x:c>
      <x:c r="J213" s="67" t="str">
        <x:v>Modeled from live base + Sep-2026 quality ratio</x:v>
      </x:c>
      <x:c r="K213" s="67" t="str">
        <x:v>https://www.stonealgo.com/diamond-prices/</x:v>
      </x:c>
      <x:c r="L213" s="67" t="str">
        <x:v>https://www.pricescope.com/blog/natural-diamond-prices-september-2026</x:v>
      </x:c>
    </x:row>
    <x:row r="214">
      <x:c r="A214" t="n">
        <x:v>1</x:v>
      </x:c>
      <x:c r="B214" t="str">
        <x:v>Emerald</x:v>
      </x:c>
      <x:c r="C214" t="str">
        <x:v>F</x:v>
      </x:c>
      <x:c r="D214" t="str">
        <x:v>VS1</x:v>
      </x:c>
      <x:c r="E214" s="36" t="n">
        <x:v>2880</x:v>
      </x:c>
      <x:c r="F214" s="36" t="n">
        <x:v>5647</x:v>
      </x:c>
      <x:c r="G214" s="42" t="n">
        <x:v>1.2112827112827114</x:v>
      </x:c>
      <x:c r="H214" s="36" t="n">
        <x:f>E214*G214</x:f>
        <x:v>3488.4942084942086</x:v>
      </x:c>
      <x:c r="I214" s="36" t="n">
        <x:f>IFERROR(H214/A214,0)</x:f>
        <x:v>3488.4942084942086</x:v>
      </x:c>
      <x:c r="J214" s="67" t="str">
        <x:v>Modeled from live base + Sep-2026 quality ratio</x:v>
      </x:c>
      <x:c r="K214" s="67" t="str">
        <x:v>https://www.stonealgo.com/diamond-prices/</x:v>
      </x:c>
      <x:c r="L214" s="67" t="str">
        <x:v>https://www.pricescope.com/blog/natural-diamond-prices-september-2026</x:v>
      </x:c>
    </x:row>
    <x:row r="215">
      <x:c r="A215" t="n">
        <x:v>1</x:v>
      </x:c>
      <x:c r="B215" t="str">
        <x:v>Emerald</x:v>
      </x:c>
      <x:c r="C215" t="str">
        <x:v>F</x:v>
      </x:c>
      <x:c r="D215" t="str">
        <x:v>VS2</x:v>
      </x:c>
      <x:c r="E215" s="36" t="n">
        <x:v>2880</x:v>
      </x:c>
      <x:c r="F215" s="36" t="n">
        <x:v>4730</x:v>
      </x:c>
      <x:c r="G215" s="42" t="n">
        <x:v>1.0145860145860146</x:v>
      </x:c>
      <x:c r="H215" s="36" t="n">
        <x:f>E215*G215</x:f>
        <x:v>2922.007722007722</x:v>
      </x:c>
      <x:c r="I215" s="36" t="n">
        <x:f>IFERROR(H215/A215,0)</x:f>
        <x:v>2922.007722007722</x:v>
      </x:c>
      <x:c r="J215" s="67" t="str">
        <x:v>Modeled from live base + Sep-2026 quality ratio</x:v>
      </x:c>
      <x:c r="K215" s="67" t="str">
        <x:v>https://www.stonealgo.com/diamond-prices/</x:v>
      </x:c>
      <x:c r="L215" s="67" t="str">
        <x:v>https://www.pricescope.com/blog/natural-diamond-prices-september-2026</x:v>
      </x:c>
    </x:row>
    <x:row r="216">
      <x:c r="A216" t="n">
        <x:v>1</x:v>
      </x:c>
      <x:c r="B216" t="str">
        <x:v>Emerald</x:v>
      </x:c>
      <x:c r="C216" t="str">
        <x:v>F</x:v>
      </x:c>
      <x:c r="D216" t="str">
        <x:v>SI1</x:v>
      </x:c>
      <x:c r="E216" s="36" t="n">
        <x:v>2880</x:v>
      </x:c>
      <x:c r="F216" s="36" t="n">
        <x:v>3331</x:v>
      </x:c>
      <x:c r="G216" s="42" t="n">
        <x:v>0.7145002145002145</x:v>
      </x:c>
      <x:c r="H216" s="36" t="n">
        <x:f>E216*G216</x:f>
        <x:v>2057.7606177606176</x:v>
      </x:c>
      <x:c r="I216" s="36" t="n">
        <x:f>IFERROR(H216/A216,0)</x:f>
        <x:v>2057.7606177606176</x:v>
      </x:c>
      <x:c r="J216" s="67" t="str">
        <x:v>Modeled from live base + Sep-2026 quality ratio</x:v>
      </x:c>
      <x:c r="K216" s="67" t="str">
        <x:v>https://www.stonealgo.com/diamond-prices/</x:v>
      </x:c>
      <x:c r="L216" s="67" t="str">
        <x:v>https://www.pricescope.com/blog/natural-diamond-prices-september-2026</x:v>
      </x:c>
    </x:row>
    <x:row r="217">
      <x:c r="A217" t="n">
        <x:v>1</x:v>
      </x:c>
      <x:c r="B217" t="str">
        <x:v>Emerald</x:v>
      </x:c>
      <x:c r="C217" t="str">
        <x:v>F</x:v>
      </x:c>
      <x:c r="D217" t="str">
        <x:v>SI2</x:v>
      </x:c>
      <x:c r="E217" s="36" t="n">
        <x:v>2880</x:v>
      </x:c>
      <x:c r="F217" s="36" t="n">
        <x:v>2733</x:v>
      </x:c>
      <x:c r="G217" s="42" t="n">
        <x:v>0.5862290862290862</x:v>
      </x:c>
      <x:c r="H217" s="36" t="n">
        <x:f>E217*G217</x:f>
        <x:v>1688.3397683397682</x:v>
      </x:c>
      <x:c r="I217" s="36" t="n">
        <x:f>IFERROR(H217/A217,0)</x:f>
        <x:v>1688.3397683397682</x:v>
      </x:c>
      <x:c r="J217" s="67" t="str">
        <x:v>Modeled from live base + Sep-2026 quality ratio</x:v>
      </x:c>
      <x:c r="K217" s="67" t="str">
        <x:v>https://www.stonealgo.com/diamond-prices/</x:v>
      </x:c>
      <x:c r="L217" s="67" t="str">
        <x:v>https://www.pricescope.com/blog/natural-diamond-prices-september-2026</x:v>
      </x:c>
    </x:row>
    <x:row r="218">
      <x:c r="A218" t="n">
        <x:v>1</x:v>
      </x:c>
      <x:c r="B218" t="str">
        <x:v>Emerald</x:v>
      </x:c>
      <x:c r="C218" t="str">
        <x:v>G</x:v>
      </x:c>
      <x:c r="D218" t="str">
        <x:v>FL</x:v>
      </x:c>
      <x:c r="E218" s="36" t="n">
        <x:v>2880</x:v>
      </x:c>
      <x:c r="F218" s="36" t="n">
        <x:v>5905</x:v>
      </x:c>
      <x:c r="G218" s="42" t="n">
        <x:v>1.2666237666237665</x:v>
      </x:c>
      <x:c r="H218" s="36" t="n">
        <x:f>E218*G218</x:f>
        <x:v>3647.8764478764474</x:v>
      </x:c>
      <x:c r="I218" s="36" t="n">
        <x:f>IFERROR(H218/A218,0)</x:f>
        <x:v>3647.8764478764474</x:v>
      </x:c>
      <x:c r="J218" s="67" t="str">
        <x:v>Modeled from live base + Sep-2026 quality ratio</x:v>
      </x:c>
      <x:c r="K218" s="67" t="str">
        <x:v>https://www.stonealgo.com/diamond-prices/</x:v>
      </x:c>
      <x:c r="L218" s="67" t="str">
        <x:v>https://www.pricescope.com/blog/natural-diamond-prices-september-2026</x:v>
      </x:c>
    </x:row>
    <x:row r="219">
      <x:c r="A219" t="n">
        <x:v>1</x:v>
      </x:c>
      <x:c r="B219" t="str">
        <x:v>Emerald</x:v>
      </x:c>
      <x:c r="C219" t="str">
        <x:v>G</x:v>
      </x:c>
      <x:c r="D219" t="str">
        <x:v>IF</x:v>
      </x:c>
      <x:c r="E219" s="36" t="n">
        <x:v>2880</x:v>
      </x:c>
      <x:c r="F219" s="36" t="n">
        <x:v>5601</x:v>
      </x:c>
      <x:c r="G219" s="42" t="n">
        <x:v>1.2014157014157014</x:v>
      </x:c>
      <x:c r="H219" s="36" t="n">
        <x:f>E219*G219</x:f>
        <x:v>3460.07722007722</x:v>
      </x:c>
      <x:c r="I219" s="36" t="n">
        <x:f>IFERROR(H219/A219,0)</x:f>
        <x:v>3460.07722007722</x:v>
      </x:c>
      <x:c r="J219" s="67" t="str">
        <x:v>Modeled from live base + Sep-2026 quality ratio</x:v>
      </x:c>
      <x:c r="K219" s="67" t="str">
        <x:v>https://www.stonealgo.com/diamond-prices/</x:v>
      </x:c>
      <x:c r="L219" s="67" t="str">
        <x:v>https://www.pricescope.com/blog/natural-diamond-prices-september-2026</x:v>
      </x:c>
    </x:row>
    <x:row r="220">
      <x:c r="A220" t="n">
        <x:v>1</x:v>
      </x:c>
      <x:c r="B220" t="str">
        <x:v>Emerald</x:v>
      </x:c>
      <x:c r="C220" t="str">
        <x:v>G</x:v>
      </x:c>
      <x:c r="D220" t="str">
        <x:v>VVS1</x:v>
      </x:c>
      <x:c r="E220" s="36" t="n">
        <x:v>2880</x:v>
      </x:c>
      <x:c r="F220" s="36" t="n">
        <x:v>5124</x:v>
      </x:c>
      <x:c r="G220" s="42" t="n">
        <x:v>1.0990990990990992</x:v>
      </x:c>
      <x:c r="H220" s="36" t="n">
        <x:f>E220*G220</x:f>
        <x:v>3165.405405405406</x:v>
      </x:c>
      <x:c r="I220" s="36" t="n">
        <x:f>IFERROR(H220/A220,0)</x:f>
        <x:v>3165.405405405406</x:v>
      </x:c>
      <x:c r="J220" s="67" t="str">
        <x:v>Modeled from live base + Sep-2026 quality ratio</x:v>
      </x:c>
      <x:c r="K220" s="67" t="str">
        <x:v>https://www.stonealgo.com/diamond-prices/</x:v>
      </x:c>
      <x:c r="L220" s="67" t="str">
        <x:v>https://www.pricescope.com/blog/natural-diamond-prices-september-2026</x:v>
      </x:c>
    </x:row>
    <x:row r="221">
      <x:c r="A221" t="n">
        <x:v>1</x:v>
      </x:c>
      <x:c r="B221" t="str">
        <x:v>Emerald</x:v>
      </x:c>
      <x:c r="C221" t="str">
        <x:v>G</x:v>
      </x:c>
      <x:c r="D221" t="str">
        <x:v>VVS2</x:v>
      </x:c>
      <x:c r="E221" s="36" t="n">
        <x:v>2880</x:v>
      </x:c>
      <x:c r="F221" s="36" t="n">
        <x:v>4962</x:v>
      </x:c>
      <x:c r="G221" s="42" t="n">
        <x:v>1.0643500643500643</x:v>
      </x:c>
      <x:c r="H221" s="36" t="n">
        <x:f>E221*G221</x:f>
        <x:v>3065.328185328185</x:v>
      </x:c>
      <x:c r="I221" s="36" t="n">
        <x:f>IFERROR(H221/A221,0)</x:f>
        <x:v>3065.328185328185</x:v>
      </x:c>
      <x:c r="J221" s="67" t="str">
        <x:v>Modeled from live base + Sep-2026 quality ratio</x:v>
      </x:c>
      <x:c r="K221" s="67" t="str">
        <x:v>https://www.stonealgo.com/diamond-prices/</x:v>
      </x:c>
      <x:c r="L221" s="67" t="str">
        <x:v>https://www.pricescope.com/blog/natural-diamond-prices-september-2026</x:v>
      </x:c>
    </x:row>
    <x:row r="222">
      <x:c r="A222" t="n">
        <x:v>1</x:v>
      </x:c>
      <x:c r="B222" t="str">
        <x:v>Emerald</x:v>
      </x:c>
      <x:c r="C222" t="str">
        <x:v>G</x:v>
      </x:c>
      <x:c r="D222" t="str">
        <x:v>VS1</x:v>
      </x:c>
      <x:c r="E222" s="36" t="n">
        <x:v>2880</x:v>
      </x:c>
      <x:c r="F222" s="36" t="n">
        <x:v>4615</x:v>
      </x:c>
      <x:c r="G222" s="42" t="n">
        <x:v>0.98991848991849</x:v>
      </x:c>
      <x:c r="H222" s="36" t="n">
        <x:f>E222*G222</x:f>
        <x:v>2850.965250965251</x:v>
      </x:c>
      <x:c r="I222" s="36" t="n">
        <x:f>IFERROR(H222/A222,0)</x:f>
        <x:v>2850.965250965251</x:v>
      </x:c>
      <x:c r="J222" s="67" t="str">
        <x:v>Modeled from live base + Sep-2026 quality ratio</x:v>
      </x:c>
      <x:c r="K222" s="67" t="str">
        <x:v>https://www.stonealgo.com/diamond-prices/</x:v>
      </x:c>
      <x:c r="L222" s="67" t="str">
        <x:v>https://www.pricescope.com/blog/natural-diamond-prices-september-2026</x:v>
      </x:c>
    </x:row>
    <x:row r="223">
      <x:c r="A223" t="n">
        <x:v>1</x:v>
      </x:c>
      <x:c r="B223" t="str">
        <x:v>Emerald</x:v>
      </x:c>
      <x:c r="C223" t="str">
        <x:v>G</x:v>
      </x:c>
      <x:c r="D223" t="str">
        <x:v>VS2</x:v>
      </x:c>
      <x:c r="E223" s="36" t="n">
        <x:v>2880</x:v>
      </x:c>
      <x:c r="F223" s="36" t="n">
        <x:v>4585</x:v>
      </x:c>
      <x:c r="G223" s="42" t="n">
        <x:v>0.9834834834834835</x:v>
      </x:c>
      <x:c r="H223" s="36" t="n">
        <x:f>E223*G223</x:f>
        <x:v>2832.4324324324325</x:v>
      </x:c>
      <x:c r="I223" s="36" t="n">
        <x:f>IFERROR(H223/A223,0)</x:f>
        <x:v>2832.4324324324325</x:v>
      </x:c>
      <x:c r="J223" s="67" t="str">
        <x:v>Modeled from live base + Sep-2026 quality ratio</x:v>
      </x:c>
      <x:c r="K223" s="67" t="str">
        <x:v>https://www.stonealgo.com/diamond-prices/</x:v>
      </x:c>
      <x:c r="L223" s="67" t="str">
        <x:v>https://www.pricescope.com/blog/natural-diamond-prices-september-2026</x:v>
      </x:c>
    </x:row>
    <x:row r="224">
      <x:c r="A224" t="n">
        <x:v>1</x:v>
      </x:c>
      <x:c r="B224" t="str">
        <x:v>Emerald</x:v>
      </x:c>
      <x:c r="C224" t="str">
        <x:v>G</x:v>
      </x:c>
      <x:c r="D224" t="str">
        <x:v>SI1</x:v>
      </x:c>
      <x:c r="E224" s="36" t="n">
        <x:v>2880</x:v>
      </x:c>
      <x:c r="F224" s="36" t="n">
        <x:v>3664</x:v>
      </x:c>
      <x:c r="G224" s="42" t="n">
        <x:v>0.7859287859287859</x:v>
      </x:c>
      <x:c r="H224" s="36" t="n">
        <x:f>E224*G224</x:f>
        <x:v>2263.4749034749034</x:v>
      </x:c>
      <x:c r="I224" s="36" t="n">
        <x:f>IFERROR(H224/A224,0)</x:f>
        <x:v>2263.4749034749034</x:v>
      </x:c>
      <x:c r="J224" s="67" t="str">
        <x:v>Modeled from live base + Sep-2026 quality ratio</x:v>
      </x:c>
      <x:c r="K224" s="67" t="str">
        <x:v>https://www.stonealgo.com/diamond-prices/</x:v>
      </x:c>
      <x:c r="L224" s="67" t="str">
        <x:v>https://www.pricescope.com/blog/natural-diamond-prices-september-2026</x:v>
      </x:c>
    </x:row>
    <x:row r="225">
      <x:c r="A225" t="n">
        <x:v>1</x:v>
      </x:c>
      <x:c r="B225" t="str">
        <x:v>Emerald</x:v>
      </x:c>
      <x:c r="C225" t="str">
        <x:v>G</x:v>
      </x:c>
      <x:c r="D225" t="str">
        <x:v>SI2</x:v>
      </x:c>
      <x:c r="E225" s="36" t="n">
        <x:v>2880</x:v>
      </x:c>
      <x:c r="F225" s="36" t="n">
        <x:v>2537</x:v>
      </x:c>
      <x:c r="G225" s="42" t="n">
        <x:v>0.5441870441870442</x:v>
      </x:c>
      <x:c r="H225" s="36" t="n">
        <x:f>E225*G225</x:f>
        <x:v>1567.2586872586874</x:v>
      </x:c>
      <x:c r="I225" s="36" t="n">
        <x:f>IFERROR(H225/A225,0)</x:f>
        <x:v>1567.2586872586874</x:v>
      </x:c>
      <x:c r="J225" s="67" t="str">
        <x:v>Modeled from live base + Sep-2026 quality ratio</x:v>
      </x:c>
      <x:c r="K225" s="67" t="str">
        <x:v>https://www.stonealgo.com/diamond-prices/</x:v>
      </x:c>
      <x:c r="L225" s="67" t="str">
        <x:v>https://www.pricescope.com/blog/natural-diamond-prices-september-2026</x:v>
      </x:c>
    </x:row>
    <x:row r="226">
      <x:c r="A226" t="n">
        <x:v>1</x:v>
      </x:c>
      <x:c r="B226" t="str">
        <x:v>Emerald</x:v>
      </x:c>
      <x:c r="C226" t="str">
        <x:v>H</x:v>
      </x:c>
      <x:c r="D226" t="str">
        <x:v>FL</x:v>
      </x:c>
      <x:c r="E226" s="36" t="n">
        <x:v>2880</x:v>
      </x:c>
      <x:c r="F226" s="36" t="n">
        <x:v>4563</x:v>
      </x:c>
      <x:c r="G226" s="42" t="n">
        <x:v>0.9787644787644788</x:v>
      </x:c>
      <x:c r="H226" s="36" t="n">
        <x:f>E226*G226</x:f>
        <x:v>2818.841698841699</x:v>
      </x:c>
      <x:c r="I226" s="36" t="n">
        <x:f>IFERROR(H226/A226,0)</x:f>
        <x:v>2818.841698841699</x:v>
      </x:c>
      <x:c r="J226" s="67" t="str">
        <x:v>Modeled from live base + Sep-2026 quality ratio</x:v>
      </x:c>
      <x:c r="K226" s="67" t="str">
        <x:v>https://www.stonealgo.com/diamond-prices/</x:v>
      </x:c>
      <x:c r="L226" s="67" t="str">
        <x:v>https://www.pricescope.com/blog/natural-diamond-prices-september-2026</x:v>
      </x:c>
    </x:row>
    <x:row r="227">
      <x:c r="A227" t="n">
        <x:v>1</x:v>
      </x:c>
      <x:c r="B227" t="str">
        <x:v>Emerald</x:v>
      </x:c>
      <x:c r="C227" t="str">
        <x:v>H</x:v>
      </x:c>
      <x:c r="D227" t="str">
        <x:v>IF</x:v>
      </x:c>
      <x:c r="E227" s="36" t="n">
        <x:v>2880</x:v>
      </x:c>
      <x:c r="F227" s="36" t="n">
        <x:v>4809</x:v>
      </x:c>
      <x:c r="G227" s="42" t="n">
        <x:v>1.0315315315315314</x:v>
      </x:c>
      <x:c r="H227" s="36" t="n">
        <x:f>E227*G227</x:f>
        <x:v>2970.8108108108104</x:v>
      </x:c>
      <x:c r="I227" s="36" t="n">
        <x:f>IFERROR(H227/A227,0)</x:f>
        <x:v>2970.8108108108104</x:v>
      </x:c>
      <x:c r="J227" s="67" t="str">
        <x:v>Modeled from live base + Sep-2026 quality ratio</x:v>
      </x:c>
      <x:c r="K227" s="67" t="str">
        <x:v>https://www.stonealgo.com/diamond-prices/</x:v>
      </x:c>
      <x:c r="L227" s="67" t="str">
        <x:v>https://www.pricescope.com/blog/natural-diamond-prices-september-2026</x:v>
      </x:c>
    </x:row>
    <x:row r="228">
      <x:c r="A228" t="n">
        <x:v>1</x:v>
      </x:c>
      <x:c r="B228" t="str">
        <x:v>Emerald</x:v>
      </x:c>
      <x:c r="C228" t="str">
        <x:v>H</x:v>
      </x:c>
      <x:c r="D228" t="str">
        <x:v>VVS1</x:v>
      </x:c>
      <x:c r="E228" s="36" t="n">
        <x:v>2880</x:v>
      </x:c>
      <x:c r="F228" s="36" t="n">
        <x:v>4911</x:v>
      </x:c>
      <x:c r="G228" s="42" t="n">
        <x:v>1.0534105534105533</x:v>
      </x:c>
      <x:c r="H228" s="36" t="n">
        <x:f>E228*G228</x:f>
        <x:v>3033.8223938223937</x:v>
      </x:c>
      <x:c r="I228" s="36" t="n">
        <x:f>IFERROR(H228/A228,0)</x:f>
        <x:v>3033.8223938223937</x:v>
      </x:c>
      <x:c r="J228" s="67" t="str">
        <x:v>Modeled from live base + Sep-2026 quality ratio</x:v>
      </x:c>
      <x:c r="K228" s="67" t="str">
        <x:v>https://www.stonealgo.com/diamond-prices/</x:v>
      </x:c>
      <x:c r="L228" s="67" t="str">
        <x:v>https://www.pricescope.com/blog/natural-diamond-prices-september-2026</x:v>
      </x:c>
    </x:row>
    <x:row r="229">
      <x:c r="A229" t="n">
        <x:v>1</x:v>
      </x:c>
      <x:c r="B229" t="str">
        <x:v>Emerald</x:v>
      </x:c>
      <x:c r="C229" t="str">
        <x:v>H</x:v>
      </x:c>
      <x:c r="D229" t="str">
        <x:v>VVS2</x:v>
      </x:c>
      <x:c r="E229" s="36" t="n">
        <x:v>2880</x:v>
      </x:c>
      <x:c r="F229" s="36" t="n">
        <x:v>4046</x:v>
      </x:c>
      <x:c r="G229" s="42" t="n">
        <x:v>0.8678678678678678</x:v>
      </x:c>
      <x:c r="H229" s="36" t="n">
        <x:f>E229*G229</x:f>
        <x:v>2499.4594594594596</x:v>
      </x:c>
      <x:c r="I229" s="36" t="n">
        <x:f>IFERROR(H229/A229,0)</x:f>
        <x:v>2499.4594594594596</x:v>
      </x:c>
      <x:c r="J229" s="67" t="str">
        <x:v>Modeled from live base + Sep-2026 quality ratio</x:v>
      </x:c>
      <x:c r="K229" s="67" t="str">
        <x:v>https://www.stonealgo.com/diamond-prices/</x:v>
      </x:c>
      <x:c r="L229" s="67" t="str">
        <x:v>https://www.pricescope.com/blog/natural-diamond-prices-september-2026</x:v>
      </x:c>
    </x:row>
    <x:row r="230">
      <x:c r="A230" t="n">
        <x:v>1</x:v>
      </x:c>
      <x:c r="B230" t="str">
        <x:v>Emerald</x:v>
      </x:c>
      <x:c r="C230" t="str">
        <x:v>H</x:v>
      </x:c>
      <x:c r="D230" t="str">
        <x:v>VS1</x:v>
      </x:c>
      <x:c r="E230" s="36" t="n">
        <x:v>2880</x:v>
      </x:c>
      <x:c r="F230" s="36" t="n">
        <x:v>3893</x:v>
      </x:c>
      <x:c r="G230" s="42" t="n">
        <x:v>0.8350493350493351</x:v>
      </x:c>
      <x:c r="H230" s="36" t="n">
        <x:f>E230*G230</x:f>
        <x:v>2404.942084942085</x:v>
      </x:c>
      <x:c r="I230" s="36" t="n">
        <x:f>IFERROR(H230/A230,0)</x:f>
        <x:v>2404.942084942085</x:v>
      </x:c>
      <x:c r="J230" s="67" t="str">
        <x:v>Modeled from live base + Sep-2026 quality ratio</x:v>
      </x:c>
      <x:c r="K230" s="67" t="str">
        <x:v>https://www.stonealgo.com/diamond-prices/</x:v>
      </x:c>
      <x:c r="L230" s="67" t="str">
        <x:v>https://www.pricescope.com/blog/natural-diamond-prices-september-2026</x:v>
      </x:c>
    </x:row>
    <x:row r="231">
      <x:c r="A231" t="n">
        <x:v>1</x:v>
      </x:c>
      <x:c r="B231" t="str">
        <x:v>Emerald</x:v>
      </x:c>
      <x:c r="C231" t="str">
        <x:v>H</x:v>
      </x:c>
      <x:c r="D231" t="str">
        <x:v>VS2</x:v>
      </x:c>
      <x:c r="E231" s="36" t="n">
        <x:v>2880</x:v>
      </x:c>
      <x:c r="F231" s="36" t="n">
        <x:v>3989</x:v>
      </x:c>
      <x:c r="G231" s="42" t="n">
        <x:v>0.8556413556413557</x:v>
      </x:c>
      <x:c r="H231" s="36" t="n">
        <x:f>E231*G231</x:f>
        <x:v>2464.2471042471043</x:v>
      </x:c>
      <x:c r="I231" s="36" t="n">
        <x:f>IFERROR(H231/A231,0)</x:f>
        <x:v>2464.2471042471043</x:v>
      </x:c>
      <x:c r="J231" s="67" t="str">
        <x:v>Modeled from live base + Sep-2026 quality ratio</x:v>
      </x:c>
      <x:c r="K231" s="67" t="str">
        <x:v>https://www.stonealgo.com/diamond-prices/</x:v>
      </x:c>
      <x:c r="L231" s="67" t="str">
        <x:v>https://www.pricescope.com/blog/natural-diamond-prices-september-2026</x:v>
      </x:c>
    </x:row>
    <x:row r="232">
      <x:c r="A232" t="n">
        <x:v>1</x:v>
      </x:c>
      <x:c r="B232" t="str">
        <x:v>Emerald</x:v>
      </x:c>
      <x:c r="C232" t="str">
        <x:v>H</x:v>
      </x:c>
      <x:c r="D232" t="str">
        <x:v>SI1</x:v>
      </x:c>
      <x:c r="E232" s="36" t="n">
        <x:v>2880</x:v>
      </x:c>
      <x:c r="F232" s="36" t="n">
        <x:v>2828</x:v>
      </x:c>
      <x:c r="G232" s="42" t="n">
        <x:v>0.6066066066066066</x:v>
      </x:c>
      <x:c r="H232" s="36" t="n">
        <x:f>E232*G232</x:f>
        <x:v>1747.027027027027</x:v>
      </x:c>
      <x:c r="I232" s="36" t="n">
        <x:f>IFERROR(H232/A232,0)</x:f>
        <x:v>1747.027027027027</x:v>
      </x:c>
      <x:c r="J232" s="67" t="str">
        <x:v>Modeled from live base + Sep-2026 quality ratio</x:v>
      </x:c>
      <x:c r="K232" s="67" t="str">
        <x:v>https://www.stonealgo.com/diamond-prices/</x:v>
      </x:c>
      <x:c r="L232" s="67" t="str">
        <x:v>https://www.pricescope.com/blog/natural-diamond-prices-september-2026</x:v>
      </x:c>
    </x:row>
    <x:row r="233">
      <x:c r="A233" t="n">
        <x:v>1</x:v>
      </x:c>
      <x:c r="B233" t="str">
        <x:v>Emerald</x:v>
      </x:c>
      <x:c r="C233" t="str">
        <x:v>H</x:v>
      </x:c>
      <x:c r="D233" t="str">
        <x:v>SI2</x:v>
      </x:c>
      <x:c r="E233" s="36" t="n">
        <x:v>2880</x:v>
      </x:c>
      <x:c r="F233" s="36" t="n">
        <x:v>2328</x:v>
      </x:c>
      <x:c r="G233" s="42" t="n">
        <x:v>0.49935649935649934</x:v>
      </x:c>
      <x:c r="H233" s="36" t="n">
        <x:f>E233*G233</x:f>
        <x:v>1438.146718146718</x:v>
      </x:c>
      <x:c r="I233" s="36" t="n">
        <x:f>IFERROR(H233/A233,0)</x:f>
        <x:v>1438.146718146718</x:v>
      </x:c>
      <x:c r="J233" s="67" t="str">
        <x:v>Modeled from live base + Sep-2026 quality ratio</x:v>
      </x:c>
      <x:c r="K233" s="67" t="str">
        <x:v>https://www.stonealgo.com/diamond-prices/</x:v>
      </x:c>
      <x:c r="L233" s="67" t="str">
        <x:v>https://www.pricescope.com/blog/natural-diamond-prices-september-2026</x:v>
      </x:c>
    </x:row>
    <x:row r="234">
      <x:c r="A234" t="n">
        <x:v>1</x:v>
      </x:c>
      <x:c r="B234" t="str">
        <x:v>Emerald</x:v>
      </x:c>
      <x:c r="C234" t="str">
        <x:v>I</x:v>
      </x:c>
      <x:c r="D234" t="str">
        <x:v>FL</x:v>
      </x:c>
      <x:c r="E234" s="36" t="n">
        <x:v>2880</x:v>
      </x:c>
      <x:c r="F234" s="36" t="n">
        <x:v>4623</x:v>
      </x:c>
      <x:c r="G234" s="42" t="n">
        <x:v>0.9916344916344917</x:v>
      </x:c>
      <x:c r="H234" s="36" t="n">
        <x:f>E234*G234</x:f>
        <x:v>2855.907335907336</x:v>
      </x:c>
      <x:c r="I234" s="36" t="n">
        <x:f>IFERROR(H234/A234,0)</x:f>
        <x:v>2855.907335907336</x:v>
      </x:c>
      <x:c r="J234" s="67" t="str">
        <x:v>Modeled from live base + Sep-2026 quality ratio</x:v>
      </x:c>
      <x:c r="K234" s="67" t="str">
        <x:v>https://www.stonealgo.com/diamond-prices/</x:v>
      </x:c>
      <x:c r="L234" s="67" t="str">
        <x:v>https://www.pricescope.com/blog/natural-diamond-prices-september-2026</x:v>
      </x:c>
    </x:row>
    <x:row r="235">
      <x:c r="A235" t="n">
        <x:v>1</x:v>
      </x:c>
      <x:c r="B235" t="str">
        <x:v>Emerald</x:v>
      </x:c>
      <x:c r="C235" t="str">
        <x:v>I</x:v>
      </x:c>
      <x:c r="D235" t="str">
        <x:v>IF</x:v>
      </x:c>
      <x:c r="E235" s="36" t="n">
        <x:v>2880</x:v>
      </x:c>
      <x:c r="F235" s="36" t="n">
        <x:v>4005</x:v>
      </x:c>
      <x:c r="G235" s="42" t="n">
        <x:v>0.859073359073359</x:v>
      </x:c>
      <x:c r="H235" s="36" t="n">
        <x:f>E235*G235</x:f>
        <x:v>2474.131274131274</x:v>
      </x:c>
      <x:c r="I235" s="36" t="n">
        <x:f>IFERROR(H235/A235,0)</x:f>
        <x:v>2474.131274131274</x:v>
      </x:c>
      <x:c r="J235" s="67" t="str">
        <x:v>Modeled from live base + Sep-2026 quality ratio</x:v>
      </x:c>
      <x:c r="K235" s="67" t="str">
        <x:v>https://www.stonealgo.com/diamond-prices/</x:v>
      </x:c>
      <x:c r="L235" s="67" t="str">
        <x:v>https://www.pricescope.com/blog/natural-diamond-prices-september-2026</x:v>
      </x:c>
    </x:row>
    <x:row r="236">
      <x:c r="A236" t="n">
        <x:v>1</x:v>
      </x:c>
      <x:c r="B236" t="str">
        <x:v>Emerald</x:v>
      </x:c>
      <x:c r="C236" t="str">
        <x:v>I</x:v>
      </x:c>
      <x:c r="D236" t="str">
        <x:v>VVS1</x:v>
      </x:c>
      <x:c r="E236" s="36" t="n">
        <x:v>2880</x:v>
      </x:c>
      <x:c r="F236" s="36" t="n">
        <x:v>3670</x:v>
      </x:c>
      <x:c r="G236" s="42" t="n">
        <x:v>0.7872157872157872</x:v>
      </x:c>
      <x:c r="H236" s="36" t="n">
        <x:f>E236*G236</x:f>
        <x:v>2267.1814671814673</x:v>
      </x:c>
      <x:c r="I236" s="36" t="n">
        <x:f>IFERROR(H236/A236,0)</x:f>
        <x:v>2267.1814671814673</x:v>
      </x:c>
      <x:c r="J236" s="67" t="str">
        <x:v>Modeled from live base + Sep-2026 quality ratio</x:v>
      </x:c>
      <x:c r="K236" s="67" t="str">
        <x:v>https://www.stonealgo.com/diamond-prices/</x:v>
      </x:c>
      <x:c r="L236" s="67" t="str">
        <x:v>https://www.pricescope.com/blog/natural-diamond-prices-september-2026</x:v>
      </x:c>
    </x:row>
    <x:row r="237">
      <x:c r="A237" t="n">
        <x:v>1</x:v>
      </x:c>
      <x:c r="B237" t="str">
        <x:v>Emerald</x:v>
      </x:c>
      <x:c r="C237" t="str">
        <x:v>I</x:v>
      </x:c>
      <x:c r="D237" t="str">
        <x:v>VVS2</x:v>
      </x:c>
      <x:c r="E237" s="36" t="n">
        <x:v>2880</x:v>
      </x:c>
      <x:c r="F237" s="36" t="n">
        <x:v>3447</x:v>
      </x:c>
      <x:c r="G237" s="42" t="n">
        <x:v>0.7393822393822393</x:v>
      </x:c>
      <x:c r="H237" s="36" t="n">
        <x:f>E237*G237</x:f>
        <x:v>2129.420849420849</x:v>
      </x:c>
      <x:c r="I237" s="36" t="n">
        <x:f>IFERROR(H237/A237,0)</x:f>
        <x:v>2129.420849420849</x:v>
      </x:c>
      <x:c r="J237" s="67" t="str">
        <x:v>Modeled from live base + Sep-2026 quality ratio</x:v>
      </x:c>
      <x:c r="K237" s="67" t="str">
        <x:v>https://www.stonealgo.com/diamond-prices/</x:v>
      </x:c>
      <x:c r="L237" s="67" t="str">
        <x:v>https://www.pricescope.com/blog/natural-diamond-prices-september-2026</x:v>
      </x:c>
    </x:row>
    <x:row r="238">
      <x:c r="A238" t="n">
        <x:v>1</x:v>
      </x:c>
      <x:c r="B238" t="str">
        <x:v>Emerald</x:v>
      </x:c>
      <x:c r="C238" t="str">
        <x:v>I</x:v>
      </x:c>
      <x:c r="D238" t="str">
        <x:v>VS1</x:v>
      </x:c>
      <x:c r="E238" s="36" t="n">
        <x:v>2880</x:v>
      </x:c>
      <x:c r="F238" s="36" t="n">
        <x:v>3313</x:v>
      </x:c>
      <x:c r="G238" s="42" t="n">
        <x:v>0.7106392106392107</x:v>
      </x:c>
      <x:c r="H238" s="36" t="n">
        <x:f>E238*G238</x:f>
        <x:v>2046.6409266409266</x:v>
      </x:c>
      <x:c r="I238" s="36" t="n">
        <x:f>IFERROR(H238/A238,0)</x:f>
        <x:v>2046.6409266409266</x:v>
      </x:c>
      <x:c r="J238" s="67" t="str">
        <x:v>Modeled from live base + Sep-2026 quality ratio</x:v>
      </x:c>
      <x:c r="K238" s="67" t="str">
        <x:v>https://www.stonealgo.com/diamond-prices/</x:v>
      </x:c>
      <x:c r="L238" s="67" t="str">
        <x:v>https://www.pricescope.com/blog/natural-diamond-prices-september-2026</x:v>
      </x:c>
    </x:row>
    <x:row r="239">
      <x:c r="A239" t="n">
        <x:v>1</x:v>
      </x:c>
      <x:c r="B239" t="str">
        <x:v>Emerald</x:v>
      </x:c>
      <x:c r="C239" t="str">
        <x:v>I</x:v>
      </x:c>
      <x:c r="D239" t="str">
        <x:v>VS2</x:v>
      </x:c>
      <x:c r="E239" s="36" t="n">
        <x:v>2880</x:v>
      </x:c>
      <x:c r="F239" s="36" t="n">
        <x:v>3240</x:v>
      </x:c>
      <x:c r="G239" s="42" t="n">
        <x:v>0.694980694980695</x:v>
      </x:c>
      <x:c r="H239" s="36" t="n">
        <x:f>E239*G239</x:f>
        <x:v>2001.5444015444018</x:v>
      </x:c>
      <x:c r="I239" s="36" t="n">
        <x:f>IFERROR(H239/A239,0)</x:f>
        <x:v>2001.5444015444018</x:v>
      </x:c>
      <x:c r="J239" s="67" t="str">
        <x:v>Modeled from live base + Sep-2026 quality ratio</x:v>
      </x:c>
      <x:c r="K239" s="67" t="str">
        <x:v>https://www.stonealgo.com/diamond-prices/</x:v>
      </x:c>
      <x:c r="L239" s="67" t="str">
        <x:v>https://www.pricescope.com/blog/natural-diamond-prices-september-2026</x:v>
      </x:c>
    </x:row>
    <x:row r="240">
      <x:c r="A240" t="n">
        <x:v>1</x:v>
      </x:c>
      <x:c r="B240" t="str">
        <x:v>Emerald</x:v>
      </x:c>
      <x:c r="C240" t="str">
        <x:v>I</x:v>
      </x:c>
      <x:c r="D240" t="str">
        <x:v>SI1</x:v>
      </x:c>
      <x:c r="E240" s="36" t="n">
        <x:v>2880</x:v>
      </x:c>
      <x:c r="F240" s="36" t="n">
        <x:v>3199</x:v>
      </x:c>
      <x:c r="G240" s="42" t="n">
        <x:v>0.6861861861861862</x:v>
      </x:c>
      <x:c r="H240" s="36" t="n">
        <x:f>E240*G240</x:f>
        <x:v>1976.2162162162163</x:v>
      </x:c>
      <x:c r="I240" s="36" t="n">
        <x:f>IFERROR(H240/A240,0)</x:f>
        <x:v>1976.2162162162163</x:v>
      </x:c>
      <x:c r="J240" s="67" t="str">
        <x:v>Modeled from live base + Sep-2026 quality ratio</x:v>
      </x:c>
      <x:c r="K240" s="67" t="str">
        <x:v>https://www.stonealgo.com/diamond-prices/</x:v>
      </x:c>
      <x:c r="L240" s="67" t="str">
        <x:v>https://www.pricescope.com/blog/natural-diamond-prices-september-2026</x:v>
      </x:c>
    </x:row>
    <x:row r="241">
      <x:c r="A241" t="n">
        <x:v>1</x:v>
      </x:c>
      <x:c r="B241" t="str">
        <x:v>Emerald</x:v>
      </x:c>
      <x:c r="C241" t="str">
        <x:v>I</x:v>
      </x:c>
      <x:c r="D241" t="str">
        <x:v>SI2</x:v>
      </x:c>
      <x:c r="E241" s="36" t="n">
        <x:v>2880</x:v>
      </x:c>
      <x:c r="F241" s="36" t="n">
        <x:v>2874</x:v>
      </x:c>
      <x:c r="G241" s="42" t="n">
        <x:v>0.6164736164736164</x:v>
      </x:c>
      <x:c r="H241" s="36" t="n">
        <x:f>E241*G241</x:f>
        <x:v>1775.4440154440153</x:v>
      </x:c>
      <x:c r="I241" s="36" t="n">
        <x:f>IFERROR(H241/A241,0)</x:f>
        <x:v>1775.4440154440153</x:v>
      </x:c>
      <x:c r="J241" s="67" t="str">
        <x:v>Modeled from live base + Sep-2026 quality ratio</x:v>
      </x:c>
      <x:c r="K241" s="67" t="str">
        <x:v>https://www.stonealgo.com/diamond-prices/</x:v>
      </x:c>
      <x:c r="L241" s="67" t="str">
        <x:v>https://www.pricescope.com/blog/natural-diamond-prices-september-2026</x:v>
      </x:c>
    </x:row>
    <x:row r="242">
      <x:c r="A242" t="n">
        <x:v>1</x:v>
      </x:c>
      <x:c r="B242" t="str">
        <x:v>Emerald</x:v>
      </x:c>
      <x:c r="C242" t="str">
        <x:v>J</x:v>
      </x:c>
      <x:c r="D242" t="str">
        <x:v>FL</x:v>
      </x:c>
      <x:c r="E242" s="36" t="n">
        <x:v>2880</x:v>
      </x:c>
      <x:c r="F242" s="36" t="n">
        <x:v>3646</x:v>
      </x:c>
      <x:c r="G242" s="42" t="n">
        <x:v>0.782067782067782</x:v>
      </x:c>
      <x:c r="H242" s="36" t="n">
        <x:f>E242*G242</x:f>
        <x:v>2252.355212355212</x:v>
      </x:c>
      <x:c r="I242" s="36" t="n">
        <x:f>IFERROR(H242/A242,0)</x:f>
        <x:v>2252.355212355212</x:v>
      </x:c>
      <x:c r="J242" s="67" t="str">
        <x:v>Modeled from live base + Sep-2026 quality ratio</x:v>
      </x:c>
      <x:c r="K242" s="67" t="str">
        <x:v>https://www.stonealgo.com/diamond-prices/</x:v>
      </x:c>
      <x:c r="L242" s="67" t="str">
        <x:v>https://www.pricescope.com/blog/natural-diamond-prices-september-2026</x:v>
      </x:c>
    </x:row>
    <x:row r="243">
      <x:c r="A243" t="n">
        <x:v>1</x:v>
      </x:c>
      <x:c r="B243" t="str">
        <x:v>Emerald</x:v>
      </x:c>
      <x:c r="C243" t="str">
        <x:v>J</x:v>
      </x:c>
      <x:c r="D243" t="str">
        <x:v>IF</x:v>
      </x:c>
      <x:c r="E243" s="36" t="n">
        <x:v>2880</x:v>
      </x:c>
      <x:c r="F243" s="36" t="n">
        <x:v>3368</x:v>
      </x:c>
      <x:c r="G243" s="42" t="n">
        <x:v>0.7224367224367224</x:v>
      </x:c>
      <x:c r="H243" s="36" t="n">
        <x:f>E243*G243</x:f>
        <x:v>2080.6177606177607</x:v>
      </x:c>
      <x:c r="I243" s="36" t="n">
        <x:f>IFERROR(H243/A243,0)</x:f>
        <x:v>2080.6177606177607</x:v>
      </x:c>
      <x:c r="J243" s="67" t="str">
        <x:v>Modeled from live base + Sep-2026 quality ratio</x:v>
      </x:c>
      <x:c r="K243" s="67" t="str">
        <x:v>https://www.stonealgo.com/diamond-prices/</x:v>
      </x:c>
      <x:c r="L243" s="67" t="str">
        <x:v>https://www.pricescope.com/blog/natural-diamond-prices-september-2026</x:v>
      </x:c>
    </x:row>
    <x:row r="244">
      <x:c r="A244" t="n">
        <x:v>1</x:v>
      </x:c>
      <x:c r="B244" t="str">
        <x:v>Emerald</x:v>
      </x:c>
      <x:c r="C244" t="str">
        <x:v>J</x:v>
      </x:c>
      <x:c r="D244" t="str">
        <x:v>VVS1</x:v>
      </x:c>
      <x:c r="E244" s="36" t="n">
        <x:v>2880</x:v>
      </x:c>
      <x:c r="F244" s="36" t="n">
        <x:v>2956</x:v>
      </x:c>
      <x:c r="G244" s="42" t="n">
        <x:v>0.6340626340626341</x:v>
      </x:c>
      <x:c r="H244" s="36" t="n">
        <x:f>E244*G244</x:f>
        <x:v>1826.1003861003862</x:v>
      </x:c>
      <x:c r="I244" s="36" t="n">
        <x:f>IFERROR(H244/A244,0)</x:f>
        <x:v>1826.1003861003862</x:v>
      </x:c>
      <x:c r="J244" s="67" t="str">
        <x:v>Modeled from live base + Sep-2026 quality ratio</x:v>
      </x:c>
      <x:c r="K244" s="67" t="str">
        <x:v>https://www.stonealgo.com/diamond-prices/</x:v>
      </x:c>
      <x:c r="L244" s="67" t="str">
        <x:v>https://www.pricescope.com/blog/natural-diamond-prices-september-2026</x:v>
      </x:c>
    </x:row>
    <x:row r="245">
      <x:c r="A245" t="n">
        <x:v>1</x:v>
      </x:c>
      <x:c r="B245" t="str">
        <x:v>Emerald</x:v>
      </x:c>
      <x:c r="C245" t="str">
        <x:v>J</x:v>
      </x:c>
      <x:c r="D245" t="str">
        <x:v>VVS2</x:v>
      </x:c>
      <x:c r="E245" s="36" t="n">
        <x:v>2880</x:v>
      </x:c>
      <x:c r="F245" s="36" t="n">
        <x:v>2612</x:v>
      </x:c>
      <x:c r="G245" s="42" t="n">
        <x:v>0.5602745602745602</x:v>
      </x:c>
      <x:c r="H245" s="36" t="n">
        <x:f>E245*G245</x:f>
        <x:v>1613.5907335907334</x:v>
      </x:c>
      <x:c r="I245" s="36" t="n">
        <x:f>IFERROR(H245/A245,0)</x:f>
        <x:v>1613.5907335907334</x:v>
      </x:c>
      <x:c r="J245" s="67" t="str">
        <x:v>Modeled from live base + Sep-2026 quality ratio</x:v>
      </x:c>
      <x:c r="K245" s="67" t="str">
        <x:v>https://www.stonealgo.com/diamond-prices/</x:v>
      </x:c>
      <x:c r="L245" s="67" t="str">
        <x:v>https://www.pricescope.com/blog/natural-diamond-prices-september-2026</x:v>
      </x:c>
    </x:row>
    <x:row r="246">
      <x:c r="A246" t="n">
        <x:v>1</x:v>
      </x:c>
      <x:c r="B246" t="str">
        <x:v>Emerald</x:v>
      </x:c>
      <x:c r="C246" t="str">
        <x:v>J</x:v>
      </x:c>
      <x:c r="D246" t="str">
        <x:v>VS1</x:v>
      </x:c>
      <x:c r="E246" s="36" t="n">
        <x:v>2880</x:v>
      </x:c>
      <x:c r="F246" s="36" t="n">
        <x:v>3002</x:v>
      </x:c>
      <x:c r="G246" s="42" t="n">
        <x:v>0.6439296439296439</x:v>
      </x:c>
      <x:c r="H246" s="36" t="n">
        <x:f>E246*G246</x:f>
        <x:v>1854.5173745173745</x:v>
      </x:c>
      <x:c r="I246" s="36" t="n">
        <x:f>IFERROR(H246/A246,0)</x:f>
        <x:v>1854.5173745173745</x:v>
      </x:c>
      <x:c r="J246" s="67" t="str">
        <x:v>Modeled from live base + Sep-2026 quality ratio</x:v>
      </x:c>
      <x:c r="K246" s="67" t="str">
        <x:v>https://www.stonealgo.com/diamond-prices/</x:v>
      </x:c>
      <x:c r="L246" s="67" t="str">
        <x:v>https://www.pricescope.com/blog/natural-diamond-prices-september-2026</x:v>
      </x:c>
    </x:row>
    <x:row r="247">
      <x:c r="A247" t="n">
        <x:v>1</x:v>
      </x:c>
      <x:c r="B247" t="str">
        <x:v>Emerald</x:v>
      </x:c>
      <x:c r="C247" t="str">
        <x:v>J</x:v>
      </x:c>
      <x:c r="D247" t="str">
        <x:v>VS2</x:v>
      </x:c>
      <x:c r="E247" s="36" t="n">
        <x:v>2880</x:v>
      </x:c>
      <x:c r="F247" s="36" t="n">
        <x:v>2559</x:v>
      </x:c>
      <x:c r="G247" s="42" t="n">
        <x:v>0.5489060489060489</x:v>
      </x:c>
      <x:c r="H247" s="36" t="n">
        <x:f>E247*G247</x:f>
        <x:v>1580.8494208494208</x:v>
      </x:c>
      <x:c r="I247" s="36" t="n">
        <x:f>IFERROR(H247/A247,0)</x:f>
        <x:v>1580.8494208494208</x:v>
      </x:c>
      <x:c r="J247" s="67" t="str">
        <x:v>Modeled from live base + Sep-2026 quality ratio</x:v>
      </x:c>
      <x:c r="K247" s="67" t="str">
        <x:v>https://www.stonealgo.com/diamond-prices/</x:v>
      </x:c>
      <x:c r="L247" s="67" t="str">
        <x:v>https://www.pricescope.com/blog/natural-diamond-prices-september-2026</x:v>
      </x:c>
    </x:row>
    <x:row r="248">
      <x:c r="A248" t="n">
        <x:v>1</x:v>
      </x:c>
      <x:c r="B248" t="str">
        <x:v>Emerald</x:v>
      </x:c>
      <x:c r="C248" t="str">
        <x:v>J</x:v>
      </x:c>
      <x:c r="D248" t="str">
        <x:v>SI1</x:v>
      </x:c>
      <x:c r="E248" s="36" t="n">
        <x:v>2880</x:v>
      </x:c>
      <x:c r="F248" s="36" t="n">
        <x:v>2195</x:v>
      </x:c>
      <x:c r="G248" s="42" t="n">
        <x:v>0.47082797082797084</x:v>
      </x:c>
      <x:c r="H248" s="36" t="n">
        <x:f>E248*G248</x:f>
        <x:v>1355.984555984556</x:v>
      </x:c>
      <x:c r="I248" s="36" t="n">
        <x:f>IFERROR(H248/A248,0)</x:f>
        <x:v>1355.984555984556</x:v>
      </x:c>
      <x:c r="J248" s="67" t="str">
        <x:v>Modeled from live base + Sep-2026 quality ratio</x:v>
      </x:c>
      <x:c r="K248" s="67" t="str">
        <x:v>https://www.stonealgo.com/diamond-prices/</x:v>
      </x:c>
      <x:c r="L248" s="67" t="str">
        <x:v>https://www.pricescope.com/blog/natural-diamond-prices-september-2026</x:v>
      </x:c>
    </x:row>
    <x:row r="249">
      <x:c r="A249" t="n">
        <x:v>1</x:v>
      </x:c>
      <x:c r="B249" t="str">
        <x:v>Emerald</x:v>
      </x:c>
      <x:c r="C249" t="str">
        <x:v>J</x:v>
      </x:c>
      <x:c r="D249" t="str">
        <x:v>SI2</x:v>
      </x:c>
      <x:c r="E249" s="36" t="n">
        <x:v>2880</x:v>
      </x:c>
      <x:c r="F249" s="36" t="n">
        <x:v>2079</x:v>
      </x:c>
      <x:c r="G249" s="42" t="n">
        <x:v>0.44594594594594594</x:v>
      </x:c>
      <x:c r="H249" s="36" t="n">
        <x:f>E249*G249</x:f>
        <x:v>1284.3243243243244</x:v>
      </x:c>
      <x:c r="I249" s="36" t="n">
        <x:f>IFERROR(H249/A249,0)</x:f>
        <x:v>1284.3243243243244</x:v>
      </x:c>
      <x:c r="J249" s="67" t="str">
        <x:v>Modeled from live base + Sep-2026 quality ratio</x:v>
      </x:c>
      <x:c r="K249" s="67" t="str">
        <x:v>https://www.stonealgo.com/diamond-prices/</x:v>
      </x:c>
      <x:c r="L249" s="67" t="str">
        <x:v>https://www.pricescope.com/blog/natural-diamond-prices-september-2026</x:v>
      </x:c>
    </x:row>
    <x:row r="250">
      <x:c r="A250" t="n">
        <x:v>1</x:v>
      </x:c>
      <x:c r="B250" t="str">
        <x:v>Emerald</x:v>
      </x:c>
      <x:c r="C250" t="str">
        <x:v>K</x:v>
      </x:c>
      <x:c r="D250" t="str">
        <x:v>FL</x:v>
      </x:c>
      <x:c r="E250" s="36" t="n">
        <x:v>2880</x:v>
      </x:c>
      <x:c r="F250" s="36" t="n">
        <x:v>2858</x:v>
      </x:c>
      <x:c r="G250" s="42" t="n">
        <x:v>0.6130416130416131</x:v>
      </x:c>
      <x:c r="H250" s="36" t="n">
        <x:f>E250*G250</x:f>
        <x:v>1765.5598455598456</x:v>
      </x:c>
      <x:c r="I250" s="36" t="n">
        <x:f>IFERROR(H250/A250,0)</x:f>
        <x:v>1765.5598455598456</x:v>
      </x:c>
      <x:c r="J250" s="67" t="str">
        <x:v>Modeled from live base + Sep-2026 quality ratio; K/FL quality cell modeled</x:v>
      </x:c>
      <x:c r="K250" s="67" t="str">
        <x:v>https://www.stonealgo.com/diamond-prices/</x:v>
      </x:c>
      <x:c r="L250" s="67" t="str">
        <x:v>https://www.pricescope.com/blog/natural-diamond-prices-september-2026</x:v>
      </x:c>
    </x:row>
    <x:row r="251">
      <x:c r="A251" t="n">
        <x:v>1</x:v>
      </x:c>
      <x:c r="B251" t="str">
        <x:v>Emerald</x:v>
      </x:c>
      <x:c r="C251" t="str">
        <x:v>K</x:v>
      </x:c>
      <x:c r="D251" t="str">
        <x:v>IF</x:v>
      </x:c>
      <x:c r="E251" s="36" t="n">
        <x:v>2880</x:v>
      </x:c>
      <x:c r="F251" s="36" t="n">
        <x:v>2743</x:v>
      </x:c>
      <x:c r="G251" s="42" t="n">
        <x:v>0.5883740883740883</x:v>
      </x:c>
      <x:c r="H251" s="36" t="n">
        <x:f>E251*G251</x:f>
        <x:v>1694.5173745173745</x:v>
      </x:c>
      <x:c r="I251" s="36" t="n">
        <x:f>IFERROR(H251/A251,0)</x:f>
        <x:v>1694.5173745173745</x:v>
      </x:c>
      <x:c r="J251" s="67" t="str">
        <x:v>Modeled from live base + Sep-2026 quality ratio</x:v>
      </x:c>
      <x:c r="K251" s="67" t="str">
        <x:v>https://www.stonealgo.com/diamond-prices/</x:v>
      </x:c>
      <x:c r="L251" s="67" t="str">
        <x:v>https://www.pricescope.com/blog/natural-diamond-prices-september-2026</x:v>
      </x:c>
    </x:row>
    <x:row r="252">
      <x:c r="A252" t="n">
        <x:v>1</x:v>
      </x:c>
      <x:c r="B252" t="str">
        <x:v>Emerald</x:v>
      </x:c>
      <x:c r="C252" t="str">
        <x:v>K</x:v>
      </x:c>
      <x:c r="D252" t="str">
        <x:v>VVS1</x:v>
      </x:c>
      <x:c r="E252" s="36" t="n">
        <x:v>2880</x:v>
      </x:c>
      <x:c r="F252" s="36" t="n">
        <x:v>2529</x:v>
      </x:c>
      <x:c r="G252" s="42" t="n">
        <x:v>0.5424710424710425</x:v>
      </x:c>
      <x:c r="H252" s="36" t="n">
        <x:f>E252*G252</x:f>
        <x:v>1562.3166023166025</x:v>
      </x:c>
      <x:c r="I252" s="36" t="n">
        <x:f>IFERROR(H252/A252,0)</x:f>
        <x:v>1562.3166023166025</x:v>
      </x:c>
      <x:c r="J252" s="67" t="str">
        <x:v>Modeled from live base + Sep-2026 quality ratio</x:v>
      </x:c>
      <x:c r="K252" s="67" t="str">
        <x:v>https://www.stonealgo.com/diamond-prices/</x:v>
      </x:c>
      <x:c r="L252" s="67" t="str">
        <x:v>https://www.pricescope.com/blog/natural-diamond-prices-september-2026</x:v>
      </x:c>
    </x:row>
    <x:row r="253">
      <x:c r="A253" t="n">
        <x:v>1</x:v>
      </x:c>
      <x:c r="B253" t="str">
        <x:v>Emerald</x:v>
      </x:c>
      <x:c r="C253" t="str">
        <x:v>K</x:v>
      </x:c>
      <x:c r="D253" t="str">
        <x:v>VVS2</x:v>
      </x:c>
      <x:c r="E253" s="36" t="n">
        <x:v>2880</x:v>
      </x:c>
      <x:c r="F253" s="36" t="n">
        <x:v>2374</x:v>
      </x:c>
      <x:c r="G253" s="42" t="n">
        <x:v>0.5092235092235092</x:v>
      </x:c>
      <x:c r="H253" s="36" t="n">
        <x:f>E253*G253</x:f>
        <x:v>1466.5637065637065</x:v>
      </x:c>
      <x:c r="I253" s="36" t="n">
        <x:f>IFERROR(H253/A253,0)</x:f>
        <x:v>1466.5637065637065</x:v>
      </x:c>
      <x:c r="J253" s="67" t="str">
        <x:v>Modeled from live base + Sep-2026 quality ratio</x:v>
      </x:c>
      <x:c r="K253" s="67" t="str">
        <x:v>https://www.stonealgo.com/diamond-prices/</x:v>
      </x:c>
      <x:c r="L253" s="67" t="str">
        <x:v>https://www.pricescope.com/blog/natural-diamond-prices-september-2026</x:v>
      </x:c>
    </x:row>
    <x:row r="254">
      <x:c r="A254" t="n">
        <x:v>1</x:v>
      </x:c>
      <x:c r="B254" t="str">
        <x:v>Emerald</x:v>
      </x:c>
      <x:c r="C254" t="str">
        <x:v>K</x:v>
      </x:c>
      <x:c r="D254" t="str">
        <x:v>VS1</x:v>
      </x:c>
      <x:c r="E254" s="36" t="n">
        <x:v>2880</x:v>
      </x:c>
      <x:c r="F254" s="36" t="n">
        <x:v>2223</x:v>
      </x:c>
      <x:c r="G254" s="42" t="n">
        <x:v>0.4768339768339768</x:v>
      </x:c>
      <x:c r="H254" s="36" t="n">
        <x:f>E254*G254</x:f>
        <x:v>1373.2818532818533</x:v>
      </x:c>
      <x:c r="I254" s="36" t="n">
        <x:f>IFERROR(H254/A254,0)</x:f>
        <x:v>1373.2818532818533</x:v>
      </x:c>
      <x:c r="J254" s="67" t="str">
        <x:v>Modeled from live base + Sep-2026 quality ratio</x:v>
      </x:c>
      <x:c r="K254" s="67" t="str">
        <x:v>https://www.stonealgo.com/diamond-prices/</x:v>
      </x:c>
      <x:c r="L254" s="67" t="str">
        <x:v>https://www.pricescope.com/blog/natural-diamond-prices-september-2026</x:v>
      </x:c>
    </x:row>
    <x:row r="255">
      <x:c r="A255" t="n">
        <x:v>1</x:v>
      </x:c>
      <x:c r="B255" t="str">
        <x:v>Emerald</x:v>
      </x:c>
      <x:c r="C255" t="str">
        <x:v>K</x:v>
      </x:c>
      <x:c r="D255" t="str">
        <x:v>VS2</x:v>
      </x:c>
      <x:c r="E255" s="36" t="n">
        <x:v>2880</x:v>
      </x:c>
      <x:c r="F255" s="36" t="n">
        <x:v>2098</x:v>
      </x:c>
      <x:c r="G255" s="42" t="n">
        <x:v>0.45002145002145</x:v>
      </x:c>
      <x:c r="H255" s="36" t="n">
        <x:f>E255*G255</x:f>
        <x:v>1296.061776061776</x:v>
      </x:c>
      <x:c r="I255" s="36" t="n">
        <x:f>IFERROR(H255/A255,0)</x:f>
        <x:v>1296.061776061776</x:v>
      </x:c>
      <x:c r="J255" s="67" t="str">
        <x:v>Modeled from live base + Sep-2026 quality ratio</x:v>
      </x:c>
      <x:c r="K255" s="67" t="str">
        <x:v>https://www.stonealgo.com/diamond-prices/</x:v>
      </x:c>
      <x:c r="L255" s="67" t="str">
        <x:v>https://www.pricescope.com/blog/natural-diamond-prices-september-2026</x:v>
      </x:c>
    </x:row>
    <x:row r="256">
      <x:c r="A256" t="n">
        <x:v>1</x:v>
      </x:c>
      <x:c r="B256" t="str">
        <x:v>Emerald</x:v>
      </x:c>
      <x:c r="C256" t="str">
        <x:v>K</x:v>
      </x:c>
      <x:c r="D256" t="str">
        <x:v>SI1</x:v>
      </x:c>
      <x:c r="E256" s="36" t="n">
        <x:v>2880</x:v>
      </x:c>
      <x:c r="F256" s="36" t="n">
        <x:v>1922</x:v>
      </x:c>
      <x:c r="G256" s="42" t="n">
        <x:v>0.41226941226941227</x:v>
      </x:c>
      <x:c r="H256" s="36" t="n">
        <x:f>E256*G256</x:f>
        <x:v>1187.3359073359075</x:v>
      </x:c>
      <x:c r="I256" s="36" t="n">
        <x:f>IFERROR(H256/A256,0)</x:f>
        <x:v>1187.3359073359075</x:v>
      </x:c>
      <x:c r="J256" s="67" t="str">
        <x:v>Modeled from live base + Sep-2026 quality ratio</x:v>
      </x:c>
      <x:c r="K256" s="67" t="str">
        <x:v>https://www.stonealgo.com/diamond-prices/</x:v>
      </x:c>
      <x:c r="L256" s="67" t="str">
        <x:v>https://www.pricescope.com/blog/natural-diamond-prices-september-2026</x:v>
      </x:c>
    </x:row>
    <x:row r="257">
      <x:c r="A257" t="n">
        <x:v>1</x:v>
      </x:c>
      <x:c r="B257" t="str">
        <x:v>Emerald</x:v>
      </x:c>
      <x:c r="C257" t="str">
        <x:v>K</x:v>
      </x:c>
      <x:c r="D257" t="str">
        <x:v>SI2</x:v>
      </x:c>
      <x:c r="E257" s="36" t="n">
        <x:v>2880</x:v>
      </x:c>
      <x:c r="F257" s="36" t="n">
        <x:v>1764</x:v>
      </x:c>
      <x:c r="G257" s="42" t="n">
        <x:v>0.3783783783783784</x:v>
      </x:c>
      <x:c r="H257" s="36" t="n">
        <x:f>E257*G257</x:f>
        <x:v>1089.7297297297298</x:v>
      </x:c>
      <x:c r="I257" s="36" t="n">
        <x:f>IFERROR(H257/A257,0)</x:f>
        <x:v>1089.7297297297298</x:v>
      </x:c>
      <x:c r="J257" s="67" t="str">
        <x:v>Modeled from live base + Sep-2026 quality ratio</x:v>
      </x:c>
      <x:c r="K257" s="67" t="str">
        <x:v>https://www.stonealgo.com/diamond-prices/</x:v>
      </x:c>
      <x:c r="L257" s="67" t="str">
        <x:v>https://www.pricescope.com/blog/natural-diamond-prices-september-2026</x:v>
      </x:c>
    </x:row>
    <x:row r="258">
      <x:c r="A258" t="n">
        <x:v>1</x:v>
      </x:c>
      <x:c r="B258" t="str">
        <x:v>Cushion</x:v>
      </x:c>
      <x:c r="C258" t="str">
        <x:v>D</x:v>
      </x:c>
      <x:c r="D258" t="str">
        <x:v>FL</x:v>
      </x:c>
      <x:c r="E258" s="36" t="n">
        <x:v>2800</x:v>
      </x:c>
      <x:c r="F258" s="36" t="n">
        <x:v>12665</x:v>
      </x:c>
      <x:c r="G258" s="42" t="n">
        <x:v>2.7166452166452166</x:v>
      </x:c>
      <x:c r="H258" s="36" t="n">
        <x:f>E258*G258</x:f>
        <x:v>7606.606606606607</x:v>
      </x:c>
      <x:c r="I258" s="36" t="n">
        <x:f>IFERROR(H258/A258,0)</x:f>
        <x:v>7606.606606606607</x:v>
      </x:c>
      <x:c r="J258" s="67" t="str">
        <x:v>Modeled from live base + Sep-2026 quality ratio</x:v>
      </x:c>
      <x:c r="K258" s="67" t="str">
        <x:v>https://www.stonealgo.com/diamond-prices/</x:v>
      </x:c>
      <x:c r="L258" s="67" t="str">
        <x:v>https://www.pricescope.com/blog/natural-diamond-prices-september-2026</x:v>
      </x:c>
    </x:row>
    <x:row r="259">
      <x:c r="A259" t="n">
        <x:v>1</x:v>
      </x:c>
      <x:c r="B259" t="str">
        <x:v>Cushion</x:v>
      </x:c>
      <x:c r="C259" t="str">
        <x:v>D</x:v>
      </x:c>
      <x:c r="D259" t="str">
        <x:v>IF</x:v>
      </x:c>
      <x:c r="E259" s="36" t="n">
        <x:v>2800</x:v>
      </x:c>
      <x:c r="F259" s="36" t="n">
        <x:v>13240</x:v>
      </x:c>
      <x:c r="G259" s="42" t="n">
        <x:v>2.83998283998284</x:v>
      </x:c>
      <x:c r="H259" s="36" t="n">
        <x:f>E259*G259</x:f>
        <x:v>7951.951951951953</x:v>
      </x:c>
      <x:c r="I259" s="36" t="n">
        <x:f>IFERROR(H259/A259,0)</x:f>
        <x:v>7951.951951951953</x:v>
      </x:c>
      <x:c r="J259" s="67" t="str">
        <x:v>Modeled from live base + Sep-2026 quality ratio</x:v>
      </x:c>
      <x:c r="K259" s="67" t="str">
        <x:v>https://www.stonealgo.com/diamond-prices/</x:v>
      </x:c>
      <x:c r="L259" s="67" t="str">
        <x:v>https://www.pricescope.com/blog/natural-diamond-prices-september-2026</x:v>
      </x:c>
    </x:row>
    <x:row r="260">
      <x:c r="A260" t="n">
        <x:v>1</x:v>
      </x:c>
      <x:c r="B260" t="str">
        <x:v>Cushion</x:v>
      </x:c>
      <x:c r="C260" t="str">
        <x:v>D</x:v>
      </x:c>
      <x:c r="D260" t="str">
        <x:v>VVS1</x:v>
      </x:c>
      <x:c r="E260" s="36" t="n">
        <x:v>2800</x:v>
      </x:c>
      <x:c r="F260" s="36" t="n">
        <x:v>9555</x:v>
      </x:c>
      <x:c r="G260" s="42" t="n">
        <x:v>2.0495495495495497</x:v>
      </x:c>
      <x:c r="H260" s="36" t="n">
        <x:f>E260*G260</x:f>
        <x:v>5738.738738738739</x:v>
      </x:c>
      <x:c r="I260" s="36" t="n">
        <x:f>IFERROR(H260/A260,0)</x:f>
        <x:v>5738.738738738739</x:v>
      </x:c>
      <x:c r="J260" s="67" t="str">
        <x:v>Modeled from live base + Sep-2026 quality ratio</x:v>
      </x:c>
      <x:c r="K260" s="67" t="str">
        <x:v>https://www.stonealgo.com/diamond-prices/</x:v>
      </x:c>
      <x:c r="L260" s="67" t="str">
        <x:v>https://www.pricescope.com/blog/natural-diamond-prices-september-2026</x:v>
      </x:c>
    </x:row>
    <x:row r="261">
      <x:c r="A261" t="n">
        <x:v>1</x:v>
      </x:c>
      <x:c r="B261" t="str">
        <x:v>Cushion</x:v>
      </x:c>
      <x:c r="C261" t="str">
        <x:v>D</x:v>
      </x:c>
      <x:c r="D261" t="str">
        <x:v>VVS2</x:v>
      </x:c>
      <x:c r="E261" s="36" t="n">
        <x:v>2800</x:v>
      </x:c>
      <x:c r="F261" s="36" t="n">
        <x:v>6660</x:v>
      </x:c>
      <x:c r="G261" s="42" t="n">
        <x:v>1.4285714285714286</x:v>
      </x:c>
      <x:c r="H261" s="36" t="n">
        <x:f>E261*G261</x:f>
        <x:v>4000</x:v>
      </x:c>
      <x:c r="I261" s="36" t="n">
        <x:f>IFERROR(H261/A261,0)</x:f>
        <x:v>4000</x:v>
      </x:c>
      <x:c r="J261" s="67" t="str">
        <x:v>Modeled from live base + Sep-2026 quality ratio</x:v>
      </x:c>
      <x:c r="K261" s="67" t="str">
        <x:v>https://www.stonealgo.com/diamond-prices/</x:v>
      </x:c>
      <x:c r="L261" s="67" t="str">
        <x:v>https://www.pricescope.com/blog/natural-diamond-prices-september-2026</x:v>
      </x:c>
    </x:row>
    <x:row r="262">
      <x:c r="A262" t="n">
        <x:v>1</x:v>
      </x:c>
      <x:c r="B262" t="str">
        <x:v>Cushion</x:v>
      </x:c>
      <x:c r="C262" t="str">
        <x:v>D</x:v>
      </x:c>
      <x:c r="D262" t="str">
        <x:v>VS1</x:v>
      </x:c>
      <x:c r="E262" s="36" t="n">
        <x:v>2800</x:v>
      </x:c>
      <x:c r="F262" s="36" t="n">
        <x:v>6247</x:v>
      </x:c>
      <x:c r="G262" s="42" t="n">
        <x:v>1.33998283998284</x:v>
      </x:c>
      <x:c r="H262" s="36" t="n">
        <x:f>E262*G262</x:f>
        <x:v>3751.9519519519517</x:v>
      </x:c>
      <x:c r="I262" s="36" t="n">
        <x:f>IFERROR(H262/A262,0)</x:f>
        <x:v>3751.9519519519517</x:v>
      </x:c>
      <x:c r="J262" s="67" t="str">
        <x:v>Modeled from live base + Sep-2026 quality ratio</x:v>
      </x:c>
      <x:c r="K262" s="67" t="str">
        <x:v>https://www.stonealgo.com/diamond-prices/</x:v>
      </x:c>
      <x:c r="L262" s="67" t="str">
        <x:v>https://www.pricescope.com/blog/natural-diamond-prices-september-2026</x:v>
      </x:c>
    </x:row>
    <x:row r="263">
      <x:c r="A263" t="n">
        <x:v>1</x:v>
      </x:c>
      <x:c r="B263" t="str">
        <x:v>Cushion</x:v>
      </x:c>
      <x:c r="C263" t="str">
        <x:v>D</x:v>
      </x:c>
      <x:c r="D263" t="str">
        <x:v>VS2</x:v>
      </x:c>
      <x:c r="E263" s="36" t="n">
        <x:v>2800</x:v>
      </x:c>
      <x:c r="F263" s="36" t="n">
        <x:v>5841</x:v>
      </x:c>
      <x:c r="G263" s="42" t="n">
        <x:v>1.252895752895753</x:v>
      </x:c>
      <x:c r="H263" s="36" t="n">
        <x:f>E263*G263</x:f>
        <x:v>3508.1081081081084</x:v>
      </x:c>
      <x:c r="I263" s="36" t="n">
        <x:f>IFERROR(H263/A263,0)</x:f>
        <x:v>3508.1081081081084</x:v>
      </x:c>
      <x:c r="J263" s="67" t="str">
        <x:v>Modeled from live base + Sep-2026 quality ratio</x:v>
      </x:c>
      <x:c r="K263" s="67" t="str">
        <x:v>https://www.stonealgo.com/diamond-prices/</x:v>
      </x:c>
      <x:c r="L263" s="67" t="str">
        <x:v>https://www.pricescope.com/blog/natural-diamond-prices-september-2026</x:v>
      </x:c>
    </x:row>
    <x:row r="264">
      <x:c r="A264" t="n">
        <x:v>1</x:v>
      </x:c>
      <x:c r="B264" t="str">
        <x:v>Cushion</x:v>
      </x:c>
      <x:c r="C264" t="str">
        <x:v>D</x:v>
      </x:c>
      <x:c r="D264" t="str">
        <x:v>SI1</x:v>
      </x:c>
      <x:c r="E264" s="36" t="n">
        <x:v>2800</x:v>
      </x:c>
      <x:c r="F264" s="36" t="n">
        <x:v>3762</x:v>
      </x:c>
      <x:c r="G264" s="42" t="n">
        <x:v>0.806949806949807</x:v>
      </x:c>
      <x:c r="H264" s="36" t="n">
        <x:f>E264*G264</x:f>
        <x:v>2259.4594594594596</x:v>
      </x:c>
      <x:c r="I264" s="36" t="n">
        <x:f>IFERROR(H264/A264,0)</x:f>
        <x:v>2259.4594594594596</x:v>
      </x:c>
      <x:c r="J264" s="67" t="str">
        <x:v>Modeled from live base + Sep-2026 quality ratio</x:v>
      </x:c>
      <x:c r="K264" s="67" t="str">
        <x:v>https://www.stonealgo.com/diamond-prices/</x:v>
      </x:c>
      <x:c r="L264" s="67" t="str">
        <x:v>https://www.pricescope.com/blog/natural-diamond-prices-september-2026</x:v>
      </x:c>
    </x:row>
    <x:row r="265">
      <x:c r="A265" t="n">
        <x:v>1</x:v>
      </x:c>
      <x:c r="B265" t="str">
        <x:v>Cushion</x:v>
      </x:c>
      <x:c r="C265" t="str">
        <x:v>D</x:v>
      </x:c>
      <x:c r="D265" t="str">
        <x:v>SI2</x:v>
      </x:c>
      <x:c r="E265" s="36" t="n">
        <x:v>2800</x:v>
      </x:c>
      <x:c r="F265" s="36" t="n">
        <x:v>3026</x:v>
      </x:c>
      <x:c r="G265" s="42" t="n">
        <x:v>0.6490776490776491</x:v>
      </x:c>
      <x:c r="H265" s="36" t="n">
        <x:f>E265*G265</x:f>
        <x:v>1817.4174174174175</x:v>
      </x:c>
      <x:c r="I265" s="36" t="n">
        <x:f>IFERROR(H265/A265,0)</x:f>
        <x:v>1817.4174174174175</x:v>
      </x:c>
      <x:c r="J265" s="67" t="str">
        <x:v>Modeled from live base + Sep-2026 quality ratio</x:v>
      </x:c>
      <x:c r="K265" s="67" t="str">
        <x:v>https://www.stonealgo.com/diamond-prices/</x:v>
      </x:c>
      <x:c r="L265" s="67" t="str">
        <x:v>https://www.pricescope.com/blog/natural-diamond-prices-september-2026</x:v>
      </x:c>
    </x:row>
    <x:row r="266">
      <x:c r="A266" t="n">
        <x:v>1</x:v>
      </x:c>
      <x:c r="B266" t="str">
        <x:v>Cushion</x:v>
      </x:c>
      <x:c r="C266" t="str">
        <x:v>E</x:v>
      </x:c>
      <x:c r="D266" t="str">
        <x:v>FL</x:v>
      </x:c>
      <x:c r="E266" s="36" t="n">
        <x:v>2800</x:v>
      </x:c>
      <x:c r="F266" s="36" t="n">
        <x:v>10072</x:v>
      </x:c>
      <x:c r="G266" s="42" t="n">
        <x:v>2.1604461604461602</x:v>
      </x:c>
      <x:c r="H266" s="36" t="n">
        <x:f>E266*G266</x:f>
        <x:v>6049.249249249248</x:v>
      </x:c>
      <x:c r="I266" s="36" t="n">
        <x:f>IFERROR(H266/A266,0)</x:f>
        <x:v>6049.249249249248</x:v>
      </x:c>
      <x:c r="J266" s="67" t="str">
        <x:v>Modeled from live base + Sep-2026 quality ratio</x:v>
      </x:c>
      <x:c r="K266" s="67" t="str">
        <x:v>https://www.stonealgo.com/diamond-prices/</x:v>
      </x:c>
      <x:c r="L266" s="67" t="str">
        <x:v>https://www.pricescope.com/blog/natural-diamond-prices-september-2026</x:v>
      </x:c>
    </x:row>
    <x:row r="267">
      <x:c r="A267" t="n">
        <x:v>1</x:v>
      </x:c>
      <x:c r="B267" t="str">
        <x:v>Cushion</x:v>
      </x:c>
      <x:c r="C267" t="str">
        <x:v>E</x:v>
      </x:c>
      <x:c r="D267" t="str">
        <x:v>IF</x:v>
      </x:c>
      <x:c r="E267" s="36" t="n">
        <x:v>2800</x:v>
      </x:c>
      <x:c r="F267" s="36" t="n">
        <x:v>8672</x:v>
      </x:c>
      <x:c r="G267" s="42" t="n">
        <x:v>1.8601458601458603</x:v>
      </x:c>
      <x:c r="H267" s="36" t="n">
        <x:f>E267*G267</x:f>
        <x:v>5208.408408408409</x:v>
      </x:c>
      <x:c r="I267" s="36" t="n">
        <x:f>IFERROR(H267/A267,0)</x:f>
        <x:v>5208.408408408409</x:v>
      </x:c>
      <x:c r="J267" s="67" t="str">
        <x:v>Modeled from live base + Sep-2026 quality ratio</x:v>
      </x:c>
      <x:c r="K267" s="67" t="str">
        <x:v>https://www.stonealgo.com/diamond-prices/</x:v>
      </x:c>
      <x:c r="L267" s="67" t="str">
        <x:v>https://www.pricescope.com/blog/natural-diamond-prices-september-2026</x:v>
      </x:c>
    </x:row>
    <x:row r="268">
      <x:c r="A268" t="n">
        <x:v>1</x:v>
      </x:c>
      <x:c r="B268" t="str">
        <x:v>Cushion</x:v>
      </x:c>
      <x:c r="C268" t="str">
        <x:v>E</x:v>
      </x:c>
      <x:c r="D268" t="str">
        <x:v>VVS1</x:v>
      </x:c>
      <x:c r="E268" s="36" t="n">
        <x:v>2800</x:v>
      </x:c>
      <x:c r="F268" s="36" t="n">
        <x:v>7842</x:v>
      </x:c>
      <x:c r="G268" s="42" t="n">
        <x:v>1.6821106821106822</x:v>
      </x:c>
      <x:c r="H268" s="36" t="n">
        <x:f>E268*G268</x:f>
        <x:v>4709.90990990991</x:v>
      </x:c>
      <x:c r="I268" s="36" t="n">
        <x:f>IFERROR(H268/A268,0)</x:f>
        <x:v>4709.90990990991</x:v>
      </x:c>
      <x:c r="J268" s="67" t="str">
        <x:v>Modeled from live base + Sep-2026 quality ratio</x:v>
      </x:c>
      <x:c r="K268" s="67" t="str">
        <x:v>https://www.stonealgo.com/diamond-prices/</x:v>
      </x:c>
      <x:c r="L268" s="67" t="str">
        <x:v>https://www.pricescope.com/blog/natural-diamond-prices-september-2026</x:v>
      </x:c>
    </x:row>
    <x:row r="269">
      <x:c r="A269" t="n">
        <x:v>1</x:v>
      </x:c>
      <x:c r="B269" t="str">
        <x:v>Cushion</x:v>
      </x:c>
      <x:c r="C269" t="str">
        <x:v>E</x:v>
      </x:c>
      <x:c r="D269" t="str">
        <x:v>VVS2</x:v>
      </x:c>
      <x:c r="E269" s="36" t="n">
        <x:v>2800</x:v>
      </x:c>
      <x:c r="F269" s="36" t="n">
        <x:v>6880</x:v>
      </x:c>
      <x:c r="G269" s="42" t="n">
        <x:v>1.4757614757614759</x:v>
      </x:c>
      <x:c r="H269" s="36" t="n">
        <x:f>E269*G269</x:f>
        <x:v>4132.132132132132</x:v>
      </x:c>
      <x:c r="I269" s="36" t="n">
        <x:f>IFERROR(H269/A269,0)</x:f>
        <x:v>4132.132132132132</x:v>
      </x:c>
      <x:c r="J269" s="67" t="str">
        <x:v>Modeled from live base + Sep-2026 quality ratio</x:v>
      </x:c>
      <x:c r="K269" s="67" t="str">
        <x:v>https://www.stonealgo.com/diamond-prices/</x:v>
      </x:c>
      <x:c r="L269" s="67" t="str">
        <x:v>https://www.pricescope.com/blog/natural-diamond-prices-september-2026</x:v>
      </x:c>
    </x:row>
    <x:row r="270">
      <x:c r="A270" t="n">
        <x:v>1</x:v>
      </x:c>
      <x:c r="B270" t="str">
        <x:v>Cushion</x:v>
      </x:c>
      <x:c r="C270" t="str">
        <x:v>E</x:v>
      </x:c>
      <x:c r="D270" t="str">
        <x:v>VS1</x:v>
      </x:c>
      <x:c r="E270" s="36" t="n">
        <x:v>2800</x:v>
      </x:c>
      <x:c r="F270" s="36" t="n">
        <x:v>6307</x:v>
      </x:c>
      <x:c r="G270" s="42" t="n">
        <x:v>1.352852852852853</x:v>
      </x:c>
      <x:c r="H270" s="36" t="n">
        <x:f>E270*G270</x:f>
        <x:v>3787.987987987988</x:v>
      </x:c>
      <x:c r="I270" s="36" t="n">
        <x:f>IFERROR(H270/A270,0)</x:f>
        <x:v>3787.987987987988</x:v>
      </x:c>
      <x:c r="J270" s="67" t="str">
        <x:v>Modeled from live base + Sep-2026 quality ratio</x:v>
      </x:c>
      <x:c r="K270" s="67" t="str">
        <x:v>https://www.stonealgo.com/diamond-prices/</x:v>
      </x:c>
      <x:c r="L270" s="67" t="str">
        <x:v>https://www.pricescope.com/blog/natural-diamond-prices-september-2026</x:v>
      </x:c>
    </x:row>
    <x:row r="271">
      <x:c r="A271" t="n">
        <x:v>1</x:v>
      </x:c>
      <x:c r="B271" t="str">
        <x:v>Cushion</x:v>
      </x:c>
      <x:c r="C271" t="str">
        <x:v>E</x:v>
      </x:c>
      <x:c r="D271" t="str">
        <x:v>VS2</x:v>
      </x:c>
      <x:c r="E271" s="36" t="n">
        <x:v>2800</x:v>
      </x:c>
      <x:c r="F271" s="36" t="n">
        <x:v>5249</x:v>
      </x:c>
      <x:c r="G271" s="42" t="n">
        <x:v>1.125911625911626</x:v>
      </x:c>
      <x:c r="H271" s="36" t="n">
        <x:f>E271*G271</x:f>
        <x:v>3152.5525525525527</x:v>
      </x:c>
      <x:c r="I271" s="36" t="n">
        <x:f>IFERROR(H271/A271,0)</x:f>
        <x:v>3152.5525525525527</x:v>
      </x:c>
      <x:c r="J271" s="67" t="str">
        <x:v>Modeled from live base + Sep-2026 quality ratio</x:v>
      </x:c>
      <x:c r="K271" s="67" t="str">
        <x:v>https://www.stonealgo.com/diamond-prices/</x:v>
      </x:c>
      <x:c r="L271" s="67" t="str">
        <x:v>https://www.pricescope.com/blog/natural-diamond-prices-september-2026</x:v>
      </x:c>
    </x:row>
    <x:row r="272">
      <x:c r="A272" t="n">
        <x:v>1</x:v>
      </x:c>
      <x:c r="B272" t="str">
        <x:v>Cushion</x:v>
      </x:c>
      <x:c r="C272" t="str">
        <x:v>E</x:v>
      </x:c>
      <x:c r="D272" t="str">
        <x:v>SI1</x:v>
      </x:c>
      <x:c r="E272" s="36" t="n">
        <x:v>2800</x:v>
      </x:c>
      <x:c r="F272" s="36" t="n">
        <x:v>3551</x:v>
      </x:c>
      <x:c r="G272" s="42" t="n">
        <x:v>0.7616902616902617</x:v>
      </x:c>
      <x:c r="H272" s="36" t="n">
        <x:f>E272*G272</x:f>
        <x:v>2132.7327327327325</x:v>
      </x:c>
      <x:c r="I272" s="36" t="n">
        <x:f>IFERROR(H272/A272,0)</x:f>
        <x:v>2132.7327327327325</x:v>
      </x:c>
      <x:c r="J272" s="67" t="str">
        <x:v>Modeled from live base + Sep-2026 quality ratio</x:v>
      </x:c>
      <x:c r="K272" s="67" t="str">
        <x:v>https://www.stonealgo.com/diamond-prices/</x:v>
      </x:c>
      <x:c r="L272" s="67" t="str">
        <x:v>https://www.pricescope.com/blog/natural-diamond-prices-september-2026</x:v>
      </x:c>
    </x:row>
    <x:row r="273">
      <x:c r="A273" t="n">
        <x:v>1</x:v>
      </x:c>
      <x:c r="B273" t="str">
        <x:v>Cushion</x:v>
      </x:c>
      <x:c r="C273" t="str">
        <x:v>E</x:v>
      </x:c>
      <x:c r="D273" t="str">
        <x:v>SI2</x:v>
      </x:c>
      <x:c r="E273" s="36" t="n">
        <x:v>2800</x:v>
      </x:c>
      <x:c r="F273" s="36" t="n">
        <x:v>2993</x:v>
      </x:c>
      <x:c r="G273" s="42" t="n">
        <x:v>0.641999141999142</x:v>
      </x:c>
      <x:c r="H273" s="36" t="n">
        <x:f>E273*G273</x:f>
        <x:v>1797.5975975975975</x:v>
      </x:c>
      <x:c r="I273" s="36" t="n">
        <x:f>IFERROR(H273/A273,0)</x:f>
        <x:v>1797.5975975975975</x:v>
      </x:c>
      <x:c r="J273" s="67" t="str">
        <x:v>Modeled from live base + Sep-2026 quality ratio</x:v>
      </x:c>
      <x:c r="K273" s="67" t="str">
        <x:v>https://www.stonealgo.com/diamond-prices/</x:v>
      </x:c>
      <x:c r="L273" s="67" t="str">
        <x:v>https://www.pricescope.com/blog/natural-diamond-prices-september-2026</x:v>
      </x:c>
    </x:row>
    <x:row r="274">
      <x:c r="A274" t="n">
        <x:v>1</x:v>
      </x:c>
      <x:c r="B274" t="str">
        <x:v>Cushion</x:v>
      </x:c>
      <x:c r="C274" t="str">
        <x:v>F</x:v>
      </x:c>
      <x:c r="D274" t="str">
        <x:v>FL</x:v>
      </x:c>
      <x:c r="E274" s="36" t="n">
        <x:v>2800</x:v>
      </x:c>
      <x:c r="F274" s="36" t="n">
        <x:v>6830</x:v>
      </x:c>
      <x:c r="G274" s="42" t="n">
        <x:v>1.4650364650364651</x:v>
      </x:c>
      <x:c r="H274" s="36" t="n">
        <x:f>E274*G274</x:f>
        <x:v>4102.102102102102</x:v>
      </x:c>
      <x:c r="I274" s="36" t="n">
        <x:f>IFERROR(H274/A274,0)</x:f>
        <x:v>4102.102102102102</x:v>
      </x:c>
      <x:c r="J274" s="67" t="str">
        <x:v>Modeled from live base + Sep-2026 quality ratio</x:v>
      </x:c>
      <x:c r="K274" s="67" t="str">
        <x:v>https://www.stonealgo.com/diamond-prices/</x:v>
      </x:c>
      <x:c r="L274" s="67" t="str">
        <x:v>https://www.pricescope.com/blog/natural-diamond-prices-september-2026</x:v>
      </x:c>
    </x:row>
    <x:row r="275">
      <x:c r="A275" t="n">
        <x:v>1</x:v>
      </x:c>
      <x:c r="B275" t="str">
        <x:v>Cushion</x:v>
      </x:c>
      <x:c r="C275" t="str">
        <x:v>F</x:v>
      </x:c>
      <x:c r="D275" t="str">
        <x:v>IF</x:v>
      </x:c>
      <x:c r="E275" s="36" t="n">
        <x:v>2800</x:v>
      </x:c>
      <x:c r="F275" s="36" t="n">
        <x:v>7302</x:v>
      </x:c>
      <x:c r="G275" s="42" t="n">
        <x:v>1.5662805662805663</x:v>
      </x:c>
      <x:c r="H275" s="36" t="n">
        <x:f>E275*G275</x:f>
        <x:v>4385.585585585586</x:v>
      </x:c>
      <x:c r="I275" s="36" t="n">
        <x:f>IFERROR(H275/A275,0)</x:f>
        <x:v>4385.585585585586</x:v>
      </x:c>
      <x:c r="J275" s="67" t="str">
        <x:v>Modeled from live base + Sep-2026 quality ratio</x:v>
      </x:c>
      <x:c r="K275" s="67" t="str">
        <x:v>https://www.stonealgo.com/diamond-prices/</x:v>
      </x:c>
      <x:c r="L275" s="67" t="str">
        <x:v>https://www.pricescope.com/blog/natural-diamond-prices-september-2026</x:v>
      </x:c>
    </x:row>
    <x:row r="276">
      <x:c r="A276" t="n">
        <x:v>1</x:v>
      </x:c>
      <x:c r="B276" t="str">
        <x:v>Cushion</x:v>
      </x:c>
      <x:c r="C276" t="str">
        <x:v>F</x:v>
      </x:c>
      <x:c r="D276" t="str">
        <x:v>VVS1</x:v>
      </x:c>
      <x:c r="E276" s="36" t="n">
        <x:v>2800</x:v>
      </x:c>
      <x:c r="F276" s="36" t="n">
        <x:v>7542</x:v>
      </x:c>
      <x:c r="G276" s="42" t="n">
        <x:v>1.6177606177606179</x:v>
      </x:c>
      <x:c r="H276" s="36" t="n">
        <x:f>E276*G276</x:f>
        <x:v>4529.72972972973</x:v>
      </x:c>
      <x:c r="I276" s="36" t="n">
        <x:f>IFERROR(H276/A276,0)</x:f>
        <x:v>4529.72972972973</x:v>
      </x:c>
      <x:c r="J276" s="67" t="str">
        <x:v>Modeled from live base + Sep-2026 quality ratio</x:v>
      </x:c>
      <x:c r="K276" s="67" t="str">
        <x:v>https://www.stonealgo.com/diamond-prices/</x:v>
      </x:c>
      <x:c r="L276" s="67" t="str">
        <x:v>https://www.pricescope.com/blog/natural-diamond-prices-september-2026</x:v>
      </x:c>
    </x:row>
    <x:row r="277">
      <x:c r="A277" t="n">
        <x:v>1</x:v>
      </x:c>
      <x:c r="B277" t="str">
        <x:v>Cushion</x:v>
      </x:c>
      <x:c r="C277" t="str">
        <x:v>F</x:v>
      </x:c>
      <x:c r="D277" t="str">
        <x:v>VVS2</x:v>
      </x:c>
      <x:c r="E277" s="36" t="n">
        <x:v>2800</x:v>
      </x:c>
      <x:c r="F277" s="36" t="n">
        <x:v>6352</x:v>
      </x:c>
      <x:c r="G277" s="42" t="n">
        <x:v>1.3625053625053625</x:v>
      </x:c>
      <x:c r="H277" s="36" t="n">
        <x:f>E277*G277</x:f>
        <x:v>3815.015015015015</x:v>
      </x:c>
      <x:c r="I277" s="36" t="n">
        <x:f>IFERROR(H277/A277,0)</x:f>
        <x:v>3815.015015015015</x:v>
      </x:c>
      <x:c r="J277" s="67" t="str">
        <x:v>Modeled from live base + Sep-2026 quality ratio</x:v>
      </x:c>
      <x:c r="K277" s="67" t="str">
        <x:v>https://www.stonealgo.com/diamond-prices/</x:v>
      </x:c>
      <x:c r="L277" s="67" t="str">
        <x:v>https://www.pricescope.com/blog/natural-diamond-prices-september-2026</x:v>
      </x:c>
    </x:row>
    <x:row r="278">
      <x:c r="A278" t="n">
        <x:v>1</x:v>
      </x:c>
      <x:c r="B278" t="str">
        <x:v>Cushion</x:v>
      </x:c>
      <x:c r="C278" t="str">
        <x:v>F</x:v>
      </x:c>
      <x:c r="D278" t="str">
        <x:v>VS1</x:v>
      </x:c>
      <x:c r="E278" s="36" t="n">
        <x:v>2800</x:v>
      </x:c>
      <x:c r="F278" s="36" t="n">
        <x:v>5647</x:v>
      </x:c>
      <x:c r="G278" s="42" t="n">
        <x:v>1.2112827112827114</x:v>
      </x:c>
      <x:c r="H278" s="36" t="n">
        <x:f>E278*G278</x:f>
        <x:v>3391.5915915915916</x:v>
      </x:c>
      <x:c r="I278" s="36" t="n">
        <x:f>IFERROR(H278/A278,0)</x:f>
        <x:v>3391.5915915915916</x:v>
      </x:c>
      <x:c r="J278" s="67" t="str">
        <x:v>Modeled from live base + Sep-2026 quality ratio</x:v>
      </x:c>
      <x:c r="K278" s="67" t="str">
        <x:v>https://www.stonealgo.com/diamond-prices/</x:v>
      </x:c>
      <x:c r="L278" s="67" t="str">
        <x:v>https://www.pricescope.com/blog/natural-diamond-prices-september-2026</x:v>
      </x:c>
    </x:row>
    <x:row r="279">
      <x:c r="A279" t="n">
        <x:v>1</x:v>
      </x:c>
      <x:c r="B279" t="str">
        <x:v>Cushion</x:v>
      </x:c>
      <x:c r="C279" t="str">
        <x:v>F</x:v>
      </x:c>
      <x:c r="D279" t="str">
        <x:v>VS2</x:v>
      </x:c>
      <x:c r="E279" s="36" t="n">
        <x:v>2800</x:v>
      </x:c>
      <x:c r="F279" s="36" t="n">
        <x:v>4730</x:v>
      </x:c>
      <x:c r="G279" s="42" t="n">
        <x:v>1.0145860145860146</x:v>
      </x:c>
      <x:c r="H279" s="36" t="n">
        <x:f>E279*G279</x:f>
        <x:v>2840.840840840841</x:v>
      </x:c>
      <x:c r="I279" s="36" t="n">
        <x:f>IFERROR(H279/A279,0)</x:f>
        <x:v>2840.840840840841</x:v>
      </x:c>
      <x:c r="J279" s="67" t="str">
        <x:v>Modeled from live base + Sep-2026 quality ratio</x:v>
      </x:c>
      <x:c r="K279" s="67" t="str">
        <x:v>https://www.stonealgo.com/diamond-prices/</x:v>
      </x:c>
      <x:c r="L279" s="67" t="str">
        <x:v>https://www.pricescope.com/blog/natural-diamond-prices-september-2026</x:v>
      </x:c>
    </x:row>
    <x:row r="280">
      <x:c r="A280" t="n">
        <x:v>1</x:v>
      </x:c>
      <x:c r="B280" t="str">
        <x:v>Cushion</x:v>
      </x:c>
      <x:c r="C280" t="str">
        <x:v>F</x:v>
      </x:c>
      <x:c r="D280" t="str">
        <x:v>SI1</x:v>
      </x:c>
      <x:c r="E280" s="36" t="n">
        <x:v>2800</x:v>
      </x:c>
      <x:c r="F280" s="36" t="n">
        <x:v>3331</x:v>
      </x:c>
      <x:c r="G280" s="42" t="n">
        <x:v>0.7145002145002145</x:v>
      </x:c>
      <x:c r="H280" s="36" t="n">
        <x:f>E280*G280</x:f>
        <x:v>2000.6006006006005</x:v>
      </x:c>
      <x:c r="I280" s="36" t="n">
        <x:f>IFERROR(H280/A280,0)</x:f>
        <x:v>2000.6006006006005</x:v>
      </x:c>
      <x:c r="J280" s="67" t="str">
        <x:v>Modeled from live base + Sep-2026 quality ratio</x:v>
      </x:c>
      <x:c r="K280" s="67" t="str">
        <x:v>https://www.stonealgo.com/diamond-prices/</x:v>
      </x:c>
      <x:c r="L280" s="67" t="str">
        <x:v>https://www.pricescope.com/blog/natural-diamond-prices-september-2026</x:v>
      </x:c>
    </x:row>
    <x:row r="281">
      <x:c r="A281" t="n">
        <x:v>1</x:v>
      </x:c>
      <x:c r="B281" t="str">
        <x:v>Cushion</x:v>
      </x:c>
      <x:c r="C281" t="str">
        <x:v>F</x:v>
      </x:c>
      <x:c r="D281" t="str">
        <x:v>SI2</x:v>
      </x:c>
      <x:c r="E281" s="36" t="n">
        <x:v>2800</x:v>
      </x:c>
      <x:c r="F281" s="36" t="n">
        <x:v>2733</x:v>
      </x:c>
      <x:c r="G281" s="42" t="n">
        <x:v>0.5862290862290862</x:v>
      </x:c>
      <x:c r="H281" s="36" t="n">
        <x:f>E281*G281</x:f>
        <x:v>1641.4414414414414</x:v>
      </x:c>
      <x:c r="I281" s="36" t="n">
        <x:f>IFERROR(H281/A281,0)</x:f>
        <x:v>1641.4414414414414</x:v>
      </x:c>
      <x:c r="J281" s="67" t="str">
        <x:v>Modeled from live base + Sep-2026 quality ratio</x:v>
      </x:c>
      <x:c r="K281" s="67" t="str">
        <x:v>https://www.stonealgo.com/diamond-prices/</x:v>
      </x:c>
      <x:c r="L281" s="67" t="str">
        <x:v>https://www.pricescope.com/blog/natural-diamond-prices-september-2026</x:v>
      </x:c>
    </x:row>
    <x:row r="282">
      <x:c r="A282" t="n">
        <x:v>1</x:v>
      </x:c>
      <x:c r="B282" t="str">
        <x:v>Cushion</x:v>
      </x:c>
      <x:c r="C282" t="str">
        <x:v>G</x:v>
      </x:c>
      <x:c r="D282" t="str">
        <x:v>FL</x:v>
      </x:c>
      <x:c r="E282" s="36" t="n">
        <x:v>2800</x:v>
      </x:c>
      <x:c r="F282" s="36" t="n">
        <x:v>5905</x:v>
      </x:c>
      <x:c r="G282" s="42" t="n">
        <x:v>1.2666237666237665</x:v>
      </x:c>
      <x:c r="H282" s="36" t="n">
        <x:f>E282*G282</x:f>
        <x:v>3546.5465465465463</x:v>
      </x:c>
      <x:c r="I282" s="36" t="n">
        <x:f>IFERROR(H282/A282,0)</x:f>
        <x:v>3546.5465465465463</x:v>
      </x:c>
      <x:c r="J282" s="67" t="str">
        <x:v>Modeled from live base + Sep-2026 quality ratio</x:v>
      </x:c>
      <x:c r="K282" s="67" t="str">
        <x:v>https://www.stonealgo.com/diamond-prices/</x:v>
      </x:c>
      <x:c r="L282" s="67" t="str">
        <x:v>https://www.pricescope.com/blog/natural-diamond-prices-september-2026</x:v>
      </x:c>
    </x:row>
    <x:row r="283">
      <x:c r="A283" t="n">
        <x:v>1</x:v>
      </x:c>
      <x:c r="B283" t="str">
        <x:v>Cushion</x:v>
      </x:c>
      <x:c r="C283" t="str">
        <x:v>G</x:v>
      </x:c>
      <x:c r="D283" t="str">
        <x:v>IF</x:v>
      </x:c>
      <x:c r="E283" s="36" t="n">
        <x:v>2800</x:v>
      </x:c>
      <x:c r="F283" s="36" t="n">
        <x:v>5601</x:v>
      </x:c>
      <x:c r="G283" s="42" t="n">
        <x:v>1.2014157014157014</x:v>
      </x:c>
      <x:c r="H283" s="36" t="n">
        <x:f>E283*G283</x:f>
        <x:v>3363.963963963964</x:v>
      </x:c>
      <x:c r="I283" s="36" t="n">
        <x:f>IFERROR(H283/A283,0)</x:f>
        <x:v>3363.963963963964</x:v>
      </x:c>
      <x:c r="J283" s="67" t="str">
        <x:v>Modeled from live base + Sep-2026 quality ratio</x:v>
      </x:c>
      <x:c r="K283" s="67" t="str">
        <x:v>https://www.stonealgo.com/diamond-prices/</x:v>
      </x:c>
      <x:c r="L283" s="67" t="str">
        <x:v>https://www.pricescope.com/blog/natural-diamond-prices-september-2026</x:v>
      </x:c>
    </x:row>
    <x:row r="284">
      <x:c r="A284" t="n">
        <x:v>1</x:v>
      </x:c>
      <x:c r="B284" t="str">
        <x:v>Cushion</x:v>
      </x:c>
      <x:c r="C284" t="str">
        <x:v>G</x:v>
      </x:c>
      <x:c r="D284" t="str">
        <x:v>VVS1</x:v>
      </x:c>
      <x:c r="E284" s="36" t="n">
        <x:v>2800</x:v>
      </x:c>
      <x:c r="F284" s="36" t="n">
        <x:v>5124</x:v>
      </x:c>
      <x:c r="G284" s="42" t="n">
        <x:v>1.0990990990990992</x:v>
      </x:c>
      <x:c r="H284" s="36" t="n">
        <x:f>E284*G284</x:f>
        <x:v>3077.477477477478</x:v>
      </x:c>
      <x:c r="I284" s="36" t="n">
        <x:f>IFERROR(H284/A284,0)</x:f>
        <x:v>3077.477477477478</x:v>
      </x:c>
      <x:c r="J284" s="67" t="str">
        <x:v>Modeled from live base + Sep-2026 quality ratio</x:v>
      </x:c>
      <x:c r="K284" s="67" t="str">
        <x:v>https://www.stonealgo.com/diamond-prices/</x:v>
      </x:c>
      <x:c r="L284" s="67" t="str">
        <x:v>https://www.pricescope.com/blog/natural-diamond-prices-september-2026</x:v>
      </x:c>
    </x:row>
    <x:row r="285">
      <x:c r="A285" t="n">
        <x:v>1</x:v>
      </x:c>
      <x:c r="B285" t="str">
        <x:v>Cushion</x:v>
      </x:c>
      <x:c r="C285" t="str">
        <x:v>G</x:v>
      </x:c>
      <x:c r="D285" t="str">
        <x:v>VVS2</x:v>
      </x:c>
      <x:c r="E285" s="36" t="n">
        <x:v>2800</x:v>
      </x:c>
      <x:c r="F285" s="36" t="n">
        <x:v>4962</x:v>
      </x:c>
      <x:c r="G285" s="42" t="n">
        <x:v>1.0643500643500643</x:v>
      </x:c>
      <x:c r="H285" s="36" t="n">
        <x:f>E285*G285</x:f>
        <x:v>2980.18018018018</x:v>
      </x:c>
      <x:c r="I285" s="36" t="n">
        <x:f>IFERROR(H285/A285,0)</x:f>
        <x:v>2980.18018018018</x:v>
      </x:c>
      <x:c r="J285" s="67" t="str">
        <x:v>Modeled from live base + Sep-2026 quality ratio</x:v>
      </x:c>
      <x:c r="K285" s="67" t="str">
        <x:v>https://www.stonealgo.com/diamond-prices/</x:v>
      </x:c>
      <x:c r="L285" s="67" t="str">
        <x:v>https://www.pricescope.com/blog/natural-diamond-prices-september-2026</x:v>
      </x:c>
    </x:row>
    <x:row r="286">
      <x:c r="A286" t="n">
        <x:v>1</x:v>
      </x:c>
      <x:c r="B286" t="str">
        <x:v>Cushion</x:v>
      </x:c>
      <x:c r="C286" t="str">
        <x:v>G</x:v>
      </x:c>
      <x:c r="D286" t="str">
        <x:v>VS1</x:v>
      </x:c>
      <x:c r="E286" s="36" t="n">
        <x:v>2800</x:v>
      </x:c>
      <x:c r="F286" s="36" t="n">
        <x:v>4615</x:v>
      </x:c>
      <x:c r="G286" s="42" t="n">
        <x:v>0.98991848991849</x:v>
      </x:c>
      <x:c r="H286" s="36" t="n">
        <x:f>E286*G286</x:f>
        <x:v>2771.771771771772</x:v>
      </x:c>
      <x:c r="I286" s="36" t="n">
        <x:f>IFERROR(H286/A286,0)</x:f>
        <x:v>2771.771771771772</x:v>
      </x:c>
      <x:c r="J286" s="67" t="str">
        <x:v>Modeled from live base + Sep-2026 quality ratio</x:v>
      </x:c>
      <x:c r="K286" s="67" t="str">
        <x:v>https://www.stonealgo.com/diamond-prices/</x:v>
      </x:c>
      <x:c r="L286" s="67" t="str">
        <x:v>https://www.pricescope.com/blog/natural-diamond-prices-september-2026</x:v>
      </x:c>
    </x:row>
    <x:row r="287">
      <x:c r="A287" t="n">
        <x:v>1</x:v>
      </x:c>
      <x:c r="B287" t="str">
        <x:v>Cushion</x:v>
      </x:c>
      <x:c r="C287" t="str">
        <x:v>G</x:v>
      </x:c>
      <x:c r="D287" t="str">
        <x:v>VS2</x:v>
      </x:c>
      <x:c r="E287" s="36" t="n">
        <x:v>2800</x:v>
      </x:c>
      <x:c r="F287" s="36" t="n">
        <x:v>4585</x:v>
      </x:c>
      <x:c r="G287" s="42" t="n">
        <x:v>0.9834834834834835</x:v>
      </x:c>
      <x:c r="H287" s="36" t="n">
        <x:f>E287*G287</x:f>
        <x:v>2753.7537537537537</x:v>
      </x:c>
      <x:c r="I287" s="36" t="n">
        <x:f>IFERROR(H287/A287,0)</x:f>
        <x:v>2753.7537537537537</x:v>
      </x:c>
      <x:c r="J287" s="67" t="str">
        <x:v>Modeled from live base + Sep-2026 quality ratio</x:v>
      </x:c>
      <x:c r="K287" s="67" t="str">
        <x:v>https://www.stonealgo.com/diamond-prices/</x:v>
      </x:c>
      <x:c r="L287" s="67" t="str">
        <x:v>https://www.pricescope.com/blog/natural-diamond-prices-september-2026</x:v>
      </x:c>
    </x:row>
    <x:row r="288">
      <x:c r="A288" t="n">
        <x:v>1</x:v>
      </x:c>
      <x:c r="B288" t="str">
        <x:v>Cushion</x:v>
      </x:c>
      <x:c r="C288" t="str">
        <x:v>G</x:v>
      </x:c>
      <x:c r="D288" t="str">
        <x:v>SI1</x:v>
      </x:c>
      <x:c r="E288" s="36" t="n">
        <x:v>2800</x:v>
      </x:c>
      <x:c r="F288" s="36" t="n">
        <x:v>3664</x:v>
      </x:c>
      <x:c r="G288" s="42" t="n">
        <x:v>0.7859287859287859</x:v>
      </x:c>
      <x:c r="H288" s="36" t="n">
        <x:f>E288*G288</x:f>
        <x:v>2200.6006006006005</x:v>
      </x:c>
      <x:c r="I288" s="36" t="n">
        <x:f>IFERROR(H288/A288,0)</x:f>
        <x:v>2200.6006006006005</x:v>
      </x:c>
      <x:c r="J288" s="67" t="str">
        <x:v>Modeled from live base + Sep-2026 quality ratio</x:v>
      </x:c>
      <x:c r="K288" s="67" t="str">
        <x:v>https://www.stonealgo.com/diamond-prices/</x:v>
      </x:c>
      <x:c r="L288" s="67" t="str">
        <x:v>https://www.pricescope.com/blog/natural-diamond-prices-september-2026</x:v>
      </x:c>
    </x:row>
    <x:row r="289">
      <x:c r="A289" t="n">
        <x:v>1</x:v>
      </x:c>
      <x:c r="B289" t="str">
        <x:v>Cushion</x:v>
      </x:c>
      <x:c r="C289" t="str">
        <x:v>G</x:v>
      </x:c>
      <x:c r="D289" t="str">
        <x:v>SI2</x:v>
      </x:c>
      <x:c r="E289" s="36" t="n">
        <x:v>2800</x:v>
      </x:c>
      <x:c r="F289" s="36" t="n">
        <x:v>2537</x:v>
      </x:c>
      <x:c r="G289" s="42" t="n">
        <x:v>0.5441870441870442</x:v>
      </x:c>
      <x:c r="H289" s="36" t="n">
        <x:f>E289*G289</x:f>
        <x:v>1523.7237237237239</x:v>
      </x:c>
      <x:c r="I289" s="36" t="n">
        <x:f>IFERROR(H289/A289,0)</x:f>
        <x:v>1523.7237237237239</x:v>
      </x:c>
      <x:c r="J289" s="67" t="str">
        <x:v>Modeled from live base + Sep-2026 quality ratio</x:v>
      </x:c>
      <x:c r="K289" s="67" t="str">
        <x:v>https://www.stonealgo.com/diamond-prices/</x:v>
      </x:c>
      <x:c r="L289" s="67" t="str">
        <x:v>https://www.pricescope.com/blog/natural-diamond-prices-september-2026</x:v>
      </x:c>
    </x:row>
    <x:row r="290">
      <x:c r="A290" t="n">
        <x:v>1</x:v>
      </x:c>
      <x:c r="B290" t="str">
        <x:v>Cushion</x:v>
      </x:c>
      <x:c r="C290" t="str">
        <x:v>H</x:v>
      </x:c>
      <x:c r="D290" t="str">
        <x:v>FL</x:v>
      </x:c>
      <x:c r="E290" s="36" t="n">
        <x:v>2800</x:v>
      </x:c>
      <x:c r="F290" s="36" t="n">
        <x:v>4563</x:v>
      </x:c>
      <x:c r="G290" s="42" t="n">
        <x:v>0.9787644787644788</x:v>
      </x:c>
      <x:c r="H290" s="36" t="n">
        <x:f>E290*G290</x:f>
        <x:v>2740.540540540541</x:v>
      </x:c>
      <x:c r="I290" s="36" t="n">
        <x:f>IFERROR(H290/A290,0)</x:f>
        <x:v>2740.540540540541</x:v>
      </x:c>
      <x:c r="J290" s="67" t="str">
        <x:v>Modeled from live base + Sep-2026 quality ratio</x:v>
      </x:c>
      <x:c r="K290" s="67" t="str">
        <x:v>https://www.stonealgo.com/diamond-prices/</x:v>
      </x:c>
      <x:c r="L290" s="67" t="str">
        <x:v>https://www.pricescope.com/blog/natural-diamond-prices-september-2026</x:v>
      </x:c>
    </x:row>
    <x:row r="291">
      <x:c r="A291" t="n">
        <x:v>1</x:v>
      </x:c>
      <x:c r="B291" t="str">
        <x:v>Cushion</x:v>
      </x:c>
      <x:c r="C291" t="str">
        <x:v>H</x:v>
      </x:c>
      <x:c r="D291" t="str">
        <x:v>IF</x:v>
      </x:c>
      <x:c r="E291" s="36" t="n">
        <x:v>2800</x:v>
      </x:c>
      <x:c r="F291" s="36" t="n">
        <x:v>4809</x:v>
      </x:c>
      <x:c r="G291" s="42" t="n">
        <x:v>1.0315315315315314</x:v>
      </x:c>
      <x:c r="H291" s="36" t="n">
        <x:f>E291*G291</x:f>
        <x:v>2888.288288288288</x:v>
      </x:c>
      <x:c r="I291" s="36" t="n">
        <x:f>IFERROR(H291/A291,0)</x:f>
        <x:v>2888.288288288288</x:v>
      </x:c>
      <x:c r="J291" s="67" t="str">
        <x:v>Modeled from live base + Sep-2026 quality ratio</x:v>
      </x:c>
      <x:c r="K291" s="67" t="str">
        <x:v>https://www.stonealgo.com/diamond-prices/</x:v>
      </x:c>
      <x:c r="L291" s="67" t="str">
        <x:v>https://www.pricescope.com/blog/natural-diamond-prices-september-2026</x:v>
      </x:c>
    </x:row>
    <x:row r="292">
      <x:c r="A292" t="n">
        <x:v>1</x:v>
      </x:c>
      <x:c r="B292" t="str">
        <x:v>Cushion</x:v>
      </x:c>
      <x:c r="C292" t="str">
        <x:v>H</x:v>
      </x:c>
      <x:c r="D292" t="str">
        <x:v>VVS1</x:v>
      </x:c>
      <x:c r="E292" s="36" t="n">
        <x:v>2800</x:v>
      </x:c>
      <x:c r="F292" s="36" t="n">
        <x:v>4911</x:v>
      </x:c>
      <x:c r="G292" s="42" t="n">
        <x:v>1.0534105534105533</x:v>
      </x:c>
      <x:c r="H292" s="36" t="n">
        <x:f>E292*G292</x:f>
        <x:v>2949.5495495495493</x:v>
      </x:c>
      <x:c r="I292" s="36" t="n">
        <x:f>IFERROR(H292/A292,0)</x:f>
        <x:v>2949.5495495495493</x:v>
      </x:c>
      <x:c r="J292" s="67" t="str">
        <x:v>Modeled from live base + Sep-2026 quality ratio</x:v>
      </x:c>
      <x:c r="K292" s="67" t="str">
        <x:v>https://www.stonealgo.com/diamond-prices/</x:v>
      </x:c>
      <x:c r="L292" s="67" t="str">
        <x:v>https://www.pricescope.com/blog/natural-diamond-prices-september-2026</x:v>
      </x:c>
    </x:row>
    <x:row r="293">
      <x:c r="A293" t="n">
        <x:v>1</x:v>
      </x:c>
      <x:c r="B293" t="str">
        <x:v>Cushion</x:v>
      </x:c>
      <x:c r="C293" t="str">
        <x:v>H</x:v>
      </x:c>
      <x:c r="D293" t="str">
        <x:v>VVS2</x:v>
      </x:c>
      <x:c r="E293" s="36" t="n">
        <x:v>2800</x:v>
      </x:c>
      <x:c r="F293" s="36" t="n">
        <x:v>4046</x:v>
      </x:c>
      <x:c r="G293" s="42" t="n">
        <x:v>0.8678678678678678</x:v>
      </x:c>
      <x:c r="H293" s="36" t="n">
        <x:f>E293*G293</x:f>
        <x:v>2430.03003003003</x:v>
      </x:c>
      <x:c r="I293" s="36" t="n">
        <x:f>IFERROR(H293/A293,0)</x:f>
        <x:v>2430.03003003003</x:v>
      </x:c>
      <x:c r="J293" s="67" t="str">
        <x:v>Modeled from live base + Sep-2026 quality ratio</x:v>
      </x:c>
      <x:c r="K293" s="67" t="str">
        <x:v>https://www.stonealgo.com/diamond-prices/</x:v>
      </x:c>
      <x:c r="L293" s="67" t="str">
        <x:v>https://www.pricescope.com/blog/natural-diamond-prices-september-2026</x:v>
      </x:c>
    </x:row>
    <x:row r="294">
      <x:c r="A294" t="n">
        <x:v>1</x:v>
      </x:c>
      <x:c r="B294" t="str">
        <x:v>Cushion</x:v>
      </x:c>
      <x:c r="C294" t="str">
        <x:v>H</x:v>
      </x:c>
      <x:c r="D294" t="str">
        <x:v>VS1</x:v>
      </x:c>
      <x:c r="E294" s="36" t="n">
        <x:v>2800</x:v>
      </x:c>
      <x:c r="F294" s="36" t="n">
        <x:v>3893</x:v>
      </x:c>
      <x:c r="G294" s="42" t="n">
        <x:v>0.8350493350493351</x:v>
      </x:c>
      <x:c r="H294" s="36" t="n">
        <x:f>E294*G294</x:f>
        <x:v>2338.1381381381384</x:v>
      </x:c>
      <x:c r="I294" s="36" t="n">
        <x:f>IFERROR(H294/A294,0)</x:f>
        <x:v>2338.1381381381384</x:v>
      </x:c>
      <x:c r="J294" s="67" t="str">
        <x:v>Modeled from live base + Sep-2026 quality ratio</x:v>
      </x:c>
      <x:c r="K294" s="67" t="str">
        <x:v>https://www.stonealgo.com/diamond-prices/</x:v>
      </x:c>
      <x:c r="L294" s="67" t="str">
        <x:v>https://www.pricescope.com/blog/natural-diamond-prices-september-2026</x:v>
      </x:c>
    </x:row>
    <x:row r="295">
      <x:c r="A295" t="n">
        <x:v>1</x:v>
      </x:c>
      <x:c r="B295" t="str">
        <x:v>Cushion</x:v>
      </x:c>
      <x:c r="C295" t="str">
        <x:v>H</x:v>
      </x:c>
      <x:c r="D295" t="str">
        <x:v>VS2</x:v>
      </x:c>
      <x:c r="E295" s="36" t="n">
        <x:v>2800</x:v>
      </x:c>
      <x:c r="F295" s="36" t="n">
        <x:v>3989</x:v>
      </x:c>
      <x:c r="G295" s="42" t="n">
        <x:v>0.8556413556413557</x:v>
      </x:c>
      <x:c r="H295" s="36" t="n">
        <x:f>E295*G295</x:f>
        <x:v>2395.795795795796</x:v>
      </x:c>
      <x:c r="I295" s="36" t="n">
        <x:f>IFERROR(H295/A295,0)</x:f>
        <x:v>2395.795795795796</x:v>
      </x:c>
      <x:c r="J295" s="67" t="str">
        <x:v>Modeled from live base + Sep-2026 quality ratio</x:v>
      </x:c>
      <x:c r="K295" s="67" t="str">
        <x:v>https://www.stonealgo.com/diamond-prices/</x:v>
      </x:c>
      <x:c r="L295" s="67" t="str">
        <x:v>https://www.pricescope.com/blog/natural-diamond-prices-september-2026</x:v>
      </x:c>
    </x:row>
    <x:row r="296">
      <x:c r="A296" t="n">
        <x:v>1</x:v>
      </x:c>
      <x:c r="B296" t="str">
        <x:v>Cushion</x:v>
      </x:c>
      <x:c r="C296" t="str">
        <x:v>H</x:v>
      </x:c>
      <x:c r="D296" t="str">
        <x:v>SI1</x:v>
      </x:c>
      <x:c r="E296" s="36" t="n">
        <x:v>2800</x:v>
      </x:c>
      <x:c r="F296" s="36" t="n">
        <x:v>2828</x:v>
      </x:c>
      <x:c r="G296" s="42" t="n">
        <x:v>0.6066066066066066</x:v>
      </x:c>
      <x:c r="H296" s="36" t="n">
        <x:f>E296*G296</x:f>
        <x:v>1698.4984984984985</x:v>
      </x:c>
      <x:c r="I296" s="36" t="n">
        <x:f>IFERROR(H296/A296,0)</x:f>
        <x:v>1698.4984984984985</x:v>
      </x:c>
      <x:c r="J296" s="67" t="str">
        <x:v>Modeled from live base + Sep-2026 quality ratio</x:v>
      </x:c>
      <x:c r="K296" s="67" t="str">
        <x:v>https://www.stonealgo.com/diamond-prices/</x:v>
      </x:c>
      <x:c r="L296" s="67" t="str">
        <x:v>https://www.pricescope.com/blog/natural-diamond-prices-september-2026</x:v>
      </x:c>
    </x:row>
    <x:row r="297">
      <x:c r="A297" t="n">
        <x:v>1</x:v>
      </x:c>
      <x:c r="B297" t="str">
        <x:v>Cushion</x:v>
      </x:c>
      <x:c r="C297" t="str">
        <x:v>H</x:v>
      </x:c>
      <x:c r="D297" t="str">
        <x:v>SI2</x:v>
      </x:c>
      <x:c r="E297" s="36" t="n">
        <x:v>2800</x:v>
      </x:c>
      <x:c r="F297" s="36" t="n">
        <x:v>2328</x:v>
      </x:c>
      <x:c r="G297" s="42" t="n">
        <x:v>0.49935649935649934</x:v>
      </x:c>
      <x:c r="H297" s="36" t="n">
        <x:f>E297*G297</x:f>
        <x:v>1398.198198198198</x:v>
      </x:c>
      <x:c r="I297" s="36" t="n">
        <x:f>IFERROR(H297/A297,0)</x:f>
        <x:v>1398.198198198198</x:v>
      </x:c>
      <x:c r="J297" s="67" t="str">
        <x:v>Modeled from live base + Sep-2026 quality ratio</x:v>
      </x:c>
      <x:c r="K297" s="67" t="str">
        <x:v>https://www.stonealgo.com/diamond-prices/</x:v>
      </x:c>
      <x:c r="L297" s="67" t="str">
        <x:v>https://www.pricescope.com/blog/natural-diamond-prices-september-2026</x:v>
      </x:c>
    </x:row>
    <x:row r="298">
      <x:c r="A298" t="n">
        <x:v>1</x:v>
      </x:c>
      <x:c r="B298" t="str">
        <x:v>Cushion</x:v>
      </x:c>
      <x:c r="C298" t="str">
        <x:v>I</x:v>
      </x:c>
      <x:c r="D298" t="str">
        <x:v>FL</x:v>
      </x:c>
      <x:c r="E298" s="36" t="n">
        <x:v>2800</x:v>
      </x:c>
      <x:c r="F298" s="36" t="n">
        <x:v>4623</x:v>
      </x:c>
      <x:c r="G298" s="42" t="n">
        <x:v>0.9916344916344917</x:v>
      </x:c>
      <x:c r="H298" s="36" t="n">
        <x:f>E298*G298</x:f>
        <x:v>2776.576576576577</x:v>
      </x:c>
      <x:c r="I298" s="36" t="n">
        <x:f>IFERROR(H298/A298,0)</x:f>
        <x:v>2776.576576576577</x:v>
      </x:c>
      <x:c r="J298" s="67" t="str">
        <x:v>Modeled from live base + Sep-2026 quality ratio</x:v>
      </x:c>
      <x:c r="K298" s="67" t="str">
        <x:v>https://www.stonealgo.com/diamond-prices/</x:v>
      </x:c>
      <x:c r="L298" s="67" t="str">
        <x:v>https://www.pricescope.com/blog/natural-diamond-prices-september-2026</x:v>
      </x:c>
    </x:row>
    <x:row r="299">
      <x:c r="A299" t="n">
        <x:v>1</x:v>
      </x:c>
      <x:c r="B299" t="str">
        <x:v>Cushion</x:v>
      </x:c>
      <x:c r="C299" t="str">
        <x:v>I</x:v>
      </x:c>
      <x:c r="D299" t="str">
        <x:v>IF</x:v>
      </x:c>
      <x:c r="E299" s="36" t="n">
        <x:v>2800</x:v>
      </x:c>
      <x:c r="F299" s="36" t="n">
        <x:v>4005</x:v>
      </x:c>
      <x:c r="G299" s="42" t="n">
        <x:v>0.859073359073359</x:v>
      </x:c>
      <x:c r="H299" s="36" t="n">
        <x:f>E299*G299</x:f>
        <x:v>2405.4054054054054</x:v>
      </x:c>
      <x:c r="I299" s="36" t="n">
        <x:f>IFERROR(H299/A299,0)</x:f>
        <x:v>2405.4054054054054</x:v>
      </x:c>
      <x:c r="J299" s="67" t="str">
        <x:v>Modeled from live base + Sep-2026 quality ratio</x:v>
      </x:c>
      <x:c r="K299" s="67" t="str">
        <x:v>https://www.stonealgo.com/diamond-prices/</x:v>
      </x:c>
      <x:c r="L299" s="67" t="str">
        <x:v>https://www.pricescope.com/blog/natural-diamond-prices-september-2026</x:v>
      </x:c>
    </x:row>
    <x:row r="300">
      <x:c r="A300" t="n">
        <x:v>1</x:v>
      </x:c>
      <x:c r="B300" t="str">
        <x:v>Cushion</x:v>
      </x:c>
      <x:c r="C300" t="str">
        <x:v>I</x:v>
      </x:c>
      <x:c r="D300" t="str">
        <x:v>VVS1</x:v>
      </x:c>
      <x:c r="E300" s="36" t="n">
        <x:v>2800</x:v>
      </x:c>
      <x:c r="F300" s="36" t="n">
        <x:v>3670</x:v>
      </x:c>
      <x:c r="G300" s="42" t="n">
        <x:v>0.7872157872157872</x:v>
      </x:c>
      <x:c r="H300" s="36" t="n">
        <x:f>E300*G300</x:f>
        <x:v>2204.2042042042044</x:v>
      </x:c>
      <x:c r="I300" s="36" t="n">
        <x:f>IFERROR(H300/A300,0)</x:f>
        <x:v>2204.2042042042044</x:v>
      </x:c>
      <x:c r="J300" s="67" t="str">
        <x:v>Modeled from live base + Sep-2026 quality ratio</x:v>
      </x:c>
      <x:c r="K300" s="67" t="str">
        <x:v>https://www.stonealgo.com/diamond-prices/</x:v>
      </x:c>
      <x:c r="L300" s="67" t="str">
        <x:v>https://www.pricescope.com/blog/natural-diamond-prices-september-2026</x:v>
      </x:c>
    </x:row>
    <x:row r="301">
      <x:c r="A301" t="n">
        <x:v>1</x:v>
      </x:c>
      <x:c r="B301" t="str">
        <x:v>Cushion</x:v>
      </x:c>
      <x:c r="C301" t="str">
        <x:v>I</x:v>
      </x:c>
      <x:c r="D301" t="str">
        <x:v>VVS2</x:v>
      </x:c>
      <x:c r="E301" s="36" t="n">
        <x:v>2800</x:v>
      </x:c>
      <x:c r="F301" s="36" t="n">
        <x:v>3447</x:v>
      </x:c>
      <x:c r="G301" s="42" t="n">
        <x:v>0.7393822393822393</x:v>
      </x:c>
      <x:c r="H301" s="36" t="n">
        <x:f>E301*G301</x:f>
        <x:v>2070.27027027027</x:v>
      </x:c>
      <x:c r="I301" s="36" t="n">
        <x:f>IFERROR(H301/A301,0)</x:f>
        <x:v>2070.27027027027</x:v>
      </x:c>
      <x:c r="J301" s="67" t="str">
        <x:v>Modeled from live base + Sep-2026 quality ratio</x:v>
      </x:c>
      <x:c r="K301" s="67" t="str">
        <x:v>https://www.stonealgo.com/diamond-prices/</x:v>
      </x:c>
      <x:c r="L301" s="67" t="str">
        <x:v>https://www.pricescope.com/blog/natural-diamond-prices-september-2026</x:v>
      </x:c>
    </x:row>
    <x:row r="302">
      <x:c r="A302" t="n">
        <x:v>1</x:v>
      </x:c>
      <x:c r="B302" t="str">
        <x:v>Cushion</x:v>
      </x:c>
      <x:c r="C302" t="str">
        <x:v>I</x:v>
      </x:c>
      <x:c r="D302" t="str">
        <x:v>VS1</x:v>
      </x:c>
      <x:c r="E302" s="36" t="n">
        <x:v>2800</x:v>
      </x:c>
      <x:c r="F302" s="36" t="n">
        <x:v>3313</x:v>
      </x:c>
      <x:c r="G302" s="42" t="n">
        <x:v>0.7106392106392107</x:v>
      </x:c>
      <x:c r="H302" s="36" t="n">
        <x:f>E302*G302</x:f>
        <x:v>1989.78978978979</x:v>
      </x:c>
      <x:c r="I302" s="36" t="n">
        <x:f>IFERROR(H302/A302,0)</x:f>
        <x:v>1989.78978978979</x:v>
      </x:c>
      <x:c r="J302" s="67" t="str">
        <x:v>Modeled from live base + Sep-2026 quality ratio</x:v>
      </x:c>
      <x:c r="K302" s="67" t="str">
        <x:v>https://www.stonealgo.com/diamond-prices/</x:v>
      </x:c>
      <x:c r="L302" s="67" t="str">
        <x:v>https://www.pricescope.com/blog/natural-diamond-prices-september-2026</x:v>
      </x:c>
    </x:row>
    <x:row r="303">
      <x:c r="A303" t="n">
        <x:v>1</x:v>
      </x:c>
      <x:c r="B303" t="str">
        <x:v>Cushion</x:v>
      </x:c>
      <x:c r="C303" t="str">
        <x:v>I</x:v>
      </x:c>
      <x:c r="D303" t="str">
        <x:v>VS2</x:v>
      </x:c>
      <x:c r="E303" s="36" t="n">
        <x:v>2800</x:v>
      </x:c>
      <x:c r="F303" s="36" t="n">
        <x:v>3240</x:v>
      </x:c>
      <x:c r="G303" s="42" t="n">
        <x:v>0.694980694980695</x:v>
      </x:c>
      <x:c r="H303" s="36" t="n">
        <x:f>E303*G303</x:f>
        <x:v>1945.945945945946</x:v>
      </x:c>
      <x:c r="I303" s="36" t="n">
        <x:f>IFERROR(H303/A303,0)</x:f>
        <x:v>1945.945945945946</x:v>
      </x:c>
      <x:c r="J303" s="67" t="str">
        <x:v>Modeled from live base + Sep-2026 quality ratio</x:v>
      </x:c>
      <x:c r="K303" s="67" t="str">
        <x:v>https://www.stonealgo.com/diamond-prices/</x:v>
      </x:c>
      <x:c r="L303" s="67" t="str">
        <x:v>https://www.pricescope.com/blog/natural-diamond-prices-september-2026</x:v>
      </x:c>
    </x:row>
    <x:row r="304">
      <x:c r="A304" t="n">
        <x:v>1</x:v>
      </x:c>
      <x:c r="B304" t="str">
        <x:v>Cushion</x:v>
      </x:c>
      <x:c r="C304" t="str">
        <x:v>I</x:v>
      </x:c>
      <x:c r="D304" t="str">
        <x:v>SI1</x:v>
      </x:c>
      <x:c r="E304" s="36" t="n">
        <x:v>2800</x:v>
      </x:c>
      <x:c r="F304" s="36" t="n">
        <x:v>3199</x:v>
      </x:c>
      <x:c r="G304" s="42" t="n">
        <x:v>0.6861861861861862</x:v>
      </x:c>
      <x:c r="H304" s="36" t="n">
        <x:f>E304*G304</x:f>
        <x:v>1921.3213213213214</x:v>
      </x:c>
      <x:c r="I304" s="36" t="n">
        <x:f>IFERROR(H304/A304,0)</x:f>
        <x:v>1921.3213213213214</x:v>
      </x:c>
      <x:c r="J304" s="67" t="str">
        <x:v>Modeled from live base + Sep-2026 quality ratio</x:v>
      </x:c>
      <x:c r="K304" s="67" t="str">
        <x:v>https://www.stonealgo.com/diamond-prices/</x:v>
      </x:c>
      <x:c r="L304" s="67" t="str">
        <x:v>https://www.pricescope.com/blog/natural-diamond-prices-september-2026</x:v>
      </x:c>
    </x:row>
    <x:row r="305">
      <x:c r="A305" t="n">
        <x:v>1</x:v>
      </x:c>
      <x:c r="B305" t="str">
        <x:v>Cushion</x:v>
      </x:c>
      <x:c r="C305" t="str">
        <x:v>I</x:v>
      </x:c>
      <x:c r="D305" t="str">
        <x:v>SI2</x:v>
      </x:c>
      <x:c r="E305" s="36" t="n">
        <x:v>2800</x:v>
      </x:c>
      <x:c r="F305" s="36" t="n">
        <x:v>2874</x:v>
      </x:c>
      <x:c r="G305" s="42" t="n">
        <x:v>0.6164736164736164</x:v>
      </x:c>
      <x:c r="H305" s="36" t="n">
        <x:f>E305*G305</x:f>
        <x:v>1726.1261261261259</x:v>
      </x:c>
      <x:c r="I305" s="36" t="n">
        <x:f>IFERROR(H305/A305,0)</x:f>
        <x:v>1726.1261261261259</x:v>
      </x:c>
      <x:c r="J305" s="67" t="str">
        <x:v>Modeled from live base + Sep-2026 quality ratio</x:v>
      </x:c>
      <x:c r="K305" s="67" t="str">
        <x:v>https://www.stonealgo.com/diamond-prices/</x:v>
      </x:c>
      <x:c r="L305" s="67" t="str">
        <x:v>https://www.pricescope.com/blog/natural-diamond-prices-september-2026</x:v>
      </x:c>
    </x:row>
    <x:row r="306">
      <x:c r="A306" t="n">
        <x:v>1</x:v>
      </x:c>
      <x:c r="B306" t="str">
        <x:v>Cushion</x:v>
      </x:c>
      <x:c r="C306" t="str">
        <x:v>J</x:v>
      </x:c>
      <x:c r="D306" t="str">
        <x:v>FL</x:v>
      </x:c>
      <x:c r="E306" s="36" t="n">
        <x:v>2800</x:v>
      </x:c>
      <x:c r="F306" s="36" t="n">
        <x:v>3646</x:v>
      </x:c>
      <x:c r="G306" s="42" t="n">
        <x:v>0.782067782067782</x:v>
      </x:c>
      <x:c r="H306" s="36" t="n">
        <x:f>E306*G306</x:f>
        <x:v>2189.7897897897897</x:v>
      </x:c>
      <x:c r="I306" s="36" t="n">
        <x:f>IFERROR(H306/A306,0)</x:f>
        <x:v>2189.7897897897897</x:v>
      </x:c>
      <x:c r="J306" s="67" t="str">
        <x:v>Modeled from live base + Sep-2026 quality ratio</x:v>
      </x:c>
      <x:c r="K306" s="67" t="str">
        <x:v>https://www.stonealgo.com/diamond-prices/</x:v>
      </x:c>
      <x:c r="L306" s="67" t="str">
        <x:v>https://www.pricescope.com/blog/natural-diamond-prices-september-2026</x:v>
      </x:c>
    </x:row>
    <x:row r="307">
      <x:c r="A307" t="n">
        <x:v>1</x:v>
      </x:c>
      <x:c r="B307" t="str">
        <x:v>Cushion</x:v>
      </x:c>
      <x:c r="C307" t="str">
        <x:v>J</x:v>
      </x:c>
      <x:c r="D307" t="str">
        <x:v>IF</x:v>
      </x:c>
      <x:c r="E307" s="36" t="n">
        <x:v>2800</x:v>
      </x:c>
      <x:c r="F307" s="36" t="n">
        <x:v>3368</x:v>
      </x:c>
      <x:c r="G307" s="42" t="n">
        <x:v>0.7224367224367224</x:v>
      </x:c>
      <x:c r="H307" s="36" t="n">
        <x:f>E307*G307</x:f>
        <x:v>2022.8228228228227</x:v>
      </x:c>
      <x:c r="I307" s="36" t="n">
        <x:f>IFERROR(H307/A307,0)</x:f>
        <x:v>2022.8228228228227</x:v>
      </x:c>
      <x:c r="J307" s="67" t="str">
        <x:v>Modeled from live base + Sep-2026 quality ratio</x:v>
      </x:c>
      <x:c r="K307" s="67" t="str">
        <x:v>https://www.stonealgo.com/diamond-prices/</x:v>
      </x:c>
      <x:c r="L307" s="67" t="str">
        <x:v>https://www.pricescope.com/blog/natural-diamond-prices-september-2026</x:v>
      </x:c>
    </x:row>
    <x:row r="308">
      <x:c r="A308" t="n">
        <x:v>1</x:v>
      </x:c>
      <x:c r="B308" t="str">
        <x:v>Cushion</x:v>
      </x:c>
      <x:c r="C308" t="str">
        <x:v>J</x:v>
      </x:c>
      <x:c r="D308" t="str">
        <x:v>VVS1</x:v>
      </x:c>
      <x:c r="E308" s="36" t="n">
        <x:v>2800</x:v>
      </x:c>
      <x:c r="F308" s="36" t="n">
        <x:v>2956</x:v>
      </x:c>
      <x:c r="G308" s="42" t="n">
        <x:v>0.6340626340626341</x:v>
      </x:c>
      <x:c r="H308" s="36" t="n">
        <x:f>E308*G308</x:f>
        <x:v>1775.3753753753754</x:v>
      </x:c>
      <x:c r="I308" s="36" t="n">
        <x:f>IFERROR(H308/A308,0)</x:f>
        <x:v>1775.3753753753754</x:v>
      </x:c>
      <x:c r="J308" s="67" t="str">
        <x:v>Modeled from live base + Sep-2026 quality ratio</x:v>
      </x:c>
      <x:c r="K308" s="67" t="str">
        <x:v>https://www.stonealgo.com/diamond-prices/</x:v>
      </x:c>
      <x:c r="L308" s="67" t="str">
        <x:v>https://www.pricescope.com/blog/natural-diamond-prices-september-2026</x:v>
      </x:c>
    </x:row>
    <x:row r="309">
      <x:c r="A309" t="n">
        <x:v>1</x:v>
      </x:c>
      <x:c r="B309" t="str">
        <x:v>Cushion</x:v>
      </x:c>
      <x:c r="C309" t="str">
        <x:v>J</x:v>
      </x:c>
      <x:c r="D309" t="str">
        <x:v>VVS2</x:v>
      </x:c>
      <x:c r="E309" s="36" t="n">
        <x:v>2800</x:v>
      </x:c>
      <x:c r="F309" s="36" t="n">
        <x:v>2612</x:v>
      </x:c>
      <x:c r="G309" s="42" t="n">
        <x:v>0.5602745602745602</x:v>
      </x:c>
      <x:c r="H309" s="36" t="n">
        <x:f>E309*G309</x:f>
        <x:v>1568.7687687687687</x:v>
      </x:c>
      <x:c r="I309" s="36" t="n">
        <x:f>IFERROR(H309/A309,0)</x:f>
        <x:v>1568.7687687687687</x:v>
      </x:c>
      <x:c r="J309" s="67" t="str">
        <x:v>Modeled from live base + Sep-2026 quality ratio</x:v>
      </x:c>
      <x:c r="K309" s="67" t="str">
        <x:v>https://www.stonealgo.com/diamond-prices/</x:v>
      </x:c>
      <x:c r="L309" s="67" t="str">
        <x:v>https://www.pricescope.com/blog/natural-diamond-prices-september-2026</x:v>
      </x:c>
    </x:row>
    <x:row r="310">
      <x:c r="A310" t="n">
        <x:v>1</x:v>
      </x:c>
      <x:c r="B310" t="str">
        <x:v>Cushion</x:v>
      </x:c>
      <x:c r="C310" t="str">
        <x:v>J</x:v>
      </x:c>
      <x:c r="D310" t="str">
        <x:v>VS1</x:v>
      </x:c>
      <x:c r="E310" s="36" t="n">
        <x:v>2800</x:v>
      </x:c>
      <x:c r="F310" s="36" t="n">
        <x:v>3002</x:v>
      </x:c>
      <x:c r="G310" s="42" t="n">
        <x:v>0.6439296439296439</x:v>
      </x:c>
      <x:c r="H310" s="36" t="n">
        <x:f>E310*G310</x:f>
        <x:v>1803.003003003003</x:v>
      </x:c>
      <x:c r="I310" s="36" t="n">
        <x:f>IFERROR(H310/A310,0)</x:f>
        <x:v>1803.003003003003</x:v>
      </x:c>
      <x:c r="J310" s="67" t="str">
        <x:v>Modeled from live base + Sep-2026 quality ratio</x:v>
      </x:c>
      <x:c r="K310" s="67" t="str">
        <x:v>https://www.stonealgo.com/diamond-prices/</x:v>
      </x:c>
      <x:c r="L310" s="67" t="str">
        <x:v>https://www.pricescope.com/blog/natural-diamond-prices-september-2026</x:v>
      </x:c>
    </x:row>
    <x:row r="311">
      <x:c r="A311" t="n">
        <x:v>1</x:v>
      </x:c>
      <x:c r="B311" t="str">
        <x:v>Cushion</x:v>
      </x:c>
      <x:c r="C311" t="str">
        <x:v>J</x:v>
      </x:c>
      <x:c r="D311" t="str">
        <x:v>VS2</x:v>
      </x:c>
      <x:c r="E311" s="36" t="n">
        <x:v>2800</x:v>
      </x:c>
      <x:c r="F311" s="36" t="n">
        <x:v>2559</x:v>
      </x:c>
      <x:c r="G311" s="42" t="n">
        <x:v>0.5489060489060489</x:v>
      </x:c>
      <x:c r="H311" s="36" t="n">
        <x:f>E311*G311</x:f>
        <x:v>1536.936936936937</x:v>
      </x:c>
      <x:c r="I311" s="36" t="n">
        <x:f>IFERROR(H311/A311,0)</x:f>
        <x:v>1536.936936936937</x:v>
      </x:c>
      <x:c r="J311" s="67" t="str">
        <x:v>Modeled from live base + Sep-2026 quality ratio</x:v>
      </x:c>
      <x:c r="K311" s="67" t="str">
        <x:v>https://www.stonealgo.com/diamond-prices/</x:v>
      </x:c>
      <x:c r="L311" s="67" t="str">
        <x:v>https://www.pricescope.com/blog/natural-diamond-prices-september-2026</x:v>
      </x:c>
    </x:row>
    <x:row r="312">
      <x:c r="A312" t="n">
        <x:v>1</x:v>
      </x:c>
      <x:c r="B312" t="str">
        <x:v>Cushion</x:v>
      </x:c>
      <x:c r="C312" t="str">
        <x:v>J</x:v>
      </x:c>
      <x:c r="D312" t="str">
        <x:v>SI1</x:v>
      </x:c>
      <x:c r="E312" s="36" t="n">
        <x:v>2800</x:v>
      </x:c>
      <x:c r="F312" s="36" t="n">
        <x:v>2195</x:v>
      </x:c>
      <x:c r="G312" s="42" t="n">
        <x:v>0.47082797082797084</x:v>
      </x:c>
      <x:c r="H312" s="36" t="n">
        <x:f>E312*G312</x:f>
        <x:v>1318.3183183183185</x:v>
      </x:c>
      <x:c r="I312" s="36" t="n">
        <x:f>IFERROR(H312/A312,0)</x:f>
        <x:v>1318.3183183183185</x:v>
      </x:c>
      <x:c r="J312" s="67" t="str">
        <x:v>Modeled from live base + Sep-2026 quality ratio</x:v>
      </x:c>
      <x:c r="K312" s="67" t="str">
        <x:v>https://www.stonealgo.com/diamond-prices/</x:v>
      </x:c>
      <x:c r="L312" s="67" t="str">
        <x:v>https://www.pricescope.com/blog/natural-diamond-prices-september-2026</x:v>
      </x:c>
    </x:row>
    <x:row r="313">
      <x:c r="A313" t="n">
        <x:v>1</x:v>
      </x:c>
      <x:c r="B313" t="str">
        <x:v>Cushion</x:v>
      </x:c>
      <x:c r="C313" t="str">
        <x:v>J</x:v>
      </x:c>
      <x:c r="D313" t="str">
        <x:v>SI2</x:v>
      </x:c>
      <x:c r="E313" s="36" t="n">
        <x:v>2800</x:v>
      </x:c>
      <x:c r="F313" s="36" t="n">
        <x:v>2079</x:v>
      </x:c>
      <x:c r="G313" s="42" t="n">
        <x:v>0.44594594594594594</x:v>
      </x:c>
      <x:c r="H313" s="36" t="n">
        <x:f>E313*G313</x:f>
        <x:v>1248.6486486486485</x:v>
      </x:c>
      <x:c r="I313" s="36" t="n">
        <x:f>IFERROR(H313/A313,0)</x:f>
        <x:v>1248.6486486486485</x:v>
      </x:c>
      <x:c r="J313" s="67" t="str">
        <x:v>Modeled from live base + Sep-2026 quality ratio</x:v>
      </x:c>
      <x:c r="K313" s="67" t="str">
        <x:v>https://www.stonealgo.com/diamond-prices/</x:v>
      </x:c>
      <x:c r="L313" s="67" t="str">
        <x:v>https://www.pricescope.com/blog/natural-diamond-prices-september-2026</x:v>
      </x:c>
    </x:row>
    <x:row r="314">
      <x:c r="A314" t="n">
        <x:v>1</x:v>
      </x:c>
      <x:c r="B314" t="str">
        <x:v>Cushion</x:v>
      </x:c>
      <x:c r="C314" t="str">
        <x:v>K</x:v>
      </x:c>
      <x:c r="D314" t="str">
        <x:v>FL</x:v>
      </x:c>
      <x:c r="E314" s="36" t="n">
        <x:v>2800</x:v>
      </x:c>
      <x:c r="F314" s="36" t="n">
        <x:v>2858</x:v>
      </x:c>
      <x:c r="G314" s="42" t="n">
        <x:v>0.6130416130416131</x:v>
      </x:c>
      <x:c r="H314" s="36" t="n">
        <x:f>E314*G314</x:f>
        <x:v>1716.5165165165167</x:v>
      </x:c>
      <x:c r="I314" s="36" t="n">
        <x:f>IFERROR(H314/A314,0)</x:f>
        <x:v>1716.5165165165167</x:v>
      </x:c>
      <x:c r="J314" s="67" t="str">
        <x:v>Modeled from live base + Sep-2026 quality ratio; K/FL quality cell modeled</x:v>
      </x:c>
      <x:c r="K314" s="67" t="str">
        <x:v>https://www.stonealgo.com/diamond-prices/</x:v>
      </x:c>
      <x:c r="L314" s="67" t="str">
        <x:v>https://www.pricescope.com/blog/natural-diamond-prices-september-2026</x:v>
      </x:c>
    </x:row>
    <x:row r="315">
      <x:c r="A315" t="n">
        <x:v>1</x:v>
      </x:c>
      <x:c r="B315" t="str">
        <x:v>Cushion</x:v>
      </x:c>
      <x:c r="C315" t="str">
        <x:v>K</x:v>
      </x:c>
      <x:c r="D315" t="str">
        <x:v>IF</x:v>
      </x:c>
      <x:c r="E315" s="36" t="n">
        <x:v>2800</x:v>
      </x:c>
      <x:c r="F315" s="36" t="n">
        <x:v>2743</x:v>
      </x:c>
      <x:c r="G315" s="42" t="n">
        <x:v>0.5883740883740883</x:v>
      </x:c>
      <x:c r="H315" s="36" t="n">
        <x:f>E315*G315</x:f>
        <x:v>1647.4474474474473</x:v>
      </x:c>
      <x:c r="I315" s="36" t="n">
        <x:f>IFERROR(H315/A315,0)</x:f>
        <x:v>1647.4474474474473</x:v>
      </x:c>
      <x:c r="J315" s="67" t="str">
        <x:v>Modeled from live base + Sep-2026 quality ratio</x:v>
      </x:c>
      <x:c r="K315" s="67" t="str">
        <x:v>https://www.stonealgo.com/diamond-prices/</x:v>
      </x:c>
      <x:c r="L315" s="67" t="str">
        <x:v>https://www.pricescope.com/blog/natural-diamond-prices-september-2026</x:v>
      </x:c>
    </x:row>
    <x:row r="316">
      <x:c r="A316" t="n">
        <x:v>1</x:v>
      </x:c>
      <x:c r="B316" t="str">
        <x:v>Cushion</x:v>
      </x:c>
      <x:c r="C316" t="str">
        <x:v>K</x:v>
      </x:c>
      <x:c r="D316" t="str">
        <x:v>VVS1</x:v>
      </x:c>
      <x:c r="E316" s="36" t="n">
        <x:v>2800</x:v>
      </x:c>
      <x:c r="F316" s="36" t="n">
        <x:v>2529</x:v>
      </x:c>
      <x:c r="G316" s="42" t="n">
        <x:v>0.5424710424710425</x:v>
      </x:c>
      <x:c r="H316" s="36" t="n">
        <x:f>E316*G316</x:f>
        <x:v>1518.918918918919</x:v>
      </x:c>
      <x:c r="I316" s="36" t="n">
        <x:f>IFERROR(H316/A316,0)</x:f>
        <x:v>1518.918918918919</x:v>
      </x:c>
      <x:c r="J316" s="67" t="str">
        <x:v>Modeled from live base + Sep-2026 quality ratio</x:v>
      </x:c>
      <x:c r="K316" s="67" t="str">
        <x:v>https://www.stonealgo.com/diamond-prices/</x:v>
      </x:c>
      <x:c r="L316" s="67" t="str">
        <x:v>https://www.pricescope.com/blog/natural-diamond-prices-september-2026</x:v>
      </x:c>
    </x:row>
    <x:row r="317">
      <x:c r="A317" t="n">
        <x:v>1</x:v>
      </x:c>
      <x:c r="B317" t="str">
        <x:v>Cushion</x:v>
      </x:c>
      <x:c r="C317" t="str">
        <x:v>K</x:v>
      </x:c>
      <x:c r="D317" t="str">
        <x:v>VVS2</x:v>
      </x:c>
      <x:c r="E317" s="36" t="n">
        <x:v>2800</x:v>
      </x:c>
      <x:c r="F317" s="36" t="n">
        <x:v>2374</x:v>
      </x:c>
      <x:c r="G317" s="42" t="n">
        <x:v>0.5092235092235092</x:v>
      </x:c>
      <x:c r="H317" s="36" t="n">
        <x:f>E317*G317</x:f>
        <x:v>1425.8258258258259</x:v>
      </x:c>
      <x:c r="I317" s="36" t="n">
        <x:f>IFERROR(H317/A317,0)</x:f>
        <x:v>1425.8258258258259</x:v>
      </x:c>
      <x:c r="J317" s="67" t="str">
        <x:v>Modeled from live base + Sep-2026 quality ratio</x:v>
      </x:c>
      <x:c r="K317" s="67" t="str">
        <x:v>https://www.stonealgo.com/diamond-prices/</x:v>
      </x:c>
      <x:c r="L317" s="67" t="str">
        <x:v>https://www.pricescope.com/blog/natural-diamond-prices-september-2026</x:v>
      </x:c>
    </x:row>
    <x:row r="318">
      <x:c r="A318" t="n">
        <x:v>1</x:v>
      </x:c>
      <x:c r="B318" t="str">
        <x:v>Cushion</x:v>
      </x:c>
      <x:c r="C318" t="str">
        <x:v>K</x:v>
      </x:c>
      <x:c r="D318" t="str">
        <x:v>VS1</x:v>
      </x:c>
      <x:c r="E318" s="36" t="n">
        <x:v>2800</x:v>
      </x:c>
      <x:c r="F318" s="36" t="n">
        <x:v>2223</x:v>
      </x:c>
      <x:c r="G318" s="42" t="n">
        <x:v>0.4768339768339768</x:v>
      </x:c>
      <x:c r="H318" s="36" t="n">
        <x:f>E318*G318</x:f>
        <x:v>1335.1351351351352</x:v>
      </x:c>
      <x:c r="I318" s="36" t="n">
        <x:f>IFERROR(H318/A318,0)</x:f>
        <x:v>1335.1351351351352</x:v>
      </x:c>
      <x:c r="J318" s="67" t="str">
        <x:v>Modeled from live base + Sep-2026 quality ratio</x:v>
      </x:c>
      <x:c r="K318" s="67" t="str">
        <x:v>https://www.stonealgo.com/diamond-prices/</x:v>
      </x:c>
      <x:c r="L318" s="67" t="str">
        <x:v>https://www.pricescope.com/blog/natural-diamond-prices-september-2026</x:v>
      </x:c>
    </x:row>
    <x:row r="319">
      <x:c r="A319" t="n">
        <x:v>1</x:v>
      </x:c>
      <x:c r="B319" t="str">
        <x:v>Cushion</x:v>
      </x:c>
      <x:c r="C319" t="str">
        <x:v>K</x:v>
      </x:c>
      <x:c r="D319" t="str">
        <x:v>VS2</x:v>
      </x:c>
      <x:c r="E319" s="36" t="n">
        <x:v>2800</x:v>
      </x:c>
      <x:c r="F319" s="36" t="n">
        <x:v>2098</x:v>
      </x:c>
      <x:c r="G319" s="42" t="n">
        <x:v>0.45002145002145</x:v>
      </x:c>
      <x:c r="H319" s="36" t="n">
        <x:f>E319*G319</x:f>
        <x:v>1260.06006006006</x:v>
      </x:c>
      <x:c r="I319" s="36" t="n">
        <x:f>IFERROR(H319/A319,0)</x:f>
        <x:v>1260.06006006006</x:v>
      </x:c>
      <x:c r="J319" s="67" t="str">
        <x:v>Modeled from live base + Sep-2026 quality ratio</x:v>
      </x:c>
      <x:c r="K319" s="67" t="str">
        <x:v>https://www.stonealgo.com/diamond-prices/</x:v>
      </x:c>
      <x:c r="L319" s="67" t="str">
        <x:v>https://www.pricescope.com/blog/natural-diamond-prices-september-2026</x:v>
      </x:c>
    </x:row>
    <x:row r="320">
      <x:c r="A320" t="n">
        <x:v>1</x:v>
      </x:c>
      <x:c r="B320" t="str">
        <x:v>Cushion</x:v>
      </x:c>
      <x:c r="C320" t="str">
        <x:v>K</x:v>
      </x:c>
      <x:c r="D320" t="str">
        <x:v>SI1</x:v>
      </x:c>
      <x:c r="E320" s="36" t="n">
        <x:v>2800</x:v>
      </x:c>
      <x:c r="F320" s="36" t="n">
        <x:v>1922</x:v>
      </x:c>
      <x:c r="G320" s="42" t="n">
        <x:v>0.41226941226941227</x:v>
      </x:c>
      <x:c r="H320" s="36" t="n">
        <x:f>E320*G320</x:f>
        <x:v>1154.3543543543544</x:v>
      </x:c>
      <x:c r="I320" s="36" t="n">
        <x:f>IFERROR(H320/A320,0)</x:f>
        <x:v>1154.3543543543544</x:v>
      </x:c>
      <x:c r="J320" s="67" t="str">
        <x:v>Modeled from live base + Sep-2026 quality ratio</x:v>
      </x:c>
      <x:c r="K320" s="67" t="str">
        <x:v>https://www.stonealgo.com/diamond-prices/</x:v>
      </x:c>
      <x:c r="L320" s="67" t="str">
        <x:v>https://www.pricescope.com/blog/natural-diamond-prices-september-2026</x:v>
      </x:c>
    </x:row>
    <x:row r="321">
      <x:c r="A321" t="n">
        <x:v>1</x:v>
      </x:c>
      <x:c r="B321" t="str">
        <x:v>Cushion</x:v>
      </x:c>
      <x:c r="C321" t="str">
        <x:v>K</x:v>
      </x:c>
      <x:c r="D321" t="str">
        <x:v>SI2</x:v>
      </x:c>
      <x:c r="E321" s="36" t="n">
        <x:v>2800</x:v>
      </x:c>
      <x:c r="F321" s="36" t="n">
        <x:v>1764</x:v>
      </x:c>
      <x:c r="G321" s="42" t="n">
        <x:v>0.3783783783783784</x:v>
      </x:c>
      <x:c r="H321" s="36" t="n">
        <x:f>E321*G321</x:f>
        <x:v>1059.4594594594596</x:v>
      </x:c>
      <x:c r="I321" s="36" t="n">
        <x:f>IFERROR(H321/A321,0)</x:f>
        <x:v>1059.4594594594596</x:v>
      </x:c>
      <x:c r="J321" s="67" t="str">
        <x:v>Modeled from live base + Sep-2026 quality ratio</x:v>
      </x:c>
      <x:c r="K321" s="67" t="str">
        <x:v>https://www.stonealgo.com/diamond-prices/</x:v>
      </x:c>
      <x:c r="L321" s="67" t="str">
        <x:v>https://www.pricescope.com/blog/natural-diamond-prices-september-2026</x:v>
      </x:c>
    </x:row>
    <x:row r="322">
      <x:c r="A322" t="n">
        <x:v>1</x:v>
      </x:c>
      <x:c r="B322" t="str">
        <x:v>Radiant</x:v>
      </x:c>
      <x:c r="C322" t="str">
        <x:v>D</x:v>
      </x:c>
      <x:c r="D322" t="str">
        <x:v>FL</x:v>
      </x:c>
      <x:c r="E322" s="36" t="n">
        <x:v>2880</x:v>
      </x:c>
      <x:c r="F322" s="36" t="n">
        <x:v>12665</x:v>
      </x:c>
      <x:c r="G322" s="42" t="n">
        <x:v>2.7166452166452166</x:v>
      </x:c>
      <x:c r="H322" s="36" t="n">
        <x:f>E322*G322</x:f>
        <x:v>7823.938223938224</x:v>
      </x:c>
      <x:c r="I322" s="36" t="n">
        <x:f>IFERROR(H322/A322,0)</x:f>
        <x:v>7823.938223938224</x:v>
      </x:c>
      <x:c r="J322" s="67" t="str">
        <x:v>Modeled from live base + Sep-2026 quality ratio</x:v>
      </x:c>
      <x:c r="K322" s="67" t="str">
        <x:v>https://www.stonealgo.com/diamond-prices/</x:v>
      </x:c>
      <x:c r="L322" s="67" t="str">
        <x:v>https://www.pricescope.com/blog/natural-diamond-prices-september-2026</x:v>
      </x:c>
    </x:row>
    <x:row r="323">
      <x:c r="A323" t="n">
        <x:v>1</x:v>
      </x:c>
      <x:c r="B323" t="str">
        <x:v>Radiant</x:v>
      </x:c>
      <x:c r="C323" t="str">
        <x:v>D</x:v>
      </x:c>
      <x:c r="D323" t="str">
        <x:v>IF</x:v>
      </x:c>
      <x:c r="E323" s="36" t="n">
        <x:v>2880</x:v>
      </x:c>
      <x:c r="F323" s="36" t="n">
        <x:v>13240</x:v>
      </x:c>
      <x:c r="G323" s="42" t="n">
        <x:v>2.83998283998284</x:v>
      </x:c>
      <x:c r="H323" s="36" t="n">
        <x:f>E323*G323</x:f>
        <x:v>8179.15057915058</x:v>
      </x:c>
      <x:c r="I323" s="36" t="n">
        <x:f>IFERROR(H323/A323,0)</x:f>
        <x:v>8179.15057915058</x:v>
      </x:c>
      <x:c r="J323" s="67" t="str">
        <x:v>Modeled from live base + Sep-2026 quality ratio</x:v>
      </x:c>
      <x:c r="K323" s="67" t="str">
        <x:v>https://www.stonealgo.com/diamond-prices/</x:v>
      </x:c>
      <x:c r="L323" s="67" t="str">
        <x:v>https://www.pricescope.com/blog/natural-diamond-prices-september-2026</x:v>
      </x:c>
    </x:row>
    <x:row r="324">
      <x:c r="A324" t="n">
        <x:v>1</x:v>
      </x:c>
      <x:c r="B324" t="str">
        <x:v>Radiant</x:v>
      </x:c>
      <x:c r="C324" t="str">
        <x:v>D</x:v>
      </x:c>
      <x:c r="D324" t="str">
        <x:v>VVS1</x:v>
      </x:c>
      <x:c r="E324" s="36" t="n">
        <x:v>2880</x:v>
      </x:c>
      <x:c r="F324" s="36" t="n">
        <x:v>9555</x:v>
      </x:c>
      <x:c r="G324" s="42" t="n">
        <x:v>2.0495495495495497</x:v>
      </x:c>
      <x:c r="H324" s="36" t="n">
        <x:f>E324*G324</x:f>
        <x:v>5902.702702702703</x:v>
      </x:c>
      <x:c r="I324" s="36" t="n">
        <x:f>IFERROR(H324/A324,0)</x:f>
        <x:v>5902.702702702703</x:v>
      </x:c>
      <x:c r="J324" s="67" t="str">
        <x:v>Modeled from live base + Sep-2026 quality ratio</x:v>
      </x:c>
      <x:c r="K324" s="67" t="str">
        <x:v>https://www.stonealgo.com/diamond-prices/</x:v>
      </x:c>
      <x:c r="L324" s="67" t="str">
        <x:v>https://www.pricescope.com/blog/natural-diamond-prices-september-2026</x:v>
      </x:c>
    </x:row>
    <x:row r="325">
      <x:c r="A325" t="n">
        <x:v>1</x:v>
      </x:c>
      <x:c r="B325" t="str">
        <x:v>Radiant</x:v>
      </x:c>
      <x:c r="C325" t="str">
        <x:v>D</x:v>
      </x:c>
      <x:c r="D325" t="str">
        <x:v>VVS2</x:v>
      </x:c>
      <x:c r="E325" s="36" t="n">
        <x:v>2880</x:v>
      </x:c>
      <x:c r="F325" s="36" t="n">
        <x:v>6660</x:v>
      </x:c>
      <x:c r="G325" s="42" t="n">
        <x:v>1.4285714285714286</x:v>
      </x:c>
      <x:c r="H325" s="36" t="n">
        <x:f>E325*G325</x:f>
        <x:v>4114.285714285715</x:v>
      </x:c>
      <x:c r="I325" s="36" t="n">
        <x:f>IFERROR(H325/A325,0)</x:f>
        <x:v>4114.285714285715</x:v>
      </x:c>
      <x:c r="J325" s="67" t="str">
        <x:v>Modeled from live base + Sep-2026 quality ratio</x:v>
      </x:c>
      <x:c r="K325" s="67" t="str">
        <x:v>https://www.stonealgo.com/diamond-prices/</x:v>
      </x:c>
      <x:c r="L325" s="67" t="str">
        <x:v>https://www.pricescope.com/blog/natural-diamond-prices-september-2026</x:v>
      </x:c>
    </x:row>
    <x:row r="326">
      <x:c r="A326" t="n">
        <x:v>1</x:v>
      </x:c>
      <x:c r="B326" t="str">
        <x:v>Radiant</x:v>
      </x:c>
      <x:c r="C326" t="str">
        <x:v>D</x:v>
      </x:c>
      <x:c r="D326" t="str">
        <x:v>VS1</x:v>
      </x:c>
      <x:c r="E326" s="36" t="n">
        <x:v>2880</x:v>
      </x:c>
      <x:c r="F326" s="36" t="n">
        <x:v>6247</x:v>
      </x:c>
      <x:c r="G326" s="42" t="n">
        <x:v>1.33998283998284</x:v>
      </x:c>
      <x:c r="H326" s="36" t="n">
        <x:f>E326*G326</x:f>
        <x:v>3859.1505791505792</x:v>
      </x:c>
      <x:c r="I326" s="36" t="n">
        <x:f>IFERROR(H326/A326,0)</x:f>
        <x:v>3859.1505791505792</x:v>
      </x:c>
      <x:c r="J326" s="67" t="str">
        <x:v>Modeled from live base + Sep-2026 quality ratio</x:v>
      </x:c>
      <x:c r="K326" s="67" t="str">
        <x:v>https://www.stonealgo.com/diamond-prices/</x:v>
      </x:c>
      <x:c r="L326" s="67" t="str">
        <x:v>https://www.pricescope.com/blog/natural-diamond-prices-september-2026</x:v>
      </x:c>
    </x:row>
    <x:row r="327">
      <x:c r="A327" t="n">
        <x:v>1</x:v>
      </x:c>
      <x:c r="B327" t="str">
        <x:v>Radiant</x:v>
      </x:c>
      <x:c r="C327" t="str">
        <x:v>D</x:v>
      </x:c>
      <x:c r="D327" t="str">
        <x:v>VS2</x:v>
      </x:c>
      <x:c r="E327" s="36" t="n">
        <x:v>2880</x:v>
      </x:c>
      <x:c r="F327" s="36" t="n">
        <x:v>5841</x:v>
      </x:c>
      <x:c r="G327" s="42" t="n">
        <x:v>1.252895752895753</x:v>
      </x:c>
      <x:c r="H327" s="36" t="n">
        <x:f>E327*G327</x:f>
        <x:v>3608.3397683397684</x:v>
      </x:c>
      <x:c r="I327" s="36" t="n">
        <x:f>IFERROR(H327/A327,0)</x:f>
        <x:v>3608.3397683397684</x:v>
      </x:c>
      <x:c r="J327" s="67" t="str">
        <x:v>Modeled from live base + Sep-2026 quality ratio</x:v>
      </x:c>
      <x:c r="K327" s="67" t="str">
        <x:v>https://www.stonealgo.com/diamond-prices/</x:v>
      </x:c>
      <x:c r="L327" s="67" t="str">
        <x:v>https://www.pricescope.com/blog/natural-diamond-prices-september-2026</x:v>
      </x:c>
    </x:row>
    <x:row r="328">
      <x:c r="A328" t="n">
        <x:v>1</x:v>
      </x:c>
      <x:c r="B328" t="str">
        <x:v>Radiant</x:v>
      </x:c>
      <x:c r="C328" t="str">
        <x:v>D</x:v>
      </x:c>
      <x:c r="D328" t="str">
        <x:v>SI1</x:v>
      </x:c>
      <x:c r="E328" s="36" t="n">
        <x:v>2880</x:v>
      </x:c>
      <x:c r="F328" s="36" t="n">
        <x:v>3762</x:v>
      </x:c>
      <x:c r="G328" s="42" t="n">
        <x:v>0.806949806949807</x:v>
      </x:c>
      <x:c r="H328" s="36" t="n">
        <x:f>E328*G328</x:f>
        <x:v>2324.0154440154442</x:v>
      </x:c>
      <x:c r="I328" s="36" t="n">
        <x:f>IFERROR(H328/A328,0)</x:f>
        <x:v>2324.0154440154442</x:v>
      </x:c>
      <x:c r="J328" s="67" t="str">
        <x:v>Modeled from live base + Sep-2026 quality ratio</x:v>
      </x:c>
      <x:c r="K328" s="67" t="str">
        <x:v>https://www.stonealgo.com/diamond-prices/</x:v>
      </x:c>
      <x:c r="L328" s="67" t="str">
        <x:v>https://www.pricescope.com/blog/natural-diamond-prices-september-2026</x:v>
      </x:c>
    </x:row>
    <x:row r="329">
      <x:c r="A329" t="n">
        <x:v>1</x:v>
      </x:c>
      <x:c r="B329" t="str">
        <x:v>Radiant</x:v>
      </x:c>
      <x:c r="C329" t="str">
        <x:v>D</x:v>
      </x:c>
      <x:c r="D329" t="str">
        <x:v>SI2</x:v>
      </x:c>
      <x:c r="E329" s="36" t="n">
        <x:v>2880</x:v>
      </x:c>
      <x:c r="F329" s="36" t="n">
        <x:v>3026</x:v>
      </x:c>
      <x:c r="G329" s="42" t="n">
        <x:v>0.6490776490776491</x:v>
      </x:c>
      <x:c r="H329" s="36" t="n">
        <x:f>E329*G329</x:f>
        <x:v>1869.3436293436293</x:v>
      </x:c>
      <x:c r="I329" s="36" t="n">
        <x:f>IFERROR(H329/A329,0)</x:f>
        <x:v>1869.3436293436293</x:v>
      </x:c>
      <x:c r="J329" s="67" t="str">
        <x:v>Modeled from live base + Sep-2026 quality ratio</x:v>
      </x:c>
      <x:c r="K329" s="67" t="str">
        <x:v>https://www.stonealgo.com/diamond-prices/</x:v>
      </x:c>
      <x:c r="L329" s="67" t="str">
        <x:v>https://www.pricescope.com/blog/natural-diamond-prices-september-2026</x:v>
      </x:c>
    </x:row>
    <x:row r="330">
      <x:c r="A330" t="n">
        <x:v>1</x:v>
      </x:c>
      <x:c r="B330" t="str">
        <x:v>Radiant</x:v>
      </x:c>
      <x:c r="C330" t="str">
        <x:v>E</x:v>
      </x:c>
      <x:c r="D330" t="str">
        <x:v>FL</x:v>
      </x:c>
      <x:c r="E330" s="36" t="n">
        <x:v>2880</x:v>
      </x:c>
      <x:c r="F330" s="36" t="n">
        <x:v>10072</x:v>
      </x:c>
      <x:c r="G330" s="42" t="n">
        <x:v>2.1604461604461602</x:v>
      </x:c>
      <x:c r="H330" s="36" t="n">
        <x:f>E330*G330</x:f>
        <x:v>6222.084942084942</x:v>
      </x:c>
      <x:c r="I330" s="36" t="n">
        <x:f>IFERROR(H330/A330,0)</x:f>
        <x:v>6222.084942084942</x:v>
      </x:c>
      <x:c r="J330" s="67" t="str">
        <x:v>Modeled from live base + Sep-2026 quality ratio</x:v>
      </x:c>
      <x:c r="K330" s="67" t="str">
        <x:v>https://www.stonealgo.com/diamond-prices/</x:v>
      </x:c>
      <x:c r="L330" s="67" t="str">
        <x:v>https://www.pricescope.com/blog/natural-diamond-prices-september-2026</x:v>
      </x:c>
    </x:row>
    <x:row r="331">
      <x:c r="A331" t="n">
        <x:v>1</x:v>
      </x:c>
      <x:c r="B331" t="str">
        <x:v>Radiant</x:v>
      </x:c>
      <x:c r="C331" t="str">
        <x:v>E</x:v>
      </x:c>
      <x:c r="D331" t="str">
        <x:v>IF</x:v>
      </x:c>
      <x:c r="E331" s="36" t="n">
        <x:v>2880</x:v>
      </x:c>
      <x:c r="F331" s="36" t="n">
        <x:v>8672</x:v>
      </x:c>
      <x:c r="G331" s="42" t="n">
        <x:v>1.8601458601458603</x:v>
      </x:c>
      <x:c r="H331" s="36" t="n">
        <x:f>E331*G331</x:f>
        <x:v>5357.220077220078</x:v>
      </x:c>
      <x:c r="I331" s="36" t="n">
        <x:f>IFERROR(H331/A331,0)</x:f>
        <x:v>5357.220077220078</x:v>
      </x:c>
      <x:c r="J331" s="67" t="str">
        <x:v>Modeled from live base + Sep-2026 quality ratio</x:v>
      </x:c>
      <x:c r="K331" s="67" t="str">
        <x:v>https://www.stonealgo.com/diamond-prices/</x:v>
      </x:c>
      <x:c r="L331" s="67" t="str">
        <x:v>https://www.pricescope.com/blog/natural-diamond-prices-september-2026</x:v>
      </x:c>
    </x:row>
    <x:row r="332">
      <x:c r="A332" t="n">
        <x:v>1</x:v>
      </x:c>
      <x:c r="B332" t="str">
        <x:v>Radiant</x:v>
      </x:c>
      <x:c r="C332" t="str">
        <x:v>E</x:v>
      </x:c>
      <x:c r="D332" t="str">
        <x:v>VVS1</x:v>
      </x:c>
      <x:c r="E332" s="36" t="n">
        <x:v>2880</x:v>
      </x:c>
      <x:c r="F332" s="36" t="n">
        <x:v>7842</x:v>
      </x:c>
      <x:c r="G332" s="42" t="n">
        <x:v>1.6821106821106822</x:v>
      </x:c>
      <x:c r="H332" s="36" t="n">
        <x:f>E332*G332</x:f>
        <x:v>4844.478764478765</x:v>
      </x:c>
      <x:c r="I332" s="36" t="n">
        <x:f>IFERROR(H332/A332,0)</x:f>
        <x:v>4844.478764478765</x:v>
      </x:c>
      <x:c r="J332" s="67" t="str">
        <x:v>Modeled from live base + Sep-2026 quality ratio</x:v>
      </x:c>
      <x:c r="K332" s="67" t="str">
        <x:v>https://www.stonealgo.com/diamond-prices/</x:v>
      </x:c>
      <x:c r="L332" s="67" t="str">
        <x:v>https://www.pricescope.com/blog/natural-diamond-prices-september-2026</x:v>
      </x:c>
    </x:row>
    <x:row r="333">
      <x:c r="A333" t="n">
        <x:v>1</x:v>
      </x:c>
      <x:c r="B333" t="str">
        <x:v>Radiant</x:v>
      </x:c>
      <x:c r="C333" t="str">
        <x:v>E</x:v>
      </x:c>
      <x:c r="D333" t="str">
        <x:v>VVS2</x:v>
      </x:c>
      <x:c r="E333" s="36" t="n">
        <x:v>2880</x:v>
      </x:c>
      <x:c r="F333" s="36" t="n">
        <x:v>6880</x:v>
      </x:c>
      <x:c r="G333" s="42" t="n">
        <x:v>1.4757614757614759</x:v>
      </x:c>
      <x:c r="H333" s="36" t="n">
        <x:f>E333*G333</x:f>
        <x:v>4250.19305019305</x:v>
      </x:c>
      <x:c r="I333" s="36" t="n">
        <x:f>IFERROR(H333/A333,0)</x:f>
        <x:v>4250.19305019305</x:v>
      </x:c>
      <x:c r="J333" s="67" t="str">
        <x:v>Modeled from live base + Sep-2026 quality ratio</x:v>
      </x:c>
      <x:c r="K333" s="67" t="str">
        <x:v>https://www.stonealgo.com/diamond-prices/</x:v>
      </x:c>
      <x:c r="L333" s="67" t="str">
        <x:v>https://www.pricescope.com/blog/natural-diamond-prices-september-2026</x:v>
      </x:c>
    </x:row>
    <x:row r="334">
      <x:c r="A334" t="n">
        <x:v>1</x:v>
      </x:c>
      <x:c r="B334" t="str">
        <x:v>Radiant</x:v>
      </x:c>
      <x:c r="C334" t="str">
        <x:v>E</x:v>
      </x:c>
      <x:c r="D334" t="str">
        <x:v>VS1</x:v>
      </x:c>
      <x:c r="E334" s="36" t="n">
        <x:v>2880</x:v>
      </x:c>
      <x:c r="F334" s="36" t="n">
        <x:v>6307</x:v>
      </x:c>
      <x:c r="G334" s="42" t="n">
        <x:v>1.352852852852853</x:v>
      </x:c>
      <x:c r="H334" s="36" t="n">
        <x:f>E334*G334</x:f>
        <x:v>3896.2162162162167</x:v>
      </x:c>
      <x:c r="I334" s="36" t="n">
        <x:f>IFERROR(H334/A334,0)</x:f>
        <x:v>3896.2162162162167</x:v>
      </x:c>
      <x:c r="J334" s="67" t="str">
        <x:v>Modeled from live base + Sep-2026 quality ratio</x:v>
      </x:c>
      <x:c r="K334" s="67" t="str">
        <x:v>https://www.stonealgo.com/diamond-prices/</x:v>
      </x:c>
      <x:c r="L334" s="67" t="str">
        <x:v>https://www.pricescope.com/blog/natural-diamond-prices-september-2026</x:v>
      </x:c>
    </x:row>
    <x:row r="335">
      <x:c r="A335" t="n">
        <x:v>1</x:v>
      </x:c>
      <x:c r="B335" t="str">
        <x:v>Radiant</x:v>
      </x:c>
      <x:c r="C335" t="str">
        <x:v>E</x:v>
      </x:c>
      <x:c r="D335" t="str">
        <x:v>VS2</x:v>
      </x:c>
      <x:c r="E335" s="36" t="n">
        <x:v>2880</x:v>
      </x:c>
      <x:c r="F335" s="36" t="n">
        <x:v>5249</x:v>
      </x:c>
      <x:c r="G335" s="42" t="n">
        <x:v>1.125911625911626</x:v>
      </x:c>
      <x:c r="H335" s="36" t="n">
        <x:f>E335*G335</x:f>
        <x:v>3242.6254826254826</x:v>
      </x:c>
      <x:c r="I335" s="36" t="n">
        <x:f>IFERROR(H335/A335,0)</x:f>
        <x:v>3242.6254826254826</x:v>
      </x:c>
      <x:c r="J335" s="67" t="str">
        <x:v>Modeled from live base + Sep-2026 quality ratio</x:v>
      </x:c>
      <x:c r="K335" s="67" t="str">
        <x:v>https://www.stonealgo.com/diamond-prices/</x:v>
      </x:c>
      <x:c r="L335" s="67" t="str">
        <x:v>https://www.pricescope.com/blog/natural-diamond-prices-september-2026</x:v>
      </x:c>
    </x:row>
    <x:row r="336">
      <x:c r="A336" t="n">
        <x:v>1</x:v>
      </x:c>
      <x:c r="B336" t="str">
        <x:v>Radiant</x:v>
      </x:c>
      <x:c r="C336" t="str">
        <x:v>E</x:v>
      </x:c>
      <x:c r="D336" t="str">
        <x:v>SI1</x:v>
      </x:c>
      <x:c r="E336" s="36" t="n">
        <x:v>2880</x:v>
      </x:c>
      <x:c r="F336" s="36" t="n">
        <x:v>3551</x:v>
      </x:c>
      <x:c r="G336" s="42" t="n">
        <x:v>0.7616902616902617</x:v>
      </x:c>
      <x:c r="H336" s="36" t="n">
        <x:f>E336*G336</x:f>
        <x:v>2193.6679536679535</x:v>
      </x:c>
      <x:c r="I336" s="36" t="n">
        <x:f>IFERROR(H336/A336,0)</x:f>
        <x:v>2193.6679536679535</x:v>
      </x:c>
      <x:c r="J336" s="67" t="str">
        <x:v>Modeled from live base + Sep-2026 quality ratio</x:v>
      </x:c>
      <x:c r="K336" s="67" t="str">
        <x:v>https://www.stonealgo.com/diamond-prices/</x:v>
      </x:c>
      <x:c r="L336" s="67" t="str">
        <x:v>https://www.pricescope.com/blog/natural-diamond-prices-september-2026</x:v>
      </x:c>
    </x:row>
    <x:row r="337">
      <x:c r="A337" t="n">
        <x:v>1</x:v>
      </x:c>
      <x:c r="B337" t="str">
        <x:v>Radiant</x:v>
      </x:c>
      <x:c r="C337" t="str">
        <x:v>E</x:v>
      </x:c>
      <x:c r="D337" t="str">
        <x:v>SI2</x:v>
      </x:c>
      <x:c r="E337" s="36" t="n">
        <x:v>2880</x:v>
      </x:c>
      <x:c r="F337" s="36" t="n">
        <x:v>2993</x:v>
      </x:c>
      <x:c r="G337" s="42" t="n">
        <x:v>0.641999141999142</x:v>
      </x:c>
      <x:c r="H337" s="36" t="n">
        <x:f>E337*G337</x:f>
        <x:v>1848.957528957529</x:v>
      </x:c>
      <x:c r="I337" s="36" t="n">
        <x:f>IFERROR(H337/A337,0)</x:f>
        <x:v>1848.957528957529</x:v>
      </x:c>
      <x:c r="J337" s="67" t="str">
        <x:v>Modeled from live base + Sep-2026 quality ratio</x:v>
      </x:c>
      <x:c r="K337" s="67" t="str">
        <x:v>https://www.stonealgo.com/diamond-prices/</x:v>
      </x:c>
      <x:c r="L337" s="67" t="str">
        <x:v>https://www.pricescope.com/blog/natural-diamond-prices-september-2026</x:v>
      </x:c>
    </x:row>
    <x:row r="338">
      <x:c r="A338" t="n">
        <x:v>1</x:v>
      </x:c>
      <x:c r="B338" t="str">
        <x:v>Radiant</x:v>
      </x:c>
      <x:c r="C338" t="str">
        <x:v>F</x:v>
      </x:c>
      <x:c r="D338" t="str">
        <x:v>FL</x:v>
      </x:c>
      <x:c r="E338" s="36" t="n">
        <x:v>2880</x:v>
      </x:c>
      <x:c r="F338" s="36" t="n">
        <x:v>6830</x:v>
      </x:c>
      <x:c r="G338" s="42" t="n">
        <x:v>1.4650364650364651</x:v>
      </x:c>
      <x:c r="H338" s="36" t="n">
        <x:f>E338*G338</x:f>
        <x:v>4219.305019305019</x:v>
      </x:c>
      <x:c r="I338" s="36" t="n">
        <x:f>IFERROR(H338/A338,0)</x:f>
        <x:v>4219.305019305019</x:v>
      </x:c>
      <x:c r="J338" s="67" t="str">
        <x:v>Modeled from live base + Sep-2026 quality ratio</x:v>
      </x:c>
      <x:c r="K338" s="67" t="str">
        <x:v>https://www.stonealgo.com/diamond-prices/</x:v>
      </x:c>
      <x:c r="L338" s="67" t="str">
        <x:v>https://www.pricescope.com/blog/natural-diamond-prices-september-2026</x:v>
      </x:c>
    </x:row>
    <x:row r="339">
      <x:c r="A339" t="n">
        <x:v>1</x:v>
      </x:c>
      <x:c r="B339" t="str">
        <x:v>Radiant</x:v>
      </x:c>
      <x:c r="C339" t="str">
        <x:v>F</x:v>
      </x:c>
      <x:c r="D339" t="str">
        <x:v>IF</x:v>
      </x:c>
      <x:c r="E339" s="36" t="n">
        <x:v>2880</x:v>
      </x:c>
      <x:c r="F339" s="36" t="n">
        <x:v>7302</x:v>
      </x:c>
      <x:c r="G339" s="42" t="n">
        <x:v>1.5662805662805663</x:v>
      </x:c>
      <x:c r="H339" s="36" t="n">
        <x:f>E339*G339</x:f>
        <x:v>4510.888030888031</x:v>
      </x:c>
      <x:c r="I339" s="36" t="n">
        <x:f>IFERROR(H339/A339,0)</x:f>
        <x:v>4510.888030888031</x:v>
      </x:c>
      <x:c r="J339" s="67" t="str">
        <x:v>Modeled from live base + Sep-2026 quality ratio</x:v>
      </x:c>
      <x:c r="K339" s="67" t="str">
        <x:v>https://www.stonealgo.com/diamond-prices/</x:v>
      </x:c>
      <x:c r="L339" s="67" t="str">
        <x:v>https://www.pricescope.com/blog/natural-diamond-prices-september-2026</x:v>
      </x:c>
    </x:row>
    <x:row r="340">
      <x:c r="A340" t="n">
        <x:v>1</x:v>
      </x:c>
      <x:c r="B340" t="str">
        <x:v>Radiant</x:v>
      </x:c>
      <x:c r="C340" t="str">
        <x:v>F</x:v>
      </x:c>
      <x:c r="D340" t="str">
        <x:v>VVS1</x:v>
      </x:c>
      <x:c r="E340" s="36" t="n">
        <x:v>2880</x:v>
      </x:c>
      <x:c r="F340" s="36" t="n">
        <x:v>7542</x:v>
      </x:c>
      <x:c r="G340" s="42" t="n">
        <x:v>1.6177606177606179</x:v>
      </x:c>
      <x:c r="H340" s="36" t="n">
        <x:f>E340*G340</x:f>
        <x:v>4659.15057915058</x:v>
      </x:c>
      <x:c r="I340" s="36" t="n">
        <x:f>IFERROR(H340/A340,0)</x:f>
        <x:v>4659.15057915058</x:v>
      </x:c>
      <x:c r="J340" s="67" t="str">
        <x:v>Modeled from live base + Sep-2026 quality ratio</x:v>
      </x:c>
      <x:c r="K340" s="67" t="str">
        <x:v>https://www.stonealgo.com/diamond-prices/</x:v>
      </x:c>
      <x:c r="L340" s="67" t="str">
        <x:v>https://www.pricescope.com/blog/natural-diamond-prices-september-2026</x:v>
      </x:c>
    </x:row>
    <x:row r="341">
      <x:c r="A341" t="n">
        <x:v>1</x:v>
      </x:c>
      <x:c r="B341" t="str">
        <x:v>Radiant</x:v>
      </x:c>
      <x:c r="C341" t="str">
        <x:v>F</x:v>
      </x:c>
      <x:c r="D341" t="str">
        <x:v>VVS2</x:v>
      </x:c>
      <x:c r="E341" s="36" t="n">
        <x:v>2880</x:v>
      </x:c>
      <x:c r="F341" s="36" t="n">
        <x:v>6352</x:v>
      </x:c>
      <x:c r="G341" s="42" t="n">
        <x:v>1.3625053625053625</x:v>
      </x:c>
      <x:c r="H341" s="36" t="n">
        <x:f>E341*G341</x:f>
        <x:v>3924.015444015444</x:v>
      </x:c>
      <x:c r="I341" s="36" t="n">
        <x:f>IFERROR(H341/A341,0)</x:f>
        <x:v>3924.015444015444</x:v>
      </x:c>
      <x:c r="J341" s="67" t="str">
        <x:v>Modeled from live base + Sep-2026 quality ratio</x:v>
      </x:c>
      <x:c r="K341" s="67" t="str">
        <x:v>https://www.stonealgo.com/diamond-prices/</x:v>
      </x:c>
      <x:c r="L341" s="67" t="str">
        <x:v>https://www.pricescope.com/blog/natural-diamond-prices-september-2026</x:v>
      </x:c>
    </x:row>
    <x:row r="342">
      <x:c r="A342" t="n">
        <x:v>1</x:v>
      </x:c>
      <x:c r="B342" t="str">
        <x:v>Radiant</x:v>
      </x:c>
      <x:c r="C342" t="str">
        <x:v>F</x:v>
      </x:c>
      <x:c r="D342" t="str">
        <x:v>VS1</x:v>
      </x:c>
      <x:c r="E342" s="36" t="n">
        <x:v>2880</x:v>
      </x:c>
      <x:c r="F342" s="36" t="n">
        <x:v>5647</x:v>
      </x:c>
      <x:c r="G342" s="42" t="n">
        <x:v>1.2112827112827114</x:v>
      </x:c>
      <x:c r="H342" s="36" t="n">
        <x:f>E342*G342</x:f>
        <x:v>3488.4942084942086</x:v>
      </x:c>
      <x:c r="I342" s="36" t="n">
        <x:f>IFERROR(H342/A342,0)</x:f>
        <x:v>3488.4942084942086</x:v>
      </x:c>
      <x:c r="J342" s="67" t="str">
        <x:v>Modeled from live base + Sep-2026 quality ratio</x:v>
      </x:c>
      <x:c r="K342" s="67" t="str">
        <x:v>https://www.stonealgo.com/diamond-prices/</x:v>
      </x:c>
      <x:c r="L342" s="67" t="str">
        <x:v>https://www.pricescope.com/blog/natural-diamond-prices-september-2026</x:v>
      </x:c>
    </x:row>
    <x:row r="343">
      <x:c r="A343" t="n">
        <x:v>1</x:v>
      </x:c>
      <x:c r="B343" t="str">
        <x:v>Radiant</x:v>
      </x:c>
      <x:c r="C343" t="str">
        <x:v>F</x:v>
      </x:c>
      <x:c r="D343" t="str">
        <x:v>VS2</x:v>
      </x:c>
      <x:c r="E343" s="36" t="n">
        <x:v>2880</x:v>
      </x:c>
      <x:c r="F343" s="36" t="n">
        <x:v>4730</x:v>
      </x:c>
      <x:c r="G343" s="42" t="n">
        <x:v>1.0145860145860146</x:v>
      </x:c>
      <x:c r="H343" s="36" t="n">
        <x:f>E343*G343</x:f>
        <x:v>2922.007722007722</x:v>
      </x:c>
      <x:c r="I343" s="36" t="n">
        <x:f>IFERROR(H343/A343,0)</x:f>
        <x:v>2922.007722007722</x:v>
      </x:c>
      <x:c r="J343" s="67" t="str">
        <x:v>Modeled from live base + Sep-2026 quality ratio</x:v>
      </x:c>
      <x:c r="K343" s="67" t="str">
        <x:v>https://www.stonealgo.com/diamond-prices/</x:v>
      </x:c>
      <x:c r="L343" s="67" t="str">
        <x:v>https://www.pricescope.com/blog/natural-diamond-prices-september-2026</x:v>
      </x:c>
    </x:row>
    <x:row r="344">
      <x:c r="A344" t="n">
        <x:v>1</x:v>
      </x:c>
      <x:c r="B344" t="str">
        <x:v>Radiant</x:v>
      </x:c>
      <x:c r="C344" t="str">
        <x:v>F</x:v>
      </x:c>
      <x:c r="D344" t="str">
        <x:v>SI1</x:v>
      </x:c>
      <x:c r="E344" s="36" t="n">
        <x:v>2880</x:v>
      </x:c>
      <x:c r="F344" s="36" t="n">
        <x:v>3331</x:v>
      </x:c>
      <x:c r="G344" s="42" t="n">
        <x:v>0.7145002145002145</x:v>
      </x:c>
      <x:c r="H344" s="36" t="n">
        <x:f>E344*G344</x:f>
        <x:v>2057.7606177606176</x:v>
      </x:c>
      <x:c r="I344" s="36" t="n">
        <x:f>IFERROR(H344/A344,0)</x:f>
        <x:v>2057.7606177606176</x:v>
      </x:c>
      <x:c r="J344" s="67" t="str">
        <x:v>Modeled from live base + Sep-2026 quality ratio</x:v>
      </x:c>
      <x:c r="K344" s="67" t="str">
        <x:v>https://www.stonealgo.com/diamond-prices/</x:v>
      </x:c>
      <x:c r="L344" s="67" t="str">
        <x:v>https://www.pricescope.com/blog/natural-diamond-prices-september-2026</x:v>
      </x:c>
    </x:row>
    <x:row r="345">
      <x:c r="A345" t="n">
        <x:v>1</x:v>
      </x:c>
      <x:c r="B345" t="str">
        <x:v>Radiant</x:v>
      </x:c>
      <x:c r="C345" t="str">
        <x:v>F</x:v>
      </x:c>
      <x:c r="D345" t="str">
        <x:v>SI2</x:v>
      </x:c>
      <x:c r="E345" s="36" t="n">
        <x:v>2880</x:v>
      </x:c>
      <x:c r="F345" s="36" t="n">
        <x:v>2733</x:v>
      </x:c>
      <x:c r="G345" s="42" t="n">
        <x:v>0.5862290862290862</x:v>
      </x:c>
      <x:c r="H345" s="36" t="n">
        <x:f>E345*G345</x:f>
        <x:v>1688.3397683397682</x:v>
      </x:c>
      <x:c r="I345" s="36" t="n">
        <x:f>IFERROR(H345/A345,0)</x:f>
        <x:v>1688.3397683397682</x:v>
      </x:c>
      <x:c r="J345" s="67" t="str">
        <x:v>Modeled from live base + Sep-2026 quality ratio</x:v>
      </x:c>
      <x:c r="K345" s="67" t="str">
        <x:v>https://www.stonealgo.com/diamond-prices/</x:v>
      </x:c>
      <x:c r="L345" s="67" t="str">
        <x:v>https://www.pricescope.com/blog/natural-diamond-prices-september-2026</x:v>
      </x:c>
    </x:row>
    <x:row r="346">
      <x:c r="A346" t="n">
        <x:v>1</x:v>
      </x:c>
      <x:c r="B346" t="str">
        <x:v>Radiant</x:v>
      </x:c>
      <x:c r="C346" t="str">
        <x:v>G</x:v>
      </x:c>
      <x:c r="D346" t="str">
        <x:v>FL</x:v>
      </x:c>
      <x:c r="E346" s="36" t="n">
        <x:v>2880</x:v>
      </x:c>
      <x:c r="F346" s="36" t="n">
        <x:v>5905</x:v>
      </x:c>
      <x:c r="G346" s="42" t="n">
        <x:v>1.2666237666237665</x:v>
      </x:c>
      <x:c r="H346" s="36" t="n">
        <x:f>E346*G346</x:f>
        <x:v>3647.8764478764474</x:v>
      </x:c>
      <x:c r="I346" s="36" t="n">
        <x:f>IFERROR(H346/A346,0)</x:f>
        <x:v>3647.8764478764474</x:v>
      </x:c>
      <x:c r="J346" s="67" t="str">
        <x:v>Modeled from live base + Sep-2026 quality ratio</x:v>
      </x:c>
      <x:c r="K346" s="67" t="str">
        <x:v>https://www.stonealgo.com/diamond-prices/</x:v>
      </x:c>
      <x:c r="L346" s="67" t="str">
        <x:v>https://www.pricescope.com/blog/natural-diamond-prices-september-2026</x:v>
      </x:c>
    </x:row>
    <x:row r="347">
      <x:c r="A347" t="n">
        <x:v>1</x:v>
      </x:c>
      <x:c r="B347" t="str">
        <x:v>Radiant</x:v>
      </x:c>
      <x:c r="C347" t="str">
        <x:v>G</x:v>
      </x:c>
      <x:c r="D347" t="str">
        <x:v>IF</x:v>
      </x:c>
      <x:c r="E347" s="36" t="n">
        <x:v>2880</x:v>
      </x:c>
      <x:c r="F347" s="36" t="n">
        <x:v>5601</x:v>
      </x:c>
      <x:c r="G347" s="42" t="n">
        <x:v>1.2014157014157014</x:v>
      </x:c>
      <x:c r="H347" s="36" t="n">
        <x:f>E347*G347</x:f>
        <x:v>3460.07722007722</x:v>
      </x:c>
      <x:c r="I347" s="36" t="n">
        <x:f>IFERROR(H347/A347,0)</x:f>
        <x:v>3460.07722007722</x:v>
      </x:c>
      <x:c r="J347" s="67" t="str">
        <x:v>Modeled from live base + Sep-2026 quality ratio</x:v>
      </x:c>
      <x:c r="K347" s="67" t="str">
        <x:v>https://www.stonealgo.com/diamond-prices/</x:v>
      </x:c>
      <x:c r="L347" s="67" t="str">
        <x:v>https://www.pricescope.com/blog/natural-diamond-prices-september-2026</x:v>
      </x:c>
    </x:row>
    <x:row r="348">
      <x:c r="A348" t="n">
        <x:v>1</x:v>
      </x:c>
      <x:c r="B348" t="str">
        <x:v>Radiant</x:v>
      </x:c>
      <x:c r="C348" t="str">
        <x:v>G</x:v>
      </x:c>
      <x:c r="D348" t="str">
        <x:v>VVS1</x:v>
      </x:c>
      <x:c r="E348" s="36" t="n">
        <x:v>2880</x:v>
      </x:c>
      <x:c r="F348" s="36" t="n">
        <x:v>5124</x:v>
      </x:c>
      <x:c r="G348" s="42" t="n">
        <x:v>1.0990990990990992</x:v>
      </x:c>
      <x:c r="H348" s="36" t="n">
        <x:f>E348*G348</x:f>
        <x:v>3165.405405405406</x:v>
      </x:c>
      <x:c r="I348" s="36" t="n">
        <x:f>IFERROR(H348/A348,0)</x:f>
        <x:v>3165.405405405406</x:v>
      </x:c>
      <x:c r="J348" s="67" t="str">
        <x:v>Modeled from live base + Sep-2026 quality ratio</x:v>
      </x:c>
      <x:c r="K348" s="67" t="str">
        <x:v>https://www.stonealgo.com/diamond-prices/</x:v>
      </x:c>
      <x:c r="L348" s="67" t="str">
        <x:v>https://www.pricescope.com/blog/natural-diamond-prices-september-2026</x:v>
      </x:c>
    </x:row>
    <x:row r="349">
      <x:c r="A349" t="n">
        <x:v>1</x:v>
      </x:c>
      <x:c r="B349" t="str">
        <x:v>Radiant</x:v>
      </x:c>
      <x:c r="C349" t="str">
        <x:v>G</x:v>
      </x:c>
      <x:c r="D349" t="str">
        <x:v>VVS2</x:v>
      </x:c>
      <x:c r="E349" s="36" t="n">
        <x:v>2880</x:v>
      </x:c>
      <x:c r="F349" s="36" t="n">
        <x:v>4962</x:v>
      </x:c>
      <x:c r="G349" s="42" t="n">
        <x:v>1.0643500643500643</x:v>
      </x:c>
      <x:c r="H349" s="36" t="n">
        <x:f>E349*G349</x:f>
        <x:v>3065.328185328185</x:v>
      </x:c>
      <x:c r="I349" s="36" t="n">
        <x:f>IFERROR(H349/A349,0)</x:f>
        <x:v>3065.328185328185</x:v>
      </x:c>
      <x:c r="J349" s="67" t="str">
        <x:v>Modeled from live base + Sep-2026 quality ratio</x:v>
      </x:c>
      <x:c r="K349" s="67" t="str">
        <x:v>https://www.stonealgo.com/diamond-prices/</x:v>
      </x:c>
      <x:c r="L349" s="67" t="str">
        <x:v>https://www.pricescope.com/blog/natural-diamond-prices-september-2026</x:v>
      </x:c>
    </x:row>
    <x:row r="350">
      <x:c r="A350" t="n">
        <x:v>1</x:v>
      </x:c>
      <x:c r="B350" t="str">
        <x:v>Radiant</x:v>
      </x:c>
      <x:c r="C350" t="str">
        <x:v>G</x:v>
      </x:c>
      <x:c r="D350" t="str">
        <x:v>VS1</x:v>
      </x:c>
      <x:c r="E350" s="36" t="n">
        <x:v>2880</x:v>
      </x:c>
      <x:c r="F350" s="36" t="n">
        <x:v>4615</x:v>
      </x:c>
      <x:c r="G350" s="42" t="n">
        <x:v>0.98991848991849</x:v>
      </x:c>
      <x:c r="H350" s="36" t="n">
        <x:f>E350*G350</x:f>
        <x:v>2850.965250965251</x:v>
      </x:c>
      <x:c r="I350" s="36" t="n">
        <x:f>IFERROR(H350/A350,0)</x:f>
        <x:v>2850.965250965251</x:v>
      </x:c>
      <x:c r="J350" s="67" t="str">
        <x:v>Modeled from live base + Sep-2026 quality ratio</x:v>
      </x:c>
      <x:c r="K350" s="67" t="str">
        <x:v>https://www.stonealgo.com/diamond-prices/</x:v>
      </x:c>
      <x:c r="L350" s="67" t="str">
        <x:v>https://www.pricescope.com/blog/natural-diamond-prices-september-2026</x:v>
      </x:c>
    </x:row>
    <x:row r="351">
      <x:c r="A351" t="n">
        <x:v>1</x:v>
      </x:c>
      <x:c r="B351" t="str">
        <x:v>Radiant</x:v>
      </x:c>
      <x:c r="C351" t="str">
        <x:v>G</x:v>
      </x:c>
      <x:c r="D351" t="str">
        <x:v>VS2</x:v>
      </x:c>
      <x:c r="E351" s="36" t="n">
        <x:v>2880</x:v>
      </x:c>
      <x:c r="F351" s="36" t="n">
        <x:v>4585</x:v>
      </x:c>
      <x:c r="G351" s="42" t="n">
        <x:v>0.9834834834834835</x:v>
      </x:c>
      <x:c r="H351" s="36" t="n">
        <x:f>E351*G351</x:f>
        <x:v>2832.4324324324325</x:v>
      </x:c>
      <x:c r="I351" s="36" t="n">
        <x:f>IFERROR(H351/A351,0)</x:f>
        <x:v>2832.4324324324325</x:v>
      </x:c>
      <x:c r="J351" s="67" t="str">
        <x:v>Modeled from live base + Sep-2026 quality ratio</x:v>
      </x:c>
      <x:c r="K351" s="67" t="str">
        <x:v>https://www.stonealgo.com/diamond-prices/</x:v>
      </x:c>
      <x:c r="L351" s="67" t="str">
        <x:v>https://www.pricescope.com/blog/natural-diamond-prices-september-2026</x:v>
      </x:c>
    </x:row>
    <x:row r="352">
      <x:c r="A352" t="n">
        <x:v>1</x:v>
      </x:c>
      <x:c r="B352" t="str">
        <x:v>Radiant</x:v>
      </x:c>
      <x:c r="C352" t="str">
        <x:v>G</x:v>
      </x:c>
      <x:c r="D352" t="str">
        <x:v>SI1</x:v>
      </x:c>
      <x:c r="E352" s="36" t="n">
        <x:v>2880</x:v>
      </x:c>
      <x:c r="F352" s="36" t="n">
        <x:v>3664</x:v>
      </x:c>
      <x:c r="G352" s="42" t="n">
        <x:v>0.7859287859287859</x:v>
      </x:c>
      <x:c r="H352" s="36" t="n">
        <x:f>E352*G352</x:f>
        <x:v>2263.4749034749034</x:v>
      </x:c>
      <x:c r="I352" s="36" t="n">
        <x:f>IFERROR(H352/A352,0)</x:f>
        <x:v>2263.4749034749034</x:v>
      </x:c>
      <x:c r="J352" s="67" t="str">
        <x:v>Modeled from live base + Sep-2026 quality ratio</x:v>
      </x:c>
      <x:c r="K352" s="67" t="str">
        <x:v>https://www.stonealgo.com/diamond-prices/</x:v>
      </x:c>
      <x:c r="L352" s="67" t="str">
        <x:v>https://www.pricescope.com/blog/natural-diamond-prices-september-2026</x:v>
      </x:c>
    </x:row>
    <x:row r="353">
      <x:c r="A353" t="n">
        <x:v>1</x:v>
      </x:c>
      <x:c r="B353" t="str">
        <x:v>Radiant</x:v>
      </x:c>
      <x:c r="C353" t="str">
        <x:v>G</x:v>
      </x:c>
      <x:c r="D353" t="str">
        <x:v>SI2</x:v>
      </x:c>
      <x:c r="E353" s="36" t="n">
        <x:v>2880</x:v>
      </x:c>
      <x:c r="F353" s="36" t="n">
        <x:v>2537</x:v>
      </x:c>
      <x:c r="G353" s="42" t="n">
        <x:v>0.5441870441870442</x:v>
      </x:c>
      <x:c r="H353" s="36" t="n">
        <x:f>E353*G353</x:f>
        <x:v>1567.2586872586874</x:v>
      </x:c>
      <x:c r="I353" s="36" t="n">
        <x:f>IFERROR(H353/A353,0)</x:f>
        <x:v>1567.2586872586874</x:v>
      </x:c>
      <x:c r="J353" s="67" t="str">
        <x:v>Modeled from live base + Sep-2026 quality ratio</x:v>
      </x:c>
      <x:c r="K353" s="67" t="str">
        <x:v>https://www.stonealgo.com/diamond-prices/</x:v>
      </x:c>
      <x:c r="L353" s="67" t="str">
        <x:v>https://www.pricescope.com/blog/natural-diamond-prices-september-2026</x:v>
      </x:c>
    </x:row>
    <x:row r="354">
      <x:c r="A354" t="n">
        <x:v>1</x:v>
      </x:c>
      <x:c r="B354" t="str">
        <x:v>Radiant</x:v>
      </x:c>
      <x:c r="C354" t="str">
        <x:v>H</x:v>
      </x:c>
      <x:c r="D354" t="str">
        <x:v>FL</x:v>
      </x:c>
      <x:c r="E354" s="36" t="n">
        <x:v>2880</x:v>
      </x:c>
      <x:c r="F354" s="36" t="n">
        <x:v>4563</x:v>
      </x:c>
      <x:c r="G354" s="42" t="n">
        <x:v>0.9787644787644788</x:v>
      </x:c>
      <x:c r="H354" s="36" t="n">
        <x:f>E354*G354</x:f>
        <x:v>2818.841698841699</x:v>
      </x:c>
      <x:c r="I354" s="36" t="n">
        <x:f>IFERROR(H354/A354,0)</x:f>
        <x:v>2818.841698841699</x:v>
      </x:c>
      <x:c r="J354" s="67" t="str">
        <x:v>Modeled from live base + Sep-2026 quality ratio</x:v>
      </x:c>
      <x:c r="K354" s="67" t="str">
        <x:v>https://www.stonealgo.com/diamond-prices/</x:v>
      </x:c>
      <x:c r="L354" s="67" t="str">
        <x:v>https://www.pricescope.com/blog/natural-diamond-prices-september-2026</x:v>
      </x:c>
    </x:row>
    <x:row r="355">
      <x:c r="A355" t="n">
        <x:v>1</x:v>
      </x:c>
      <x:c r="B355" t="str">
        <x:v>Radiant</x:v>
      </x:c>
      <x:c r="C355" t="str">
        <x:v>H</x:v>
      </x:c>
      <x:c r="D355" t="str">
        <x:v>IF</x:v>
      </x:c>
      <x:c r="E355" s="36" t="n">
        <x:v>2880</x:v>
      </x:c>
      <x:c r="F355" s="36" t="n">
        <x:v>4809</x:v>
      </x:c>
      <x:c r="G355" s="42" t="n">
        <x:v>1.0315315315315314</x:v>
      </x:c>
      <x:c r="H355" s="36" t="n">
        <x:f>E355*G355</x:f>
        <x:v>2970.8108108108104</x:v>
      </x:c>
      <x:c r="I355" s="36" t="n">
        <x:f>IFERROR(H355/A355,0)</x:f>
        <x:v>2970.8108108108104</x:v>
      </x:c>
      <x:c r="J355" s="67" t="str">
        <x:v>Modeled from live base + Sep-2026 quality ratio</x:v>
      </x:c>
      <x:c r="K355" s="67" t="str">
        <x:v>https://www.stonealgo.com/diamond-prices/</x:v>
      </x:c>
      <x:c r="L355" s="67" t="str">
        <x:v>https://www.pricescope.com/blog/natural-diamond-prices-september-2026</x:v>
      </x:c>
    </x:row>
    <x:row r="356">
      <x:c r="A356" t="n">
        <x:v>1</x:v>
      </x:c>
      <x:c r="B356" t="str">
        <x:v>Radiant</x:v>
      </x:c>
      <x:c r="C356" t="str">
        <x:v>H</x:v>
      </x:c>
      <x:c r="D356" t="str">
        <x:v>VVS1</x:v>
      </x:c>
      <x:c r="E356" s="36" t="n">
        <x:v>2880</x:v>
      </x:c>
      <x:c r="F356" s="36" t="n">
        <x:v>4911</x:v>
      </x:c>
      <x:c r="G356" s="42" t="n">
        <x:v>1.0534105534105533</x:v>
      </x:c>
      <x:c r="H356" s="36" t="n">
        <x:f>E356*G356</x:f>
        <x:v>3033.8223938223937</x:v>
      </x:c>
      <x:c r="I356" s="36" t="n">
        <x:f>IFERROR(H356/A356,0)</x:f>
        <x:v>3033.8223938223937</x:v>
      </x:c>
      <x:c r="J356" s="67" t="str">
        <x:v>Modeled from live base + Sep-2026 quality ratio</x:v>
      </x:c>
      <x:c r="K356" s="67" t="str">
        <x:v>https://www.stonealgo.com/diamond-prices/</x:v>
      </x:c>
      <x:c r="L356" s="67" t="str">
        <x:v>https://www.pricescope.com/blog/natural-diamond-prices-september-2026</x:v>
      </x:c>
    </x:row>
    <x:row r="357">
      <x:c r="A357" t="n">
        <x:v>1</x:v>
      </x:c>
      <x:c r="B357" t="str">
        <x:v>Radiant</x:v>
      </x:c>
      <x:c r="C357" t="str">
        <x:v>H</x:v>
      </x:c>
      <x:c r="D357" t="str">
        <x:v>VVS2</x:v>
      </x:c>
      <x:c r="E357" s="36" t="n">
        <x:v>2880</x:v>
      </x:c>
      <x:c r="F357" s="36" t="n">
        <x:v>4046</x:v>
      </x:c>
      <x:c r="G357" s="42" t="n">
        <x:v>0.8678678678678678</x:v>
      </x:c>
      <x:c r="H357" s="36" t="n">
        <x:f>E357*G357</x:f>
        <x:v>2499.4594594594596</x:v>
      </x:c>
      <x:c r="I357" s="36" t="n">
        <x:f>IFERROR(H357/A357,0)</x:f>
        <x:v>2499.4594594594596</x:v>
      </x:c>
      <x:c r="J357" s="67" t="str">
        <x:v>Modeled from live base + Sep-2026 quality ratio</x:v>
      </x:c>
      <x:c r="K357" s="67" t="str">
        <x:v>https://www.stonealgo.com/diamond-prices/</x:v>
      </x:c>
      <x:c r="L357" s="67" t="str">
        <x:v>https://www.pricescope.com/blog/natural-diamond-prices-september-2026</x:v>
      </x:c>
    </x:row>
    <x:row r="358">
      <x:c r="A358" t="n">
        <x:v>1</x:v>
      </x:c>
      <x:c r="B358" t="str">
        <x:v>Radiant</x:v>
      </x:c>
      <x:c r="C358" t="str">
        <x:v>H</x:v>
      </x:c>
      <x:c r="D358" t="str">
        <x:v>VS1</x:v>
      </x:c>
      <x:c r="E358" s="36" t="n">
        <x:v>2880</x:v>
      </x:c>
      <x:c r="F358" s="36" t="n">
        <x:v>3893</x:v>
      </x:c>
      <x:c r="G358" s="42" t="n">
        <x:v>0.8350493350493351</x:v>
      </x:c>
      <x:c r="H358" s="36" t="n">
        <x:f>E358*G358</x:f>
        <x:v>2404.942084942085</x:v>
      </x:c>
      <x:c r="I358" s="36" t="n">
        <x:f>IFERROR(H358/A358,0)</x:f>
        <x:v>2404.942084942085</x:v>
      </x:c>
      <x:c r="J358" s="67" t="str">
        <x:v>Modeled from live base + Sep-2026 quality ratio</x:v>
      </x:c>
      <x:c r="K358" s="67" t="str">
        <x:v>https://www.stonealgo.com/diamond-prices/</x:v>
      </x:c>
      <x:c r="L358" s="67" t="str">
        <x:v>https://www.pricescope.com/blog/natural-diamond-prices-september-2026</x:v>
      </x:c>
    </x:row>
    <x:row r="359">
      <x:c r="A359" t="n">
        <x:v>1</x:v>
      </x:c>
      <x:c r="B359" t="str">
        <x:v>Radiant</x:v>
      </x:c>
      <x:c r="C359" t="str">
        <x:v>H</x:v>
      </x:c>
      <x:c r="D359" t="str">
        <x:v>VS2</x:v>
      </x:c>
      <x:c r="E359" s="36" t="n">
        <x:v>2880</x:v>
      </x:c>
      <x:c r="F359" s="36" t="n">
        <x:v>3989</x:v>
      </x:c>
      <x:c r="G359" s="42" t="n">
        <x:v>0.8556413556413557</x:v>
      </x:c>
      <x:c r="H359" s="36" t="n">
        <x:f>E359*G359</x:f>
        <x:v>2464.2471042471043</x:v>
      </x:c>
      <x:c r="I359" s="36" t="n">
        <x:f>IFERROR(H359/A359,0)</x:f>
        <x:v>2464.2471042471043</x:v>
      </x:c>
      <x:c r="J359" s="67" t="str">
        <x:v>Modeled from live base + Sep-2026 quality ratio</x:v>
      </x:c>
      <x:c r="K359" s="67" t="str">
        <x:v>https://www.stonealgo.com/diamond-prices/</x:v>
      </x:c>
      <x:c r="L359" s="67" t="str">
        <x:v>https://www.pricescope.com/blog/natural-diamond-prices-september-2026</x:v>
      </x:c>
    </x:row>
    <x:row r="360">
      <x:c r="A360" t="n">
        <x:v>1</x:v>
      </x:c>
      <x:c r="B360" t="str">
        <x:v>Radiant</x:v>
      </x:c>
      <x:c r="C360" t="str">
        <x:v>H</x:v>
      </x:c>
      <x:c r="D360" t="str">
        <x:v>SI1</x:v>
      </x:c>
      <x:c r="E360" s="36" t="n">
        <x:v>2880</x:v>
      </x:c>
      <x:c r="F360" s="36" t="n">
        <x:v>2828</x:v>
      </x:c>
      <x:c r="G360" s="42" t="n">
        <x:v>0.6066066066066066</x:v>
      </x:c>
      <x:c r="H360" s="36" t="n">
        <x:f>E360*G360</x:f>
        <x:v>1747.027027027027</x:v>
      </x:c>
      <x:c r="I360" s="36" t="n">
        <x:f>IFERROR(H360/A360,0)</x:f>
        <x:v>1747.027027027027</x:v>
      </x:c>
      <x:c r="J360" s="67" t="str">
        <x:v>Modeled from live base + Sep-2026 quality ratio</x:v>
      </x:c>
      <x:c r="K360" s="67" t="str">
        <x:v>https://www.stonealgo.com/diamond-prices/</x:v>
      </x:c>
      <x:c r="L360" s="67" t="str">
        <x:v>https://www.pricescope.com/blog/natural-diamond-prices-september-2026</x:v>
      </x:c>
    </x:row>
    <x:row r="361">
      <x:c r="A361" t="n">
        <x:v>1</x:v>
      </x:c>
      <x:c r="B361" t="str">
        <x:v>Radiant</x:v>
      </x:c>
      <x:c r="C361" t="str">
        <x:v>H</x:v>
      </x:c>
      <x:c r="D361" t="str">
        <x:v>SI2</x:v>
      </x:c>
      <x:c r="E361" s="36" t="n">
        <x:v>2880</x:v>
      </x:c>
      <x:c r="F361" s="36" t="n">
        <x:v>2328</x:v>
      </x:c>
      <x:c r="G361" s="42" t="n">
        <x:v>0.49935649935649934</x:v>
      </x:c>
      <x:c r="H361" s="36" t="n">
        <x:f>E361*G361</x:f>
        <x:v>1438.146718146718</x:v>
      </x:c>
      <x:c r="I361" s="36" t="n">
        <x:f>IFERROR(H361/A361,0)</x:f>
        <x:v>1438.146718146718</x:v>
      </x:c>
      <x:c r="J361" s="67" t="str">
        <x:v>Modeled from live base + Sep-2026 quality ratio</x:v>
      </x:c>
      <x:c r="K361" s="67" t="str">
        <x:v>https://www.stonealgo.com/diamond-prices/</x:v>
      </x:c>
      <x:c r="L361" s="67" t="str">
        <x:v>https://www.pricescope.com/blog/natural-diamond-prices-september-2026</x:v>
      </x:c>
    </x:row>
    <x:row r="362">
      <x:c r="A362" t="n">
        <x:v>1</x:v>
      </x:c>
      <x:c r="B362" t="str">
        <x:v>Radiant</x:v>
      </x:c>
      <x:c r="C362" t="str">
        <x:v>I</x:v>
      </x:c>
      <x:c r="D362" t="str">
        <x:v>FL</x:v>
      </x:c>
      <x:c r="E362" s="36" t="n">
        <x:v>2880</x:v>
      </x:c>
      <x:c r="F362" s="36" t="n">
        <x:v>4623</x:v>
      </x:c>
      <x:c r="G362" s="42" t="n">
        <x:v>0.9916344916344917</x:v>
      </x:c>
      <x:c r="H362" s="36" t="n">
        <x:f>E362*G362</x:f>
        <x:v>2855.907335907336</x:v>
      </x:c>
      <x:c r="I362" s="36" t="n">
        <x:f>IFERROR(H362/A362,0)</x:f>
        <x:v>2855.907335907336</x:v>
      </x:c>
      <x:c r="J362" s="67" t="str">
        <x:v>Modeled from live base + Sep-2026 quality ratio</x:v>
      </x:c>
      <x:c r="K362" s="67" t="str">
        <x:v>https://www.stonealgo.com/diamond-prices/</x:v>
      </x:c>
      <x:c r="L362" s="67" t="str">
        <x:v>https://www.pricescope.com/blog/natural-diamond-prices-september-2026</x:v>
      </x:c>
    </x:row>
    <x:row r="363">
      <x:c r="A363" t="n">
        <x:v>1</x:v>
      </x:c>
      <x:c r="B363" t="str">
        <x:v>Radiant</x:v>
      </x:c>
      <x:c r="C363" t="str">
        <x:v>I</x:v>
      </x:c>
      <x:c r="D363" t="str">
        <x:v>IF</x:v>
      </x:c>
      <x:c r="E363" s="36" t="n">
        <x:v>2880</x:v>
      </x:c>
      <x:c r="F363" s="36" t="n">
        <x:v>4005</x:v>
      </x:c>
      <x:c r="G363" s="42" t="n">
        <x:v>0.859073359073359</x:v>
      </x:c>
      <x:c r="H363" s="36" t="n">
        <x:f>E363*G363</x:f>
        <x:v>2474.131274131274</x:v>
      </x:c>
      <x:c r="I363" s="36" t="n">
        <x:f>IFERROR(H363/A363,0)</x:f>
        <x:v>2474.131274131274</x:v>
      </x:c>
      <x:c r="J363" s="67" t="str">
        <x:v>Modeled from live base + Sep-2026 quality ratio</x:v>
      </x:c>
      <x:c r="K363" s="67" t="str">
        <x:v>https://www.stonealgo.com/diamond-prices/</x:v>
      </x:c>
      <x:c r="L363" s="67" t="str">
        <x:v>https://www.pricescope.com/blog/natural-diamond-prices-september-2026</x:v>
      </x:c>
    </x:row>
    <x:row r="364">
      <x:c r="A364" t="n">
        <x:v>1</x:v>
      </x:c>
      <x:c r="B364" t="str">
        <x:v>Radiant</x:v>
      </x:c>
      <x:c r="C364" t="str">
        <x:v>I</x:v>
      </x:c>
      <x:c r="D364" t="str">
        <x:v>VVS1</x:v>
      </x:c>
      <x:c r="E364" s="36" t="n">
        <x:v>2880</x:v>
      </x:c>
      <x:c r="F364" s="36" t="n">
        <x:v>3670</x:v>
      </x:c>
      <x:c r="G364" s="42" t="n">
        <x:v>0.7872157872157872</x:v>
      </x:c>
      <x:c r="H364" s="36" t="n">
        <x:f>E364*G364</x:f>
        <x:v>2267.1814671814673</x:v>
      </x:c>
      <x:c r="I364" s="36" t="n">
        <x:f>IFERROR(H364/A364,0)</x:f>
        <x:v>2267.1814671814673</x:v>
      </x:c>
      <x:c r="J364" s="67" t="str">
        <x:v>Modeled from live base + Sep-2026 quality ratio</x:v>
      </x:c>
      <x:c r="K364" s="67" t="str">
        <x:v>https://www.stonealgo.com/diamond-prices/</x:v>
      </x:c>
      <x:c r="L364" s="67" t="str">
        <x:v>https://www.pricescope.com/blog/natural-diamond-prices-september-2026</x:v>
      </x:c>
    </x:row>
    <x:row r="365">
      <x:c r="A365" t="n">
        <x:v>1</x:v>
      </x:c>
      <x:c r="B365" t="str">
        <x:v>Radiant</x:v>
      </x:c>
      <x:c r="C365" t="str">
        <x:v>I</x:v>
      </x:c>
      <x:c r="D365" t="str">
        <x:v>VVS2</x:v>
      </x:c>
      <x:c r="E365" s="36" t="n">
        <x:v>2880</x:v>
      </x:c>
      <x:c r="F365" s="36" t="n">
        <x:v>3447</x:v>
      </x:c>
      <x:c r="G365" s="42" t="n">
        <x:v>0.7393822393822393</x:v>
      </x:c>
      <x:c r="H365" s="36" t="n">
        <x:f>E365*G365</x:f>
        <x:v>2129.420849420849</x:v>
      </x:c>
      <x:c r="I365" s="36" t="n">
        <x:f>IFERROR(H365/A365,0)</x:f>
        <x:v>2129.420849420849</x:v>
      </x:c>
      <x:c r="J365" s="67" t="str">
        <x:v>Modeled from live base + Sep-2026 quality ratio</x:v>
      </x:c>
      <x:c r="K365" s="67" t="str">
        <x:v>https://www.stonealgo.com/diamond-prices/</x:v>
      </x:c>
      <x:c r="L365" s="67" t="str">
        <x:v>https://www.pricescope.com/blog/natural-diamond-prices-september-2026</x:v>
      </x:c>
    </x:row>
    <x:row r="366">
      <x:c r="A366" t="n">
        <x:v>1</x:v>
      </x:c>
      <x:c r="B366" t="str">
        <x:v>Radiant</x:v>
      </x:c>
      <x:c r="C366" t="str">
        <x:v>I</x:v>
      </x:c>
      <x:c r="D366" t="str">
        <x:v>VS1</x:v>
      </x:c>
      <x:c r="E366" s="36" t="n">
        <x:v>2880</x:v>
      </x:c>
      <x:c r="F366" s="36" t="n">
        <x:v>3313</x:v>
      </x:c>
      <x:c r="G366" s="42" t="n">
        <x:v>0.7106392106392107</x:v>
      </x:c>
      <x:c r="H366" s="36" t="n">
        <x:f>E366*G366</x:f>
        <x:v>2046.6409266409266</x:v>
      </x:c>
      <x:c r="I366" s="36" t="n">
        <x:f>IFERROR(H366/A366,0)</x:f>
        <x:v>2046.6409266409266</x:v>
      </x:c>
      <x:c r="J366" s="67" t="str">
        <x:v>Modeled from live base + Sep-2026 quality ratio</x:v>
      </x:c>
      <x:c r="K366" s="67" t="str">
        <x:v>https://www.stonealgo.com/diamond-prices/</x:v>
      </x:c>
      <x:c r="L366" s="67" t="str">
        <x:v>https://www.pricescope.com/blog/natural-diamond-prices-september-2026</x:v>
      </x:c>
    </x:row>
    <x:row r="367">
      <x:c r="A367" t="n">
        <x:v>1</x:v>
      </x:c>
      <x:c r="B367" t="str">
        <x:v>Radiant</x:v>
      </x:c>
      <x:c r="C367" t="str">
        <x:v>I</x:v>
      </x:c>
      <x:c r="D367" t="str">
        <x:v>VS2</x:v>
      </x:c>
      <x:c r="E367" s="36" t="n">
        <x:v>2880</x:v>
      </x:c>
      <x:c r="F367" s="36" t="n">
        <x:v>3240</x:v>
      </x:c>
      <x:c r="G367" s="42" t="n">
        <x:v>0.694980694980695</x:v>
      </x:c>
      <x:c r="H367" s="36" t="n">
        <x:f>E367*G367</x:f>
        <x:v>2001.5444015444018</x:v>
      </x:c>
      <x:c r="I367" s="36" t="n">
        <x:f>IFERROR(H367/A367,0)</x:f>
        <x:v>2001.5444015444018</x:v>
      </x:c>
      <x:c r="J367" s="67" t="str">
        <x:v>Modeled from live base + Sep-2026 quality ratio</x:v>
      </x:c>
      <x:c r="K367" s="67" t="str">
        <x:v>https://www.stonealgo.com/diamond-prices/</x:v>
      </x:c>
      <x:c r="L367" s="67" t="str">
        <x:v>https://www.pricescope.com/blog/natural-diamond-prices-september-2026</x:v>
      </x:c>
    </x:row>
    <x:row r="368">
      <x:c r="A368" t="n">
        <x:v>1</x:v>
      </x:c>
      <x:c r="B368" t="str">
        <x:v>Radiant</x:v>
      </x:c>
      <x:c r="C368" t="str">
        <x:v>I</x:v>
      </x:c>
      <x:c r="D368" t="str">
        <x:v>SI1</x:v>
      </x:c>
      <x:c r="E368" s="36" t="n">
        <x:v>2880</x:v>
      </x:c>
      <x:c r="F368" s="36" t="n">
        <x:v>3199</x:v>
      </x:c>
      <x:c r="G368" s="42" t="n">
        <x:v>0.6861861861861862</x:v>
      </x:c>
      <x:c r="H368" s="36" t="n">
        <x:f>E368*G368</x:f>
        <x:v>1976.2162162162163</x:v>
      </x:c>
      <x:c r="I368" s="36" t="n">
        <x:f>IFERROR(H368/A368,0)</x:f>
        <x:v>1976.2162162162163</x:v>
      </x:c>
      <x:c r="J368" s="67" t="str">
        <x:v>Modeled from live base + Sep-2026 quality ratio</x:v>
      </x:c>
      <x:c r="K368" s="67" t="str">
        <x:v>https://www.stonealgo.com/diamond-prices/</x:v>
      </x:c>
      <x:c r="L368" s="67" t="str">
        <x:v>https://www.pricescope.com/blog/natural-diamond-prices-september-2026</x:v>
      </x:c>
    </x:row>
    <x:row r="369">
      <x:c r="A369" t="n">
        <x:v>1</x:v>
      </x:c>
      <x:c r="B369" t="str">
        <x:v>Radiant</x:v>
      </x:c>
      <x:c r="C369" t="str">
        <x:v>I</x:v>
      </x:c>
      <x:c r="D369" t="str">
        <x:v>SI2</x:v>
      </x:c>
      <x:c r="E369" s="36" t="n">
        <x:v>2880</x:v>
      </x:c>
      <x:c r="F369" s="36" t="n">
        <x:v>2874</x:v>
      </x:c>
      <x:c r="G369" s="42" t="n">
        <x:v>0.6164736164736164</x:v>
      </x:c>
      <x:c r="H369" s="36" t="n">
        <x:f>E369*G369</x:f>
        <x:v>1775.4440154440153</x:v>
      </x:c>
      <x:c r="I369" s="36" t="n">
        <x:f>IFERROR(H369/A369,0)</x:f>
        <x:v>1775.4440154440153</x:v>
      </x:c>
      <x:c r="J369" s="67" t="str">
        <x:v>Modeled from live base + Sep-2026 quality ratio</x:v>
      </x:c>
      <x:c r="K369" s="67" t="str">
        <x:v>https://www.stonealgo.com/diamond-prices/</x:v>
      </x:c>
      <x:c r="L369" s="67" t="str">
        <x:v>https://www.pricescope.com/blog/natural-diamond-prices-september-2026</x:v>
      </x:c>
    </x:row>
    <x:row r="370">
      <x:c r="A370" t="n">
        <x:v>1</x:v>
      </x:c>
      <x:c r="B370" t="str">
        <x:v>Radiant</x:v>
      </x:c>
      <x:c r="C370" t="str">
        <x:v>J</x:v>
      </x:c>
      <x:c r="D370" t="str">
        <x:v>FL</x:v>
      </x:c>
      <x:c r="E370" s="36" t="n">
        <x:v>2880</x:v>
      </x:c>
      <x:c r="F370" s="36" t="n">
        <x:v>3646</x:v>
      </x:c>
      <x:c r="G370" s="42" t="n">
        <x:v>0.782067782067782</x:v>
      </x:c>
      <x:c r="H370" s="36" t="n">
        <x:f>E370*G370</x:f>
        <x:v>2252.355212355212</x:v>
      </x:c>
      <x:c r="I370" s="36" t="n">
        <x:f>IFERROR(H370/A370,0)</x:f>
        <x:v>2252.355212355212</x:v>
      </x:c>
      <x:c r="J370" s="67" t="str">
        <x:v>Modeled from live base + Sep-2026 quality ratio</x:v>
      </x:c>
      <x:c r="K370" s="67" t="str">
        <x:v>https://www.stonealgo.com/diamond-prices/</x:v>
      </x:c>
      <x:c r="L370" s="67" t="str">
        <x:v>https://www.pricescope.com/blog/natural-diamond-prices-september-2026</x:v>
      </x:c>
    </x:row>
    <x:row r="371">
      <x:c r="A371" t="n">
        <x:v>1</x:v>
      </x:c>
      <x:c r="B371" t="str">
        <x:v>Radiant</x:v>
      </x:c>
      <x:c r="C371" t="str">
        <x:v>J</x:v>
      </x:c>
      <x:c r="D371" t="str">
        <x:v>IF</x:v>
      </x:c>
      <x:c r="E371" s="36" t="n">
        <x:v>2880</x:v>
      </x:c>
      <x:c r="F371" s="36" t="n">
        <x:v>3368</x:v>
      </x:c>
      <x:c r="G371" s="42" t="n">
        <x:v>0.7224367224367224</x:v>
      </x:c>
      <x:c r="H371" s="36" t="n">
        <x:f>E371*G371</x:f>
        <x:v>2080.6177606177607</x:v>
      </x:c>
      <x:c r="I371" s="36" t="n">
        <x:f>IFERROR(H371/A371,0)</x:f>
        <x:v>2080.6177606177607</x:v>
      </x:c>
      <x:c r="J371" s="67" t="str">
        <x:v>Modeled from live base + Sep-2026 quality ratio</x:v>
      </x:c>
      <x:c r="K371" s="67" t="str">
        <x:v>https://www.stonealgo.com/diamond-prices/</x:v>
      </x:c>
      <x:c r="L371" s="67" t="str">
        <x:v>https://www.pricescope.com/blog/natural-diamond-prices-september-2026</x:v>
      </x:c>
    </x:row>
    <x:row r="372">
      <x:c r="A372" t="n">
        <x:v>1</x:v>
      </x:c>
      <x:c r="B372" t="str">
        <x:v>Radiant</x:v>
      </x:c>
      <x:c r="C372" t="str">
        <x:v>J</x:v>
      </x:c>
      <x:c r="D372" t="str">
        <x:v>VVS1</x:v>
      </x:c>
      <x:c r="E372" s="36" t="n">
        <x:v>2880</x:v>
      </x:c>
      <x:c r="F372" s="36" t="n">
        <x:v>2956</x:v>
      </x:c>
      <x:c r="G372" s="42" t="n">
        <x:v>0.6340626340626341</x:v>
      </x:c>
      <x:c r="H372" s="36" t="n">
        <x:f>E372*G372</x:f>
        <x:v>1826.1003861003862</x:v>
      </x:c>
      <x:c r="I372" s="36" t="n">
        <x:f>IFERROR(H372/A372,0)</x:f>
        <x:v>1826.1003861003862</x:v>
      </x:c>
      <x:c r="J372" s="67" t="str">
        <x:v>Modeled from live base + Sep-2026 quality ratio</x:v>
      </x:c>
      <x:c r="K372" s="67" t="str">
        <x:v>https://www.stonealgo.com/diamond-prices/</x:v>
      </x:c>
      <x:c r="L372" s="67" t="str">
        <x:v>https://www.pricescope.com/blog/natural-diamond-prices-september-2026</x:v>
      </x:c>
    </x:row>
    <x:row r="373">
      <x:c r="A373" t="n">
        <x:v>1</x:v>
      </x:c>
      <x:c r="B373" t="str">
        <x:v>Radiant</x:v>
      </x:c>
      <x:c r="C373" t="str">
        <x:v>J</x:v>
      </x:c>
      <x:c r="D373" t="str">
        <x:v>VVS2</x:v>
      </x:c>
      <x:c r="E373" s="36" t="n">
        <x:v>2880</x:v>
      </x:c>
      <x:c r="F373" s="36" t="n">
        <x:v>2612</x:v>
      </x:c>
      <x:c r="G373" s="42" t="n">
        <x:v>0.5602745602745602</x:v>
      </x:c>
      <x:c r="H373" s="36" t="n">
        <x:f>E373*G373</x:f>
        <x:v>1613.5907335907334</x:v>
      </x:c>
      <x:c r="I373" s="36" t="n">
        <x:f>IFERROR(H373/A373,0)</x:f>
        <x:v>1613.5907335907334</x:v>
      </x:c>
      <x:c r="J373" s="67" t="str">
        <x:v>Modeled from live base + Sep-2026 quality ratio</x:v>
      </x:c>
      <x:c r="K373" s="67" t="str">
        <x:v>https://www.stonealgo.com/diamond-prices/</x:v>
      </x:c>
      <x:c r="L373" s="67" t="str">
        <x:v>https://www.pricescope.com/blog/natural-diamond-prices-september-2026</x:v>
      </x:c>
    </x:row>
    <x:row r="374">
      <x:c r="A374" t="n">
        <x:v>1</x:v>
      </x:c>
      <x:c r="B374" t="str">
        <x:v>Radiant</x:v>
      </x:c>
      <x:c r="C374" t="str">
        <x:v>J</x:v>
      </x:c>
      <x:c r="D374" t="str">
        <x:v>VS1</x:v>
      </x:c>
      <x:c r="E374" s="36" t="n">
        <x:v>2880</x:v>
      </x:c>
      <x:c r="F374" s="36" t="n">
        <x:v>3002</x:v>
      </x:c>
      <x:c r="G374" s="42" t="n">
        <x:v>0.6439296439296439</x:v>
      </x:c>
      <x:c r="H374" s="36" t="n">
        <x:f>E374*G374</x:f>
        <x:v>1854.5173745173745</x:v>
      </x:c>
      <x:c r="I374" s="36" t="n">
        <x:f>IFERROR(H374/A374,0)</x:f>
        <x:v>1854.5173745173745</x:v>
      </x:c>
      <x:c r="J374" s="67" t="str">
        <x:v>Modeled from live base + Sep-2026 quality ratio</x:v>
      </x:c>
      <x:c r="K374" s="67" t="str">
        <x:v>https://www.stonealgo.com/diamond-prices/</x:v>
      </x:c>
      <x:c r="L374" s="67" t="str">
        <x:v>https://www.pricescope.com/blog/natural-diamond-prices-september-2026</x:v>
      </x:c>
    </x:row>
    <x:row r="375">
      <x:c r="A375" t="n">
        <x:v>1</x:v>
      </x:c>
      <x:c r="B375" t="str">
        <x:v>Radiant</x:v>
      </x:c>
      <x:c r="C375" t="str">
        <x:v>J</x:v>
      </x:c>
      <x:c r="D375" t="str">
        <x:v>VS2</x:v>
      </x:c>
      <x:c r="E375" s="36" t="n">
        <x:v>2880</x:v>
      </x:c>
      <x:c r="F375" s="36" t="n">
        <x:v>2559</x:v>
      </x:c>
      <x:c r="G375" s="42" t="n">
        <x:v>0.5489060489060489</x:v>
      </x:c>
      <x:c r="H375" s="36" t="n">
        <x:f>E375*G375</x:f>
        <x:v>1580.8494208494208</x:v>
      </x:c>
      <x:c r="I375" s="36" t="n">
        <x:f>IFERROR(H375/A375,0)</x:f>
        <x:v>1580.8494208494208</x:v>
      </x:c>
      <x:c r="J375" s="67" t="str">
        <x:v>Modeled from live base + Sep-2026 quality ratio</x:v>
      </x:c>
      <x:c r="K375" s="67" t="str">
        <x:v>https://www.stonealgo.com/diamond-prices/</x:v>
      </x:c>
      <x:c r="L375" s="67" t="str">
        <x:v>https://www.pricescope.com/blog/natural-diamond-prices-september-2026</x:v>
      </x:c>
    </x:row>
    <x:row r="376">
      <x:c r="A376" t="n">
        <x:v>1</x:v>
      </x:c>
      <x:c r="B376" t="str">
        <x:v>Radiant</x:v>
      </x:c>
      <x:c r="C376" t="str">
        <x:v>J</x:v>
      </x:c>
      <x:c r="D376" t="str">
        <x:v>SI1</x:v>
      </x:c>
      <x:c r="E376" s="36" t="n">
        <x:v>2880</x:v>
      </x:c>
      <x:c r="F376" s="36" t="n">
        <x:v>2195</x:v>
      </x:c>
      <x:c r="G376" s="42" t="n">
        <x:v>0.47082797082797084</x:v>
      </x:c>
      <x:c r="H376" s="36" t="n">
        <x:f>E376*G376</x:f>
        <x:v>1355.984555984556</x:v>
      </x:c>
      <x:c r="I376" s="36" t="n">
        <x:f>IFERROR(H376/A376,0)</x:f>
        <x:v>1355.984555984556</x:v>
      </x:c>
      <x:c r="J376" s="67" t="str">
        <x:v>Modeled from live base + Sep-2026 quality ratio</x:v>
      </x:c>
      <x:c r="K376" s="67" t="str">
        <x:v>https://www.stonealgo.com/diamond-prices/</x:v>
      </x:c>
      <x:c r="L376" s="67" t="str">
        <x:v>https://www.pricescope.com/blog/natural-diamond-prices-september-2026</x:v>
      </x:c>
    </x:row>
    <x:row r="377">
      <x:c r="A377" t="n">
        <x:v>1</x:v>
      </x:c>
      <x:c r="B377" t="str">
        <x:v>Radiant</x:v>
      </x:c>
      <x:c r="C377" t="str">
        <x:v>J</x:v>
      </x:c>
      <x:c r="D377" t="str">
        <x:v>SI2</x:v>
      </x:c>
      <x:c r="E377" s="36" t="n">
        <x:v>2880</x:v>
      </x:c>
      <x:c r="F377" s="36" t="n">
        <x:v>2079</x:v>
      </x:c>
      <x:c r="G377" s="42" t="n">
        <x:v>0.44594594594594594</x:v>
      </x:c>
      <x:c r="H377" s="36" t="n">
        <x:f>E377*G377</x:f>
        <x:v>1284.3243243243244</x:v>
      </x:c>
      <x:c r="I377" s="36" t="n">
        <x:f>IFERROR(H377/A377,0)</x:f>
        <x:v>1284.3243243243244</x:v>
      </x:c>
      <x:c r="J377" s="67" t="str">
        <x:v>Modeled from live base + Sep-2026 quality ratio</x:v>
      </x:c>
      <x:c r="K377" s="67" t="str">
        <x:v>https://www.stonealgo.com/diamond-prices/</x:v>
      </x:c>
      <x:c r="L377" s="67" t="str">
        <x:v>https://www.pricescope.com/blog/natural-diamond-prices-september-2026</x:v>
      </x:c>
    </x:row>
    <x:row r="378">
      <x:c r="A378" t="n">
        <x:v>1</x:v>
      </x:c>
      <x:c r="B378" t="str">
        <x:v>Radiant</x:v>
      </x:c>
      <x:c r="C378" t="str">
        <x:v>K</x:v>
      </x:c>
      <x:c r="D378" t="str">
        <x:v>FL</x:v>
      </x:c>
      <x:c r="E378" s="36" t="n">
        <x:v>2880</x:v>
      </x:c>
      <x:c r="F378" s="36" t="n">
        <x:v>2858</x:v>
      </x:c>
      <x:c r="G378" s="42" t="n">
        <x:v>0.6130416130416131</x:v>
      </x:c>
      <x:c r="H378" s="36" t="n">
        <x:f>E378*G378</x:f>
        <x:v>1765.5598455598456</x:v>
      </x:c>
      <x:c r="I378" s="36" t="n">
        <x:f>IFERROR(H378/A378,0)</x:f>
        <x:v>1765.5598455598456</x:v>
      </x:c>
      <x:c r="J378" s="67" t="str">
        <x:v>Modeled from live base + Sep-2026 quality ratio; K/FL quality cell modeled</x:v>
      </x:c>
      <x:c r="K378" s="67" t="str">
        <x:v>https://www.stonealgo.com/diamond-prices/</x:v>
      </x:c>
      <x:c r="L378" s="67" t="str">
        <x:v>https://www.pricescope.com/blog/natural-diamond-prices-september-2026</x:v>
      </x:c>
    </x:row>
    <x:row r="379">
      <x:c r="A379" t="n">
        <x:v>1</x:v>
      </x:c>
      <x:c r="B379" t="str">
        <x:v>Radiant</x:v>
      </x:c>
      <x:c r="C379" t="str">
        <x:v>K</x:v>
      </x:c>
      <x:c r="D379" t="str">
        <x:v>IF</x:v>
      </x:c>
      <x:c r="E379" s="36" t="n">
        <x:v>2880</x:v>
      </x:c>
      <x:c r="F379" s="36" t="n">
        <x:v>2743</x:v>
      </x:c>
      <x:c r="G379" s="42" t="n">
        <x:v>0.5883740883740883</x:v>
      </x:c>
      <x:c r="H379" s="36" t="n">
        <x:f>E379*G379</x:f>
        <x:v>1694.5173745173745</x:v>
      </x:c>
      <x:c r="I379" s="36" t="n">
        <x:f>IFERROR(H379/A379,0)</x:f>
        <x:v>1694.5173745173745</x:v>
      </x:c>
      <x:c r="J379" s="67" t="str">
        <x:v>Modeled from live base + Sep-2026 quality ratio</x:v>
      </x:c>
      <x:c r="K379" s="67" t="str">
        <x:v>https://www.stonealgo.com/diamond-prices/</x:v>
      </x:c>
      <x:c r="L379" s="67" t="str">
        <x:v>https://www.pricescope.com/blog/natural-diamond-prices-september-2026</x:v>
      </x:c>
    </x:row>
    <x:row r="380">
      <x:c r="A380" t="n">
        <x:v>1</x:v>
      </x:c>
      <x:c r="B380" t="str">
        <x:v>Radiant</x:v>
      </x:c>
      <x:c r="C380" t="str">
        <x:v>K</x:v>
      </x:c>
      <x:c r="D380" t="str">
        <x:v>VVS1</x:v>
      </x:c>
      <x:c r="E380" s="36" t="n">
        <x:v>2880</x:v>
      </x:c>
      <x:c r="F380" s="36" t="n">
        <x:v>2529</x:v>
      </x:c>
      <x:c r="G380" s="42" t="n">
        <x:v>0.5424710424710425</x:v>
      </x:c>
      <x:c r="H380" s="36" t="n">
        <x:f>E380*G380</x:f>
        <x:v>1562.3166023166025</x:v>
      </x:c>
      <x:c r="I380" s="36" t="n">
        <x:f>IFERROR(H380/A380,0)</x:f>
        <x:v>1562.3166023166025</x:v>
      </x:c>
      <x:c r="J380" s="67" t="str">
        <x:v>Modeled from live base + Sep-2026 quality ratio</x:v>
      </x:c>
      <x:c r="K380" s="67" t="str">
        <x:v>https://www.stonealgo.com/diamond-prices/</x:v>
      </x:c>
      <x:c r="L380" s="67" t="str">
        <x:v>https://www.pricescope.com/blog/natural-diamond-prices-september-2026</x:v>
      </x:c>
    </x:row>
    <x:row r="381">
      <x:c r="A381" t="n">
        <x:v>1</x:v>
      </x:c>
      <x:c r="B381" t="str">
        <x:v>Radiant</x:v>
      </x:c>
      <x:c r="C381" t="str">
        <x:v>K</x:v>
      </x:c>
      <x:c r="D381" t="str">
        <x:v>VVS2</x:v>
      </x:c>
      <x:c r="E381" s="36" t="n">
        <x:v>2880</x:v>
      </x:c>
      <x:c r="F381" s="36" t="n">
        <x:v>2374</x:v>
      </x:c>
      <x:c r="G381" s="42" t="n">
        <x:v>0.5092235092235092</x:v>
      </x:c>
      <x:c r="H381" s="36" t="n">
        <x:f>E381*G381</x:f>
        <x:v>1466.5637065637065</x:v>
      </x:c>
      <x:c r="I381" s="36" t="n">
        <x:f>IFERROR(H381/A381,0)</x:f>
        <x:v>1466.5637065637065</x:v>
      </x:c>
      <x:c r="J381" s="67" t="str">
        <x:v>Modeled from live base + Sep-2026 quality ratio</x:v>
      </x:c>
      <x:c r="K381" s="67" t="str">
        <x:v>https://www.stonealgo.com/diamond-prices/</x:v>
      </x:c>
      <x:c r="L381" s="67" t="str">
        <x:v>https://www.pricescope.com/blog/natural-diamond-prices-september-2026</x:v>
      </x:c>
    </x:row>
    <x:row r="382">
      <x:c r="A382" t="n">
        <x:v>1</x:v>
      </x:c>
      <x:c r="B382" t="str">
        <x:v>Radiant</x:v>
      </x:c>
      <x:c r="C382" t="str">
        <x:v>K</x:v>
      </x:c>
      <x:c r="D382" t="str">
        <x:v>VS1</x:v>
      </x:c>
      <x:c r="E382" s="36" t="n">
        <x:v>2880</x:v>
      </x:c>
      <x:c r="F382" s="36" t="n">
        <x:v>2223</x:v>
      </x:c>
      <x:c r="G382" s="42" t="n">
        <x:v>0.4768339768339768</x:v>
      </x:c>
      <x:c r="H382" s="36" t="n">
        <x:f>E382*G382</x:f>
        <x:v>1373.2818532818533</x:v>
      </x:c>
      <x:c r="I382" s="36" t="n">
        <x:f>IFERROR(H382/A382,0)</x:f>
        <x:v>1373.2818532818533</x:v>
      </x:c>
      <x:c r="J382" s="67" t="str">
        <x:v>Modeled from live base + Sep-2026 quality ratio</x:v>
      </x:c>
      <x:c r="K382" s="67" t="str">
        <x:v>https://www.stonealgo.com/diamond-prices/</x:v>
      </x:c>
      <x:c r="L382" s="67" t="str">
        <x:v>https://www.pricescope.com/blog/natural-diamond-prices-september-2026</x:v>
      </x:c>
    </x:row>
    <x:row r="383">
      <x:c r="A383" t="n">
        <x:v>1</x:v>
      </x:c>
      <x:c r="B383" t="str">
        <x:v>Radiant</x:v>
      </x:c>
      <x:c r="C383" t="str">
        <x:v>K</x:v>
      </x:c>
      <x:c r="D383" t="str">
        <x:v>VS2</x:v>
      </x:c>
      <x:c r="E383" s="36" t="n">
        <x:v>2880</x:v>
      </x:c>
      <x:c r="F383" s="36" t="n">
        <x:v>2098</x:v>
      </x:c>
      <x:c r="G383" s="42" t="n">
        <x:v>0.45002145002145</x:v>
      </x:c>
      <x:c r="H383" s="36" t="n">
        <x:f>E383*G383</x:f>
        <x:v>1296.061776061776</x:v>
      </x:c>
      <x:c r="I383" s="36" t="n">
        <x:f>IFERROR(H383/A383,0)</x:f>
        <x:v>1296.061776061776</x:v>
      </x:c>
      <x:c r="J383" s="67" t="str">
        <x:v>Modeled from live base + Sep-2026 quality ratio</x:v>
      </x:c>
      <x:c r="K383" s="67" t="str">
        <x:v>https://www.stonealgo.com/diamond-prices/</x:v>
      </x:c>
      <x:c r="L383" s="67" t="str">
        <x:v>https://www.pricescope.com/blog/natural-diamond-prices-september-2026</x:v>
      </x:c>
    </x:row>
    <x:row r="384">
      <x:c r="A384" t="n">
        <x:v>1</x:v>
      </x:c>
      <x:c r="B384" t="str">
        <x:v>Radiant</x:v>
      </x:c>
      <x:c r="C384" t="str">
        <x:v>K</x:v>
      </x:c>
      <x:c r="D384" t="str">
        <x:v>SI1</x:v>
      </x:c>
      <x:c r="E384" s="36" t="n">
        <x:v>2880</x:v>
      </x:c>
      <x:c r="F384" s="36" t="n">
        <x:v>1922</x:v>
      </x:c>
      <x:c r="G384" s="42" t="n">
        <x:v>0.41226941226941227</x:v>
      </x:c>
      <x:c r="H384" s="36" t="n">
        <x:f>E384*G384</x:f>
        <x:v>1187.3359073359075</x:v>
      </x:c>
      <x:c r="I384" s="36" t="n">
        <x:f>IFERROR(H384/A384,0)</x:f>
        <x:v>1187.3359073359075</x:v>
      </x:c>
      <x:c r="J384" s="67" t="str">
        <x:v>Modeled from live base + Sep-2026 quality ratio</x:v>
      </x:c>
      <x:c r="K384" s="67" t="str">
        <x:v>https://www.stonealgo.com/diamond-prices/</x:v>
      </x:c>
      <x:c r="L384" s="67" t="str">
        <x:v>https://www.pricescope.com/blog/natural-diamond-prices-september-2026</x:v>
      </x:c>
    </x:row>
    <x:row r="385">
      <x:c r="A385" t="n">
        <x:v>1</x:v>
      </x:c>
      <x:c r="B385" t="str">
        <x:v>Radiant</x:v>
      </x:c>
      <x:c r="C385" t="str">
        <x:v>K</x:v>
      </x:c>
      <x:c r="D385" t="str">
        <x:v>SI2</x:v>
      </x:c>
      <x:c r="E385" s="36" t="n">
        <x:v>2880</x:v>
      </x:c>
      <x:c r="F385" s="36" t="n">
        <x:v>1764</x:v>
      </x:c>
      <x:c r="G385" s="42" t="n">
        <x:v>0.3783783783783784</x:v>
      </x:c>
      <x:c r="H385" s="36" t="n">
        <x:f>E385*G385</x:f>
        <x:v>1089.7297297297298</x:v>
      </x:c>
      <x:c r="I385" s="36" t="n">
        <x:f>IFERROR(H385/A385,0)</x:f>
        <x:v>1089.7297297297298</x:v>
      </x:c>
      <x:c r="J385" s="67" t="str">
        <x:v>Modeled from live base + Sep-2026 quality ratio</x:v>
      </x:c>
      <x:c r="K385" s="67" t="str">
        <x:v>https://www.stonealgo.com/diamond-prices/</x:v>
      </x:c>
      <x:c r="L385" s="67" t="str">
        <x:v>https://www.pricescope.com/blog/natural-diamond-prices-september-2026</x:v>
      </x:c>
    </x:row>
    <x:row r="386">
      <x:c r="A386" t="n">
        <x:v>1</x:v>
      </x:c>
      <x:c r="B386" t="str">
        <x:v>Pear</x:v>
      </x:c>
      <x:c r="C386" t="str">
        <x:v>D</x:v>
      </x:c>
      <x:c r="D386" t="str">
        <x:v>FL</x:v>
      </x:c>
      <x:c r="E386" s="36" t="n">
        <x:v>3749</x:v>
      </x:c>
      <x:c r="F386" s="36" t="n">
        <x:v>12665</x:v>
      </x:c>
      <x:c r="G386" s="42" t="n">
        <x:v>2.7166452166452166</x:v>
      </x:c>
      <x:c r="H386" s="36" t="n">
        <x:f>E386*G386</x:f>
        <x:v>10184.702917202918</x:v>
      </x:c>
      <x:c r="I386" s="36" t="n">
        <x:f>IFERROR(H386/A386,0)</x:f>
        <x:v>10184.702917202918</x:v>
      </x:c>
      <x:c r="J386" s="67" t="str">
        <x:v>Modeled from live base + Sep-2026 quality ratio</x:v>
      </x:c>
      <x:c r="K386" s="67" t="str">
        <x:v>https://www.stonealgo.com/diamond-prices/</x:v>
      </x:c>
      <x:c r="L386" s="67" t="str">
        <x:v>https://www.pricescope.com/blog/natural-diamond-prices-september-2026</x:v>
      </x:c>
    </x:row>
    <x:row r="387">
      <x:c r="A387" t="n">
        <x:v>1</x:v>
      </x:c>
      <x:c r="B387" t="str">
        <x:v>Pear</x:v>
      </x:c>
      <x:c r="C387" t="str">
        <x:v>D</x:v>
      </x:c>
      <x:c r="D387" t="str">
        <x:v>IF</x:v>
      </x:c>
      <x:c r="E387" s="36" t="n">
        <x:v>3749</x:v>
      </x:c>
      <x:c r="F387" s="36" t="n">
        <x:v>13240</x:v>
      </x:c>
      <x:c r="G387" s="42" t="n">
        <x:v>2.83998283998284</x:v>
      </x:c>
      <x:c r="H387" s="36" t="n">
        <x:f>E387*G387</x:f>
        <x:v>10647.095667095668</x:v>
      </x:c>
      <x:c r="I387" s="36" t="n">
        <x:f>IFERROR(H387/A387,0)</x:f>
        <x:v>10647.095667095668</x:v>
      </x:c>
      <x:c r="J387" s="67" t="str">
        <x:v>Modeled from live base + Sep-2026 quality ratio</x:v>
      </x:c>
      <x:c r="K387" s="67" t="str">
        <x:v>https://www.stonealgo.com/diamond-prices/</x:v>
      </x:c>
      <x:c r="L387" s="67" t="str">
        <x:v>https://www.pricescope.com/blog/natural-diamond-prices-september-2026</x:v>
      </x:c>
    </x:row>
    <x:row r="388">
      <x:c r="A388" t="n">
        <x:v>1</x:v>
      </x:c>
      <x:c r="B388" t="str">
        <x:v>Pear</x:v>
      </x:c>
      <x:c r="C388" t="str">
        <x:v>D</x:v>
      </x:c>
      <x:c r="D388" t="str">
        <x:v>VVS1</x:v>
      </x:c>
      <x:c r="E388" s="36" t="n">
        <x:v>3749</x:v>
      </x:c>
      <x:c r="F388" s="36" t="n">
        <x:v>9555</x:v>
      </x:c>
      <x:c r="G388" s="42" t="n">
        <x:v>2.0495495495495497</x:v>
      </x:c>
      <x:c r="H388" s="36" t="n">
        <x:f>E388*G388</x:f>
        <x:v>7683.761261261262</x:v>
      </x:c>
      <x:c r="I388" s="36" t="n">
        <x:f>IFERROR(H388/A388,0)</x:f>
        <x:v>7683.761261261262</x:v>
      </x:c>
      <x:c r="J388" s="67" t="str">
        <x:v>Modeled from live base + Sep-2026 quality ratio</x:v>
      </x:c>
      <x:c r="K388" s="67" t="str">
        <x:v>https://www.stonealgo.com/diamond-prices/</x:v>
      </x:c>
      <x:c r="L388" s="67" t="str">
        <x:v>https://www.pricescope.com/blog/natural-diamond-prices-september-2026</x:v>
      </x:c>
    </x:row>
    <x:row r="389">
      <x:c r="A389" t="n">
        <x:v>1</x:v>
      </x:c>
      <x:c r="B389" t="str">
        <x:v>Pear</x:v>
      </x:c>
      <x:c r="C389" t="str">
        <x:v>D</x:v>
      </x:c>
      <x:c r="D389" t="str">
        <x:v>VVS2</x:v>
      </x:c>
      <x:c r="E389" s="36" t="n">
        <x:v>3749</x:v>
      </x:c>
      <x:c r="F389" s="36" t="n">
        <x:v>6660</x:v>
      </x:c>
      <x:c r="G389" s="42" t="n">
        <x:v>1.4285714285714286</x:v>
      </x:c>
      <x:c r="H389" s="36" t="n">
        <x:f>E389*G389</x:f>
        <x:v>5355.714285714286</x:v>
      </x:c>
      <x:c r="I389" s="36" t="n">
        <x:f>IFERROR(H389/A389,0)</x:f>
        <x:v>5355.714285714286</x:v>
      </x:c>
      <x:c r="J389" s="67" t="str">
        <x:v>Modeled from live base + Sep-2026 quality ratio</x:v>
      </x:c>
      <x:c r="K389" s="67" t="str">
        <x:v>https://www.stonealgo.com/diamond-prices/</x:v>
      </x:c>
      <x:c r="L389" s="67" t="str">
        <x:v>https://www.pricescope.com/blog/natural-diamond-prices-september-2026</x:v>
      </x:c>
    </x:row>
    <x:row r="390">
      <x:c r="A390" t="n">
        <x:v>1</x:v>
      </x:c>
      <x:c r="B390" t="str">
        <x:v>Pear</x:v>
      </x:c>
      <x:c r="C390" t="str">
        <x:v>D</x:v>
      </x:c>
      <x:c r="D390" t="str">
        <x:v>VS1</x:v>
      </x:c>
      <x:c r="E390" s="36" t="n">
        <x:v>3749</x:v>
      </x:c>
      <x:c r="F390" s="36" t="n">
        <x:v>6247</x:v>
      </x:c>
      <x:c r="G390" s="42" t="n">
        <x:v>1.33998283998284</x:v>
      </x:c>
      <x:c r="H390" s="36" t="n">
        <x:f>E390*G390</x:f>
        <x:v>5023.595667095667</x:v>
      </x:c>
      <x:c r="I390" s="36" t="n">
        <x:f>IFERROR(H390/A390,0)</x:f>
        <x:v>5023.595667095667</x:v>
      </x:c>
      <x:c r="J390" s="67" t="str">
        <x:v>Modeled from live base + Sep-2026 quality ratio</x:v>
      </x:c>
      <x:c r="K390" s="67" t="str">
        <x:v>https://www.stonealgo.com/diamond-prices/</x:v>
      </x:c>
      <x:c r="L390" s="67" t="str">
        <x:v>https://www.pricescope.com/blog/natural-diamond-prices-september-2026</x:v>
      </x:c>
    </x:row>
    <x:row r="391">
      <x:c r="A391" t="n">
        <x:v>1</x:v>
      </x:c>
      <x:c r="B391" t="str">
        <x:v>Pear</x:v>
      </x:c>
      <x:c r="C391" t="str">
        <x:v>D</x:v>
      </x:c>
      <x:c r="D391" t="str">
        <x:v>VS2</x:v>
      </x:c>
      <x:c r="E391" s="36" t="n">
        <x:v>3749</x:v>
      </x:c>
      <x:c r="F391" s="36" t="n">
        <x:v>5841</x:v>
      </x:c>
      <x:c r="G391" s="42" t="n">
        <x:v>1.252895752895753</x:v>
      </x:c>
      <x:c r="H391" s="36" t="n">
        <x:f>E391*G391</x:f>
        <x:v>4697.106177606178</x:v>
      </x:c>
      <x:c r="I391" s="36" t="n">
        <x:f>IFERROR(H391/A391,0)</x:f>
        <x:v>4697.106177606178</x:v>
      </x:c>
      <x:c r="J391" s="67" t="str">
        <x:v>Modeled from live base + Sep-2026 quality ratio</x:v>
      </x:c>
      <x:c r="K391" s="67" t="str">
        <x:v>https://www.stonealgo.com/diamond-prices/</x:v>
      </x:c>
      <x:c r="L391" s="67" t="str">
        <x:v>https://www.pricescope.com/blog/natural-diamond-prices-september-2026</x:v>
      </x:c>
    </x:row>
    <x:row r="392">
      <x:c r="A392" t="n">
        <x:v>1</x:v>
      </x:c>
      <x:c r="B392" t="str">
        <x:v>Pear</x:v>
      </x:c>
      <x:c r="C392" t="str">
        <x:v>D</x:v>
      </x:c>
      <x:c r="D392" t="str">
        <x:v>SI1</x:v>
      </x:c>
      <x:c r="E392" s="36" t="n">
        <x:v>3749</x:v>
      </x:c>
      <x:c r="F392" s="36" t="n">
        <x:v>3762</x:v>
      </x:c>
      <x:c r="G392" s="42" t="n">
        <x:v>0.806949806949807</x:v>
      </x:c>
      <x:c r="H392" s="36" t="n">
        <x:f>E392*G392</x:f>
        <x:v>3025.2548262548266</x:v>
      </x:c>
      <x:c r="I392" s="36" t="n">
        <x:f>IFERROR(H392/A392,0)</x:f>
        <x:v>3025.2548262548266</x:v>
      </x:c>
      <x:c r="J392" s="67" t="str">
        <x:v>Modeled from live base + Sep-2026 quality ratio</x:v>
      </x:c>
      <x:c r="K392" s="67" t="str">
        <x:v>https://www.stonealgo.com/diamond-prices/</x:v>
      </x:c>
      <x:c r="L392" s="67" t="str">
        <x:v>https://www.pricescope.com/blog/natural-diamond-prices-september-2026</x:v>
      </x:c>
    </x:row>
    <x:row r="393">
      <x:c r="A393" t="n">
        <x:v>1</x:v>
      </x:c>
      <x:c r="B393" t="str">
        <x:v>Pear</x:v>
      </x:c>
      <x:c r="C393" t="str">
        <x:v>D</x:v>
      </x:c>
      <x:c r="D393" t="str">
        <x:v>SI2</x:v>
      </x:c>
      <x:c r="E393" s="36" t="n">
        <x:v>3749</x:v>
      </x:c>
      <x:c r="F393" s="36" t="n">
        <x:v>3026</x:v>
      </x:c>
      <x:c r="G393" s="42" t="n">
        <x:v>0.6490776490776491</x:v>
      </x:c>
      <x:c r="H393" s="36" t="n">
        <x:f>E393*G393</x:f>
        <x:v>2433.3921063921066</x:v>
      </x:c>
      <x:c r="I393" s="36" t="n">
        <x:f>IFERROR(H393/A393,0)</x:f>
        <x:v>2433.3921063921066</x:v>
      </x:c>
      <x:c r="J393" s="67" t="str">
        <x:v>Modeled from live base + Sep-2026 quality ratio</x:v>
      </x:c>
      <x:c r="K393" s="67" t="str">
        <x:v>https://www.stonealgo.com/diamond-prices/</x:v>
      </x:c>
      <x:c r="L393" s="67" t="str">
        <x:v>https://www.pricescope.com/blog/natural-diamond-prices-september-2026</x:v>
      </x:c>
    </x:row>
    <x:row r="394">
      <x:c r="A394" t="n">
        <x:v>1</x:v>
      </x:c>
      <x:c r="B394" t="str">
        <x:v>Pear</x:v>
      </x:c>
      <x:c r="C394" t="str">
        <x:v>E</x:v>
      </x:c>
      <x:c r="D394" t="str">
        <x:v>FL</x:v>
      </x:c>
      <x:c r="E394" s="36" t="n">
        <x:v>3749</x:v>
      </x:c>
      <x:c r="F394" s="36" t="n">
        <x:v>10072</x:v>
      </x:c>
      <x:c r="G394" s="42" t="n">
        <x:v>2.1604461604461602</x:v>
      </x:c>
      <x:c r="H394" s="36" t="n">
        <x:f>E394*G394</x:f>
        <x:v>8099.512655512654</x:v>
      </x:c>
      <x:c r="I394" s="36" t="n">
        <x:f>IFERROR(H394/A394,0)</x:f>
        <x:v>8099.512655512654</x:v>
      </x:c>
      <x:c r="J394" s="67" t="str">
        <x:v>Modeled from live base + Sep-2026 quality ratio</x:v>
      </x:c>
      <x:c r="K394" s="67" t="str">
        <x:v>https://www.stonealgo.com/diamond-prices/</x:v>
      </x:c>
      <x:c r="L394" s="67" t="str">
        <x:v>https://www.pricescope.com/blog/natural-diamond-prices-september-2026</x:v>
      </x:c>
    </x:row>
    <x:row r="395">
      <x:c r="A395" t="n">
        <x:v>1</x:v>
      </x:c>
      <x:c r="B395" t="str">
        <x:v>Pear</x:v>
      </x:c>
      <x:c r="C395" t="str">
        <x:v>E</x:v>
      </x:c>
      <x:c r="D395" t="str">
        <x:v>IF</x:v>
      </x:c>
      <x:c r="E395" s="36" t="n">
        <x:v>3749</x:v>
      </x:c>
      <x:c r="F395" s="36" t="n">
        <x:v>8672</x:v>
      </x:c>
      <x:c r="G395" s="42" t="n">
        <x:v>1.8601458601458603</x:v>
      </x:c>
      <x:c r="H395" s="36" t="n">
        <x:f>E395*G395</x:f>
        <x:v>6973.68682968683</x:v>
      </x:c>
      <x:c r="I395" s="36" t="n">
        <x:f>IFERROR(H395/A395,0)</x:f>
        <x:v>6973.68682968683</x:v>
      </x:c>
      <x:c r="J395" s="67" t="str">
        <x:v>Modeled from live base + Sep-2026 quality ratio</x:v>
      </x:c>
      <x:c r="K395" s="67" t="str">
        <x:v>https://www.stonealgo.com/diamond-prices/</x:v>
      </x:c>
      <x:c r="L395" s="67" t="str">
        <x:v>https://www.pricescope.com/blog/natural-diamond-prices-september-2026</x:v>
      </x:c>
    </x:row>
    <x:row r="396">
      <x:c r="A396" t="n">
        <x:v>1</x:v>
      </x:c>
      <x:c r="B396" t="str">
        <x:v>Pear</x:v>
      </x:c>
      <x:c r="C396" t="str">
        <x:v>E</x:v>
      </x:c>
      <x:c r="D396" t="str">
        <x:v>VVS1</x:v>
      </x:c>
      <x:c r="E396" s="36" t="n">
        <x:v>3749</x:v>
      </x:c>
      <x:c r="F396" s="36" t="n">
        <x:v>7842</x:v>
      </x:c>
      <x:c r="G396" s="42" t="n">
        <x:v>1.6821106821106822</x:v>
      </x:c>
      <x:c r="H396" s="36" t="n">
        <x:f>E396*G396</x:f>
        <x:v>6306.2329472329475</x:v>
      </x:c>
      <x:c r="I396" s="36" t="n">
        <x:f>IFERROR(H396/A396,0)</x:f>
        <x:v>6306.2329472329475</x:v>
      </x:c>
      <x:c r="J396" s="67" t="str">
        <x:v>Modeled from live base + Sep-2026 quality ratio</x:v>
      </x:c>
      <x:c r="K396" s="67" t="str">
        <x:v>https://www.stonealgo.com/diamond-prices/</x:v>
      </x:c>
      <x:c r="L396" s="67" t="str">
        <x:v>https://www.pricescope.com/blog/natural-diamond-prices-september-2026</x:v>
      </x:c>
    </x:row>
    <x:row r="397">
      <x:c r="A397" t="n">
        <x:v>1</x:v>
      </x:c>
      <x:c r="B397" t="str">
        <x:v>Pear</x:v>
      </x:c>
      <x:c r="C397" t="str">
        <x:v>E</x:v>
      </x:c>
      <x:c r="D397" t="str">
        <x:v>VVS2</x:v>
      </x:c>
      <x:c r="E397" s="36" t="n">
        <x:v>3749</x:v>
      </x:c>
      <x:c r="F397" s="36" t="n">
        <x:v>6880</x:v>
      </x:c>
      <x:c r="G397" s="42" t="n">
        <x:v>1.4757614757614759</x:v>
      </x:c>
      <x:c r="H397" s="36" t="n">
        <x:f>E397*G397</x:f>
        <x:v>5532.6297726297735</x:v>
      </x:c>
      <x:c r="I397" s="36" t="n">
        <x:f>IFERROR(H397/A397,0)</x:f>
        <x:v>5532.6297726297735</x:v>
      </x:c>
      <x:c r="J397" s="67" t="str">
        <x:v>Modeled from live base + Sep-2026 quality ratio</x:v>
      </x:c>
      <x:c r="K397" s="67" t="str">
        <x:v>https://www.stonealgo.com/diamond-prices/</x:v>
      </x:c>
      <x:c r="L397" s="67" t="str">
        <x:v>https://www.pricescope.com/blog/natural-diamond-prices-september-2026</x:v>
      </x:c>
    </x:row>
    <x:row r="398">
      <x:c r="A398" t="n">
        <x:v>1</x:v>
      </x:c>
      <x:c r="B398" t="str">
        <x:v>Pear</x:v>
      </x:c>
      <x:c r="C398" t="str">
        <x:v>E</x:v>
      </x:c>
      <x:c r="D398" t="str">
        <x:v>VS1</x:v>
      </x:c>
      <x:c r="E398" s="36" t="n">
        <x:v>3749</x:v>
      </x:c>
      <x:c r="F398" s="36" t="n">
        <x:v>6307</x:v>
      </x:c>
      <x:c r="G398" s="42" t="n">
        <x:v>1.352852852852853</x:v>
      </x:c>
      <x:c r="H398" s="36" t="n">
        <x:f>E398*G398</x:f>
        <x:v>5071.845345345346</x:v>
      </x:c>
      <x:c r="I398" s="36" t="n">
        <x:f>IFERROR(H398/A398,0)</x:f>
        <x:v>5071.845345345346</x:v>
      </x:c>
      <x:c r="J398" s="67" t="str">
        <x:v>Modeled from live base + Sep-2026 quality ratio</x:v>
      </x:c>
      <x:c r="K398" s="67" t="str">
        <x:v>https://www.stonealgo.com/diamond-prices/</x:v>
      </x:c>
      <x:c r="L398" s="67" t="str">
        <x:v>https://www.pricescope.com/blog/natural-diamond-prices-september-2026</x:v>
      </x:c>
    </x:row>
    <x:row r="399">
      <x:c r="A399" t="n">
        <x:v>1</x:v>
      </x:c>
      <x:c r="B399" t="str">
        <x:v>Pear</x:v>
      </x:c>
      <x:c r="C399" t="str">
        <x:v>E</x:v>
      </x:c>
      <x:c r="D399" t="str">
        <x:v>VS2</x:v>
      </x:c>
      <x:c r="E399" s="36" t="n">
        <x:v>3749</x:v>
      </x:c>
      <x:c r="F399" s="36" t="n">
        <x:v>5249</x:v>
      </x:c>
      <x:c r="G399" s="42" t="n">
        <x:v>1.125911625911626</x:v>
      </x:c>
      <x:c r="H399" s="36" t="n">
        <x:f>E399*G399</x:f>
        <x:v>4221.042685542686</x:v>
      </x:c>
      <x:c r="I399" s="36" t="n">
        <x:f>IFERROR(H399/A399,0)</x:f>
        <x:v>4221.042685542686</x:v>
      </x:c>
      <x:c r="J399" s="67" t="str">
        <x:v>Modeled from live base + Sep-2026 quality ratio</x:v>
      </x:c>
      <x:c r="K399" s="67" t="str">
        <x:v>https://www.stonealgo.com/diamond-prices/</x:v>
      </x:c>
      <x:c r="L399" s="67" t="str">
        <x:v>https://www.pricescope.com/blog/natural-diamond-prices-september-2026</x:v>
      </x:c>
    </x:row>
    <x:row r="400">
      <x:c r="A400" t="n">
        <x:v>1</x:v>
      </x:c>
      <x:c r="B400" t="str">
        <x:v>Pear</x:v>
      </x:c>
      <x:c r="C400" t="str">
        <x:v>E</x:v>
      </x:c>
      <x:c r="D400" t="str">
        <x:v>SI1</x:v>
      </x:c>
      <x:c r="E400" s="36" t="n">
        <x:v>3749</x:v>
      </x:c>
      <x:c r="F400" s="36" t="n">
        <x:v>3551</x:v>
      </x:c>
      <x:c r="G400" s="42" t="n">
        <x:v>0.7616902616902617</x:v>
      </x:c>
      <x:c r="H400" s="36" t="n">
        <x:f>E400*G400</x:f>
        <x:v>2855.576791076791</x:v>
      </x:c>
      <x:c r="I400" s="36" t="n">
        <x:f>IFERROR(H400/A400,0)</x:f>
        <x:v>2855.576791076791</x:v>
      </x:c>
      <x:c r="J400" s="67" t="str">
        <x:v>Modeled from live base + Sep-2026 quality ratio</x:v>
      </x:c>
      <x:c r="K400" s="67" t="str">
        <x:v>https://www.stonealgo.com/diamond-prices/</x:v>
      </x:c>
      <x:c r="L400" s="67" t="str">
        <x:v>https://www.pricescope.com/blog/natural-diamond-prices-september-2026</x:v>
      </x:c>
    </x:row>
    <x:row r="401">
      <x:c r="A401" t="n">
        <x:v>1</x:v>
      </x:c>
      <x:c r="B401" t="str">
        <x:v>Pear</x:v>
      </x:c>
      <x:c r="C401" t="str">
        <x:v>E</x:v>
      </x:c>
      <x:c r="D401" t="str">
        <x:v>SI2</x:v>
      </x:c>
      <x:c r="E401" s="36" t="n">
        <x:v>3749</x:v>
      </x:c>
      <x:c r="F401" s="36" t="n">
        <x:v>2993</x:v>
      </x:c>
      <x:c r="G401" s="42" t="n">
        <x:v>0.641999141999142</x:v>
      </x:c>
      <x:c r="H401" s="36" t="n">
        <x:f>E401*G401</x:f>
        <x:v>2406.854783354783</x:v>
      </x:c>
      <x:c r="I401" s="36" t="n">
        <x:f>IFERROR(H401/A401,0)</x:f>
        <x:v>2406.854783354783</x:v>
      </x:c>
      <x:c r="J401" s="67" t="str">
        <x:v>Modeled from live base + Sep-2026 quality ratio</x:v>
      </x:c>
      <x:c r="K401" s="67" t="str">
        <x:v>https://www.stonealgo.com/diamond-prices/</x:v>
      </x:c>
      <x:c r="L401" s="67" t="str">
        <x:v>https://www.pricescope.com/blog/natural-diamond-prices-september-2026</x:v>
      </x:c>
    </x:row>
    <x:row r="402">
      <x:c r="A402" t="n">
        <x:v>1</x:v>
      </x:c>
      <x:c r="B402" t="str">
        <x:v>Pear</x:v>
      </x:c>
      <x:c r="C402" t="str">
        <x:v>F</x:v>
      </x:c>
      <x:c r="D402" t="str">
        <x:v>FL</x:v>
      </x:c>
      <x:c r="E402" s="36" t="n">
        <x:v>3749</x:v>
      </x:c>
      <x:c r="F402" s="36" t="n">
        <x:v>6830</x:v>
      </x:c>
      <x:c r="G402" s="42" t="n">
        <x:v>1.4650364650364651</x:v>
      </x:c>
      <x:c r="H402" s="36" t="n">
        <x:f>E402*G402</x:f>
        <x:v>5492.421707421708</x:v>
      </x:c>
      <x:c r="I402" s="36" t="n">
        <x:f>IFERROR(H402/A402,0)</x:f>
        <x:v>5492.421707421708</x:v>
      </x:c>
      <x:c r="J402" s="67" t="str">
        <x:v>Modeled from live base + Sep-2026 quality ratio</x:v>
      </x:c>
      <x:c r="K402" s="67" t="str">
        <x:v>https://www.stonealgo.com/diamond-prices/</x:v>
      </x:c>
      <x:c r="L402" s="67" t="str">
        <x:v>https://www.pricescope.com/blog/natural-diamond-prices-september-2026</x:v>
      </x:c>
    </x:row>
    <x:row r="403">
      <x:c r="A403" t="n">
        <x:v>1</x:v>
      </x:c>
      <x:c r="B403" t="str">
        <x:v>Pear</x:v>
      </x:c>
      <x:c r="C403" t="str">
        <x:v>F</x:v>
      </x:c>
      <x:c r="D403" t="str">
        <x:v>IF</x:v>
      </x:c>
      <x:c r="E403" s="36" t="n">
        <x:v>3749</x:v>
      </x:c>
      <x:c r="F403" s="36" t="n">
        <x:v>7302</x:v>
      </x:c>
      <x:c r="G403" s="42" t="n">
        <x:v>1.5662805662805663</x:v>
      </x:c>
      <x:c r="H403" s="36" t="n">
        <x:f>E403*G403</x:f>
        <x:v>5871.985842985843</x:v>
      </x:c>
      <x:c r="I403" s="36" t="n">
        <x:f>IFERROR(H403/A403,0)</x:f>
        <x:v>5871.985842985843</x:v>
      </x:c>
      <x:c r="J403" s="67" t="str">
        <x:v>Modeled from live base + Sep-2026 quality ratio</x:v>
      </x:c>
      <x:c r="K403" s="67" t="str">
        <x:v>https://www.stonealgo.com/diamond-prices/</x:v>
      </x:c>
      <x:c r="L403" s="67" t="str">
        <x:v>https://www.pricescope.com/blog/natural-diamond-prices-september-2026</x:v>
      </x:c>
    </x:row>
    <x:row r="404">
      <x:c r="A404" t="n">
        <x:v>1</x:v>
      </x:c>
      <x:c r="B404" t="str">
        <x:v>Pear</x:v>
      </x:c>
      <x:c r="C404" t="str">
        <x:v>F</x:v>
      </x:c>
      <x:c r="D404" t="str">
        <x:v>VVS1</x:v>
      </x:c>
      <x:c r="E404" s="36" t="n">
        <x:v>3749</x:v>
      </x:c>
      <x:c r="F404" s="36" t="n">
        <x:v>7542</x:v>
      </x:c>
      <x:c r="G404" s="42" t="n">
        <x:v>1.6177606177606179</x:v>
      </x:c>
      <x:c r="H404" s="36" t="n">
        <x:f>E404*G404</x:f>
        <x:v>6064.984555984556</x:v>
      </x:c>
      <x:c r="I404" s="36" t="n">
        <x:f>IFERROR(H404/A404,0)</x:f>
        <x:v>6064.984555984556</x:v>
      </x:c>
      <x:c r="J404" s="67" t="str">
        <x:v>Modeled from live base + Sep-2026 quality ratio</x:v>
      </x:c>
      <x:c r="K404" s="67" t="str">
        <x:v>https://www.stonealgo.com/diamond-prices/</x:v>
      </x:c>
      <x:c r="L404" s="67" t="str">
        <x:v>https://www.pricescope.com/blog/natural-diamond-prices-september-2026</x:v>
      </x:c>
    </x:row>
    <x:row r="405">
      <x:c r="A405" t="n">
        <x:v>1</x:v>
      </x:c>
      <x:c r="B405" t="str">
        <x:v>Pear</x:v>
      </x:c>
      <x:c r="C405" t="str">
        <x:v>F</x:v>
      </x:c>
      <x:c r="D405" t="str">
        <x:v>VVS2</x:v>
      </x:c>
      <x:c r="E405" s="36" t="n">
        <x:v>3749</x:v>
      </x:c>
      <x:c r="F405" s="36" t="n">
        <x:v>6352</x:v>
      </x:c>
      <x:c r="G405" s="42" t="n">
        <x:v>1.3625053625053625</x:v>
      </x:c>
      <x:c r="H405" s="36" t="n">
        <x:f>E405*G405</x:f>
        <x:v>5108.032604032604</x:v>
      </x:c>
      <x:c r="I405" s="36" t="n">
        <x:f>IFERROR(H405/A405,0)</x:f>
        <x:v>5108.032604032604</x:v>
      </x:c>
      <x:c r="J405" s="67" t="str">
        <x:v>Modeled from live base + Sep-2026 quality ratio</x:v>
      </x:c>
      <x:c r="K405" s="67" t="str">
        <x:v>https://www.stonealgo.com/diamond-prices/</x:v>
      </x:c>
      <x:c r="L405" s="67" t="str">
        <x:v>https://www.pricescope.com/blog/natural-diamond-prices-september-2026</x:v>
      </x:c>
    </x:row>
    <x:row r="406">
      <x:c r="A406" t="n">
        <x:v>1</x:v>
      </x:c>
      <x:c r="B406" t="str">
        <x:v>Pear</x:v>
      </x:c>
      <x:c r="C406" t="str">
        <x:v>F</x:v>
      </x:c>
      <x:c r="D406" t="str">
        <x:v>VS1</x:v>
      </x:c>
      <x:c r="E406" s="36" t="n">
        <x:v>3749</x:v>
      </x:c>
      <x:c r="F406" s="36" t="n">
        <x:v>5647</x:v>
      </x:c>
      <x:c r="G406" s="42" t="n">
        <x:v>1.2112827112827114</x:v>
      </x:c>
      <x:c r="H406" s="36" t="n">
        <x:f>E406*G406</x:f>
        <x:v>4541.098884598885</x:v>
      </x:c>
      <x:c r="I406" s="36" t="n">
        <x:f>IFERROR(H406/A406,0)</x:f>
        <x:v>4541.098884598885</x:v>
      </x:c>
      <x:c r="J406" s="67" t="str">
        <x:v>Modeled from live base + Sep-2026 quality ratio</x:v>
      </x:c>
      <x:c r="K406" s="67" t="str">
        <x:v>https://www.stonealgo.com/diamond-prices/</x:v>
      </x:c>
      <x:c r="L406" s="67" t="str">
        <x:v>https://www.pricescope.com/blog/natural-diamond-prices-september-2026</x:v>
      </x:c>
    </x:row>
    <x:row r="407">
      <x:c r="A407" t="n">
        <x:v>1</x:v>
      </x:c>
      <x:c r="B407" t="str">
        <x:v>Pear</x:v>
      </x:c>
      <x:c r="C407" t="str">
        <x:v>F</x:v>
      </x:c>
      <x:c r="D407" t="str">
        <x:v>VS2</x:v>
      </x:c>
      <x:c r="E407" s="36" t="n">
        <x:v>3749</x:v>
      </x:c>
      <x:c r="F407" s="36" t="n">
        <x:v>4730</x:v>
      </x:c>
      <x:c r="G407" s="42" t="n">
        <x:v>1.0145860145860146</x:v>
      </x:c>
      <x:c r="H407" s="36" t="n">
        <x:f>E407*G407</x:f>
        <x:v>3803.6829686829687</x:v>
      </x:c>
      <x:c r="I407" s="36" t="n">
        <x:f>IFERROR(H407/A407,0)</x:f>
        <x:v>3803.6829686829687</x:v>
      </x:c>
      <x:c r="J407" s="67" t="str">
        <x:v>Modeled from live base + Sep-2026 quality ratio</x:v>
      </x:c>
      <x:c r="K407" s="67" t="str">
        <x:v>https://www.stonealgo.com/diamond-prices/</x:v>
      </x:c>
      <x:c r="L407" s="67" t="str">
        <x:v>https://www.pricescope.com/blog/natural-diamond-prices-september-2026</x:v>
      </x:c>
    </x:row>
    <x:row r="408">
      <x:c r="A408" t="n">
        <x:v>1</x:v>
      </x:c>
      <x:c r="B408" t="str">
        <x:v>Pear</x:v>
      </x:c>
      <x:c r="C408" t="str">
        <x:v>F</x:v>
      </x:c>
      <x:c r="D408" t="str">
        <x:v>SI1</x:v>
      </x:c>
      <x:c r="E408" s="36" t="n">
        <x:v>3749</x:v>
      </x:c>
      <x:c r="F408" s="36" t="n">
        <x:v>3331</x:v>
      </x:c>
      <x:c r="G408" s="42" t="n">
        <x:v>0.7145002145002145</x:v>
      </x:c>
      <x:c r="H408" s="36" t="n">
        <x:f>E408*G408</x:f>
        <x:v>2678.661304161304</x:v>
      </x:c>
      <x:c r="I408" s="36" t="n">
        <x:f>IFERROR(H408/A408,0)</x:f>
        <x:v>2678.661304161304</x:v>
      </x:c>
      <x:c r="J408" s="67" t="str">
        <x:v>Modeled from live base + Sep-2026 quality ratio</x:v>
      </x:c>
      <x:c r="K408" s="67" t="str">
        <x:v>https://www.stonealgo.com/diamond-prices/</x:v>
      </x:c>
      <x:c r="L408" s="67" t="str">
        <x:v>https://www.pricescope.com/blog/natural-diamond-prices-september-2026</x:v>
      </x:c>
    </x:row>
    <x:row r="409">
      <x:c r="A409" t="n">
        <x:v>1</x:v>
      </x:c>
      <x:c r="B409" t="str">
        <x:v>Pear</x:v>
      </x:c>
      <x:c r="C409" t="str">
        <x:v>F</x:v>
      </x:c>
      <x:c r="D409" t="str">
        <x:v>SI2</x:v>
      </x:c>
      <x:c r="E409" s="36" t="n">
        <x:v>3749</x:v>
      </x:c>
      <x:c r="F409" s="36" t="n">
        <x:v>2733</x:v>
      </x:c>
      <x:c r="G409" s="42" t="n">
        <x:v>0.5862290862290862</x:v>
      </x:c>
      <x:c r="H409" s="36" t="n">
        <x:f>E409*G409</x:f>
        <x:v>2197.7728442728444</x:v>
      </x:c>
      <x:c r="I409" s="36" t="n">
        <x:f>IFERROR(H409/A409,0)</x:f>
        <x:v>2197.7728442728444</x:v>
      </x:c>
      <x:c r="J409" s="67" t="str">
        <x:v>Modeled from live base + Sep-2026 quality ratio</x:v>
      </x:c>
      <x:c r="K409" s="67" t="str">
        <x:v>https://www.stonealgo.com/diamond-prices/</x:v>
      </x:c>
      <x:c r="L409" s="67" t="str">
        <x:v>https://www.pricescope.com/blog/natural-diamond-prices-september-2026</x:v>
      </x:c>
    </x:row>
    <x:row r="410">
      <x:c r="A410" t="n">
        <x:v>1</x:v>
      </x:c>
      <x:c r="B410" t="str">
        <x:v>Pear</x:v>
      </x:c>
      <x:c r="C410" t="str">
        <x:v>G</x:v>
      </x:c>
      <x:c r="D410" t="str">
        <x:v>FL</x:v>
      </x:c>
      <x:c r="E410" s="36" t="n">
        <x:v>3749</x:v>
      </x:c>
      <x:c r="F410" s="36" t="n">
        <x:v>5905</x:v>
      </x:c>
      <x:c r="G410" s="42" t="n">
        <x:v>1.2666237666237665</x:v>
      </x:c>
      <x:c r="H410" s="36" t="n">
        <x:f>E410*G410</x:f>
        <x:v>4748.572501072501</x:v>
      </x:c>
      <x:c r="I410" s="36" t="n">
        <x:f>IFERROR(H410/A410,0)</x:f>
        <x:v>4748.572501072501</x:v>
      </x:c>
      <x:c r="J410" s="67" t="str">
        <x:v>Modeled from live base + Sep-2026 quality ratio</x:v>
      </x:c>
      <x:c r="K410" s="67" t="str">
        <x:v>https://www.stonealgo.com/diamond-prices/</x:v>
      </x:c>
      <x:c r="L410" s="67" t="str">
        <x:v>https://www.pricescope.com/blog/natural-diamond-prices-september-2026</x:v>
      </x:c>
    </x:row>
    <x:row r="411">
      <x:c r="A411" t="n">
        <x:v>1</x:v>
      </x:c>
      <x:c r="B411" t="str">
        <x:v>Pear</x:v>
      </x:c>
      <x:c r="C411" t="str">
        <x:v>G</x:v>
      </x:c>
      <x:c r="D411" t="str">
        <x:v>IF</x:v>
      </x:c>
      <x:c r="E411" s="36" t="n">
        <x:v>3749</x:v>
      </x:c>
      <x:c r="F411" s="36" t="n">
        <x:v>5601</x:v>
      </x:c>
      <x:c r="G411" s="42" t="n">
        <x:v>1.2014157014157014</x:v>
      </x:c>
      <x:c r="H411" s="36" t="n">
        <x:f>E411*G411</x:f>
        <x:v>4504.107464607465</x:v>
      </x:c>
      <x:c r="I411" s="36" t="n">
        <x:f>IFERROR(H411/A411,0)</x:f>
        <x:v>4504.107464607465</x:v>
      </x:c>
      <x:c r="J411" s="67" t="str">
        <x:v>Modeled from live base + Sep-2026 quality ratio</x:v>
      </x:c>
      <x:c r="K411" s="67" t="str">
        <x:v>https://www.stonealgo.com/diamond-prices/</x:v>
      </x:c>
      <x:c r="L411" s="67" t="str">
        <x:v>https://www.pricescope.com/blog/natural-diamond-prices-september-2026</x:v>
      </x:c>
    </x:row>
    <x:row r="412">
      <x:c r="A412" t="n">
        <x:v>1</x:v>
      </x:c>
      <x:c r="B412" t="str">
        <x:v>Pear</x:v>
      </x:c>
      <x:c r="C412" t="str">
        <x:v>G</x:v>
      </x:c>
      <x:c r="D412" t="str">
        <x:v>VVS1</x:v>
      </x:c>
      <x:c r="E412" s="36" t="n">
        <x:v>3749</x:v>
      </x:c>
      <x:c r="F412" s="36" t="n">
        <x:v>5124</x:v>
      </x:c>
      <x:c r="G412" s="42" t="n">
        <x:v>1.0990990990990992</x:v>
      </x:c>
      <x:c r="H412" s="36" t="n">
        <x:f>E412*G412</x:f>
        <x:v>4120.522522522523</x:v>
      </x:c>
      <x:c r="I412" s="36" t="n">
        <x:f>IFERROR(H412/A412,0)</x:f>
        <x:v>4120.522522522523</x:v>
      </x:c>
      <x:c r="J412" s="67" t="str">
        <x:v>Modeled from live base + Sep-2026 quality ratio</x:v>
      </x:c>
      <x:c r="K412" s="67" t="str">
        <x:v>https://www.stonealgo.com/diamond-prices/</x:v>
      </x:c>
      <x:c r="L412" s="67" t="str">
        <x:v>https://www.pricescope.com/blog/natural-diamond-prices-september-2026</x:v>
      </x:c>
    </x:row>
    <x:row r="413">
      <x:c r="A413" t="n">
        <x:v>1</x:v>
      </x:c>
      <x:c r="B413" t="str">
        <x:v>Pear</x:v>
      </x:c>
      <x:c r="C413" t="str">
        <x:v>G</x:v>
      </x:c>
      <x:c r="D413" t="str">
        <x:v>VVS2</x:v>
      </x:c>
      <x:c r="E413" s="36" t="n">
        <x:v>3749</x:v>
      </x:c>
      <x:c r="F413" s="36" t="n">
        <x:v>4962</x:v>
      </x:c>
      <x:c r="G413" s="42" t="n">
        <x:v>1.0643500643500643</x:v>
      </x:c>
      <x:c r="H413" s="36" t="n">
        <x:f>E413*G413</x:f>
        <x:v>3990.248391248391</x:v>
      </x:c>
      <x:c r="I413" s="36" t="n">
        <x:f>IFERROR(H413/A413,0)</x:f>
        <x:v>3990.248391248391</x:v>
      </x:c>
      <x:c r="J413" s="67" t="str">
        <x:v>Modeled from live base + Sep-2026 quality ratio</x:v>
      </x:c>
      <x:c r="K413" s="67" t="str">
        <x:v>https://www.stonealgo.com/diamond-prices/</x:v>
      </x:c>
      <x:c r="L413" s="67" t="str">
        <x:v>https://www.pricescope.com/blog/natural-diamond-prices-september-2026</x:v>
      </x:c>
    </x:row>
    <x:row r="414">
      <x:c r="A414" t="n">
        <x:v>1</x:v>
      </x:c>
      <x:c r="B414" t="str">
        <x:v>Pear</x:v>
      </x:c>
      <x:c r="C414" t="str">
        <x:v>G</x:v>
      </x:c>
      <x:c r="D414" t="str">
        <x:v>VS1</x:v>
      </x:c>
      <x:c r="E414" s="36" t="n">
        <x:v>3749</x:v>
      </x:c>
      <x:c r="F414" s="36" t="n">
        <x:v>4615</x:v>
      </x:c>
      <x:c r="G414" s="42" t="n">
        <x:v>0.98991848991849</x:v>
      </x:c>
      <x:c r="H414" s="36" t="n">
        <x:f>E414*G414</x:f>
        <x:v>3711.204418704419</x:v>
      </x:c>
      <x:c r="I414" s="36" t="n">
        <x:f>IFERROR(H414/A414,0)</x:f>
        <x:v>3711.204418704419</x:v>
      </x:c>
      <x:c r="J414" s="67" t="str">
        <x:v>Modeled from live base + Sep-2026 quality ratio</x:v>
      </x:c>
      <x:c r="K414" s="67" t="str">
        <x:v>https://www.stonealgo.com/diamond-prices/</x:v>
      </x:c>
      <x:c r="L414" s="67" t="str">
        <x:v>https://www.pricescope.com/blog/natural-diamond-prices-september-2026</x:v>
      </x:c>
    </x:row>
    <x:row r="415">
      <x:c r="A415" t="n">
        <x:v>1</x:v>
      </x:c>
      <x:c r="B415" t="str">
        <x:v>Pear</x:v>
      </x:c>
      <x:c r="C415" t="str">
        <x:v>G</x:v>
      </x:c>
      <x:c r="D415" t="str">
        <x:v>VS2</x:v>
      </x:c>
      <x:c r="E415" s="36" t="n">
        <x:v>3749</x:v>
      </x:c>
      <x:c r="F415" s="36" t="n">
        <x:v>4585</x:v>
      </x:c>
      <x:c r="G415" s="42" t="n">
        <x:v>0.9834834834834835</x:v>
      </x:c>
      <x:c r="H415" s="36" t="n">
        <x:f>E415*G415</x:f>
        <x:v>3687.0795795795793</x:v>
      </x:c>
      <x:c r="I415" s="36" t="n">
        <x:f>IFERROR(H415/A415,0)</x:f>
        <x:v>3687.0795795795793</x:v>
      </x:c>
      <x:c r="J415" s="67" t="str">
        <x:v>Modeled from live base + Sep-2026 quality ratio</x:v>
      </x:c>
      <x:c r="K415" s="67" t="str">
        <x:v>https://www.stonealgo.com/diamond-prices/</x:v>
      </x:c>
      <x:c r="L415" s="67" t="str">
        <x:v>https://www.pricescope.com/blog/natural-diamond-prices-september-2026</x:v>
      </x:c>
    </x:row>
    <x:row r="416">
      <x:c r="A416" t="n">
        <x:v>1</x:v>
      </x:c>
      <x:c r="B416" t="str">
        <x:v>Pear</x:v>
      </x:c>
      <x:c r="C416" t="str">
        <x:v>G</x:v>
      </x:c>
      <x:c r="D416" t="str">
        <x:v>SI1</x:v>
      </x:c>
      <x:c r="E416" s="36" t="n">
        <x:v>3749</x:v>
      </x:c>
      <x:c r="F416" s="36" t="n">
        <x:v>3664</x:v>
      </x:c>
      <x:c r="G416" s="42" t="n">
        <x:v>0.7859287859287859</x:v>
      </x:c>
      <x:c r="H416" s="36" t="n">
        <x:f>E416*G416</x:f>
        <x:v>2946.4470184470183</x:v>
      </x:c>
      <x:c r="I416" s="36" t="n">
        <x:f>IFERROR(H416/A416,0)</x:f>
        <x:v>2946.4470184470183</x:v>
      </x:c>
      <x:c r="J416" s="67" t="str">
        <x:v>Modeled from live base + Sep-2026 quality ratio</x:v>
      </x:c>
      <x:c r="K416" s="67" t="str">
        <x:v>https://www.stonealgo.com/diamond-prices/</x:v>
      </x:c>
      <x:c r="L416" s="67" t="str">
        <x:v>https://www.pricescope.com/blog/natural-diamond-prices-september-2026</x:v>
      </x:c>
    </x:row>
    <x:row r="417">
      <x:c r="A417" t="n">
        <x:v>1</x:v>
      </x:c>
      <x:c r="B417" t="str">
        <x:v>Pear</x:v>
      </x:c>
      <x:c r="C417" t="str">
        <x:v>G</x:v>
      </x:c>
      <x:c r="D417" t="str">
        <x:v>SI2</x:v>
      </x:c>
      <x:c r="E417" s="36" t="n">
        <x:v>3749</x:v>
      </x:c>
      <x:c r="F417" s="36" t="n">
        <x:v>2537</x:v>
      </x:c>
      <x:c r="G417" s="42" t="n">
        <x:v>0.5441870441870442</x:v>
      </x:c>
      <x:c r="H417" s="36" t="n">
        <x:f>E417*G417</x:f>
        <x:v>2040.1572286572289</x:v>
      </x:c>
      <x:c r="I417" s="36" t="n">
        <x:f>IFERROR(H417/A417,0)</x:f>
        <x:v>2040.1572286572289</x:v>
      </x:c>
      <x:c r="J417" s="67" t="str">
        <x:v>Modeled from live base + Sep-2026 quality ratio</x:v>
      </x:c>
      <x:c r="K417" s="67" t="str">
        <x:v>https://www.stonealgo.com/diamond-prices/</x:v>
      </x:c>
      <x:c r="L417" s="67" t="str">
        <x:v>https://www.pricescope.com/blog/natural-diamond-prices-september-2026</x:v>
      </x:c>
    </x:row>
    <x:row r="418">
      <x:c r="A418" t="n">
        <x:v>1</x:v>
      </x:c>
      <x:c r="B418" t="str">
        <x:v>Pear</x:v>
      </x:c>
      <x:c r="C418" t="str">
        <x:v>H</x:v>
      </x:c>
      <x:c r="D418" t="str">
        <x:v>FL</x:v>
      </x:c>
      <x:c r="E418" s="36" t="n">
        <x:v>3749</x:v>
      </x:c>
      <x:c r="F418" s="36" t="n">
        <x:v>4563</x:v>
      </x:c>
      <x:c r="G418" s="42" t="n">
        <x:v>0.9787644787644788</x:v>
      </x:c>
      <x:c r="H418" s="36" t="n">
        <x:f>E418*G418</x:f>
        <x:v>3669.388030888031</x:v>
      </x:c>
      <x:c r="I418" s="36" t="n">
        <x:f>IFERROR(H418/A418,0)</x:f>
        <x:v>3669.388030888031</x:v>
      </x:c>
      <x:c r="J418" s="67" t="str">
        <x:v>Modeled from live base + Sep-2026 quality ratio</x:v>
      </x:c>
      <x:c r="K418" s="67" t="str">
        <x:v>https://www.stonealgo.com/diamond-prices/</x:v>
      </x:c>
      <x:c r="L418" s="67" t="str">
        <x:v>https://www.pricescope.com/blog/natural-diamond-prices-september-2026</x:v>
      </x:c>
    </x:row>
    <x:row r="419">
      <x:c r="A419" t="n">
        <x:v>1</x:v>
      </x:c>
      <x:c r="B419" t="str">
        <x:v>Pear</x:v>
      </x:c>
      <x:c r="C419" t="str">
        <x:v>H</x:v>
      </x:c>
      <x:c r="D419" t="str">
        <x:v>IF</x:v>
      </x:c>
      <x:c r="E419" s="36" t="n">
        <x:v>3749</x:v>
      </x:c>
      <x:c r="F419" s="36" t="n">
        <x:v>4809</x:v>
      </x:c>
      <x:c r="G419" s="42" t="n">
        <x:v>1.0315315315315314</x:v>
      </x:c>
      <x:c r="H419" s="36" t="n">
        <x:f>E419*G419</x:f>
        <x:v>3867.2117117117114</x:v>
      </x:c>
      <x:c r="I419" s="36" t="n">
        <x:f>IFERROR(H419/A419,0)</x:f>
        <x:v>3867.2117117117114</x:v>
      </x:c>
      <x:c r="J419" s="67" t="str">
        <x:v>Modeled from live base + Sep-2026 quality ratio</x:v>
      </x:c>
      <x:c r="K419" s="67" t="str">
        <x:v>https://www.stonealgo.com/diamond-prices/</x:v>
      </x:c>
      <x:c r="L419" s="67" t="str">
        <x:v>https://www.pricescope.com/blog/natural-diamond-prices-september-2026</x:v>
      </x:c>
    </x:row>
    <x:row r="420">
      <x:c r="A420" t="n">
        <x:v>1</x:v>
      </x:c>
      <x:c r="B420" t="str">
        <x:v>Pear</x:v>
      </x:c>
      <x:c r="C420" t="str">
        <x:v>H</x:v>
      </x:c>
      <x:c r="D420" t="str">
        <x:v>VVS1</x:v>
      </x:c>
      <x:c r="E420" s="36" t="n">
        <x:v>3749</x:v>
      </x:c>
      <x:c r="F420" s="36" t="n">
        <x:v>4911</x:v>
      </x:c>
      <x:c r="G420" s="42" t="n">
        <x:v>1.0534105534105533</x:v>
      </x:c>
      <x:c r="H420" s="36" t="n">
        <x:f>E420*G420</x:f>
        <x:v>3949.2361647361645</x:v>
      </x:c>
      <x:c r="I420" s="36" t="n">
        <x:f>IFERROR(H420/A420,0)</x:f>
        <x:v>3949.2361647361645</x:v>
      </x:c>
      <x:c r="J420" s="67" t="str">
        <x:v>Modeled from live base + Sep-2026 quality ratio</x:v>
      </x:c>
      <x:c r="K420" s="67" t="str">
        <x:v>https://www.stonealgo.com/diamond-prices/</x:v>
      </x:c>
      <x:c r="L420" s="67" t="str">
        <x:v>https://www.pricescope.com/blog/natural-diamond-prices-september-2026</x:v>
      </x:c>
    </x:row>
    <x:row r="421">
      <x:c r="A421" t="n">
        <x:v>1</x:v>
      </x:c>
      <x:c r="B421" t="str">
        <x:v>Pear</x:v>
      </x:c>
      <x:c r="C421" t="str">
        <x:v>H</x:v>
      </x:c>
      <x:c r="D421" t="str">
        <x:v>VVS2</x:v>
      </x:c>
      <x:c r="E421" s="36" t="n">
        <x:v>3749</x:v>
      </x:c>
      <x:c r="F421" s="36" t="n">
        <x:v>4046</x:v>
      </x:c>
      <x:c r="G421" s="42" t="n">
        <x:v>0.8678678678678678</x:v>
      </x:c>
      <x:c r="H421" s="36" t="n">
        <x:f>E421*G421</x:f>
        <x:v>3253.6366366366365</x:v>
      </x:c>
      <x:c r="I421" s="36" t="n">
        <x:f>IFERROR(H421/A421,0)</x:f>
        <x:v>3253.6366366366365</x:v>
      </x:c>
      <x:c r="J421" s="67" t="str">
        <x:v>Modeled from live base + Sep-2026 quality ratio</x:v>
      </x:c>
      <x:c r="K421" s="67" t="str">
        <x:v>https://www.stonealgo.com/diamond-prices/</x:v>
      </x:c>
      <x:c r="L421" s="67" t="str">
        <x:v>https://www.pricescope.com/blog/natural-diamond-prices-september-2026</x:v>
      </x:c>
    </x:row>
    <x:row r="422">
      <x:c r="A422" t="n">
        <x:v>1</x:v>
      </x:c>
      <x:c r="B422" t="str">
        <x:v>Pear</x:v>
      </x:c>
      <x:c r="C422" t="str">
        <x:v>H</x:v>
      </x:c>
      <x:c r="D422" t="str">
        <x:v>VS1</x:v>
      </x:c>
      <x:c r="E422" s="36" t="n">
        <x:v>3749</x:v>
      </x:c>
      <x:c r="F422" s="36" t="n">
        <x:v>3893</x:v>
      </x:c>
      <x:c r="G422" s="42" t="n">
        <x:v>0.8350493350493351</x:v>
      </x:c>
      <x:c r="H422" s="36" t="n">
        <x:f>E422*G422</x:f>
        <x:v>3130.5999570999575</x:v>
      </x:c>
      <x:c r="I422" s="36" t="n">
        <x:f>IFERROR(H422/A422,0)</x:f>
        <x:v>3130.5999570999575</x:v>
      </x:c>
      <x:c r="J422" s="67" t="str">
        <x:v>Modeled from live base + Sep-2026 quality ratio</x:v>
      </x:c>
      <x:c r="K422" s="67" t="str">
        <x:v>https://www.stonealgo.com/diamond-prices/</x:v>
      </x:c>
      <x:c r="L422" s="67" t="str">
        <x:v>https://www.pricescope.com/blog/natural-diamond-prices-september-2026</x:v>
      </x:c>
    </x:row>
    <x:row r="423">
      <x:c r="A423" t="n">
        <x:v>1</x:v>
      </x:c>
      <x:c r="B423" t="str">
        <x:v>Pear</x:v>
      </x:c>
      <x:c r="C423" t="str">
        <x:v>H</x:v>
      </x:c>
      <x:c r="D423" t="str">
        <x:v>VS2</x:v>
      </x:c>
      <x:c r="E423" s="36" t="n">
        <x:v>3749</x:v>
      </x:c>
      <x:c r="F423" s="36" t="n">
        <x:v>3989</x:v>
      </x:c>
      <x:c r="G423" s="42" t="n">
        <x:v>0.8556413556413557</x:v>
      </x:c>
      <x:c r="H423" s="36" t="n">
        <x:f>E423*G423</x:f>
        <x:v>3207.7994422994425</x:v>
      </x:c>
      <x:c r="I423" s="36" t="n">
        <x:f>IFERROR(H423/A423,0)</x:f>
        <x:v>3207.7994422994425</x:v>
      </x:c>
      <x:c r="J423" s="67" t="str">
        <x:v>Modeled from live base + Sep-2026 quality ratio</x:v>
      </x:c>
      <x:c r="K423" s="67" t="str">
        <x:v>https://www.stonealgo.com/diamond-prices/</x:v>
      </x:c>
      <x:c r="L423" s="67" t="str">
        <x:v>https://www.pricescope.com/blog/natural-diamond-prices-september-2026</x:v>
      </x:c>
    </x:row>
    <x:row r="424">
      <x:c r="A424" t="n">
        <x:v>1</x:v>
      </x:c>
      <x:c r="B424" t="str">
        <x:v>Pear</x:v>
      </x:c>
      <x:c r="C424" t="str">
        <x:v>H</x:v>
      </x:c>
      <x:c r="D424" t="str">
        <x:v>SI1</x:v>
      </x:c>
      <x:c r="E424" s="36" t="n">
        <x:v>3749</x:v>
      </x:c>
      <x:c r="F424" s="36" t="n">
        <x:v>2828</x:v>
      </x:c>
      <x:c r="G424" s="42" t="n">
        <x:v>0.6066066066066066</x:v>
      </x:c>
      <x:c r="H424" s="36" t="n">
        <x:f>E424*G424</x:f>
        <x:v>2274.168168168168</x:v>
      </x:c>
      <x:c r="I424" s="36" t="n">
        <x:f>IFERROR(H424/A424,0)</x:f>
        <x:v>2274.168168168168</x:v>
      </x:c>
      <x:c r="J424" s="67" t="str">
        <x:v>Modeled from live base + Sep-2026 quality ratio</x:v>
      </x:c>
      <x:c r="K424" s="67" t="str">
        <x:v>https://www.stonealgo.com/diamond-prices/</x:v>
      </x:c>
      <x:c r="L424" s="67" t="str">
        <x:v>https://www.pricescope.com/blog/natural-diamond-prices-september-2026</x:v>
      </x:c>
    </x:row>
    <x:row r="425">
      <x:c r="A425" t="n">
        <x:v>1</x:v>
      </x:c>
      <x:c r="B425" t="str">
        <x:v>Pear</x:v>
      </x:c>
      <x:c r="C425" t="str">
        <x:v>H</x:v>
      </x:c>
      <x:c r="D425" t="str">
        <x:v>SI2</x:v>
      </x:c>
      <x:c r="E425" s="36" t="n">
        <x:v>3749</x:v>
      </x:c>
      <x:c r="F425" s="36" t="n">
        <x:v>2328</x:v>
      </x:c>
      <x:c r="G425" s="42" t="n">
        <x:v>0.49935649935649934</x:v>
      </x:c>
      <x:c r="H425" s="36" t="n">
        <x:f>E425*G425</x:f>
        <x:v>1872.087516087516</x:v>
      </x:c>
      <x:c r="I425" s="36" t="n">
        <x:f>IFERROR(H425/A425,0)</x:f>
        <x:v>1872.087516087516</x:v>
      </x:c>
      <x:c r="J425" s="67" t="str">
        <x:v>Modeled from live base + Sep-2026 quality ratio</x:v>
      </x:c>
      <x:c r="K425" s="67" t="str">
        <x:v>https://www.stonealgo.com/diamond-prices/</x:v>
      </x:c>
      <x:c r="L425" s="67" t="str">
        <x:v>https://www.pricescope.com/blog/natural-diamond-prices-september-2026</x:v>
      </x:c>
    </x:row>
    <x:row r="426">
      <x:c r="A426" t="n">
        <x:v>1</x:v>
      </x:c>
      <x:c r="B426" t="str">
        <x:v>Pear</x:v>
      </x:c>
      <x:c r="C426" t="str">
        <x:v>I</x:v>
      </x:c>
      <x:c r="D426" t="str">
        <x:v>FL</x:v>
      </x:c>
      <x:c r="E426" s="36" t="n">
        <x:v>3749</x:v>
      </x:c>
      <x:c r="F426" s="36" t="n">
        <x:v>4623</x:v>
      </x:c>
      <x:c r="G426" s="42" t="n">
        <x:v>0.9916344916344917</x:v>
      </x:c>
      <x:c r="H426" s="36" t="n">
        <x:f>E426*G426</x:f>
        <x:v>3717.6377091377094</x:v>
      </x:c>
      <x:c r="I426" s="36" t="n">
        <x:f>IFERROR(H426/A426,0)</x:f>
        <x:v>3717.6377091377094</x:v>
      </x:c>
      <x:c r="J426" s="67" t="str">
        <x:v>Modeled from live base + Sep-2026 quality ratio</x:v>
      </x:c>
      <x:c r="K426" s="67" t="str">
        <x:v>https://www.stonealgo.com/diamond-prices/</x:v>
      </x:c>
      <x:c r="L426" s="67" t="str">
        <x:v>https://www.pricescope.com/blog/natural-diamond-prices-september-2026</x:v>
      </x:c>
    </x:row>
    <x:row r="427">
      <x:c r="A427" t="n">
        <x:v>1</x:v>
      </x:c>
      <x:c r="B427" t="str">
        <x:v>Pear</x:v>
      </x:c>
      <x:c r="C427" t="str">
        <x:v>I</x:v>
      </x:c>
      <x:c r="D427" t="str">
        <x:v>IF</x:v>
      </x:c>
      <x:c r="E427" s="36" t="n">
        <x:v>3749</x:v>
      </x:c>
      <x:c r="F427" s="36" t="n">
        <x:v>4005</x:v>
      </x:c>
      <x:c r="G427" s="42" t="n">
        <x:v>0.859073359073359</x:v>
      </x:c>
      <x:c r="H427" s="36" t="n">
        <x:f>E427*G427</x:f>
        <x:v>3220.666023166023</x:v>
      </x:c>
      <x:c r="I427" s="36" t="n">
        <x:f>IFERROR(H427/A427,0)</x:f>
        <x:v>3220.666023166023</x:v>
      </x:c>
      <x:c r="J427" s="67" t="str">
        <x:v>Modeled from live base + Sep-2026 quality ratio</x:v>
      </x:c>
      <x:c r="K427" s="67" t="str">
        <x:v>https://www.stonealgo.com/diamond-prices/</x:v>
      </x:c>
      <x:c r="L427" s="67" t="str">
        <x:v>https://www.pricescope.com/blog/natural-diamond-prices-september-2026</x:v>
      </x:c>
    </x:row>
    <x:row r="428">
      <x:c r="A428" t="n">
        <x:v>1</x:v>
      </x:c>
      <x:c r="B428" t="str">
        <x:v>Pear</x:v>
      </x:c>
      <x:c r="C428" t="str">
        <x:v>I</x:v>
      </x:c>
      <x:c r="D428" t="str">
        <x:v>VVS1</x:v>
      </x:c>
      <x:c r="E428" s="36" t="n">
        <x:v>3749</x:v>
      </x:c>
      <x:c r="F428" s="36" t="n">
        <x:v>3670</x:v>
      </x:c>
      <x:c r="G428" s="42" t="n">
        <x:v>0.7872157872157872</x:v>
      </x:c>
      <x:c r="H428" s="36" t="n">
        <x:f>E428*G428</x:f>
        <x:v>2951.2719862719864</x:v>
      </x:c>
      <x:c r="I428" s="36" t="n">
        <x:f>IFERROR(H428/A428,0)</x:f>
        <x:v>2951.2719862719864</x:v>
      </x:c>
      <x:c r="J428" s="67" t="str">
        <x:v>Modeled from live base + Sep-2026 quality ratio</x:v>
      </x:c>
      <x:c r="K428" s="67" t="str">
        <x:v>https://www.stonealgo.com/diamond-prices/</x:v>
      </x:c>
      <x:c r="L428" s="67" t="str">
        <x:v>https://www.pricescope.com/blog/natural-diamond-prices-september-2026</x:v>
      </x:c>
    </x:row>
    <x:row r="429">
      <x:c r="A429" t="n">
        <x:v>1</x:v>
      </x:c>
      <x:c r="B429" t="str">
        <x:v>Pear</x:v>
      </x:c>
      <x:c r="C429" t="str">
        <x:v>I</x:v>
      </x:c>
      <x:c r="D429" t="str">
        <x:v>VVS2</x:v>
      </x:c>
      <x:c r="E429" s="36" t="n">
        <x:v>3749</x:v>
      </x:c>
      <x:c r="F429" s="36" t="n">
        <x:v>3447</x:v>
      </x:c>
      <x:c r="G429" s="42" t="n">
        <x:v>0.7393822393822393</x:v>
      </x:c>
      <x:c r="H429" s="36" t="n">
        <x:f>E429*G429</x:f>
        <x:v>2771.9440154440153</x:v>
      </x:c>
      <x:c r="I429" s="36" t="n">
        <x:f>IFERROR(H429/A429,0)</x:f>
        <x:v>2771.9440154440153</x:v>
      </x:c>
      <x:c r="J429" s="67" t="str">
        <x:v>Modeled from live base + Sep-2026 quality ratio</x:v>
      </x:c>
      <x:c r="K429" s="67" t="str">
        <x:v>https://www.stonealgo.com/diamond-prices/</x:v>
      </x:c>
      <x:c r="L429" s="67" t="str">
        <x:v>https://www.pricescope.com/blog/natural-diamond-prices-september-2026</x:v>
      </x:c>
    </x:row>
    <x:row r="430">
      <x:c r="A430" t="n">
        <x:v>1</x:v>
      </x:c>
      <x:c r="B430" t="str">
        <x:v>Pear</x:v>
      </x:c>
      <x:c r="C430" t="str">
        <x:v>I</x:v>
      </x:c>
      <x:c r="D430" t="str">
        <x:v>VS1</x:v>
      </x:c>
      <x:c r="E430" s="36" t="n">
        <x:v>3749</x:v>
      </x:c>
      <x:c r="F430" s="36" t="n">
        <x:v>3313</x:v>
      </x:c>
      <x:c r="G430" s="42" t="n">
        <x:v>0.7106392106392107</x:v>
      </x:c>
      <x:c r="H430" s="36" t="n">
        <x:f>E430*G430</x:f>
        <x:v>2664.1864006864007</x:v>
      </x:c>
      <x:c r="I430" s="36" t="n">
        <x:f>IFERROR(H430/A430,0)</x:f>
        <x:v>2664.1864006864007</x:v>
      </x:c>
      <x:c r="J430" s="67" t="str">
        <x:v>Modeled from live base + Sep-2026 quality ratio</x:v>
      </x:c>
      <x:c r="K430" s="67" t="str">
        <x:v>https://www.stonealgo.com/diamond-prices/</x:v>
      </x:c>
      <x:c r="L430" s="67" t="str">
        <x:v>https://www.pricescope.com/blog/natural-diamond-prices-september-2026</x:v>
      </x:c>
    </x:row>
    <x:row r="431">
      <x:c r="A431" t="n">
        <x:v>1</x:v>
      </x:c>
      <x:c r="B431" t="str">
        <x:v>Pear</x:v>
      </x:c>
      <x:c r="C431" t="str">
        <x:v>I</x:v>
      </x:c>
      <x:c r="D431" t="str">
        <x:v>VS2</x:v>
      </x:c>
      <x:c r="E431" s="36" t="n">
        <x:v>3749</x:v>
      </x:c>
      <x:c r="F431" s="36" t="n">
        <x:v>3240</x:v>
      </x:c>
      <x:c r="G431" s="42" t="n">
        <x:v>0.694980694980695</x:v>
      </x:c>
      <x:c r="H431" s="36" t="n">
        <x:f>E431*G431</x:f>
        <x:v>2605.4826254826257</x:v>
      </x:c>
      <x:c r="I431" s="36" t="n">
        <x:f>IFERROR(H431/A431,0)</x:f>
        <x:v>2605.4826254826257</x:v>
      </x:c>
      <x:c r="J431" s="67" t="str">
        <x:v>Modeled from live base + Sep-2026 quality ratio</x:v>
      </x:c>
      <x:c r="K431" s="67" t="str">
        <x:v>https://www.stonealgo.com/diamond-prices/</x:v>
      </x:c>
      <x:c r="L431" s="67" t="str">
        <x:v>https://www.pricescope.com/blog/natural-diamond-prices-september-2026</x:v>
      </x:c>
    </x:row>
    <x:row r="432">
      <x:c r="A432" t="n">
        <x:v>1</x:v>
      </x:c>
      <x:c r="B432" t="str">
        <x:v>Pear</x:v>
      </x:c>
      <x:c r="C432" t="str">
        <x:v>I</x:v>
      </x:c>
      <x:c r="D432" t="str">
        <x:v>SI1</x:v>
      </x:c>
      <x:c r="E432" s="36" t="n">
        <x:v>3749</x:v>
      </x:c>
      <x:c r="F432" s="36" t="n">
        <x:v>3199</x:v>
      </x:c>
      <x:c r="G432" s="42" t="n">
        <x:v>0.6861861861861862</x:v>
      </x:c>
      <x:c r="H432" s="36" t="n">
        <x:f>E432*G432</x:f>
        <x:v>2572.5120120120123</x:v>
      </x:c>
      <x:c r="I432" s="36" t="n">
        <x:f>IFERROR(H432/A432,0)</x:f>
        <x:v>2572.5120120120123</x:v>
      </x:c>
      <x:c r="J432" s="67" t="str">
        <x:v>Modeled from live base + Sep-2026 quality ratio</x:v>
      </x:c>
      <x:c r="K432" s="67" t="str">
        <x:v>https://www.stonealgo.com/diamond-prices/</x:v>
      </x:c>
      <x:c r="L432" s="67" t="str">
        <x:v>https://www.pricescope.com/blog/natural-diamond-prices-september-2026</x:v>
      </x:c>
    </x:row>
    <x:row r="433">
      <x:c r="A433" t="n">
        <x:v>1</x:v>
      </x:c>
      <x:c r="B433" t="str">
        <x:v>Pear</x:v>
      </x:c>
      <x:c r="C433" t="str">
        <x:v>I</x:v>
      </x:c>
      <x:c r="D433" t="str">
        <x:v>SI2</x:v>
      </x:c>
      <x:c r="E433" s="36" t="n">
        <x:v>3749</x:v>
      </x:c>
      <x:c r="F433" s="36" t="n">
        <x:v>2874</x:v>
      </x:c>
      <x:c r="G433" s="42" t="n">
        <x:v>0.6164736164736164</x:v>
      </x:c>
      <x:c r="H433" s="36" t="n">
        <x:f>E433*G433</x:f>
        <x:v>2311.159588159588</x:v>
      </x:c>
      <x:c r="I433" s="36" t="n">
        <x:f>IFERROR(H433/A433,0)</x:f>
        <x:v>2311.159588159588</x:v>
      </x:c>
      <x:c r="J433" s="67" t="str">
        <x:v>Modeled from live base + Sep-2026 quality ratio</x:v>
      </x:c>
      <x:c r="K433" s="67" t="str">
        <x:v>https://www.stonealgo.com/diamond-prices/</x:v>
      </x:c>
      <x:c r="L433" s="67" t="str">
        <x:v>https://www.pricescope.com/blog/natural-diamond-prices-september-2026</x:v>
      </x:c>
    </x:row>
    <x:row r="434">
      <x:c r="A434" t="n">
        <x:v>1</x:v>
      </x:c>
      <x:c r="B434" t="str">
        <x:v>Pear</x:v>
      </x:c>
      <x:c r="C434" t="str">
        <x:v>J</x:v>
      </x:c>
      <x:c r="D434" t="str">
        <x:v>FL</x:v>
      </x:c>
      <x:c r="E434" s="36" t="n">
        <x:v>3749</x:v>
      </x:c>
      <x:c r="F434" s="36" t="n">
        <x:v>3646</x:v>
      </x:c>
      <x:c r="G434" s="42" t="n">
        <x:v>0.782067782067782</x:v>
      </x:c>
      <x:c r="H434" s="36" t="n">
        <x:f>E434*G434</x:f>
        <x:v>2931.972114972115</x:v>
      </x:c>
      <x:c r="I434" s="36" t="n">
        <x:f>IFERROR(H434/A434,0)</x:f>
        <x:v>2931.972114972115</x:v>
      </x:c>
      <x:c r="J434" s="67" t="str">
        <x:v>Modeled from live base + Sep-2026 quality ratio</x:v>
      </x:c>
      <x:c r="K434" s="67" t="str">
        <x:v>https://www.stonealgo.com/diamond-prices/</x:v>
      </x:c>
      <x:c r="L434" s="67" t="str">
        <x:v>https://www.pricescope.com/blog/natural-diamond-prices-september-2026</x:v>
      </x:c>
    </x:row>
    <x:row r="435">
      <x:c r="A435" t="n">
        <x:v>1</x:v>
      </x:c>
      <x:c r="B435" t="str">
        <x:v>Pear</x:v>
      </x:c>
      <x:c r="C435" t="str">
        <x:v>J</x:v>
      </x:c>
      <x:c r="D435" t="str">
        <x:v>IF</x:v>
      </x:c>
      <x:c r="E435" s="36" t="n">
        <x:v>3749</x:v>
      </x:c>
      <x:c r="F435" s="36" t="n">
        <x:v>3368</x:v>
      </x:c>
      <x:c r="G435" s="42" t="n">
        <x:v>0.7224367224367224</x:v>
      </x:c>
      <x:c r="H435" s="36" t="n">
        <x:f>E435*G435</x:f>
        <x:v>2708.4152724152723</x:v>
      </x:c>
      <x:c r="I435" s="36" t="n">
        <x:f>IFERROR(H435/A435,0)</x:f>
        <x:v>2708.4152724152723</x:v>
      </x:c>
      <x:c r="J435" s="67" t="str">
        <x:v>Modeled from live base + Sep-2026 quality ratio</x:v>
      </x:c>
      <x:c r="K435" s="67" t="str">
        <x:v>https://www.stonealgo.com/diamond-prices/</x:v>
      </x:c>
      <x:c r="L435" s="67" t="str">
        <x:v>https://www.pricescope.com/blog/natural-diamond-prices-september-2026</x:v>
      </x:c>
    </x:row>
    <x:row r="436">
      <x:c r="A436" t="n">
        <x:v>1</x:v>
      </x:c>
      <x:c r="B436" t="str">
        <x:v>Pear</x:v>
      </x:c>
      <x:c r="C436" t="str">
        <x:v>J</x:v>
      </x:c>
      <x:c r="D436" t="str">
        <x:v>VVS1</x:v>
      </x:c>
      <x:c r="E436" s="36" t="n">
        <x:v>3749</x:v>
      </x:c>
      <x:c r="F436" s="36" t="n">
        <x:v>2956</x:v>
      </x:c>
      <x:c r="G436" s="42" t="n">
        <x:v>0.6340626340626341</x:v>
      </x:c>
      <x:c r="H436" s="36" t="n">
        <x:f>E436*G436</x:f>
        <x:v>2377.100815100815</x:v>
      </x:c>
      <x:c r="I436" s="36" t="n">
        <x:f>IFERROR(H436/A436,0)</x:f>
        <x:v>2377.100815100815</x:v>
      </x:c>
      <x:c r="J436" s="67" t="str">
        <x:v>Modeled from live base + Sep-2026 quality ratio</x:v>
      </x:c>
      <x:c r="K436" s="67" t="str">
        <x:v>https://www.stonealgo.com/diamond-prices/</x:v>
      </x:c>
      <x:c r="L436" s="67" t="str">
        <x:v>https://www.pricescope.com/blog/natural-diamond-prices-september-2026</x:v>
      </x:c>
    </x:row>
    <x:row r="437">
      <x:c r="A437" t="n">
        <x:v>1</x:v>
      </x:c>
      <x:c r="B437" t="str">
        <x:v>Pear</x:v>
      </x:c>
      <x:c r="C437" t="str">
        <x:v>J</x:v>
      </x:c>
      <x:c r="D437" t="str">
        <x:v>VVS2</x:v>
      </x:c>
      <x:c r="E437" s="36" t="n">
        <x:v>3749</x:v>
      </x:c>
      <x:c r="F437" s="36" t="n">
        <x:v>2612</x:v>
      </x:c>
      <x:c r="G437" s="42" t="n">
        <x:v>0.5602745602745602</x:v>
      </x:c>
      <x:c r="H437" s="36" t="n">
        <x:f>E437*G437</x:f>
        <x:v>2100.4693264693265</x:v>
      </x:c>
      <x:c r="I437" s="36" t="n">
        <x:f>IFERROR(H437/A437,0)</x:f>
        <x:v>2100.4693264693265</x:v>
      </x:c>
      <x:c r="J437" s="67" t="str">
        <x:v>Modeled from live base + Sep-2026 quality ratio</x:v>
      </x:c>
      <x:c r="K437" s="67" t="str">
        <x:v>https://www.stonealgo.com/diamond-prices/</x:v>
      </x:c>
      <x:c r="L437" s="67" t="str">
        <x:v>https://www.pricescope.com/blog/natural-diamond-prices-september-2026</x:v>
      </x:c>
    </x:row>
    <x:row r="438">
      <x:c r="A438" t="n">
        <x:v>1</x:v>
      </x:c>
      <x:c r="B438" t="str">
        <x:v>Pear</x:v>
      </x:c>
      <x:c r="C438" t="str">
        <x:v>J</x:v>
      </x:c>
      <x:c r="D438" t="str">
        <x:v>VS1</x:v>
      </x:c>
      <x:c r="E438" s="36" t="n">
        <x:v>3749</x:v>
      </x:c>
      <x:c r="F438" s="36" t="n">
        <x:v>3002</x:v>
      </x:c>
      <x:c r="G438" s="42" t="n">
        <x:v>0.6439296439296439</x:v>
      </x:c>
      <x:c r="H438" s="36" t="n">
        <x:f>E438*G438</x:f>
        <x:v>2414.092235092235</x:v>
      </x:c>
      <x:c r="I438" s="36" t="n">
        <x:f>IFERROR(H438/A438,0)</x:f>
        <x:v>2414.092235092235</x:v>
      </x:c>
      <x:c r="J438" s="67" t="str">
        <x:v>Modeled from live base + Sep-2026 quality ratio</x:v>
      </x:c>
      <x:c r="K438" s="67" t="str">
        <x:v>https://www.stonealgo.com/diamond-prices/</x:v>
      </x:c>
      <x:c r="L438" s="67" t="str">
        <x:v>https://www.pricescope.com/blog/natural-diamond-prices-september-2026</x:v>
      </x:c>
    </x:row>
    <x:row r="439">
      <x:c r="A439" t="n">
        <x:v>1</x:v>
      </x:c>
      <x:c r="B439" t="str">
        <x:v>Pear</x:v>
      </x:c>
      <x:c r="C439" t="str">
        <x:v>J</x:v>
      </x:c>
      <x:c r="D439" t="str">
        <x:v>VS2</x:v>
      </x:c>
      <x:c r="E439" s="36" t="n">
        <x:v>3749</x:v>
      </x:c>
      <x:c r="F439" s="36" t="n">
        <x:v>2559</x:v>
      </x:c>
      <x:c r="G439" s="42" t="n">
        <x:v>0.5489060489060489</x:v>
      </x:c>
      <x:c r="H439" s="36" t="n">
        <x:f>E439*G439</x:f>
        <x:v>2057.8487773487773</x:v>
      </x:c>
      <x:c r="I439" s="36" t="n">
        <x:f>IFERROR(H439/A439,0)</x:f>
        <x:v>2057.8487773487773</x:v>
      </x:c>
      <x:c r="J439" s="67" t="str">
        <x:v>Modeled from live base + Sep-2026 quality ratio</x:v>
      </x:c>
      <x:c r="K439" s="67" t="str">
        <x:v>https://www.stonealgo.com/diamond-prices/</x:v>
      </x:c>
      <x:c r="L439" s="67" t="str">
        <x:v>https://www.pricescope.com/blog/natural-diamond-prices-september-2026</x:v>
      </x:c>
    </x:row>
    <x:row r="440">
      <x:c r="A440" t="n">
        <x:v>1</x:v>
      </x:c>
      <x:c r="B440" t="str">
        <x:v>Pear</x:v>
      </x:c>
      <x:c r="C440" t="str">
        <x:v>J</x:v>
      </x:c>
      <x:c r="D440" t="str">
        <x:v>SI1</x:v>
      </x:c>
      <x:c r="E440" s="36" t="n">
        <x:v>3749</x:v>
      </x:c>
      <x:c r="F440" s="36" t="n">
        <x:v>2195</x:v>
      </x:c>
      <x:c r="G440" s="42" t="n">
        <x:v>0.47082797082797084</x:v>
      </x:c>
      <x:c r="H440" s="36" t="n">
        <x:f>E440*G440</x:f>
        <x:v>1765.1340626340627</x:v>
      </x:c>
      <x:c r="I440" s="36" t="n">
        <x:f>IFERROR(H440/A440,0)</x:f>
        <x:v>1765.1340626340627</x:v>
      </x:c>
      <x:c r="J440" s="67" t="str">
        <x:v>Modeled from live base + Sep-2026 quality ratio</x:v>
      </x:c>
      <x:c r="K440" s="67" t="str">
        <x:v>https://www.stonealgo.com/diamond-prices/</x:v>
      </x:c>
      <x:c r="L440" s="67" t="str">
        <x:v>https://www.pricescope.com/blog/natural-diamond-prices-september-2026</x:v>
      </x:c>
    </x:row>
    <x:row r="441">
      <x:c r="A441" t="n">
        <x:v>1</x:v>
      </x:c>
      <x:c r="B441" t="str">
        <x:v>Pear</x:v>
      </x:c>
      <x:c r="C441" t="str">
        <x:v>J</x:v>
      </x:c>
      <x:c r="D441" t="str">
        <x:v>SI2</x:v>
      </x:c>
      <x:c r="E441" s="36" t="n">
        <x:v>3749</x:v>
      </x:c>
      <x:c r="F441" s="36" t="n">
        <x:v>2079</x:v>
      </x:c>
      <x:c r="G441" s="42" t="n">
        <x:v>0.44594594594594594</x:v>
      </x:c>
      <x:c r="H441" s="36" t="n">
        <x:f>E441*G441</x:f>
        <x:v>1671.8513513513512</x:v>
      </x:c>
      <x:c r="I441" s="36" t="n">
        <x:f>IFERROR(H441/A441,0)</x:f>
        <x:v>1671.8513513513512</x:v>
      </x:c>
      <x:c r="J441" s="67" t="str">
        <x:v>Modeled from live base + Sep-2026 quality ratio</x:v>
      </x:c>
      <x:c r="K441" s="67" t="str">
        <x:v>https://www.stonealgo.com/diamond-prices/</x:v>
      </x:c>
      <x:c r="L441" s="67" t="str">
        <x:v>https://www.pricescope.com/blog/natural-diamond-prices-september-2026</x:v>
      </x:c>
    </x:row>
    <x:row r="442">
      <x:c r="A442" t="n">
        <x:v>1</x:v>
      </x:c>
      <x:c r="B442" t="str">
        <x:v>Pear</x:v>
      </x:c>
      <x:c r="C442" t="str">
        <x:v>K</x:v>
      </x:c>
      <x:c r="D442" t="str">
        <x:v>FL</x:v>
      </x:c>
      <x:c r="E442" s="36" t="n">
        <x:v>3749</x:v>
      </x:c>
      <x:c r="F442" s="36" t="n">
        <x:v>2858</x:v>
      </x:c>
      <x:c r="G442" s="42" t="n">
        <x:v>0.6130416130416131</x:v>
      </x:c>
      <x:c r="H442" s="36" t="n">
        <x:f>E442*G442</x:f>
        <x:v>2298.2930072930076</x:v>
      </x:c>
      <x:c r="I442" s="36" t="n">
        <x:f>IFERROR(H442/A442,0)</x:f>
        <x:v>2298.2930072930076</x:v>
      </x:c>
      <x:c r="J442" s="67" t="str">
        <x:v>Modeled from live base + Sep-2026 quality ratio; K/FL quality cell modeled</x:v>
      </x:c>
      <x:c r="K442" s="67" t="str">
        <x:v>https://www.stonealgo.com/diamond-prices/</x:v>
      </x:c>
      <x:c r="L442" s="67" t="str">
        <x:v>https://www.pricescope.com/blog/natural-diamond-prices-september-2026</x:v>
      </x:c>
    </x:row>
    <x:row r="443">
      <x:c r="A443" t="n">
        <x:v>1</x:v>
      </x:c>
      <x:c r="B443" t="str">
        <x:v>Pear</x:v>
      </x:c>
      <x:c r="C443" t="str">
        <x:v>K</x:v>
      </x:c>
      <x:c r="D443" t="str">
        <x:v>IF</x:v>
      </x:c>
      <x:c r="E443" s="36" t="n">
        <x:v>3749</x:v>
      </x:c>
      <x:c r="F443" s="36" t="n">
        <x:v>2743</x:v>
      </x:c>
      <x:c r="G443" s="42" t="n">
        <x:v>0.5883740883740883</x:v>
      </x:c>
      <x:c r="H443" s="36" t="n">
        <x:f>E443*G443</x:f>
        <x:v>2205.8144573144573</x:v>
      </x:c>
      <x:c r="I443" s="36" t="n">
        <x:f>IFERROR(H443/A443,0)</x:f>
        <x:v>2205.8144573144573</x:v>
      </x:c>
      <x:c r="J443" s="67" t="str">
        <x:v>Modeled from live base + Sep-2026 quality ratio</x:v>
      </x:c>
      <x:c r="K443" s="67" t="str">
        <x:v>https://www.stonealgo.com/diamond-prices/</x:v>
      </x:c>
      <x:c r="L443" s="67" t="str">
        <x:v>https://www.pricescope.com/blog/natural-diamond-prices-september-2026</x:v>
      </x:c>
    </x:row>
    <x:row r="444">
      <x:c r="A444" t="n">
        <x:v>1</x:v>
      </x:c>
      <x:c r="B444" t="str">
        <x:v>Pear</x:v>
      </x:c>
      <x:c r="C444" t="str">
        <x:v>K</x:v>
      </x:c>
      <x:c r="D444" t="str">
        <x:v>VVS1</x:v>
      </x:c>
      <x:c r="E444" s="36" t="n">
        <x:v>3749</x:v>
      </x:c>
      <x:c r="F444" s="36" t="n">
        <x:v>2529</x:v>
      </x:c>
      <x:c r="G444" s="42" t="n">
        <x:v>0.5424710424710425</x:v>
      </x:c>
      <x:c r="H444" s="36" t="n">
        <x:f>E444*G444</x:f>
        <x:v>2033.7239382239384</x:v>
      </x:c>
      <x:c r="I444" s="36" t="n">
        <x:f>IFERROR(H444/A444,0)</x:f>
        <x:v>2033.7239382239384</x:v>
      </x:c>
      <x:c r="J444" s="67" t="str">
        <x:v>Modeled from live base + Sep-2026 quality ratio</x:v>
      </x:c>
      <x:c r="K444" s="67" t="str">
        <x:v>https://www.stonealgo.com/diamond-prices/</x:v>
      </x:c>
      <x:c r="L444" s="67" t="str">
        <x:v>https://www.pricescope.com/blog/natural-diamond-prices-september-2026</x:v>
      </x:c>
    </x:row>
    <x:row r="445">
      <x:c r="A445" t="n">
        <x:v>1</x:v>
      </x:c>
      <x:c r="B445" t="str">
        <x:v>Pear</x:v>
      </x:c>
      <x:c r="C445" t="str">
        <x:v>K</x:v>
      </x:c>
      <x:c r="D445" t="str">
        <x:v>VVS2</x:v>
      </x:c>
      <x:c r="E445" s="36" t="n">
        <x:v>3749</x:v>
      </x:c>
      <x:c r="F445" s="36" t="n">
        <x:v>2374</x:v>
      </x:c>
      <x:c r="G445" s="42" t="n">
        <x:v>0.5092235092235092</x:v>
      </x:c>
      <x:c r="H445" s="36" t="n">
        <x:f>E445*G445</x:f>
        <x:v>1909.078936078936</x:v>
      </x:c>
      <x:c r="I445" s="36" t="n">
        <x:f>IFERROR(H445/A445,0)</x:f>
        <x:v>1909.078936078936</x:v>
      </x:c>
      <x:c r="J445" s="67" t="str">
        <x:v>Modeled from live base + Sep-2026 quality ratio</x:v>
      </x:c>
      <x:c r="K445" s="67" t="str">
        <x:v>https://www.stonealgo.com/diamond-prices/</x:v>
      </x:c>
      <x:c r="L445" s="67" t="str">
        <x:v>https://www.pricescope.com/blog/natural-diamond-prices-september-2026</x:v>
      </x:c>
    </x:row>
    <x:row r="446">
      <x:c r="A446" t="n">
        <x:v>1</x:v>
      </x:c>
      <x:c r="B446" t="str">
        <x:v>Pear</x:v>
      </x:c>
      <x:c r="C446" t="str">
        <x:v>K</x:v>
      </x:c>
      <x:c r="D446" t="str">
        <x:v>VS1</x:v>
      </x:c>
      <x:c r="E446" s="36" t="n">
        <x:v>3749</x:v>
      </x:c>
      <x:c r="F446" s="36" t="n">
        <x:v>2223</x:v>
      </x:c>
      <x:c r="G446" s="42" t="n">
        <x:v>0.4768339768339768</x:v>
      </x:c>
      <x:c r="H446" s="36" t="n">
        <x:f>E446*G446</x:f>
        <x:v>1787.650579150579</x:v>
      </x:c>
      <x:c r="I446" s="36" t="n">
        <x:f>IFERROR(H446/A446,0)</x:f>
        <x:v>1787.650579150579</x:v>
      </x:c>
      <x:c r="J446" s="67" t="str">
        <x:v>Modeled from live base + Sep-2026 quality ratio</x:v>
      </x:c>
      <x:c r="K446" s="67" t="str">
        <x:v>https://www.stonealgo.com/diamond-prices/</x:v>
      </x:c>
      <x:c r="L446" s="67" t="str">
        <x:v>https://www.pricescope.com/blog/natural-diamond-prices-september-2026</x:v>
      </x:c>
    </x:row>
    <x:row r="447">
      <x:c r="A447" t="n">
        <x:v>1</x:v>
      </x:c>
      <x:c r="B447" t="str">
        <x:v>Pear</x:v>
      </x:c>
      <x:c r="C447" t="str">
        <x:v>K</x:v>
      </x:c>
      <x:c r="D447" t="str">
        <x:v>VS2</x:v>
      </x:c>
      <x:c r="E447" s="36" t="n">
        <x:v>3749</x:v>
      </x:c>
      <x:c r="F447" s="36" t="n">
        <x:v>2098</x:v>
      </x:c>
      <x:c r="G447" s="42" t="n">
        <x:v>0.45002145002145</x:v>
      </x:c>
      <x:c r="H447" s="36" t="n">
        <x:f>E447*G447</x:f>
        <x:v>1687.130416130416</x:v>
      </x:c>
      <x:c r="I447" s="36" t="n">
        <x:f>IFERROR(H447/A447,0)</x:f>
        <x:v>1687.130416130416</x:v>
      </x:c>
      <x:c r="J447" s="67" t="str">
        <x:v>Modeled from live base + Sep-2026 quality ratio</x:v>
      </x:c>
      <x:c r="K447" s="67" t="str">
        <x:v>https://www.stonealgo.com/diamond-prices/</x:v>
      </x:c>
      <x:c r="L447" s="67" t="str">
        <x:v>https://www.pricescope.com/blog/natural-diamond-prices-september-2026</x:v>
      </x:c>
    </x:row>
    <x:row r="448">
      <x:c r="A448" t="n">
        <x:v>1</x:v>
      </x:c>
      <x:c r="B448" t="str">
        <x:v>Pear</x:v>
      </x:c>
      <x:c r="C448" t="str">
        <x:v>K</x:v>
      </x:c>
      <x:c r="D448" t="str">
        <x:v>SI1</x:v>
      </x:c>
      <x:c r="E448" s="36" t="n">
        <x:v>3749</x:v>
      </x:c>
      <x:c r="F448" s="36" t="n">
        <x:v>1922</x:v>
      </x:c>
      <x:c r="G448" s="42" t="n">
        <x:v>0.41226941226941227</x:v>
      </x:c>
      <x:c r="H448" s="36" t="n">
        <x:f>E448*G448</x:f>
        <x:v>1545.5980265980265</x:v>
      </x:c>
      <x:c r="I448" s="36" t="n">
        <x:f>IFERROR(H448/A448,0)</x:f>
        <x:v>1545.5980265980265</x:v>
      </x:c>
      <x:c r="J448" s="67" t="str">
        <x:v>Modeled from live base + Sep-2026 quality ratio</x:v>
      </x:c>
      <x:c r="K448" s="67" t="str">
        <x:v>https://www.stonealgo.com/diamond-prices/</x:v>
      </x:c>
      <x:c r="L448" s="67" t="str">
        <x:v>https://www.pricescope.com/blog/natural-diamond-prices-september-2026</x:v>
      </x:c>
    </x:row>
    <x:row r="449">
      <x:c r="A449" t="n">
        <x:v>1</x:v>
      </x:c>
      <x:c r="B449" t="str">
        <x:v>Pear</x:v>
      </x:c>
      <x:c r="C449" t="str">
        <x:v>K</x:v>
      </x:c>
      <x:c r="D449" t="str">
        <x:v>SI2</x:v>
      </x:c>
      <x:c r="E449" s="36" t="n">
        <x:v>3749</x:v>
      </x:c>
      <x:c r="F449" s="36" t="n">
        <x:v>1764</x:v>
      </x:c>
      <x:c r="G449" s="42" t="n">
        <x:v>0.3783783783783784</x:v>
      </x:c>
      <x:c r="H449" s="36" t="n">
        <x:f>E449*G449</x:f>
        <x:v>1418.5405405405406</x:v>
      </x:c>
      <x:c r="I449" s="36" t="n">
        <x:f>IFERROR(H449/A449,0)</x:f>
        <x:v>1418.5405405405406</x:v>
      </x:c>
      <x:c r="J449" s="67" t="str">
        <x:v>Modeled from live base + Sep-2026 quality ratio</x:v>
      </x:c>
      <x:c r="K449" s="67" t="str">
        <x:v>https://www.stonealgo.com/diamond-prices/</x:v>
      </x:c>
      <x:c r="L449" s="67" t="str">
        <x:v>https://www.pricescope.com/blog/natural-diamond-prices-september-2026</x:v>
      </x:c>
    </x:row>
    <x:row r="450">
      <x:c r="A450" t="n">
        <x:v>1</x:v>
      </x:c>
      <x:c r="B450" t="str">
        <x:v>Heart</x:v>
      </x:c>
      <x:c r="C450" t="str">
        <x:v>D</x:v>
      </x:c>
      <x:c r="D450" t="str">
        <x:v>FL</x:v>
      </x:c>
      <x:c r="E450" s="36" t="n">
        <x:v>2530</x:v>
      </x:c>
      <x:c r="F450" s="36" t="n">
        <x:v>12665</x:v>
      </x:c>
      <x:c r="G450" s="42" t="n">
        <x:v>2.7166452166452166</x:v>
      </x:c>
      <x:c r="H450" s="36" t="n">
        <x:f>E450*G450</x:f>
        <x:v>6873.112398112398</x:v>
      </x:c>
      <x:c r="I450" s="36" t="n">
        <x:f>IFERROR(H450/A450,0)</x:f>
        <x:v>6873.112398112398</x:v>
      </x:c>
      <x:c r="J450" s="67" t="str">
        <x:v>Modeled from live base + Sep-2026 quality ratio</x:v>
      </x:c>
      <x:c r="K450" s="67" t="str">
        <x:v>https://www.stonealgo.com/diamond-prices/</x:v>
      </x:c>
      <x:c r="L450" s="67" t="str">
        <x:v>https://www.pricescope.com/blog/natural-diamond-prices-september-2026</x:v>
      </x:c>
    </x:row>
    <x:row r="451">
      <x:c r="A451" t="n">
        <x:v>1</x:v>
      </x:c>
      <x:c r="B451" t="str">
        <x:v>Heart</x:v>
      </x:c>
      <x:c r="C451" t="str">
        <x:v>D</x:v>
      </x:c>
      <x:c r="D451" t="str">
        <x:v>IF</x:v>
      </x:c>
      <x:c r="E451" s="36" t="n">
        <x:v>2530</x:v>
      </x:c>
      <x:c r="F451" s="36" t="n">
        <x:v>13240</x:v>
      </x:c>
      <x:c r="G451" s="42" t="n">
        <x:v>2.83998283998284</x:v>
      </x:c>
      <x:c r="H451" s="36" t="n">
        <x:f>E451*G451</x:f>
        <x:v>7185.156585156586</x:v>
      </x:c>
      <x:c r="I451" s="36" t="n">
        <x:f>IFERROR(H451/A451,0)</x:f>
        <x:v>7185.156585156586</x:v>
      </x:c>
      <x:c r="J451" s="67" t="str">
        <x:v>Modeled from live base + Sep-2026 quality ratio</x:v>
      </x:c>
      <x:c r="K451" s="67" t="str">
        <x:v>https://www.stonealgo.com/diamond-prices/</x:v>
      </x:c>
      <x:c r="L451" s="67" t="str">
        <x:v>https://www.pricescope.com/blog/natural-diamond-prices-september-2026</x:v>
      </x:c>
    </x:row>
    <x:row r="452">
      <x:c r="A452" t="n">
        <x:v>1</x:v>
      </x:c>
      <x:c r="B452" t="str">
        <x:v>Heart</x:v>
      </x:c>
      <x:c r="C452" t="str">
        <x:v>D</x:v>
      </x:c>
      <x:c r="D452" t="str">
        <x:v>VVS1</x:v>
      </x:c>
      <x:c r="E452" s="36" t="n">
        <x:v>2530</x:v>
      </x:c>
      <x:c r="F452" s="36" t="n">
        <x:v>9555</x:v>
      </x:c>
      <x:c r="G452" s="42" t="n">
        <x:v>2.0495495495495497</x:v>
      </x:c>
      <x:c r="H452" s="36" t="n">
        <x:f>E452*G452</x:f>
        <x:v>5185.360360360361</x:v>
      </x:c>
      <x:c r="I452" s="36" t="n">
        <x:f>IFERROR(H452/A452,0)</x:f>
        <x:v>5185.360360360361</x:v>
      </x:c>
      <x:c r="J452" s="67" t="str">
        <x:v>Modeled from live base + Sep-2026 quality ratio</x:v>
      </x:c>
      <x:c r="K452" s="67" t="str">
        <x:v>https://www.stonealgo.com/diamond-prices/</x:v>
      </x:c>
      <x:c r="L452" s="67" t="str">
        <x:v>https://www.pricescope.com/blog/natural-diamond-prices-september-2026</x:v>
      </x:c>
    </x:row>
    <x:row r="453">
      <x:c r="A453" t="n">
        <x:v>1</x:v>
      </x:c>
      <x:c r="B453" t="str">
        <x:v>Heart</x:v>
      </x:c>
      <x:c r="C453" t="str">
        <x:v>D</x:v>
      </x:c>
      <x:c r="D453" t="str">
        <x:v>VVS2</x:v>
      </x:c>
      <x:c r="E453" s="36" t="n">
        <x:v>2530</x:v>
      </x:c>
      <x:c r="F453" s="36" t="n">
        <x:v>6660</x:v>
      </x:c>
      <x:c r="G453" s="42" t="n">
        <x:v>1.4285714285714286</x:v>
      </x:c>
      <x:c r="H453" s="36" t="n">
        <x:f>E453*G453</x:f>
        <x:v>3614.285714285714</x:v>
      </x:c>
      <x:c r="I453" s="36" t="n">
        <x:f>IFERROR(H453/A453,0)</x:f>
        <x:v>3614.285714285714</x:v>
      </x:c>
      <x:c r="J453" s="67" t="str">
        <x:v>Modeled from live base + Sep-2026 quality ratio</x:v>
      </x:c>
      <x:c r="K453" s="67" t="str">
        <x:v>https://www.stonealgo.com/diamond-prices/</x:v>
      </x:c>
      <x:c r="L453" s="67" t="str">
        <x:v>https://www.pricescope.com/blog/natural-diamond-prices-september-2026</x:v>
      </x:c>
    </x:row>
    <x:row r="454">
      <x:c r="A454" t="n">
        <x:v>1</x:v>
      </x:c>
      <x:c r="B454" t="str">
        <x:v>Heart</x:v>
      </x:c>
      <x:c r="C454" t="str">
        <x:v>D</x:v>
      </x:c>
      <x:c r="D454" t="str">
        <x:v>VS1</x:v>
      </x:c>
      <x:c r="E454" s="36" t="n">
        <x:v>2530</x:v>
      </x:c>
      <x:c r="F454" s="36" t="n">
        <x:v>6247</x:v>
      </x:c>
      <x:c r="G454" s="42" t="n">
        <x:v>1.33998283998284</x:v>
      </x:c>
      <x:c r="H454" s="36" t="n">
        <x:f>E454*G454</x:f>
        <x:v>3390.156585156585</x:v>
      </x:c>
      <x:c r="I454" s="36" t="n">
        <x:f>IFERROR(H454/A454,0)</x:f>
        <x:v>3390.156585156585</x:v>
      </x:c>
      <x:c r="J454" s="67" t="str">
        <x:v>Modeled from live base + Sep-2026 quality ratio</x:v>
      </x:c>
      <x:c r="K454" s="67" t="str">
        <x:v>https://www.stonealgo.com/diamond-prices/</x:v>
      </x:c>
      <x:c r="L454" s="67" t="str">
        <x:v>https://www.pricescope.com/blog/natural-diamond-prices-september-2026</x:v>
      </x:c>
    </x:row>
    <x:row r="455">
      <x:c r="A455" t="n">
        <x:v>1</x:v>
      </x:c>
      <x:c r="B455" t="str">
        <x:v>Heart</x:v>
      </x:c>
      <x:c r="C455" t="str">
        <x:v>D</x:v>
      </x:c>
      <x:c r="D455" t="str">
        <x:v>VS2</x:v>
      </x:c>
      <x:c r="E455" s="36" t="n">
        <x:v>2530</x:v>
      </x:c>
      <x:c r="F455" s="36" t="n">
        <x:v>5841</x:v>
      </x:c>
      <x:c r="G455" s="42" t="n">
        <x:v>1.252895752895753</x:v>
      </x:c>
      <x:c r="H455" s="36" t="n">
        <x:f>E455*G455</x:f>
        <x:v>3169.826254826255</x:v>
      </x:c>
      <x:c r="I455" s="36" t="n">
        <x:f>IFERROR(H455/A455,0)</x:f>
        <x:v>3169.826254826255</x:v>
      </x:c>
      <x:c r="J455" s="67" t="str">
        <x:v>Modeled from live base + Sep-2026 quality ratio</x:v>
      </x:c>
      <x:c r="K455" s="67" t="str">
        <x:v>https://www.stonealgo.com/diamond-prices/</x:v>
      </x:c>
      <x:c r="L455" s="67" t="str">
        <x:v>https://www.pricescope.com/blog/natural-diamond-prices-september-2026</x:v>
      </x:c>
    </x:row>
    <x:row r="456">
      <x:c r="A456" t="n">
        <x:v>1</x:v>
      </x:c>
      <x:c r="B456" t="str">
        <x:v>Heart</x:v>
      </x:c>
      <x:c r="C456" t="str">
        <x:v>D</x:v>
      </x:c>
      <x:c r="D456" t="str">
        <x:v>SI1</x:v>
      </x:c>
      <x:c r="E456" s="36" t="n">
        <x:v>2530</x:v>
      </x:c>
      <x:c r="F456" s="36" t="n">
        <x:v>3762</x:v>
      </x:c>
      <x:c r="G456" s="42" t="n">
        <x:v>0.806949806949807</x:v>
      </x:c>
      <x:c r="H456" s="36" t="n">
        <x:f>E456*G456</x:f>
        <x:v>2041.5830115830117</x:v>
      </x:c>
      <x:c r="I456" s="36" t="n">
        <x:f>IFERROR(H456/A456,0)</x:f>
        <x:v>2041.5830115830117</x:v>
      </x:c>
      <x:c r="J456" s="67" t="str">
        <x:v>Modeled from live base + Sep-2026 quality ratio</x:v>
      </x:c>
      <x:c r="K456" s="67" t="str">
        <x:v>https://www.stonealgo.com/diamond-prices/</x:v>
      </x:c>
      <x:c r="L456" s="67" t="str">
        <x:v>https://www.pricescope.com/blog/natural-diamond-prices-september-2026</x:v>
      </x:c>
    </x:row>
    <x:row r="457">
      <x:c r="A457" t="n">
        <x:v>1</x:v>
      </x:c>
      <x:c r="B457" t="str">
        <x:v>Heart</x:v>
      </x:c>
      <x:c r="C457" t="str">
        <x:v>D</x:v>
      </x:c>
      <x:c r="D457" t="str">
        <x:v>SI2</x:v>
      </x:c>
      <x:c r="E457" s="36" t="n">
        <x:v>2530</x:v>
      </x:c>
      <x:c r="F457" s="36" t="n">
        <x:v>3026</x:v>
      </x:c>
      <x:c r="G457" s="42" t="n">
        <x:v>0.6490776490776491</x:v>
      </x:c>
      <x:c r="H457" s="36" t="n">
        <x:f>E457*G457</x:f>
        <x:v>1642.1664521664522</x:v>
      </x:c>
      <x:c r="I457" s="36" t="n">
        <x:f>IFERROR(H457/A457,0)</x:f>
        <x:v>1642.1664521664522</x:v>
      </x:c>
      <x:c r="J457" s="67" t="str">
        <x:v>Modeled from live base + Sep-2026 quality ratio</x:v>
      </x:c>
      <x:c r="K457" s="67" t="str">
        <x:v>https://www.stonealgo.com/diamond-prices/</x:v>
      </x:c>
      <x:c r="L457" s="67" t="str">
        <x:v>https://www.pricescope.com/blog/natural-diamond-prices-september-2026</x:v>
      </x:c>
    </x:row>
    <x:row r="458">
      <x:c r="A458" t="n">
        <x:v>1</x:v>
      </x:c>
      <x:c r="B458" t="str">
        <x:v>Heart</x:v>
      </x:c>
      <x:c r="C458" t="str">
        <x:v>E</x:v>
      </x:c>
      <x:c r="D458" t="str">
        <x:v>FL</x:v>
      </x:c>
      <x:c r="E458" s="36" t="n">
        <x:v>2530</x:v>
      </x:c>
      <x:c r="F458" s="36" t="n">
        <x:v>10072</x:v>
      </x:c>
      <x:c r="G458" s="42" t="n">
        <x:v>2.1604461604461602</x:v>
      </x:c>
      <x:c r="H458" s="36" t="n">
        <x:f>E458*G458</x:f>
        <x:v>5465.928785928785</x:v>
      </x:c>
      <x:c r="I458" s="36" t="n">
        <x:f>IFERROR(H458/A458,0)</x:f>
        <x:v>5465.928785928785</x:v>
      </x:c>
      <x:c r="J458" s="67" t="str">
        <x:v>Modeled from live base + Sep-2026 quality ratio</x:v>
      </x:c>
      <x:c r="K458" s="67" t="str">
        <x:v>https://www.stonealgo.com/diamond-prices/</x:v>
      </x:c>
      <x:c r="L458" s="67" t="str">
        <x:v>https://www.pricescope.com/blog/natural-diamond-prices-september-2026</x:v>
      </x:c>
    </x:row>
    <x:row r="459">
      <x:c r="A459" t="n">
        <x:v>1</x:v>
      </x:c>
      <x:c r="B459" t="str">
        <x:v>Heart</x:v>
      </x:c>
      <x:c r="C459" t="str">
        <x:v>E</x:v>
      </x:c>
      <x:c r="D459" t="str">
        <x:v>IF</x:v>
      </x:c>
      <x:c r="E459" s="36" t="n">
        <x:v>2530</x:v>
      </x:c>
      <x:c r="F459" s="36" t="n">
        <x:v>8672</x:v>
      </x:c>
      <x:c r="G459" s="42" t="n">
        <x:v>1.8601458601458603</x:v>
      </x:c>
      <x:c r="H459" s="36" t="n">
        <x:f>E459*G459</x:f>
        <x:v>4706.169026169026</x:v>
      </x:c>
      <x:c r="I459" s="36" t="n">
        <x:f>IFERROR(H459/A459,0)</x:f>
        <x:v>4706.169026169026</x:v>
      </x:c>
      <x:c r="J459" s="67" t="str">
        <x:v>Modeled from live base + Sep-2026 quality ratio</x:v>
      </x:c>
      <x:c r="K459" s="67" t="str">
        <x:v>https://www.stonealgo.com/diamond-prices/</x:v>
      </x:c>
      <x:c r="L459" s="67" t="str">
        <x:v>https://www.pricescope.com/blog/natural-diamond-prices-september-2026</x:v>
      </x:c>
    </x:row>
    <x:row r="460">
      <x:c r="A460" t="n">
        <x:v>1</x:v>
      </x:c>
      <x:c r="B460" t="str">
        <x:v>Heart</x:v>
      </x:c>
      <x:c r="C460" t="str">
        <x:v>E</x:v>
      </x:c>
      <x:c r="D460" t="str">
        <x:v>VVS1</x:v>
      </x:c>
      <x:c r="E460" s="36" t="n">
        <x:v>2530</x:v>
      </x:c>
      <x:c r="F460" s="36" t="n">
        <x:v>7842</x:v>
      </x:c>
      <x:c r="G460" s="42" t="n">
        <x:v>1.6821106821106822</x:v>
      </x:c>
      <x:c r="H460" s="36" t="n">
        <x:f>E460*G460</x:f>
        <x:v>4255.740025740026</x:v>
      </x:c>
      <x:c r="I460" s="36" t="n">
        <x:f>IFERROR(H460/A460,0)</x:f>
        <x:v>4255.740025740026</x:v>
      </x:c>
      <x:c r="J460" s="67" t="str">
        <x:v>Modeled from live base + Sep-2026 quality ratio</x:v>
      </x:c>
      <x:c r="K460" s="67" t="str">
        <x:v>https://www.stonealgo.com/diamond-prices/</x:v>
      </x:c>
      <x:c r="L460" s="67" t="str">
        <x:v>https://www.pricescope.com/blog/natural-diamond-prices-september-2026</x:v>
      </x:c>
    </x:row>
    <x:row r="461">
      <x:c r="A461" t="n">
        <x:v>1</x:v>
      </x:c>
      <x:c r="B461" t="str">
        <x:v>Heart</x:v>
      </x:c>
      <x:c r="C461" t="str">
        <x:v>E</x:v>
      </x:c>
      <x:c r="D461" t="str">
        <x:v>VVS2</x:v>
      </x:c>
      <x:c r="E461" s="36" t="n">
        <x:v>2530</x:v>
      </x:c>
      <x:c r="F461" s="36" t="n">
        <x:v>6880</x:v>
      </x:c>
      <x:c r="G461" s="42" t="n">
        <x:v>1.4757614757614759</x:v>
      </x:c>
      <x:c r="H461" s="36" t="n">
        <x:f>E461*G461</x:f>
        <x:v>3733.676533676534</x:v>
      </x:c>
      <x:c r="I461" s="36" t="n">
        <x:f>IFERROR(H461/A461,0)</x:f>
        <x:v>3733.676533676534</x:v>
      </x:c>
      <x:c r="J461" s="67" t="str">
        <x:v>Modeled from live base + Sep-2026 quality ratio</x:v>
      </x:c>
      <x:c r="K461" s="67" t="str">
        <x:v>https://www.stonealgo.com/diamond-prices/</x:v>
      </x:c>
      <x:c r="L461" s="67" t="str">
        <x:v>https://www.pricescope.com/blog/natural-diamond-prices-september-2026</x:v>
      </x:c>
    </x:row>
    <x:row r="462">
      <x:c r="A462" t="n">
        <x:v>1</x:v>
      </x:c>
      <x:c r="B462" t="str">
        <x:v>Heart</x:v>
      </x:c>
      <x:c r="C462" t="str">
        <x:v>E</x:v>
      </x:c>
      <x:c r="D462" t="str">
        <x:v>VS1</x:v>
      </x:c>
      <x:c r="E462" s="36" t="n">
        <x:v>2530</x:v>
      </x:c>
      <x:c r="F462" s="36" t="n">
        <x:v>6307</x:v>
      </x:c>
      <x:c r="G462" s="42" t="n">
        <x:v>1.352852852852853</x:v>
      </x:c>
      <x:c r="H462" s="36" t="n">
        <x:f>E462*G462</x:f>
        <x:v>3422.717717717718</x:v>
      </x:c>
      <x:c r="I462" s="36" t="n">
        <x:f>IFERROR(H462/A462,0)</x:f>
        <x:v>3422.717717717718</x:v>
      </x:c>
      <x:c r="J462" s="67" t="str">
        <x:v>Modeled from live base + Sep-2026 quality ratio</x:v>
      </x:c>
      <x:c r="K462" s="67" t="str">
        <x:v>https://www.stonealgo.com/diamond-prices/</x:v>
      </x:c>
      <x:c r="L462" s="67" t="str">
        <x:v>https://www.pricescope.com/blog/natural-diamond-prices-september-2026</x:v>
      </x:c>
    </x:row>
    <x:row r="463">
      <x:c r="A463" t="n">
        <x:v>1</x:v>
      </x:c>
      <x:c r="B463" t="str">
        <x:v>Heart</x:v>
      </x:c>
      <x:c r="C463" t="str">
        <x:v>E</x:v>
      </x:c>
      <x:c r="D463" t="str">
        <x:v>VS2</x:v>
      </x:c>
      <x:c r="E463" s="36" t="n">
        <x:v>2530</x:v>
      </x:c>
      <x:c r="F463" s="36" t="n">
        <x:v>5249</x:v>
      </x:c>
      <x:c r="G463" s="42" t="n">
        <x:v>1.125911625911626</x:v>
      </x:c>
      <x:c r="H463" s="36" t="n">
        <x:f>E463*G463</x:f>
        <x:v>2848.5564135564136</x:v>
      </x:c>
      <x:c r="I463" s="36" t="n">
        <x:f>IFERROR(H463/A463,0)</x:f>
        <x:v>2848.5564135564136</x:v>
      </x:c>
      <x:c r="J463" s="67" t="str">
        <x:v>Modeled from live base + Sep-2026 quality ratio</x:v>
      </x:c>
      <x:c r="K463" s="67" t="str">
        <x:v>https://www.stonealgo.com/diamond-prices/</x:v>
      </x:c>
      <x:c r="L463" s="67" t="str">
        <x:v>https://www.pricescope.com/blog/natural-diamond-prices-september-2026</x:v>
      </x:c>
    </x:row>
    <x:row r="464">
      <x:c r="A464" t="n">
        <x:v>1</x:v>
      </x:c>
      <x:c r="B464" t="str">
        <x:v>Heart</x:v>
      </x:c>
      <x:c r="C464" t="str">
        <x:v>E</x:v>
      </x:c>
      <x:c r="D464" t="str">
        <x:v>SI1</x:v>
      </x:c>
      <x:c r="E464" s="36" t="n">
        <x:v>2530</x:v>
      </x:c>
      <x:c r="F464" s="36" t="n">
        <x:v>3551</x:v>
      </x:c>
      <x:c r="G464" s="42" t="n">
        <x:v>0.7616902616902617</x:v>
      </x:c>
      <x:c r="H464" s="36" t="n">
        <x:f>E464*G464</x:f>
        <x:v>1927.076362076362</x:v>
      </x:c>
      <x:c r="I464" s="36" t="n">
        <x:f>IFERROR(H464/A464,0)</x:f>
        <x:v>1927.076362076362</x:v>
      </x:c>
      <x:c r="J464" s="67" t="str">
        <x:v>Modeled from live base + Sep-2026 quality ratio</x:v>
      </x:c>
      <x:c r="K464" s="67" t="str">
        <x:v>https://www.stonealgo.com/diamond-prices/</x:v>
      </x:c>
      <x:c r="L464" s="67" t="str">
        <x:v>https://www.pricescope.com/blog/natural-diamond-prices-september-2026</x:v>
      </x:c>
    </x:row>
    <x:row r="465">
      <x:c r="A465" t="n">
        <x:v>1</x:v>
      </x:c>
      <x:c r="B465" t="str">
        <x:v>Heart</x:v>
      </x:c>
      <x:c r="C465" t="str">
        <x:v>E</x:v>
      </x:c>
      <x:c r="D465" t="str">
        <x:v>SI2</x:v>
      </x:c>
      <x:c r="E465" s="36" t="n">
        <x:v>2530</x:v>
      </x:c>
      <x:c r="F465" s="36" t="n">
        <x:v>2993</x:v>
      </x:c>
      <x:c r="G465" s="42" t="n">
        <x:v>0.641999141999142</x:v>
      </x:c>
      <x:c r="H465" s="36" t="n">
        <x:f>E465*G465</x:f>
        <x:v>1624.2578292578291</x:v>
      </x:c>
      <x:c r="I465" s="36" t="n">
        <x:f>IFERROR(H465/A465,0)</x:f>
        <x:v>1624.2578292578291</x:v>
      </x:c>
      <x:c r="J465" s="67" t="str">
        <x:v>Modeled from live base + Sep-2026 quality ratio</x:v>
      </x:c>
      <x:c r="K465" s="67" t="str">
        <x:v>https://www.stonealgo.com/diamond-prices/</x:v>
      </x:c>
      <x:c r="L465" s="67" t="str">
        <x:v>https://www.pricescope.com/blog/natural-diamond-prices-september-2026</x:v>
      </x:c>
    </x:row>
    <x:row r="466">
      <x:c r="A466" t="n">
        <x:v>1</x:v>
      </x:c>
      <x:c r="B466" t="str">
        <x:v>Heart</x:v>
      </x:c>
      <x:c r="C466" t="str">
        <x:v>F</x:v>
      </x:c>
      <x:c r="D466" t="str">
        <x:v>FL</x:v>
      </x:c>
      <x:c r="E466" s="36" t="n">
        <x:v>2530</x:v>
      </x:c>
      <x:c r="F466" s="36" t="n">
        <x:v>6830</x:v>
      </x:c>
      <x:c r="G466" s="42" t="n">
        <x:v>1.4650364650364651</x:v>
      </x:c>
      <x:c r="H466" s="36" t="n">
        <x:f>E466*G466</x:f>
        <x:v>3706.542256542257</x:v>
      </x:c>
      <x:c r="I466" s="36" t="n">
        <x:f>IFERROR(H466/A466,0)</x:f>
        <x:v>3706.542256542257</x:v>
      </x:c>
      <x:c r="J466" s="67" t="str">
        <x:v>Modeled from live base + Sep-2026 quality ratio</x:v>
      </x:c>
      <x:c r="K466" s="67" t="str">
        <x:v>https://www.stonealgo.com/diamond-prices/</x:v>
      </x:c>
      <x:c r="L466" s="67" t="str">
        <x:v>https://www.pricescope.com/blog/natural-diamond-prices-september-2026</x:v>
      </x:c>
    </x:row>
    <x:row r="467">
      <x:c r="A467" t="n">
        <x:v>1</x:v>
      </x:c>
      <x:c r="B467" t="str">
        <x:v>Heart</x:v>
      </x:c>
      <x:c r="C467" t="str">
        <x:v>F</x:v>
      </x:c>
      <x:c r="D467" t="str">
        <x:v>IF</x:v>
      </x:c>
      <x:c r="E467" s="36" t="n">
        <x:v>2530</x:v>
      </x:c>
      <x:c r="F467" s="36" t="n">
        <x:v>7302</x:v>
      </x:c>
      <x:c r="G467" s="42" t="n">
        <x:v>1.5662805662805663</x:v>
      </x:c>
      <x:c r="H467" s="36" t="n">
        <x:f>E467*G467</x:f>
        <x:v>3962.6898326898327</x:v>
      </x:c>
      <x:c r="I467" s="36" t="n">
        <x:f>IFERROR(H467/A467,0)</x:f>
        <x:v>3962.6898326898327</x:v>
      </x:c>
      <x:c r="J467" s="67" t="str">
        <x:v>Modeled from live base + Sep-2026 quality ratio</x:v>
      </x:c>
      <x:c r="K467" s="67" t="str">
        <x:v>https://www.stonealgo.com/diamond-prices/</x:v>
      </x:c>
      <x:c r="L467" s="67" t="str">
        <x:v>https://www.pricescope.com/blog/natural-diamond-prices-september-2026</x:v>
      </x:c>
    </x:row>
    <x:row r="468">
      <x:c r="A468" t="n">
        <x:v>1</x:v>
      </x:c>
      <x:c r="B468" t="str">
        <x:v>Heart</x:v>
      </x:c>
      <x:c r="C468" t="str">
        <x:v>F</x:v>
      </x:c>
      <x:c r="D468" t="str">
        <x:v>VVS1</x:v>
      </x:c>
      <x:c r="E468" s="36" t="n">
        <x:v>2530</x:v>
      </x:c>
      <x:c r="F468" s="36" t="n">
        <x:v>7542</x:v>
      </x:c>
      <x:c r="G468" s="42" t="n">
        <x:v>1.6177606177606179</x:v>
      </x:c>
      <x:c r="H468" s="36" t="n">
        <x:f>E468*G468</x:f>
        <x:v>4092.934362934363</x:v>
      </x:c>
      <x:c r="I468" s="36" t="n">
        <x:f>IFERROR(H468/A468,0)</x:f>
        <x:v>4092.934362934363</x:v>
      </x:c>
      <x:c r="J468" s="67" t="str">
        <x:v>Modeled from live base + Sep-2026 quality ratio</x:v>
      </x:c>
      <x:c r="K468" s="67" t="str">
        <x:v>https://www.stonealgo.com/diamond-prices/</x:v>
      </x:c>
      <x:c r="L468" s="67" t="str">
        <x:v>https://www.pricescope.com/blog/natural-diamond-prices-september-2026</x:v>
      </x:c>
    </x:row>
    <x:row r="469">
      <x:c r="A469" t="n">
        <x:v>1</x:v>
      </x:c>
      <x:c r="B469" t="str">
        <x:v>Heart</x:v>
      </x:c>
      <x:c r="C469" t="str">
        <x:v>F</x:v>
      </x:c>
      <x:c r="D469" t="str">
        <x:v>VVS2</x:v>
      </x:c>
      <x:c r="E469" s="36" t="n">
        <x:v>2530</x:v>
      </x:c>
      <x:c r="F469" s="36" t="n">
        <x:v>6352</x:v>
      </x:c>
      <x:c r="G469" s="42" t="n">
        <x:v>1.3625053625053625</x:v>
      </x:c>
      <x:c r="H469" s="36" t="n">
        <x:f>E469*G469</x:f>
        <x:v>3447.138567138567</x:v>
      </x:c>
      <x:c r="I469" s="36" t="n">
        <x:f>IFERROR(H469/A469,0)</x:f>
        <x:v>3447.138567138567</x:v>
      </x:c>
      <x:c r="J469" s="67" t="str">
        <x:v>Modeled from live base + Sep-2026 quality ratio</x:v>
      </x:c>
      <x:c r="K469" s="67" t="str">
        <x:v>https://www.stonealgo.com/diamond-prices/</x:v>
      </x:c>
      <x:c r="L469" s="67" t="str">
        <x:v>https://www.pricescope.com/blog/natural-diamond-prices-september-2026</x:v>
      </x:c>
    </x:row>
    <x:row r="470">
      <x:c r="A470" t="n">
        <x:v>1</x:v>
      </x:c>
      <x:c r="B470" t="str">
        <x:v>Heart</x:v>
      </x:c>
      <x:c r="C470" t="str">
        <x:v>F</x:v>
      </x:c>
      <x:c r="D470" t="str">
        <x:v>VS1</x:v>
      </x:c>
      <x:c r="E470" s="36" t="n">
        <x:v>2530</x:v>
      </x:c>
      <x:c r="F470" s="36" t="n">
        <x:v>5647</x:v>
      </x:c>
      <x:c r="G470" s="42" t="n">
        <x:v>1.2112827112827114</x:v>
      </x:c>
      <x:c r="H470" s="36" t="n">
        <x:f>E470*G470</x:f>
        <x:v>3064.54525954526</x:v>
      </x:c>
      <x:c r="I470" s="36" t="n">
        <x:f>IFERROR(H470/A470,0)</x:f>
        <x:v>3064.54525954526</x:v>
      </x:c>
      <x:c r="J470" s="67" t="str">
        <x:v>Modeled from live base + Sep-2026 quality ratio</x:v>
      </x:c>
      <x:c r="K470" s="67" t="str">
        <x:v>https://www.stonealgo.com/diamond-prices/</x:v>
      </x:c>
      <x:c r="L470" s="67" t="str">
        <x:v>https://www.pricescope.com/blog/natural-diamond-prices-september-2026</x:v>
      </x:c>
    </x:row>
    <x:row r="471">
      <x:c r="A471" t="n">
        <x:v>1</x:v>
      </x:c>
      <x:c r="B471" t="str">
        <x:v>Heart</x:v>
      </x:c>
      <x:c r="C471" t="str">
        <x:v>F</x:v>
      </x:c>
      <x:c r="D471" t="str">
        <x:v>VS2</x:v>
      </x:c>
      <x:c r="E471" s="36" t="n">
        <x:v>2530</x:v>
      </x:c>
      <x:c r="F471" s="36" t="n">
        <x:v>4730</x:v>
      </x:c>
      <x:c r="G471" s="42" t="n">
        <x:v>1.0145860145860146</x:v>
      </x:c>
      <x:c r="H471" s="36" t="n">
        <x:f>E471*G471</x:f>
        <x:v>2566.902616902617</x:v>
      </x:c>
      <x:c r="I471" s="36" t="n">
        <x:f>IFERROR(H471/A471,0)</x:f>
        <x:v>2566.902616902617</x:v>
      </x:c>
      <x:c r="J471" s="67" t="str">
        <x:v>Modeled from live base + Sep-2026 quality ratio</x:v>
      </x:c>
      <x:c r="K471" s="67" t="str">
        <x:v>https://www.stonealgo.com/diamond-prices/</x:v>
      </x:c>
      <x:c r="L471" s="67" t="str">
        <x:v>https://www.pricescope.com/blog/natural-diamond-prices-september-2026</x:v>
      </x:c>
    </x:row>
    <x:row r="472">
      <x:c r="A472" t="n">
        <x:v>1</x:v>
      </x:c>
      <x:c r="B472" t="str">
        <x:v>Heart</x:v>
      </x:c>
      <x:c r="C472" t="str">
        <x:v>F</x:v>
      </x:c>
      <x:c r="D472" t="str">
        <x:v>SI1</x:v>
      </x:c>
      <x:c r="E472" s="36" t="n">
        <x:v>2530</x:v>
      </x:c>
      <x:c r="F472" s="36" t="n">
        <x:v>3331</x:v>
      </x:c>
      <x:c r="G472" s="42" t="n">
        <x:v>0.7145002145002145</x:v>
      </x:c>
      <x:c r="H472" s="36" t="n">
        <x:f>E472*G472</x:f>
        <x:v>1807.6855426855427</x:v>
      </x:c>
      <x:c r="I472" s="36" t="n">
        <x:f>IFERROR(H472/A472,0)</x:f>
        <x:v>1807.6855426855427</x:v>
      </x:c>
      <x:c r="J472" s="67" t="str">
        <x:v>Modeled from live base + Sep-2026 quality ratio</x:v>
      </x:c>
      <x:c r="K472" s="67" t="str">
        <x:v>https://www.stonealgo.com/diamond-prices/</x:v>
      </x:c>
      <x:c r="L472" s="67" t="str">
        <x:v>https://www.pricescope.com/blog/natural-diamond-prices-september-2026</x:v>
      </x:c>
    </x:row>
    <x:row r="473">
      <x:c r="A473" t="n">
        <x:v>1</x:v>
      </x:c>
      <x:c r="B473" t="str">
        <x:v>Heart</x:v>
      </x:c>
      <x:c r="C473" t="str">
        <x:v>F</x:v>
      </x:c>
      <x:c r="D473" t="str">
        <x:v>SI2</x:v>
      </x:c>
      <x:c r="E473" s="36" t="n">
        <x:v>2530</x:v>
      </x:c>
      <x:c r="F473" s="36" t="n">
        <x:v>2733</x:v>
      </x:c>
      <x:c r="G473" s="42" t="n">
        <x:v>0.5862290862290862</x:v>
      </x:c>
      <x:c r="H473" s="36" t="n">
        <x:f>E473*G473</x:f>
        <x:v>1483.159588159588</x:v>
      </x:c>
      <x:c r="I473" s="36" t="n">
        <x:f>IFERROR(H473/A473,0)</x:f>
        <x:v>1483.159588159588</x:v>
      </x:c>
      <x:c r="J473" s="67" t="str">
        <x:v>Modeled from live base + Sep-2026 quality ratio</x:v>
      </x:c>
      <x:c r="K473" s="67" t="str">
        <x:v>https://www.stonealgo.com/diamond-prices/</x:v>
      </x:c>
      <x:c r="L473" s="67" t="str">
        <x:v>https://www.pricescope.com/blog/natural-diamond-prices-september-2026</x:v>
      </x:c>
    </x:row>
    <x:row r="474">
      <x:c r="A474" t="n">
        <x:v>1</x:v>
      </x:c>
      <x:c r="B474" t="str">
        <x:v>Heart</x:v>
      </x:c>
      <x:c r="C474" t="str">
        <x:v>G</x:v>
      </x:c>
      <x:c r="D474" t="str">
        <x:v>FL</x:v>
      </x:c>
      <x:c r="E474" s="36" t="n">
        <x:v>2530</x:v>
      </x:c>
      <x:c r="F474" s="36" t="n">
        <x:v>5905</x:v>
      </x:c>
      <x:c r="G474" s="42" t="n">
        <x:v>1.2666237666237665</x:v>
      </x:c>
      <x:c r="H474" s="36" t="n">
        <x:f>E474*G474</x:f>
        <x:v>3204.558129558129</x:v>
      </x:c>
      <x:c r="I474" s="36" t="n">
        <x:f>IFERROR(H474/A474,0)</x:f>
        <x:v>3204.558129558129</x:v>
      </x:c>
      <x:c r="J474" s="67" t="str">
        <x:v>Modeled from live base + Sep-2026 quality ratio</x:v>
      </x:c>
      <x:c r="K474" s="67" t="str">
        <x:v>https://www.stonealgo.com/diamond-prices/</x:v>
      </x:c>
      <x:c r="L474" s="67" t="str">
        <x:v>https://www.pricescope.com/blog/natural-diamond-prices-september-2026</x:v>
      </x:c>
    </x:row>
    <x:row r="475">
      <x:c r="A475" t="n">
        <x:v>1</x:v>
      </x:c>
      <x:c r="B475" t="str">
        <x:v>Heart</x:v>
      </x:c>
      <x:c r="C475" t="str">
        <x:v>G</x:v>
      </x:c>
      <x:c r="D475" t="str">
        <x:v>IF</x:v>
      </x:c>
      <x:c r="E475" s="36" t="n">
        <x:v>2530</x:v>
      </x:c>
      <x:c r="F475" s="36" t="n">
        <x:v>5601</x:v>
      </x:c>
      <x:c r="G475" s="42" t="n">
        <x:v>1.2014157014157014</x:v>
      </x:c>
      <x:c r="H475" s="36" t="n">
        <x:f>E475*G475</x:f>
        <x:v>3039.5817245817248</x:v>
      </x:c>
      <x:c r="I475" s="36" t="n">
        <x:f>IFERROR(H475/A475,0)</x:f>
        <x:v>3039.5817245817248</x:v>
      </x:c>
      <x:c r="J475" s="67" t="str">
        <x:v>Modeled from live base + Sep-2026 quality ratio</x:v>
      </x:c>
      <x:c r="K475" s="67" t="str">
        <x:v>https://www.stonealgo.com/diamond-prices/</x:v>
      </x:c>
      <x:c r="L475" s="67" t="str">
        <x:v>https://www.pricescope.com/blog/natural-diamond-prices-september-2026</x:v>
      </x:c>
    </x:row>
    <x:row r="476">
      <x:c r="A476" t="n">
        <x:v>1</x:v>
      </x:c>
      <x:c r="B476" t="str">
        <x:v>Heart</x:v>
      </x:c>
      <x:c r="C476" t="str">
        <x:v>G</x:v>
      </x:c>
      <x:c r="D476" t="str">
        <x:v>VVS1</x:v>
      </x:c>
      <x:c r="E476" s="36" t="n">
        <x:v>2530</x:v>
      </x:c>
      <x:c r="F476" s="36" t="n">
        <x:v>5124</x:v>
      </x:c>
      <x:c r="G476" s="42" t="n">
        <x:v>1.0990990990990992</x:v>
      </x:c>
      <x:c r="H476" s="36" t="n">
        <x:f>E476*G476</x:f>
        <x:v>2780.720720720721</x:v>
      </x:c>
      <x:c r="I476" s="36" t="n">
        <x:f>IFERROR(H476/A476,0)</x:f>
        <x:v>2780.720720720721</x:v>
      </x:c>
      <x:c r="J476" s="67" t="str">
        <x:v>Modeled from live base + Sep-2026 quality ratio</x:v>
      </x:c>
      <x:c r="K476" s="67" t="str">
        <x:v>https://www.stonealgo.com/diamond-prices/</x:v>
      </x:c>
      <x:c r="L476" s="67" t="str">
        <x:v>https://www.pricescope.com/blog/natural-diamond-prices-september-2026</x:v>
      </x:c>
    </x:row>
    <x:row r="477">
      <x:c r="A477" t="n">
        <x:v>1</x:v>
      </x:c>
      <x:c r="B477" t="str">
        <x:v>Heart</x:v>
      </x:c>
      <x:c r="C477" t="str">
        <x:v>G</x:v>
      </x:c>
      <x:c r="D477" t="str">
        <x:v>VVS2</x:v>
      </x:c>
      <x:c r="E477" s="36" t="n">
        <x:v>2530</x:v>
      </x:c>
      <x:c r="F477" s="36" t="n">
        <x:v>4962</x:v>
      </x:c>
      <x:c r="G477" s="42" t="n">
        <x:v>1.0643500643500643</x:v>
      </x:c>
      <x:c r="H477" s="36" t="n">
        <x:f>E477*G477</x:f>
        <x:v>2692.8056628056625</x:v>
      </x:c>
      <x:c r="I477" s="36" t="n">
        <x:f>IFERROR(H477/A477,0)</x:f>
        <x:v>2692.8056628056625</x:v>
      </x:c>
      <x:c r="J477" s="67" t="str">
        <x:v>Modeled from live base + Sep-2026 quality ratio</x:v>
      </x:c>
      <x:c r="K477" s="67" t="str">
        <x:v>https://www.stonealgo.com/diamond-prices/</x:v>
      </x:c>
      <x:c r="L477" s="67" t="str">
        <x:v>https://www.pricescope.com/blog/natural-diamond-prices-september-2026</x:v>
      </x:c>
    </x:row>
    <x:row r="478">
      <x:c r="A478" t="n">
        <x:v>1</x:v>
      </x:c>
      <x:c r="B478" t="str">
        <x:v>Heart</x:v>
      </x:c>
      <x:c r="C478" t="str">
        <x:v>G</x:v>
      </x:c>
      <x:c r="D478" t="str">
        <x:v>VS1</x:v>
      </x:c>
      <x:c r="E478" s="36" t="n">
        <x:v>2530</x:v>
      </x:c>
      <x:c r="F478" s="36" t="n">
        <x:v>4615</x:v>
      </x:c>
      <x:c r="G478" s="42" t="n">
        <x:v>0.98991848991849</x:v>
      </x:c>
      <x:c r="H478" s="36" t="n">
        <x:f>E478*G478</x:f>
        <x:v>2504.4937794937796</x:v>
      </x:c>
      <x:c r="I478" s="36" t="n">
        <x:f>IFERROR(H478/A478,0)</x:f>
        <x:v>2504.4937794937796</x:v>
      </x:c>
      <x:c r="J478" s="67" t="str">
        <x:v>Modeled from live base + Sep-2026 quality ratio</x:v>
      </x:c>
      <x:c r="K478" s="67" t="str">
        <x:v>https://www.stonealgo.com/diamond-prices/</x:v>
      </x:c>
      <x:c r="L478" s="67" t="str">
        <x:v>https://www.pricescope.com/blog/natural-diamond-prices-september-2026</x:v>
      </x:c>
    </x:row>
    <x:row r="479">
      <x:c r="A479" t="n">
        <x:v>1</x:v>
      </x:c>
      <x:c r="B479" t="str">
        <x:v>Heart</x:v>
      </x:c>
      <x:c r="C479" t="str">
        <x:v>G</x:v>
      </x:c>
      <x:c r="D479" t="str">
        <x:v>VS2</x:v>
      </x:c>
      <x:c r="E479" s="36" t="n">
        <x:v>2530</x:v>
      </x:c>
      <x:c r="F479" s="36" t="n">
        <x:v>4585</x:v>
      </x:c>
      <x:c r="G479" s="42" t="n">
        <x:v>0.9834834834834835</x:v>
      </x:c>
      <x:c r="H479" s="36" t="n">
        <x:f>E479*G479</x:f>
        <x:v>2488.2132132132133</x:v>
      </x:c>
      <x:c r="I479" s="36" t="n">
        <x:f>IFERROR(H479/A479,0)</x:f>
        <x:v>2488.2132132132133</x:v>
      </x:c>
      <x:c r="J479" s="67" t="str">
        <x:v>Modeled from live base + Sep-2026 quality ratio</x:v>
      </x:c>
      <x:c r="K479" s="67" t="str">
        <x:v>https://www.stonealgo.com/diamond-prices/</x:v>
      </x:c>
      <x:c r="L479" s="67" t="str">
        <x:v>https://www.pricescope.com/blog/natural-diamond-prices-september-2026</x:v>
      </x:c>
    </x:row>
    <x:row r="480">
      <x:c r="A480" t="n">
        <x:v>1</x:v>
      </x:c>
      <x:c r="B480" t="str">
        <x:v>Heart</x:v>
      </x:c>
      <x:c r="C480" t="str">
        <x:v>G</x:v>
      </x:c>
      <x:c r="D480" t="str">
        <x:v>SI1</x:v>
      </x:c>
      <x:c r="E480" s="36" t="n">
        <x:v>2530</x:v>
      </x:c>
      <x:c r="F480" s="36" t="n">
        <x:v>3664</x:v>
      </x:c>
      <x:c r="G480" s="42" t="n">
        <x:v>0.7859287859287859</x:v>
      </x:c>
      <x:c r="H480" s="36" t="n">
        <x:f>E480*G480</x:f>
        <x:v>1988.3998283998283</x:v>
      </x:c>
      <x:c r="I480" s="36" t="n">
        <x:f>IFERROR(H480/A480,0)</x:f>
        <x:v>1988.3998283998283</x:v>
      </x:c>
      <x:c r="J480" s="67" t="str">
        <x:v>Modeled from live base + Sep-2026 quality ratio</x:v>
      </x:c>
      <x:c r="K480" s="67" t="str">
        <x:v>https://www.stonealgo.com/diamond-prices/</x:v>
      </x:c>
      <x:c r="L480" s="67" t="str">
        <x:v>https://www.pricescope.com/blog/natural-diamond-prices-september-2026</x:v>
      </x:c>
    </x:row>
    <x:row r="481">
      <x:c r="A481" t="n">
        <x:v>1</x:v>
      </x:c>
      <x:c r="B481" t="str">
        <x:v>Heart</x:v>
      </x:c>
      <x:c r="C481" t="str">
        <x:v>G</x:v>
      </x:c>
      <x:c r="D481" t="str">
        <x:v>SI2</x:v>
      </x:c>
      <x:c r="E481" s="36" t="n">
        <x:v>2530</x:v>
      </x:c>
      <x:c r="F481" s="36" t="n">
        <x:v>2537</x:v>
      </x:c>
      <x:c r="G481" s="42" t="n">
        <x:v>0.5441870441870442</x:v>
      </x:c>
      <x:c r="H481" s="36" t="n">
        <x:f>E481*G481</x:f>
        <x:v>1376.7932217932218</x:v>
      </x:c>
      <x:c r="I481" s="36" t="n">
        <x:f>IFERROR(H481/A481,0)</x:f>
        <x:v>1376.7932217932218</x:v>
      </x:c>
      <x:c r="J481" s="67" t="str">
        <x:v>Modeled from live base + Sep-2026 quality ratio</x:v>
      </x:c>
      <x:c r="K481" s="67" t="str">
        <x:v>https://www.stonealgo.com/diamond-prices/</x:v>
      </x:c>
      <x:c r="L481" s="67" t="str">
        <x:v>https://www.pricescope.com/blog/natural-diamond-prices-september-2026</x:v>
      </x:c>
    </x:row>
    <x:row r="482">
      <x:c r="A482" t="n">
        <x:v>1</x:v>
      </x:c>
      <x:c r="B482" t="str">
        <x:v>Heart</x:v>
      </x:c>
      <x:c r="C482" t="str">
        <x:v>H</x:v>
      </x:c>
      <x:c r="D482" t="str">
        <x:v>FL</x:v>
      </x:c>
      <x:c r="E482" s="36" t="n">
        <x:v>2530</x:v>
      </x:c>
      <x:c r="F482" s="36" t="n">
        <x:v>4563</x:v>
      </x:c>
      <x:c r="G482" s="42" t="n">
        <x:v>0.9787644787644788</x:v>
      </x:c>
      <x:c r="H482" s="36" t="n">
        <x:f>E482*G482</x:f>
        <x:v>2476.2741312741314</x:v>
      </x:c>
      <x:c r="I482" s="36" t="n">
        <x:f>IFERROR(H482/A482,0)</x:f>
        <x:v>2476.2741312741314</x:v>
      </x:c>
      <x:c r="J482" s="67" t="str">
        <x:v>Modeled from live base + Sep-2026 quality ratio</x:v>
      </x:c>
      <x:c r="K482" s="67" t="str">
        <x:v>https://www.stonealgo.com/diamond-prices/</x:v>
      </x:c>
      <x:c r="L482" s="67" t="str">
        <x:v>https://www.pricescope.com/blog/natural-diamond-prices-september-2026</x:v>
      </x:c>
    </x:row>
    <x:row r="483">
      <x:c r="A483" t="n">
        <x:v>1</x:v>
      </x:c>
      <x:c r="B483" t="str">
        <x:v>Heart</x:v>
      </x:c>
      <x:c r="C483" t="str">
        <x:v>H</x:v>
      </x:c>
      <x:c r="D483" t="str">
        <x:v>IF</x:v>
      </x:c>
      <x:c r="E483" s="36" t="n">
        <x:v>2530</x:v>
      </x:c>
      <x:c r="F483" s="36" t="n">
        <x:v>4809</x:v>
      </x:c>
      <x:c r="G483" s="42" t="n">
        <x:v>1.0315315315315314</x:v>
      </x:c>
      <x:c r="H483" s="36" t="n">
        <x:f>E483*G483</x:f>
        <x:v>2609.7747747747744</x:v>
      </x:c>
      <x:c r="I483" s="36" t="n">
        <x:f>IFERROR(H483/A483,0)</x:f>
        <x:v>2609.7747747747744</x:v>
      </x:c>
      <x:c r="J483" s="67" t="str">
        <x:v>Modeled from live base + Sep-2026 quality ratio</x:v>
      </x:c>
      <x:c r="K483" s="67" t="str">
        <x:v>https://www.stonealgo.com/diamond-prices/</x:v>
      </x:c>
      <x:c r="L483" s="67" t="str">
        <x:v>https://www.pricescope.com/blog/natural-diamond-prices-september-2026</x:v>
      </x:c>
    </x:row>
    <x:row r="484">
      <x:c r="A484" t="n">
        <x:v>1</x:v>
      </x:c>
      <x:c r="B484" t="str">
        <x:v>Heart</x:v>
      </x:c>
      <x:c r="C484" t="str">
        <x:v>H</x:v>
      </x:c>
      <x:c r="D484" t="str">
        <x:v>VVS1</x:v>
      </x:c>
      <x:c r="E484" s="36" t="n">
        <x:v>2530</x:v>
      </x:c>
      <x:c r="F484" s="36" t="n">
        <x:v>4911</x:v>
      </x:c>
      <x:c r="G484" s="42" t="n">
        <x:v>1.0534105534105533</x:v>
      </x:c>
      <x:c r="H484" s="36" t="n">
        <x:f>E484*G484</x:f>
        <x:v>2665.1287001287</x:v>
      </x:c>
      <x:c r="I484" s="36" t="n">
        <x:f>IFERROR(H484/A484,0)</x:f>
        <x:v>2665.1287001287</x:v>
      </x:c>
      <x:c r="J484" s="67" t="str">
        <x:v>Modeled from live base + Sep-2026 quality ratio</x:v>
      </x:c>
      <x:c r="K484" s="67" t="str">
        <x:v>https://www.stonealgo.com/diamond-prices/</x:v>
      </x:c>
      <x:c r="L484" s="67" t="str">
        <x:v>https://www.pricescope.com/blog/natural-diamond-prices-september-2026</x:v>
      </x:c>
    </x:row>
    <x:row r="485">
      <x:c r="A485" t="n">
        <x:v>1</x:v>
      </x:c>
      <x:c r="B485" t="str">
        <x:v>Heart</x:v>
      </x:c>
      <x:c r="C485" t="str">
        <x:v>H</x:v>
      </x:c>
      <x:c r="D485" t="str">
        <x:v>VVS2</x:v>
      </x:c>
      <x:c r="E485" s="36" t="n">
        <x:v>2530</x:v>
      </x:c>
      <x:c r="F485" s="36" t="n">
        <x:v>4046</x:v>
      </x:c>
      <x:c r="G485" s="42" t="n">
        <x:v>0.8678678678678678</x:v>
      </x:c>
      <x:c r="H485" s="36" t="n">
        <x:f>E485*G485</x:f>
        <x:v>2195.7057057057054</x:v>
      </x:c>
      <x:c r="I485" s="36" t="n">
        <x:f>IFERROR(H485/A485,0)</x:f>
        <x:v>2195.7057057057054</x:v>
      </x:c>
      <x:c r="J485" s="67" t="str">
        <x:v>Modeled from live base + Sep-2026 quality ratio</x:v>
      </x:c>
      <x:c r="K485" s="67" t="str">
        <x:v>https://www.stonealgo.com/diamond-prices/</x:v>
      </x:c>
      <x:c r="L485" s="67" t="str">
        <x:v>https://www.pricescope.com/blog/natural-diamond-prices-september-2026</x:v>
      </x:c>
    </x:row>
    <x:row r="486">
      <x:c r="A486" t="n">
        <x:v>1</x:v>
      </x:c>
      <x:c r="B486" t="str">
        <x:v>Heart</x:v>
      </x:c>
      <x:c r="C486" t="str">
        <x:v>H</x:v>
      </x:c>
      <x:c r="D486" t="str">
        <x:v>VS1</x:v>
      </x:c>
      <x:c r="E486" s="36" t="n">
        <x:v>2530</x:v>
      </x:c>
      <x:c r="F486" s="36" t="n">
        <x:v>3893</x:v>
      </x:c>
      <x:c r="G486" s="42" t="n">
        <x:v>0.8350493350493351</x:v>
      </x:c>
      <x:c r="H486" s="36" t="n">
        <x:f>E486*G486</x:f>
        <x:v>2112.674817674818</x:v>
      </x:c>
      <x:c r="I486" s="36" t="n">
        <x:f>IFERROR(H486/A486,0)</x:f>
        <x:v>2112.674817674818</x:v>
      </x:c>
      <x:c r="J486" s="67" t="str">
        <x:v>Modeled from live base + Sep-2026 quality ratio</x:v>
      </x:c>
      <x:c r="K486" s="67" t="str">
        <x:v>https://www.stonealgo.com/diamond-prices/</x:v>
      </x:c>
      <x:c r="L486" s="67" t="str">
        <x:v>https://www.pricescope.com/blog/natural-diamond-prices-september-2026</x:v>
      </x:c>
    </x:row>
    <x:row r="487">
      <x:c r="A487" t="n">
        <x:v>1</x:v>
      </x:c>
      <x:c r="B487" t="str">
        <x:v>Heart</x:v>
      </x:c>
      <x:c r="C487" t="str">
        <x:v>H</x:v>
      </x:c>
      <x:c r="D487" t="str">
        <x:v>VS2</x:v>
      </x:c>
      <x:c r="E487" s="36" t="n">
        <x:v>2530</x:v>
      </x:c>
      <x:c r="F487" s="36" t="n">
        <x:v>3989</x:v>
      </x:c>
      <x:c r="G487" s="42" t="n">
        <x:v>0.8556413556413557</x:v>
      </x:c>
      <x:c r="H487" s="36" t="n">
        <x:f>E487*G487</x:f>
        <x:v>2164.77262977263</x:v>
      </x:c>
      <x:c r="I487" s="36" t="n">
        <x:f>IFERROR(H487/A487,0)</x:f>
        <x:v>2164.77262977263</x:v>
      </x:c>
      <x:c r="J487" s="67" t="str">
        <x:v>Modeled from live base + Sep-2026 quality ratio</x:v>
      </x:c>
      <x:c r="K487" s="67" t="str">
        <x:v>https://www.stonealgo.com/diamond-prices/</x:v>
      </x:c>
      <x:c r="L487" s="67" t="str">
        <x:v>https://www.pricescope.com/blog/natural-diamond-prices-september-2026</x:v>
      </x:c>
    </x:row>
    <x:row r="488">
      <x:c r="A488" t="n">
        <x:v>1</x:v>
      </x:c>
      <x:c r="B488" t="str">
        <x:v>Heart</x:v>
      </x:c>
      <x:c r="C488" t="str">
        <x:v>H</x:v>
      </x:c>
      <x:c r="D488" t="str">
        <x:v>SI1</x:v>
      </x:c>
      <x:c r="E488" s="36" t="n">
        <x:v>2530</x:v>
      </x:c>
      <x:c r="F488" s="36" t="n">
        <x:v>2828</x:v>
      </x:c>
      <x:c r="G488" s="42" t="n">
        <x:v>0.6066066066066066</x:v>
      </x:c>
      <x:c r="H488" s="36" t="n">
        <x:f>E488*G488</x:f>
        <x:v>1534.7147147147148</x:v>
      </x:c>
      <x:c r="I488" s="36" t="n">
        <x:f>IFERROR(H488/A488,0)</x:f>
        <x:v>1534.7147147147148</x:v>
      </x:c>
      <x:c r="J488" s="67" t="str">
        <x:v>Modeled from live base + Sep-2026 quality ratio</x:v>
      </x:c>
      <x:c r="K488" s="67" t="str">
        <x:v>https://www.stonealgo.com/diamond-prices/</x:v>
      </x:c>
      <x:c r="L488" s="67" t="str">
        <x:v>https://www.pricescope.com/blog/natural-diamond-prices-september-2026</x:v>
      </x:c>
    </x:row>
    <x:row r="489">
      <x:c r="A489" t="n">
        <x:v>1</x:v>
      </x:c>
      <x:c r="B489" t="str">
        <x:v>Heart</x:v>
      </x:c>
      <x:c r="C489" t="str">
        <x:v>H</x:v>
      </x:c>
      <x:c r="D489" t="str">
        <x:v>SI2</x:v>
      </x:c>
      <x:c r="E489" s="36" t="n">
        <x:v>2530</x:v>
      </x:c>
      <x:c r="F489" s="36" t="n">
        <x:v>2328</x:v>
      </x:c>
      <x:c r="G489" s="42" t="n">
        <x:v>0.49935649935649934</x:v>
      </x:c>
      <x:c r="H489" s="36" t="n">
        <x:f>E489*G489</x:f>
        <x:v>1263.3719433719434</x:v>
      </x:c>
      <x:c r="I489" s="36" t="n">
        <x:f>IFERROR(H489/A489,0)</x:f>
        <x:v>1263.3719433719434</x:v>
      </x:c>
      <x:c r="J489" s="67" t="str">
        <x:v>Modeled from live base + Sep-2026 quality ratio</x:v>
      </x:c>
      <x:c r="K489" s="67" t="str">
        <x:v>https://www.stonealgo.com/diamond-prices/</x:v>
      </x:c>
      <x:c r="L489" s="67" t="str">
        <x:v>https://www.pricescope.com/blog/natural-diamond-prices-september-2026</x:v>
      </x:c>
    </x:row>
    <x:row r="490">
      <x:c r="A490" t="n">
        <x:v>1</x:v>
      </x:c>
      <x:c r="B490" t="str">
        <x:v>Heart</x:v>
      </x:c>
      <x:c r="C490" t="str">
        <x:v>I</x:v>
      </x:c>
      <x:c r="D490" t="str">
        <x:v>FL</x:v>
      </x:c>
      <x:c r="E490" s="36" t="n">
        <x:v>2530</x:v>
      </x:c>
      <x:c r="F490" s="36" t="n">
        <x:v>4623</x:v>
      </x:c>
      <x:c r="G490" s="42" t="n">
        <x:v>0.9916344916344917</x:v>
      </x:c>
      <x:c r="H490" s="36" t="n">
        <x:f>E490*G490</x:f>
        <x:v>2508.835263835264</x:v>
      </x:c>
      <x:c r="I490" s="36" t="n">
        <x:f>IFERROR(H490/A490,0)</x:f>
        <x:v>2508.835263835264</x:v>
      </x:c>
      <x:c r="J490" s="67" t="str">
        <x:v>Modeled from live base + Sep-2026 quality ratio</x:v>
      </x:c>
      <x:c r="K490" s="67" t="str">
        <x:v>https://www.stonealgo.com/diamond-prices/</x:v>
      </x:c>
      <x:c r="L490" s="67" t="str">
        <x:v>https://www.pricescope.com/blog/natural-diamond-prices-september-2026</x:v>
      </x:c>
    </x:row>
    <x:row r="491">
      <x:c r="A491" t="n">
        <x:v>1</x:v>
      </x:c>
      <x:c r="B491" t="str">
        <x:v>Heart</x:v>
      </x:c>
      <x:c r="C491" t="str">
        <x:v>I</x:v>
      </x:c>
      <x:c r="D491" t="str">
        <x:v>IF</x:v>
      </x:c>
      <x:c r="E491" s="36" t="n">
        <x:v>2530</x:v>
      </x:c>
      <x:c r="F491" s="36" t="n">
        <x:v>4005</x:v>
      </x:c>
      <x:c r="G491" s="42" t="n">
        <x:v>0.859073359073359</x:v>
      </x:c>
      <x:c r="H491" s="36" t="n">
        <x:f>E491*G491</x:f>
        <x:v>2173.455598455598</x:v>
      </x:c>
      <x:c r="I491" s="36" t="n">
        <x:f>IFERROR(H491/A491,0)</x:f>
        <x:v>2173.455598455598</x:v>
      </x:c>
      <x:c r="J491" s="67" t="str">
        <x:v>Modeled from live base + Sep-2026 quality ratio</x:v>
      </x:c>
      <x:c r="K491" s="67" t="str">
        <x:v>https://www.stonealgo.com/diamond-prices/</x:v>
      </x:c>
      <x:c r="L491" s="67" t="str">
        <x:v>https://www.pricescope.com/blog/natural-diamond-prices-september-2026</x:v>
      </x:c>
    </x:row>
    <x:row r="492">
      <x:c r="A492" t="n">
        <x:v>1</x:v>
      </x:c>
      <x:c r="B492" t="str">
        <x:v>Heart</x:v>
      </x:c>
      <x:c r="C492" t="str">
        <x:v>I</x:v>
      </x:c>
      <x:c r="D492" t="str">
        <x:v>VVS1</x:v>
      </x:c>
      <x:c r="E492" s="36" t="n">
        <x:v>2530</x:v>
      </x:c>
      <x:c r="F492" s="36" t="n">
        <x:v>3670</x:v>
      </x:c>
      <x:c r="G492" s="42" t="n">
        <x:v>0.7872157872157872</x:v>
      </x:c>
      <x:c r="H492" s="36" t="n">
        <x:f>E492*G492</x:f>
        <x:v>1991.6559416559417</x:v>
      </x:c>
      <x:c r="I492" s="36" t="n">
        <x:f>IFERROR(H492/A492,0)</x:f>
        <x:v>1991.6559416559417</x:v>
      </x:c>
      <x:c r="J492" s="67" t="str">
        <x:v>Modeled from live base + Sep-2026 quality ratio</x:v>
      </x:c>
      <x:c r="K492" s="67" t="str">
        <x:v>https://www.stonealgo.com/diamond-prices/</x:v>
      </x:c>
      <x:c r="L492" s="67" t="str">
        <x:v>https://www.pricescope.com/blog/natural-diamond-prices-september-2026</x:v>
      </x:c>
    </x:row>
    <x:row r="493">
      <x:c r="A493" t="n">
        <x:v>1</x:v>
      </x:c>
      <x:c r="B493" t="str">
        <x:v>Heart</x:v>
      </x:c>
      <x:c r="C493" t="str">
        <x:v>I</x:v>
      </x:c>
      <x:c r="D493" t="str">
        <x:v>VVS2</x:v>
      </x:c>
      <x:c r="E493" s="36" t="n">
        <x:v>2530</x:v>
      </x:c>
      <x:c r="F493" s="36" t="n">
        <x:v>3447</x:v>
      </x:c>
      <x:c r="G493" s="42" t="n">
        <x:v>0.7393822393822393</x:v>
      </x:c>
      <x:c r="H493" s="36" t="n">
        <x:f>E493*G493</x:f>
        <x:v>1870.6370656370655</x:v>
      </x:c>
      <x:c r="I493" s="36" t="n">
        <x:f>IFERROR(H493/A493,0)</x:f>
        <x:v>1870.6370656370655</x:v>
      </x:c>
      <x:c r="J493" s="67" t="str">
        <x:v>Modeled from live base + Sep-2026 quality ratio</x:v>
      </x:c>
      <x:c r="K493" s="67" t="str">
        <x:v>https://www.stonealgo.com/diamond-prices/</x:v>
      </x:c>
      <x:c r="L493" s="67" t="str">
        <x:v>https://www.pricescope.com/blog/natural-diamond-prices-september-2026</x:v>
      </x:c>
    </x:row>
    <x:row r="494">
      <x:c r="A494" t="n">
        <x:v>1</x:v>
      </x:c>
      <x:c r="B494" t="str">
        <x:v>Heart</x:v>
      </x:c>
      <x:c r="C494" t="str">
        <x:v>I</x:v>
      </x:c>
      <x:c r="D494" t="str">
        <x:v>VS1</x:v>
      </x:c>
      <x:c r="E494" s="36" t="n">
        <x:v>2530</x:v>
      </x:c>
      <x:c r="F494" s="36" t="n">
        <x:v>3313</x:v>
      </x:c>
      <x:c r="G494" s="42" t="n">
        <x:v>0.7106392106392107</x:v>
      </x:c>
      <x:c r="H494" s="36" t="n">
        <x:f>E494*G494</x:f>
        <x:v>1797.917202917203</x:v>
      </x:c>
      <x:c r="I494" s="36" t="n">
        <x:f>IFERROR(H494/A494,0)</x:f>
        <x:v>1797.917202917203</x:v>
      </x:c>
      <x:c r="J494" s="67" t="str">
        <x:v>Modeled from live base + Sep-2026 quality ratio</x:v>
      </x:c>
      <x:c r="K494" s="67" t="str">
        <x:v>https://www.stonealgo.com/diamond-prices/</x:v>
      </x:c>
      <x:c r="L494" s="67" t="str">
        <x:v>https://www.pricescope.com/blog/natural-diamond-prices-september-2026</x:v>
      </x:c>
    </x:row>
    <x:row r="495">
      <x:c r="A495" t="n">
        <x:v>1</x:v>
      </x:c>
      <x:c r="B495" t="str">
        <x:v>Heart</x:v>
      </x:c>
      <x:c r="C495" t="str">
        <x:v>I</x:v>
      </x:c>
      <x:c r="D495" t="str">
        <x:v>VS2</x:v>
      </x:c>
      <x:c r="E495" s="36" t="n">
        <x:v>2530</x:v>
      </x:c>
      <x:c r="F495" s="36" t="n">
        <x:v>3240</x:v>
      </x:c>
      <x:c r="G495" s="42" t="n">
        <x:v>0.694980694980695</x:v>
      </x:c>
      <x:c r="H495" s="36" t="n">
        <x:f>E495*G495</x:f>
        <x:v>1758.3011583011585</x:v>
      </x:c>
      <x:c r="I495" s="36" t="n">
        <x:f>IFERROR(H495/A495,0)</x:f>
        <x:v>1758.3011583011585</x:v>
      </x:c>
      <x:c r="J495" s="67" t="str">
        <x:v>Modeled from live base + Sep-2026 quality ratio</x:v>
      </x:c>
      <x:c r="K495" s="67" t="str">
        <x:v>https://www.stonealgo.com/diamond-prices/</x:v>
      </x:c>
      <x:c r="L495" s="67" t="str">
        <x:v>https://www.pricescope.com/blog/natural-diamond-prices-september-2026</x:v>
      </x:c>
    </x:row>
    <x:row r="496">
      <x:c r="A496" t="n">
        <x:v>1</x:v>
      </x:c>
      <x:c r="B496" t="str">
        <x:v>Heart</x:v>
      </x:c>
      <x:c r="C496" t="str">
        <x:v>I</x:v>
      </x:c>
      <x:c r="D496" t="str">
        <x:v>SI1</x:v>
      </x:c>
      <x:c r="E496" s="36" t="n">
        <x:v>2530</x:v>
      </x:c>
      <x:c r="F496" s="36" t="n">
        <x:v>3199</x:v>
      </x:c>
      <x:c r="G496" s="42" t="n">
        <x:v>0.6861861861861862</x:v>
      </x:c>
      <x:c r="H496" s="36" t="n">
        <x:f>E496*G496</x:f>
        <x:v>1736.0510510510512</x:v>
      </x:c>
      <x:c r="I496" s="36" t="n">
        <x:f>IFERROR(H496/A496,0)</x:f>
        <x:v>1736.0510510510512</x:v>
      </x:c>
      <x:c r="J496" s="67" t="str">
        <x:v>Modeled from live base + Sep-2026 quality ratio</x:v>
      </x:c>
      <x:c r="K496" s="67" t="str">
        <x:v>https://www.stonealgo.com/diamond-prices/</x:v>
      </x:c>
      <x:c r="L496" s="67" t="str">
        <x:v>https://www.pricescope.com/blog/natural-diamond-prices-september-2026</x:v>
      </x:c>
    </x:row>
    <x:row r="497">
      <x:c r="A497" t="n">
        <x:v>1</x:v>
      </x:c>
      <x:c r="B497" t="str">
        <x:v>Heart</x:v>
      </x:c>
      <x:c r="C497" t="str">
        <x:v>I</x:v>
      </x:c>
      <x:c r="D497" t="str">
        <x:v>SI2</x:v>
      </x:c>
      <x:c r="E497" s="36" t="n">
        <x:v>2530</x:v>
      </x:c>
      <x:c r="F497" s="36" t="n">
        <x:v>2874</x:v>
      </x:c>
      <x:c r="G497" s="42" t="n">
        <x:v>0.6164736164736164</x:v>
      </x:c>
      <x:c r="H497" s="36" t="n">
        <x:f>E497*G497</x:f>
        <x:v>1559.6782496782496</x:v>
      </x:c>
      <x:c r="I497" s="36" t="n">
        <x:f>IFERROR(H497/A497,0)</x:f>
        <x:v>1559.6782496782496</x:v>
      </x:c>
      <x:c r="J497" s="67" t="str">
        <x:v>Modeled from live base + Sep-2026 quality ratio</x:v>
      </x:c>
      <x:c r="K497" s="67" t="str">
        <x:v>https://www.stonealgo.com/diamond-prices/</x:v>
      </x:c>
      <x:c r="L497" s="67" t="str">
        <x:v>https://www.pricescope.com/blog/natural-diamond-prices-september-2026</x:v>
      </x:c>
    </x:row>
    <x:row r="498">
      <x:c r="A498" t="n">
        <x:v>1</x:v>
      </x:c>
      <x:c r="B498" t="str">
        <x:v>Heart</x:v>
      </x:c>
      <x:c r="C498" t="str">
        <x:v>J</x:v>
      </x:c>
      <x:c r="D498" t="str">
        <x:v>FL</x:v>
      </x:c>
      <x:c r="E498" s="36" t="n">
        <x:v>2530</x:v>
      </x:c>
      <x:c r="F498" s="36" t="n">
        <x:v>3646</x:v>
      </x:c>
      <x:c r="G498" s="42" t="n">
        <x:v>0.782067782067782</x:v>
      </x:c>
      <x:c r="H498" s="36" t="n">
        <x:f>E498*G498</x:f>
        <x:v>1978.6314886314885</x:v>
      </x:c>
      <x:c r="I498" s="36" t="n">
        <x:f>IFERROR(H498/A498,0)</x:f>
        <x:v>1978.6314886314885</x:v>
      </x:c>
      <x:c r="J498" s="67" t="str">
        <x:v>Modeled from live base + Sep-2026 quality ratio</x:v>
      </x:c>
      <x:c r="K498" s="67" t="str">
        <x:v>https://www.stonealgo.com/diamond-prices/</x:v>
      </x:c>
      <x:c r="L498" s="67" t="str">
        <x:v>https://www.pricescope.com/blog/natural-diamond-prices-september-2026</x:v>
      </x:c>
    </x:row>
    <x:row r="499">
      <x:c r="A499" t="n">
        <x:v>1</x:v>
      </x:c>
      <x:c r="B499" t="str">
        <x:v>Heart</x:v>
      </x:c>
      <x:c r="C499" t="str">
        <x:v>J</x:v>
      </x:c>
      <x:c r="D499" t="str">
        <x:v>IF</x:v>
      </x:c>
      <x:c r="E499" s="36" t="n">
        <x:v>2530</x:v>
      </x:c>
      <x:c r="F499" s="36" t="n">
        <x:v>3368</x:v>
      </x:c>
      <x:c r="G499" s="42" t="n">
        <x:v>0.7224367224367224</x:v>
      </x:c>
      <x:c r="H499" s="36" t="n">
        <x:f>E499*G499</x:f>
        <x:v>1827.7649077649078</x:v>
      </x:c>
      <x:c r="I499" s="36" t="n">
        <x:f>IFERROR(H499/A499,0)</x:f>
        <x:v>1827.7649077649078</x:v>
      </x:c>
      <x:c r="J499" s="67" t="str">
        <x:v>Modeled from live base + Sep-2026 quality ratio</x:v>
      </x:c>
      <x:c r="K499" s="67" t="str">
        <x:v>https://www.stonealgo.com/diamond-prices/</x:v>
      </x:c>
      <x:c r="L499" s="67" t="str">
        <x:v>https://www.pricescope.com/blog/natural-diamond-prices-september-2026</x:v>
      </x:c>
    </x:row>
    <x:row r="500">
      <x:c r="A500" t="n">
        <x:v>1</x:v>
      </x:c>
      <x:c r="B500" t="str">
        <x:v>Heart</x:v>
      </x:c>
      <x:c r="C500" t="str">
        <x:v>J</x:v>
      </x:c>
      <x:c r="D500" t="str">
        <x:v>VVS1</x:v>
      </x:c>
      <x:c r="E500" s="36" t="n">
        <x:v>2530</x:v>
      </x:c>
      <x:c r="F500" s="36" t="n">
        <x:v>2956</x:v>
      </x:c>
      <x:c r="G500" s="42" t="n">
        <x:v>0.6340626340626341</x:v>
      </x:c>
      <x:c r="H500" s="36" t="n">
        <x:f>E500*G500</x:f>
        <x:v>1604.1784641784643</x:v>
      </x:c>
      <x:c r="I500" s="36" t="n">
        <x:f>IFERROR(H500/A500,0)</x:f>
        <x:v>1604.1784641784643</x:v>
      </x:c>
      <x:c r="J500" s="67" t="str">
        <x:v>Modeled from live base + Sep-2026 quality ratio</x:v>
      </x:c>
      <x:c r="K500" s="67" t="str">
        <x:v>https://www.stonealgo.com/diamond-prices/</x:v>
      </x:c>
      <x:c r="L500" s="67" t="str">
        <x:v>https://www.pricescope.com/blog/natural-diamond-prices-september-2026</x:v>
      </x:c>
    </x:row>
    <x:row r="501">
      <x:c r="A501" t="n">
        <x:v>1</x:v>
      </x:c>
      <x:c r="B501" t="str">
        <x:v>Heart</x:v>
      </x:c>
      <x:c r="C501" t="str">
        <x:v>J</x:v>
      </x:c>
      <x:c r="D501" t="str">
        <x:v>VVS2</x:v>
      </x:c>
      <x:c r="E501" s="36" t="n">
        <x:v>2530</x:v>
      </x:c>
      <x:c r="F501" s="36" t="n">
        <x:v>2612</x:v>
      </x:c>
      <x:c r="G501" s="42" t="n">
        <x:v>0.5602745602745602</x:v>
      </x:c>
      <x:c r="H501" s="36" t="n">
        <x:f>E501*G501</x:f>
        <x:v>1417.4946374946373</x:v>
      </x:c>
      <x:c r="I501" s="36" t="n">
        <x:f>IFERROR(H501/A501,0)</x:f>
        <x:v>1417.4946374946373</x:v>
      </x:c>
      <x:c r="J501" s="67" t="str">
        <x:v>Modeled from live base + Sep-2026 quality ratio</x:v>
      </x:c>
      <x:c r="K501" s="67" t="str">
        <x:v>https://www.stonealgo.com/diamond-prices/</x:v>
      </x:c>
      <x:c r="L501" s="67" t="str">
        <x:v>https://www.pricescope.com/blog/natural-diamond-prices-september-2026</x:v>
      </x:c>
    </x:row>
    <x:row r="502">
      <x:c r="A502" t="n">
        <x:v>1</x:v>
      </x:c>
      <x:c r="B502" t="str">
        <x:v>Heart</x:v>
      </x:c>
      <x:c r="C502" t="str">
        <x:v>J</x:v>
      </x:c>
      <x:c r="D502" t="str">
        <x:v>VS1</x:v>
      </x:c>
      <x:c r="E502" s="36" t="n">
        <x:v>2530</x:v>
      </x:c>
      <x:c r="F502" s="36" t="n">
        <x:v>3002</x:v>
      </x:c>
      <x:c r="G502" s="42" t="n">
        <x:v>0.6439296439296439</x:v>
      </x:c>
      <x:c r="H502" s="36" t="n">
        <x:f>E502*G502</x:f>
        <x:v>1629.1419991419991</x:v>
      </x:c>
      <x:c r="I502" s="36" t="n">
        <x:f>IFERROR(H502/A502,0)</x:f>
        <x:v>1629.1419991419991</x:v>
      </x:c>
      <x:c r="J502" s="67" t="str">
        <x:v>Modeled from live base + Sep-2026 quality ratio</x:v>
      </x:c>
      <x:c r="K502" s="67" t="str">
        <x:v>https://www.stonealgo.com/diamond-prices/</x:v>
      </x:c>
      <x:c r="L502" s="67" t="str">
        <x:v>https://www.pricescope.com/blog/natural-diamond-prices-september-2026</x:v>
      </x:c>
    </x:row>
    <x:row r="503">
      <x:c r="A503" t="n">
        <x:v>1</x:v>
      </x:c>
      <x:c r="B503" t="str">
        <x:v>Heart</x:v>
      </x:c>
      <x:c r="C503" t="str">
        <x:v>J</x:v>
      </x:c>
      <x:c r="D503" t="str">
        <x:v>VS2</x:v>
      </x:c>
      <x:c r="E503" s="36" t="n">
        <x:v>2530</x:v>
      </x:c>
      <x:c r="F503" s="36" t="n">
        <x:v>2559</x:v>
      </x:c>
      <x:c r="G503" s="42" t="n">
        <x:v>0.5489060489060489</x:v>
      </x:c>
      <x:c r="H503" s="36" t="n">
        <x:f>E503*G503</x:f>
        <x:v>1388.7323037323038</x:v>
      </x:c>
      <x:c r="I503" s="36" t="n">
        <x:f>IFERROR(H503/A503,0)</x:f>
        <x:v>1388.7323037323038</x:v>
      </x:c>
      <x:c r="J503" s="67" t="str">
        <x:v>Modeled from live base + Sep-2026 quality ratio</x:v>
      </x:c>
      <x:c r="K503" s="67" t="str">
        <x:v>https://www.stonealgo.com/diamond-prices/</x:v>
      </x:c>
      <x:c r="L503" s="67" t="str">
        <x:v>https://www.pricescope.com/blog/natural-diamond-prices-september-2026</x:v>
      </x:c>
    </x:row>
    <x:row r="504">
      <x:c r="A504" t="n">
        <x:v>1</x:v>
      </x:c>
      <x:c r="B504" t="str">
        <x:v>Heart</x:v>
      </x:c>
      <x:c r="C504" t="str">
        <x:v>J</x:v>
      </x:c>
      <x:c r="D504" t="str">
        <x:v>SI1</x:v>
      </x:c>
      <x:c r="E504" s="36" t="n">
        <x:v>2530</x:v>
      </x:c>
      <x:c r="F504" s="36" t="n">
        <x:v>2195</x:v>
      </x:c>
      <x:c r="G504" s="42" t="n">
        <x:v>0.47082797082797084</x:v>
      </x:c>
      <x:c r="H504" s="36" t="n">
        <x:f>E504*G504</x:f>
        <x:v>1191.1947661947663</x:v>
      </x:c>
      <x:c r="I504" s="36" t="n">
        <x:f>IFERROR(H504/A504,0)</x:f>
        <x:v>1191.1947661947663</x:v>
      </x:c>
      <x:c r="J504" s="67" t="str">
        <x:v>Modeled from live base + Sep-2026 quality ratio</x:v>
      </x:c>
      <x:c r="K504" s="67" t="str">
        <x:v>https://www.stonealgo.com/diamond-prices/</x:v>
      </x:c>
      <x:c r="L504" s="67" t="str">
        <x:v>https://www.pricescope.com/blog/natural-diamond-prices-september-2026</x:v>
      </x:c>
    </x:row>
    <x:row r="505">
      <x:c r="A505" t="n">
        <x:v>1</x:v>
      </x:c>
      <x:c r="B505" t="str">
        <x:v>Heart</x:v>
      </x:c>
      <x:c r="C505" t="str">
        <x:v>J</x:v>
      </x:c>
      <x:c r="D505" t="str">
        <x:v>SI2</x:v>
      </x:c>
      <x:c r="E505" s="36" t="n">
        <x:v>2530</x:v>
      </x:c>
      <x:c r="F505" s="36" t="n">
        <x:v>2079</x:v>
      </x:c>
      <x:c r="G505" s="42" t="n">
        <x:v>0.44594594594594594</x:v>
      </x:c>
      <x:c r="H505" s="36" t="n">
        <x:f>E505*G505</x:f>
        <x:v>1128.2432432432433</x:v>
      </x:c>
      <x:c r="I505" s="36" t="n">
        <x:f>IFERROR(H505/A505,0)</x:f>
        <x:v>1128.2432432432433</x:v>
      </x:c>
      <x:c r="J505" s="67" t="str">
        <x:v>Modeled from live base + Sep-2026 quality ratio</x:v>
      </x:c>
      <x:c r="K505" s="67" t="str">
        <x:v>https://www.stonealgo.com/diamond-prices/</x:v>
      </x:c>
      <x:c r="L505" s="67" t="str">
        <x:v>https://www.pricescope.com/blog/natural-diamond-prices-september-2026</x:v>
      </x:c>
    </x:row>
    <x:row r="506">
      <x:c r="A506" t="n">
        <x:v>1</x:v>
      </x:c>
      <x:c r="B506" t="str">
        <x:v>Heart</x:v>
      </x:c>
      <x:c r="C506" t="str">
        <x:v>K</x:v>
      </x:c>
      <x:c r="D506" t="str">
        <x:v>FL</x:v>
      </x:c>
      <x:c r="E506" s="36" t="n">
        <x:v>2530</x:v>
      </x:c>
      <x:c r="F506" s="36" t="n">
        <x:v>2858</x:v>
      </x:c>
      <x:c r="G506" s="42" t="n">
        <x:v>0.6130416130416131</x:v>
      </x:c>
      <x:c r="H506" s="36" t="n">
        <x:f>E506*G506</x:f>
        <x:v>1550.995280995281</x:v>
      </x:c>
      <x:c r="I506" s="36" t="n">
        <x:f>IFERROR(H506/A506,0)</x:f>
        <x:v>1550.995280995281</x:v>
      </x:c>
      <x:c r="J506" s="67" t="str">
        <x:v>Modeled from live base + Sep-2026 quality ratio; K/FL quality cell modeled</x:v>
      </x:c>
      <x:c r="K506" s="67" t="str">
        <x:v>https://www.stonealgo.com/diamond-prices/</x:v>
      </x:c>
      <x:c r="L506" s="67" t="str">
        <x:v>https://www.pricescope.com/blog/natural-diamond-prices-september-2026</x:v>
      </x:c>
    </x:row>
    <x:row r="507">
      <x:c r="A507" t="n">
        <x:v>1</x:v>
      </x:c>
      <x:c r="B507" t="str">
        <x:v>Heart</x:v>
      </x:c>
      <x:c r="C507" t="str">
        <x:v>K</x:v>
      </x:c>
      <x:c r="D507" t="str">
        <x:v>IF</x:v>
      </x:c>
      <x:c r="E507" s="36" t="n">
        <x:v>2530</x:v>
      </x:c>
      <x:c r="F507" s="36" t="n">
        <x:v>2743</x:v>
      </x:c>
      <x:c r="G507" s="42" t="n">
        <x:v>0.5883740883740883</x:v>
      </x:c>
      <x:c r="H507" s="36" t="n">
        <x:f>E507*G507</x:f>
        <x:v>1488.5864435864435</x:v>
      </x:c>
      <x:c r="I507" s="36" t="n">
        <x:f>IFERROR(H507/A507,0)</x:f>
        <x:v>1488.5864435864435</x:v>
      </x:c>
      <x:c r="J507" s="67" t="str">
        <x:v>Modeled from live base + Sep-2026 quality ratio</x:v>
      </x:c>
      <x:c r="K507" s="67" t="str">
        <x:v>https://www.stonealgo.com/diamond-prices/</x:v>
      </x:c>
      <x:c r="L507" s="67" t="str">
        <x:v>https://www.pricescope.com/blog/natural-diamond-prices-september-2026</x:v>
      </x:c>
    </x:row>
    <x:row r="508">
      <x:c r="A508" t="n">
        <x:v>1</x:v>
      </x:c>
      <x:c r="B508" t="str">
        <x:v>Heart</x:v>
      </x:c>
      <x:c r="C508" t="str">
        <x:v>K</x:v>
      </x:c>
      <x:c r="D508" t="str">
        <x:v>VVS1</x:v>
      </x:c>
      <x:c r="E508" s="36" t="n">
        <x:v>2530</x:v>
      </x:c>
      <x:c r="F508" s="36" t="n">
        <x:v>2529</x:v>
      </x:c>
      <x:c r="G508" s="42" t="n">
        <x:v>0.5424710424710425</x:v>
      </x:c>
      <x:c r="H508" s="36" t="n">
        <x:f>E508*G508</x:f>
        <x:v>1372.4517374517375</x:v>
      </x:c>
      <x:c r="I508" s="36" t="n">
        <x:f>IFERROR(H508/A508,0)</x:f>
        <x:v>1372.4517374517375</x:v>
      </x:c>
      <x:c r="J508" s="67" t="str">
        <x:v>Modeled from live base + Sep-2026 quality ratio</x:v>
      </x:c>
      <x:c r="K508" s="67" t="str">
        <x:v>https://www.stonealgo.com/diamond-prices/</x:v>
      </x:c>
      <x:c r="L508" s="67" t="str">
        <x:v>https://www.pricescope.com/blog/natural-diamond-prices-september-2026</x:v>
      </x:c>
    </x:row>
    <x:row r="509">
      <x:c r="A509" t="n">
        <x:v>1</x:v>
      </x:c>
      <x:c r="B509" t="str">
        <x:v>Heart</x:v>
      </x:c>
      <x:c r="C509" t="str">
        <x:v>K</x:v>
      </x:c>
      <x:c r="D509" t="str">
        <x:v>VVS2</x:v>
      </x:c>
      <x:c r="E509" s="36" t="n">
        <x:v>2530</x:v>
      </x:c>
      <x:c r="F509" s="36" t="n">
        <x:v>2374</x:v>
      </x:c>
      <x:c r="G509" s="42" t="n">
        <x:v>0.5092235092235092</x:v>
      </x:c>
      <x:c r="H509" s="36" t="n">
        <x:f>E509*G509</x:f>
        <x:v>1288.3354783354785</x:v>
      </x:c>
      <x:c r="I509" s="36" t="n">
        <x:f>IFERROR(H509/A509,0)</x:f>
        <x:v>1288.3354783354785</x:v>
      </x:c>
      <x:c r="J509" s="67" t="str">
        <x:v>Modeled from live base + Sep-2026 quality ratio</x:v>
      </x:c>
      <x:c r="K509" s="67" t="str">
        <x:v>https://www.stonealgo.com/diamond-prices/</x:v>
      </x:c>
      <x:c r="L509" s="67" t="str">
        <x:v>https://www.pricescope.com/blog/natural-diamond-prices-september-2026</x:v>
      </x:c>
    </x:row>
    <x:row r="510">
      <x:c r="A510" t="n">
        <x:v>1</x:v>
      </x:c>
      <x:c r="B510" t="str">
        <x:v>Heart</x:v>
      </x:c>
      <x:c r="C510" t="str">
        <x:v>K</x:v>
      </x:c>
      <x:c r="D510" t="str">
        <x:v>VS1</x:v>
      </x:c>
      <x:c r="E510" s="36" t="n">
        <x:v>2530</x:v>
      </x:c>
      <x:c r="F510" s="36" t="n">
        <x:v>2223</x:v>
      </x:c>
      <x:c r="G510" s="42" t="n">
        <x:v>0.4768339768339768</x:v>
      </x:c>
      <x:c r="H510" s="36" t="n">
        <x:f>E510*G510</x:f>
        <x:v>1206.3899613899614</x:v>
      </x:c>
      <x:c r="I510" s="36" t="n">
        <x:f>IFERROR(H510/A510,0)</x:f>
        <x:v>1206.3899613899614</x:v>
      </x:c>
      <x:c r="J510" s="67" t="str">
        <x:v>Modeled from live base + Sep-2026 quality ratio</x:v>
      </x:c>
      <x:c r="K510" s="67" t="str">
        <x:v>https://www.stonealgo.com/diamond-prices/</x:v>
      </x:c>
      <x:c r="L510" s="67" t="str">
        <x:v>https://www.pricescope.com/blog/natural-diamond-prices-september-2026</x:v>
      </x:c>
    </x:row>
    <x:row r="511">
      <x:c r="A511" t="n">
        <x:v>1</x:v>
      </x:c>
      <x:c r="B511" t="str">
        <x:v>Heart</x:v>
      </x:c>
      <x:c r="C511" t="str">
        <x:v>K</x:v>
      </x:c>
      <x:c r="D511" t="str">
        <x:v>VS2</x:v>
      </x:c>
      <x:c r="E511" s="36" t="n">
        <x:v>2530</x:v>
      </x:c>
      <x:c r="F511" s="36" t="n">
        <x:v>2098</x:v>
      </x:c>
      <x:c r="G511" s="42" t="n">
        <x:v>0.45002145002145</x:v>
      </x:c>
      <x:c r="H511" s="36" t="n">
        <x:f>E511*G511</x:f>
        <x:v>1138.5542685542684</x:v>
      </x:c>
      <x:c r="I511" s="36" t="n">
        <x:f>IFERROR(H511/A511,0)</x:f>
        <x:v>1138.5542685542684</x:v>
      </x:c>
      <x:c r="J511" s="67" t="str">
        <x:v>Modeled from live base + Sep-2026 quality ratio</x:v>
      </x:c>
      <x:c r="K511" s="67" t="str">
        <x:v>https://www.stonealgo.com/diamond-prices/</x:v>
      </x:c>
      <x:c r="L511" s="67" t="str">
        <x:v>https://www.pricescope.com/blog/natural-diamond-prices-september-2026</x:v>
      </x:c>
    </x:row>
    <x:row r="512">
      <x:c r="A512" t="n">
        <x:v>1</x:v>
      </x:c>
      <x:c r="B512" t="str">
        <x:v>Heart</x:v>
      </x:c>
      <x:c r="C512" t="str">
        <x:v>K</x:v>
      </x:c>
      <x:c r="D512" t="str">
        <x:v>SI1</x:v>
      </x:c>
      <x:c r="E512" s="36" t="n">
        <x:v>2530</x:v>
      </x:c>
      <x:c r="F512" s="36" t="n">
        <x:v>1922</x:v>
      </x:c>
      <x:c r="G512" s="42" t="n">
        <x:v>0.41226941226941227</x:v>
      </x:c>
      <x:c r="H512" s="36" t="n">
        <x:f>E512*G512</x:f>
        <x:v>1043.0416130416131</x:v>
      </x:c>
      <x:c r="I512" s="36" t="n">
        <x:f>IFERROR(H512/A512,0)</x:f>
        <x:v>1043.0416130416131</x:v>
      </x:c>
      <x:c r="J512" s="67" t="str">
        <x:v>Modeled from live base + Sep-2026 quality ratio</x:v>
      </x:c>
      <x:c r="K512" s="67" t="str">
        <x:v>https://www.stonealgo.com/diamond-prices/</x:v>
      </x:c>
      <x:c r="L512" s="67" t="str">
        <x:v>https://www.pricescope.com/blog/natural-diamond-prices-september-2026</x:v>
      </x:c>
    </x:row>
    <x:row r="513">
      <x:c r="A513" t="n">
        <x:v>1</x:v>
      </x:c>
      <x:c r="B513" t="str">
        <x:v>Heart</x:v>
      </x:c>
      <x:c r="C513" t="str">
        <x:v>K</x:v>
      </x:c>
      <x:c r="D513" t="str">
        <x:v>SI2</x:v>
      </x:c>
      <x:c r="E513" s="36" t="n">
        <x:v>2530</x:v>
      </x:c>
      <x:c r="F513" s="36" t="n">
        <x:v>1764</x:v>
      </x:c>
      <x:c r="G513" s="42" t="n">
        <x:v>0.3783783783783784</x:v>
      </x:c>
      <x:c r="H513" s="36" t="n">
        <x:f>E513*G513</x:f>
        <x:v>957.2972972972974</x:v>
      </x:c>
      <x:c r="I513" s="36" t="n">
        <x:f>IFERROR(H513/A513,0)</x:f>
        <x:v>957.2972972972974</x:v>
      </x:c>
      <x:c r="J513" s="67" t="str">
        <x:v>Modeled from live base + Sep-2026 quality ratio</x:v>
      </x:c>
      <x:c r="K513" s="67" t="str">
        <x:v>https://www.stonealgo.com/diamond-prices/</x:v>
      </x:c>
      <x:c r="L513" s="67" t="str">
        <x:v>https://www.pricescope.com/blog/natural-diamond-prices-september-2026</x:v>
      </x:c>
    </x:row>
    <x:row r="514">
      <x:c r="A514" t="n">
        <x:v>1</x:v>
      </x:c>
      <x:c r="B514" t="str">
        <x:v>Marquise</x:v>
      </x:c>
      <x:c r="C514" t="str">
        <x:v>D</x:v>
      </x:c>
      <x:c r="D514" t="str">
        <x:v>FL</x:v>
      </x:c>
      <x:c r="E514" s="36" t="n">
        <x:v>3480</x:v>
      </x:c>
      <x:c r="F514" s="36" t="n">
        <x:v>12665</x:v>
      </x:c>
      <x:c r="G514" s="42" t="n">
        <x:v>2.7166452166452166</x:v>
      </x:c>
      <x:c r="H514" s="36" t="n">
        <x:f>E514*G514</x:f>
        <x:v>9453.925353925353</x:v>
      </x:c>
      <x:c r="I514" s="36" t="n">
        <x:f>IFERROR(H514/A514,0)</x:f>
        <x:v>9453.925353925353</x:v>
      </x:c>
      <x:c r="J514" s="67" t="str">
        <x:v>Modeled from live base + Sep-2026 quality ratio</x:v>
      </x:c>
      <x:c r="K514" s="67" t="str">
        <x:v>https://www.stonealgo.com/diamond-prices/</x:v>
      </x:c>
      <x:c r="L514" s="67" t="str">
        <x:v>https://www.pricescope.com/blog/natural-diamond-prices-september-2026</x:v>
      </x:c>
    </x:row>
    <x:row r="515">
      <x:c r="A515" t="n">
        <x:v>1</x:v>
      </x:c>
      <x:c r="B515" t="str">
        <x:v>Marquise</x:v>
      </x:c>
      <x:c r="C515" t="str">
        <x:v>D</x:v>
      </x:c>
      <x:c r="D515" t="str">
        <x:v>IF</x:v>
      </x:c>
      <x:c r="E515" s="36" t="n">
        <x:v>3480</x:v>
      </x:c>
      <x:c r="F515" s="36" t="n">
        <x:v>13240</x:v>
      </x:c>
      <x:c r="G515" s="42" t="n">
        <x:v>2.83998283998284</x:v>
      </x:c>
      <x:c r="H515" s="36" t="n">
        <x:f>E515*G515</x:f>
        <x:v>9883.140283140283</x:v>
      </x:c>
      <x:c r="I515" s="36" t="n">
        <x:f>IFERROR(H515/A515,0)</x:f>
        <x:v>9883.140283140283</x:v>
      </x:c>
      <x:c r="J515" s="67" t="str">
        <x:v>Modeled from live base + Sep-2026 quality ratio</x:v>
      </x:c>
      <x:c r="K515" s="67" t="str">
        <x:v>https://www.stonealgo.com/diamond-prices/</x:v>
      </x:c>
      <x:c r="L515" s="67" t="str">
        <x:v>https://www.pricescope.com/blog/natural-diamond-prices-september-2026</x:v>
      </x:c>
    </x:row>
    <x:row r="516">
      <x:c r="A516" t="n">
        <x:v>1</x:v>
      </x:c>
      <x:c r="B516" t="str">
        <x:v>Marquise</x:v>
      </x:c>
      <x:c r="C516" t="str">
        <x:v>D</x:v>
      </x:c>
      <x:c r="D516" t="str">
        <x:v>VVS1</x:v>
      </x:c>
      <x:c r="E516" s="36" t="n">
        <x:v>3480</x:v>
      </x:c>
      <x:c r="F516" s="36" t="n">
        <x:v>9555</x:v>
      </x:c>
      <x:c r="G516" s="42" t="n">
        <x:v>2.0495495495495497</x:v>
      </x:c>
      <x:c r="H516" s="36" t="n">
        <x:f>E516*G516</x:f>
        <x:v>7132.432432432433</x:v>
      </x:c>
      <x:c r="I516" s="36" t="n">
        <x:f>IFERROR(H516/A516,0)</x:f>
        <x:v>7132.432432432433</x:v>
      </x:c>
      <x:c r="J516" s="67" t="str">
        <x:v>Modeled from live base + Sep-2026 quality ratio</x:v>
      </x:c>
      <x:c r="K516" s="67" t="str">
        <x:v>https://www.stonealgo.com/diamond-prices/</x:v>
      </x:c>
      <x:c r="L516" s="67" t="str">
        <x:v>https://www.pricescope.com/blog/natural-diamond-prices-september-2026</x:v>
      </x:c>
    </x:row>
    <x:row r="517">
      <x:c r="A517" t="n">
        <x:v>1</x:v>
      </x:c>
      <x:c r="B517" t="str">
        <x:v>Marquise</x:v>
      </x:c>
      <x:c r="C517" t="str">
        <x:v>D</x:v>
      </x:c>
      <x:c r="D517" t="str">
        <x:v>VVS2</x:v>
      </x:c>
      <x:c r="E517" s="36" t="n">
        <x:v>3480</x:v>
      </x:c>
      <x:c r="F517" s="36" t="n">
        <x:v>6660</x:v>
      </x:c>
      <x:c r="G517" s="42" t="n">
        <x:v>1.4285714285714286</x:v>
      </x:c>
      <x:c r="H517" s="36" t="n">
        <x:f>E517*G517</x:f>
        <x:v>4971.428571428572</x:v>
      </x:c>
      <x:c r="I517" s="36" t="n">
        <x:f>IFERROR(H517/A517,0)</x:f>
        <x:v>4971.428571428572</x:v>
      </x:c>
      <x:c r="J517" s="67" t="str">
        <x:v>Modeled from live base + Sep-2026 quality ratio</x:v>
      </x:c>
      <x:c r="K517" s="67" t="str">
        <x:v>https://www.stonealgo.com/diamond-prices/</x:v>
      </x:c>
      <x:c r="L517" s="67" t="str">
        <x:v>https://www.pricescope.com/blog/natural-diamond-prices-september-2026</x:v>
      </x:c>
    </x:row>
    <x:row r="518">
      <x:c r="A518" t="n">
        <x:v>1</x:v>
      </x:c>
      <x:c r="B518" t="str">
        <x:v>Marquise</x:v>
      </x:c>
      <x:c r="C518" t="str">
        <x:v>D</x:v>
      </x:c>
      <x:c r="D518" t="str">
        <x:v>VS1</x:v>
      </x:c>
      <x:c r="E518" s="36" t="n">
        <x:v>3480</x:v>
      </x:c>
      <x:c r="F518" s="36" t="n">
        <x:v>6247</x:v>
      </x:c>
      <x:c r="G518" s="42" t="n">
        <x:v>1.33998283998284</x:v>
      </x:c>
      <x:c r="H518" s="36" t="n">
        <x:f>E518*G518</x:f>
        <x:v>4663.140283140283</x:v>
      </x:c>
      <x:c r="I518" s="36" t="n">
        <x:f>IFERROR(H518/A518,0)</x:f>
        <x:v>4663.140283140283</x:v>
      </x:c>
      <x:c r="J518" s="67" t="str">
        <x:v>Modeled from live base + Sep-2026 quality ratio</x:v>
      </x:c>
      <x:c r="K518" s="67" t="str">
        <x:v>https://www.stonealgo.com/diamond-prices/</x:v>
      </x:c>
      <x:c r="L518" s="67" t="str">
        <x:v>https://www.pricescope.com/blog/natural-diamond-prices-september-2026</x:v>
      </x:c>
    </x:row>
    <x:row r="519">
      <x:c r="A519" t="n">
        <x:v>1</x:v>
      </x:c>
      <x:c r="B519" t="str">
        <x:v>Marquise</x:v>
      </x:c>
      <x:c r="C519" t="str">
        <x:v>D</x:v>
      </x:c>
      <x:c r="D519" t="str">
        <x:v>VS2</x:v>
      </x:c>
      <x:c r="E519" s="36" t="n">
        <x:v>3480</x:v>
      </x:c>
      <x:c r="F519" s="36" t="n">
        <x:v>5841</x:v>
      </x:c>
      <x:c r="G519" s="42" t="n">
        <x:v>1.252895752895753</x:v>
      </x:c>
      <x:c r="H519" s="36" t="n">
        <x:f>E519*G519</x:f>
        <x:v>4360.07722007722</x:v>
      </x:c>
      <x:c r="I519" s="36" t="n">
        <x:f>IFERROR(H519/A519,0)</x:f>
        <x:v>4360.07722007722</x:v>
      </x:c>
      <x:c r="J519" s="67" t="str">
        <x:v>Modeled from live base + Sep-2026 quality ratio</x:v>
      </x:c>
      <x:c r="K519" s="67" t="str">
        <x:v>https://www.stonealgo.com/diamond-prices/</x:v>
      </x:c>
      <x:c r="L519" s="67" t="str">
        <x:v>https://www.pricescope.com/blog/natural-diamond-prices-september-2026</x:v>
      </x:c>
    </x:row>
    <x:row r="520">
      <x:c r="A520" t="n">
        <x:v>1</x:v>
      </x:c>
      <x:c r="B520" t="str">
        <x:v>Marquise</x:v>
      </x:c>
      <x:c r="C520" t="str">
        <x:v>D</x:v>
      </x:c>
      <x:c r="D520" t="str">
        <x:v>SI1</x:v>
      </x:c>
      <x:c r="E520" s="36" t="n">
        <x:v>3480</x:v>
      </x:c>
      <x:c r="F520" s="36" t="n">
        <x:v>3762</x:v>
      </x:c>
      <x:c r="G520" s="42" t="n">
        <x:v>0.806949806949807</x:v>
      </x:c>
      <x:c r="H520" s="36" t="n">
        <x:f>E520*G520</x:f>
        <x:v>2808.185328185328</x:v>
      </x:c>
      <x:c r="I520" s="36" t="n">
        <x:f>IFERROR(H520/A520,0)</x:f>
        <x:v>2808.185328185328</x:v>
      </x:c>
      <x:c r="J520" s="67" t="str">
        <x:v>Modeled from live base + Sep-2026 quality ratio</x:v>
      </x:c>
      <x:c r="K520" s="67" t="str">
        <x:v>https://www.stonealgo.com/diamond-prices/</x:v>
      </x:c>
      <x:c r="L520" s="67" t="str">
        <x:v>https://www.pricescope.com/blog/natural-diamond-prices-september-2026</x:v>
      </x:c>
    </x:row>
    <x:row r="521">
      <x:c r="A521" t="n">
        <x:v>1</x:v>
      </x:c>
      <x:c r="B521" t="str">
        <x:v>Marquise</x:v>
      </x:c>
      <x:c r="C521" t="str">
        <x:v>D</x:v>
      </x:c>
      <x:c r="D521" t="str">
        <x:v>SI2</x:v>
      </x:c>
      <x:c r="E521" s="36" t="n">
        <x:v>3480</x:v>
      </x:c>
      <x:c r="F521" s="36" t="n">
        <x:v>3026</x:v>
      </x:c>
      <x:c r="G521" s="42" t="n">
        <x:v>0.6490776490776491</x:v>
      </x:c>
      <x:c r="H521" s="36" t="n">
        <x:f>E521*G521</x:f>
        <x:v>2258.7902187902187</x:v>
      </x:c>
      <x:c r="I521" s="36" t="n">
        <x:f>IFERROR(H521/A521,0)</x:f>
        <x:v>2258.7902187902187</x:v>
      </x:c>
      <x:c r="J521" s="67" t="str">
        <x:v>Modeled from live base + Sep-2026 quality ratio</x:v>
      </x:c>
      <x:c r="K521" s="67" t="str">
        <x:v>https://www.stonealgo.com/diamond-prices/</x:v>
      </x:c>
      <x:c r="L521" s="67" t="str">
        <x:v>https://www.pricescope.com/blog/natural-diamond-prices-september-2026</x:v>
      </x:c>
    </x:row>
    <x:row r="522">
      <x:c r="A522" t="n">
        <x:v>1</x:v>
      </x:c>
      <x:c r="B522" t="str">
        <x:v>Marquise</x:v>
      </x:c>
      <x:c r="C522" t="str">
        <x:v>E</x:v>
      </x:c>
      <x:c r="D522" t="str">
        <x:v>FL</x:v>
      </x:c>
      <x:c r="E522" s="36" t="n">
        <x:v>3480</x:v>
      </x:c>
      <x:c r="F522" s="36" t="n">
        <x:v>10072</x:v>
      </x:c>
      <x:c r="G522" s="42" t="n">
        <x:v>2.1604461604461602</x:v>
      </x:c>
      <x:c r="H522" s="36" t="n">
        <x:f>E522*G522</x:f>
        <x:v>7518.352638352638</x:v>
      </x:c>
      <x:c r="I522" s="36" t="n">
        <x:f>IFERROR(H522/A522,0)</x:f>
        <x:v>7518.352638352638</x:v>
      </x:c>
      <x:c r="J522" s="67" t="str">
        <x:v>Modeled from live base + Sep-2026 quality ratio</x:v>
      </x:c>
      <x:c r="K522" s="67" t="str">
        <x:v>https://www.stonealgo.com/diamond-prices/</x:v>
      </x:c>
      <x:c r="L522" s="67" t="str">
        <x:v>https://www.pricescope.com/blog/natural-diamond-prices-september-2026</x:v>
      </x:c>
    </x:row>
    <x:row r="523">
      <x:c r="A523" t="n">
        <x:v>1</x:v>
      </x:c>
      <x:c r="B523" t="str">
        <x:v>Marquise</x:v>
      </x:c>
      <x:c r="C523" t="str">
        <x:v>E</x:v>
      </x:c>
      <x:c r="D523" t="str">
        <x:v>IF</x:v>
      </x:c>
      <x:c r="E523" s="36" t="n">
        <x:v>3480</x:v>
      </x:c>
      <x:c r="F523" s="36" t="n">
        <x:v>8672</x:v>
      </x:c>
      <x:c r="G523" s="42" t="n">
        <x:v>1.8601458601458603</x:v>
      </x:c>
      <x:c r="H523" s="36" t="n">
        <x:f>E523*G523</x:f>
        <x:v>6473.307593307593</x:v>
      </x:c>
      <x:c r="I523" s="36" t="n">
        <x:f>IFERROR(H523/A523,0)</x:f>
        <x:v>6473.307593307593</x:v>
      </x:c>
      <x:c r="J523" s="67" t="str">
        <x:v>Modeled from live base + Sep-2026 quality ratio</x:v>
      </x:c>
      <x:c r="K523" s="67" t="str">
        <x:v>https://www.stonealgo.com/diamond-prices/</x:v>
      </x:c>
      <x:c r="L523" s="67" t="str">
        <x:v>https://www.pricescope.com/blog/natural-diamond-prices-september-2026</x:v>
      </x:c>
    </x:row>
    <x:row r="524">
      <x:c r="A524" t="n">
        <x:v>1</x:v>
      </x:c>
      <x:c r="B524" t="str">
        <x:v>Marquise</x:v>
      </x:c>
      <x:c r="C524" t="str">
        <x:v>E</x:v>
      </x:c>
      <x:c r="D524" t="str">
        <x:v>VVS1</x:v>
      </x:c>
      <x:c r="E524" s="36" t="n">
        <x:v>3480</x:v>
      </x:c>
      <x:c r="F524" s="36" t="n">
        <x:v>7842</x:v>
      </x:c>
      <x:c r="G524" s="42" t="n">
        <x:v>1.6821106821106822</x:v>
      </x:c>
      <x:c r="H524" s="36" t="n">
        <x:f>E524*G524</x:f>
        <x:v>5853.745173745174</x:v>
      </x:c>
      <x:c r="I524" s="36" t="n">
        <x:f>IFERROR(H524/A524,0)</x:f>
        <x:v>5853.745173745174</x:v>
      </x:c>
      <x:c r="J524" s="67" t="str">
        <x:v>Modeled from live base + Sep-2026 quality ratio</x:v>
      </x:c>
      <x:c r="K524" s="67" t="str">
        <x:v>https://www.stonealgo.com/diamond-prices/</x:v>
      </x:c>
      <x:c r="L524" s="67" t="str">
        <x:v>https://www.pricescope.com/blog/natural-diamond-prices-september-2026</x:v>
      </x:c>
    </x:row>
    <x:row r="525">
      <x:c r="A525" t="n">
        <x:v>1</x:v>
      </x:c>
      <x:c r="B525" t="str">
        <x:v>Marquise</x:v>
      </x:c>
      <x:c r="C525" t="str">
        <x:v>E</x:v>
      </x:c>
      <x:c r="D525" t="str">
        <x:v>VVS2</x:v>
      </x:c>
      <x:c r="E525" s="36" t="n">
        <x:v>3480</x:v>
      </x:c>
      <x:c r="F525" s="36" t="n">
        <x:v>6880</x:v>
      </x:c>
      <x:c r="G525" s="42" t="n">
        <x:v>1.4757614757614759</x:v>
      </x:c>
      <x:c r="H525" s="36" t="n">
        <x:f>E525*G525</x:f>
        <x:v>5135.649935649936</x:v>
      </x:c>
      <x:c r="I525" s="36" t="n">
        <x:f>IFERROR(H525/A525,0)</x:f>
        <x:v>5135.649935649936</x:v>
      </x:c>
      <x:c r="J525" s="67" t="str">
        <x:v>Modeled from live base + Sep-2026 quality ratio</x:v>
      </x:c>
      <x:c r="K525" s="67" t="str">
        <x:v>https://www.stonealgo.com/diamond-prices/</x:v>
      </x:c>
      <x:c r="L525" s="67" t="str">
        <x:v>https://www.pricescope.com/blog/natural-diamond-prices-september-2026</x:v>
      </x:c>
    </x:row>
    <x:row r="526">
      <x:c r="A526" t="n">
        <x:v>1</x:v>
      </x:c>
      <x:c r="B526" t="str">
        <x:v>Marquise</x:v>
      </x:c>
      <x:c r="C526" t="str">
        <x:v>E</x:v>
      </x:c>
      <x:c r="D526" t="str">
        <x:v>VS1</x:v>
      </x:c>
      <x:c r="E526" s="36" t="n">
        <x:v>3480</x:v>
      </x:c>
      <x:c r="F526" s="36" t="n">
        <x:v>6307</x:v>
      </x:c>
      <x:c r="G526" s="42" t="n">
        <x:v>1.352852852852853</x:v>
      </x:c>
      <x:c r="H526" s="36" t="n">
        <x:f>E526*G526</x:f>
        <x:v>4707.927927927928</x:v>
      </x:c>
      <x:c r="I526" s="36" t="n">
        <x:f>IFERROR(H526/A526,0)</x:f>
        <x:v>4707.927927927928</x:v>
      </x:c>
      <x:c r="J526" s="67" t="str">
        <x:v>Modeled from live base + Sep-2026 quality ratio</x:v>
      </x:c>
      <x:c r="K526" s="67" t="str">
        <x:v>https://www.stonealgo.com/diamond-prices/</x:v>
      </x:c>
      <x:c r="L526" s="67" t="str">
        <x:v>https://www.pricescope.com/blog/natural-diamond-prices-september-2026</x:v>
      </x:c>
    </x:row>
    <x:row r="527">
      <x:c r="A527" t="n">
        <x:v>1</x:v>
      </x:c>
      <x:c r="B527" t="str">
        <x:v>Marquise</x:v>
      </x:c>
      <x:c r="C527" t="str">
        <x:v>E</x:v>
      </x:c>
      <x:c r="D527" t="str">
        <x:v>VS2</x:v>
      </x:c>
      <x:c r="E527" s="36" t="n">
        <x:v>3480</x:v>
      </x:c>
      <x:c r="F527" s="36" t="n">
        <x:v>5249</x:v>
      </x:c>
      <x:c r="G527" s="42" t="n">
        <x:v>1.125911625911626</x:v>
      </x:c>
      <x:c r="H527" s="36" t="n">
        <x:f>E527*G527</x:f>
        <x:v>3918.1724581724584</x:v>
      </x:c>
      <x:c r="I527" s="36" t="n">
        <x:f>IFERROR(H527/A527,0)</x:f>
        <x:v>3918.1724581724584</x:v>
      </x:c>
      <x:c r="J527" s="67" t="str">
        <x:v>Modeled from live base + Sep-2026 quality ratio</x:v>
      </x:c>
      <x:c r="K527" s="67" t="str">
        <x:v>https://www.stonealgo.com/diamond-prices/</x:v>
      </x:c>
      <x:c r="L527" s="67" t="str">
        <x:v>https://www.pricescope.com/blog/natural-diamond-prices-september-2026</x:v>
      </x:c>
    </x:row>
    <x:row r="528">
      <x:c r="A528" t="n">
        <x:v>1</x:v>
      </x:c>
      <x:c r="B528" t="str">
        <x:v>Marquise</x:v>
      </x:c>
      <x:c r="C528" t="str">
        <x:v>E</x:v>
      </x:c>
      <x:c r="D528" t="str">
        <x:v>SI1</x:v>
      </x:c>
      <x:c r="E528" s="36" t="n">
        <x:v>3480</x:v>
      </x:c>
      <x:c r="F528" s="36" t="n">
        <x:v>3551</x:v>
      </x:c>
      <x:c r="G528" s="42" t="n">
        <x:v>0.7616902616902617</x:v>
      </x:c>
      <x:c r="H528" s="36" t="n">
        <x:f>E528*G528</x:f>
        <x:v>2650.6821106821108</x:v>
      </x:c>
      <x:c r="I528" s="36" t="n">
        <x:f>IFERROR(H528/A528,0)</x:f>
        <x:v>2650.6821106821108</x:v>
      </x:c>
      <x:c r="J528" s="67" t="str">
        <x:v>Modeled from live base + Sep-2026 quality ratio</x:v>
      </x:c>
      <x:c r="K528" s="67" t="str">
        <x:v>https://www.stonealgo.com/diamond-prices/</x:v>
      </x:c>
      <x:c r="L528" s="67" t="str">
        <x:v>https://www.pricescope.com/blog/natural-diamond-prices-september-2026</x:v>
      </x:c>
    </x:row>
    <x:row r="529">
      <x:c r="A529" t="n">
        <x:v>1</x:v>
      </x:c>
      <x:c r="B529" t="str">
        <x:v>Marquise</x:v>
      </x:c>
      <x:c r="C529" t="str">
        <x:v>E</x:v>
      </x:c>
      <x:c r="D529" t="str">
        <x:v>SI2</x:v>
      </x:c>
      <x:c r="E529" s="36" t="n">
        <x:v>3480</x:v>
      </x:c>
      <x:c r="F529" s="36" t="n">
        <x:v>2993</x:v>
      </x:c>
      <x:c r="G529" s="42" t="n">
        <x:v>0.641999141999142</x:v>
      </x:c>
      <x:c r="H529" s="36" t="n">
        <x:f>E529*G529</x:f>
        <x:v>2234.157014157014</x:v>
      </x:c>
      <x:c r="I529" s="36" t="n">
        <x:f>IFERROR(H529/A529,0)</x:f>
        <x:v>2234.157014157014</x:v>
      </x:c>
      <x:c r="J529" s="67" t="str">
        <x:v>Modeled from live base + Sep-2026 quality ratio</x:v>
      </x:c>
      <x:c r="K529" s="67" t="str">
        <x:v>https://www.stonealgo.com/diamond-prices/</x:v>
      </x:c>
      <x:c r="L529" s="67" t="str">
        <x:v>https://www.pricescope.com/blog/natural-diamond-prices-september-2026</x:v>
      </x:c>
    </x:row>
    <x:row r="530">
      <x:c r="A530" t="n">
        <x:v>1</x:v>
      </x:c>
      <x:c r="B530" t="str">
        <x:v>Marquise</x:v>
      </x:c>
      <x:c r="C530" t="str">
        <x:v>F</x:v>
      </x:c>
      <x:c r="D530" t="str">
        <x:v>FL</x:v>
      </x:c>
      <x:c r="E530" s="36" t="n">
        <x:v>3480</x:v>
      </x:c>
      <x:c r="F530" s="36" t="n">
        <x:v>6830</x:v>
      </x:c>
      <x:c r="G530" s="42" t="n">
        <x:v>1.4650364650364651</x:v>
      </x:c>
      <x:c r="H530" s="36" t="n">
        <x:f>E530*G530</x:f>
        <x:v>5098.326898326899</x:v>
      </x:c>
      <x:c r="I530" s="36" t="n">
        <x:f>IFERROR(H530/A530,0)</x:f>
        <x:v>5098.326898326899</x:v>
      </x:c>
      <x:c r="J530" s="67" t="str">
        <x:v>Modeled from live base + Sep-2026 quality ratio</x:v>
      </x:c>
      <x:c r="K530" s="67" t="str">
        <x:v>https://www.stonealgo.com/diamond-prices/</x:v>
      </x:c>
      <x:c r="L530" s="67" t="str">
        <x:v>https://www.pricescope.com/blog/natural-diamond-prices-september-2026</x:v>
      </x:c>
    </x:row>
    <x:row r="531">
      <x:c r="A531" t="n">
        <x:v>1</x:v>
      </x:c>
      <x:c r="B531" t="str">
        <x:v>Marquise</x:v>
      </x:c>
      <x:c r="C531" t="str">
        <x:v>F</x:v>
      </x:c>
      <x:c r="D531" t="str">
        <x:v>IF</x:v>
      </x:c>
      <x:c r="E531" s="36" t="n">
        <x:v>3480</x:v>
      </x:c>
      <x:c r="F531" s="36" t="n">
        <x:v>7302</x:v>
      </x:c>
      <x:c r="G531" s="42" t="n">
        <x:v>1.5662805662805663</x:v>
      </x:c>
      <x:c r="H531" s="36" t="n">
        <x:f>E531*G531</x:f>
        <x:v>5450.656370656371</x:v>
      </x:c>
      <x:c r="I531" s="36" t="n">
        <x:f>IFERROR(H531/A531,0)</x:f>
        <x:v>5450.656370656371</x:v>
      </x:c>
      <x:c r="J531" s="67" t="str">
        <x:v>Modeled from live base + Sep-2026 quality ratio</x:v>
      </x:c>
      <x:c r="K531" s="67" t="str">
        <x:v>https://www.stonealgo.com/diamond-prices/</x:v>
      </x:c>
      <x:c r="L531" s="67" t="str">
        <x:v>https://www.pricescope.com/blog/natural-diamond-prices-september-2026</x:v>
      </x:c>
    </x:row>
    <x:row r="532">
      <x:c r="A532" t="n">
        <x:v>1</x:v>
      </x:c>
      <x:c r="B532" t="str">
        <x:v>Marquise</x:v>
      </x:c>
      <x:c r="C532" t="str">
        <x:v>F</x:v>
      </x:c>
      <x:c r="D532" t="str">
        <x:v>VVS1</x:v>
      </x:c>
      <x:c r="E532" s="36" t="n">
        <x:v>3480</x:v>
      </x:c>
      <x:c r="F532" s="36" t="n">
        <x:v>7542</x:v>
      </x:c>
      <x:c r="G532" s="42" t="n">
        <x:v>1.6177606177606179</x:v>
      </x:c>
      <x:c r="H532" s="36" t="n">
        <x:f>E532*G532</x:f>
        <x:v>5629.80694980695</x:v>
      </x:c>
      <x:c r="I532" s="36" t="n">
        <x:f>IFERROR(H532/A532,0)</x:f>
        <x:v>5629.80694980695</x:v>
      </x:c>
      <x:c r="J532" s="67" t="str">
        <x:v>Modeled from live base + Sep-2026 quality ratio</x:v>
      </x:c>
      <x:c r="K532" s="67" t="str">
        <x:v>https://www.stonealgo.com/diamond-prices/</x:v>
      </x:c>
      <x:c r="L532" s="67" t="str">
        <x:v>https://www.pricescope.com/blog/natural-diamond-prices-september-2026</x:v>
      </x:c>
    </x:row>
    <x:row r="533">
      <x:c r="A533" t="n">
        <x:v>1</x:v>
      </x:c>
      <x:c r="B533" t="str">
        <x:v>Marquise</x:v>
      </x:c>
      <x:c r="C533" t="str">
        <x:v>F</x:v>
      </x:c>
      <x:c r="D533" t="str">
        <x:v>VVS2</x:v>
      </x:c>
      <x:c r="E533" s="36" t="n">
        <x:v>3480</x:v>
      </x:c>
      <x:c r="F533" s="36" t="n">
        <x:v>6352</x:v>
      </x:c>
      <x:c r="G533" s="42" t="n">
        <x:v>1.3625053625053625</x:v>
      </x:c>
      <x:c r="H533" s="36" t="n">
        <x:f>E533*G533</x:f>
        <x:v>4741.518661518661</x:v>
      </x:c>
      <x:c r="I533" s="36" t="n">
        <x:f>IFERROR(H533/A533,0)</x:f>
        <x:v>4741.518661518661</x:v>
      </x:c>
      <x:c r="J533" s="67" t="str">
        <x:v>Modeled from live base + Sep-2026 quality ratio</x:v>
      </x:c>
      <x:c r="K533" s="67" t="str">
        <x:v>https://www.stonealgo.com/diamond-prices/</x:v>
      </x:c>
      <x:c r="L533" s="67" t="str">
        <x:v>https://www.pricescope.com/blog/natural-diamond-prices-september-2026</x:v>
      </x:c>
    </x:row>
    <x:row r="534">
      <x:c r="A534" t="n">
        <x:v>1</x:v>
      </x:c>
      <x:c r="B534" t="str">
        <x:v>Marquise</x:v>
      </x:c>
      <x:c r="C534" t="str">
        <x:v>F</x:v>
      </x:c>
      <x:c r="D534" t="str">
        <x:v>VS1</x:v>
      </x:c>
      <x:c r="E534" s="36" t="n">
        <x:v>3480</x:v>
      </x:c>
      <x:c r="F534" s="36" t="n">
        <x:v>5647</x:v>
      </x:c>
      <x:c r="G534" s="42" t="n">
        <x:v>1.2112827112827114</x:v>
      </x:c>
      <x:c r="H534" s="36" t="n">
        <x:f>E534*G534</x:f>
        <x:v>4215.263835263836</x:v>
      </x:c>
      <x:c r="I534" s="36" t="n">
        <x:f>IFERROR(H534/A534,0)</x:f>
        <x:v>4215.263835263836</x:v>
      </x:c>
      <x:c r="J534" s="67" t="str">
        <x:v>Modeled from live base + Sep-2026 quality ratio</x:v>
      </x:c>
      <x:c r="K534" s="67" t="str">
        <x:v>https://www.stonealgo.com/diamond-prices/</x:v>
      </x:c>
      <x:c r="L534" s="67" t="str">
        <x:v>https://www.pricescope.com/blog/natural-diamond-prices-september-2026</x:v>
      </x:c>
    </x:row>
    <x:row r="535">
      <x:c r="A535" t="n">
        <x:v>1</x:v>
      </x:c>
      <x:c r="B535" t="str">
        <x:v>Marquise</x:v>
      </x:c>
      <x:c r="C535" t="str">
        <x:v>F</x:v>
      </x:c>
      <x:c r="D535" t="str">
        <x:v>VS2</x:v>
      </x:c>
      <x:c r="E535" s="36" t="n">
        <x:v>3480</x:v>
      </x:c>
      <x:c r="F535" s="36" t="n">
        <x:v>4730</x:v>
      </x:c>
      <x:c r="G535" s="42" t="n">
        <x:v>1.0145860145860146</x:v>
      </x:c>
      <x:c r="H535" s="36" t="n">
        <x:f>E535*G535</x:f>
        <x:v>3530.7593307593306</x:v>
      </x:c>
      <x:c r="I535" s="36" t="n">
        <x:f>IFERROR(H535/A535,0)</x:f>
        <x:v>3530.7593307593306</x:v>
      </x:c>
      <x:c r="J535" s="67" t="str">
        <x:v>Modeled from live base + Sep-2026 quality ratio</x:v>
      </x:c>
      <x:c r="K535" s="67" t="str">
        <x:v>https://www.stonealgo.com/diamond-prices/</x:v>
      </x:c>
      <x:c r="L535" s="67" t="str">
        <x:v>https://www.pricescope.com/blog/natural-diamond-prices-september-2026</x:v>
      </x:c>
    </x:row>
    <x:row r="536">
      <x:c r="A536" t="n">
        <x:v>1</x:v>
      </x:c>
      <x:c r="B536" t="str">
        <x:v>Marquise</x:v>
      </x:c>
      <x:c r="C536" t="str">
        <x:v>F</x:v>
      </x:c>
      <x:c r="D536" t="str">
        <x:v>SI1</x:v>
      </x:c>
      <x:c r="E536" s="36" t="n">
        <x:v>3480</x:v>
      </x:c>
      <x:c r="F536" s="36" t="n">
        <x:v>3331</x:v>
      </x:c>
      <x:c r="G536" s="42" t="n">
        <x:v>0.7145002145002145</x:v>
      </x:c>
      <x:c r="H536" s="36" t="n">
        <x:f>E536*G536</x:f>
        <x:v>2486.4607464607466</x:v>
      </x:c>
      <x:c r="I536" s="36" t="n">
        <x:f>IFERROR(H536/A536,0)</x:f>
        <x:v>2486.4607464607466</x:v>
      </x:c>
      <x:c r="J536" s="67" t="str">
        <x:v>Modeled from live base + Sep-2026 quality ratio</x:v>
      </x:c>
      <x:c r="K536" s="67" t="str">
        <x:v>https://www.stonealgo.com/diamond-prices/</x:v>
      </x:c>
      <x:c r="L536" s="67" t="str">
        <x:v>https://www.pricescope.com/blog/natural-diamond-prices-september-2026</x:v>
      </x:c>
    </x:row>
    <x:row r="537">
      <x:c r="A537" t="n">
        <x:v>1</x:v>
      </x:c>
      <x:c r="B537" t="str">
        <x:v>Marquise</x:v>
      </x:c>
      <x:c r="C537" t="str">
        <x:v>F</x:v>
      </x:c>
      <x:c r="D537" t="str">
        <x:v>SI2</x:v>
      </x:c>
      <x:c r="E537" s="36" t="n">
        <x:v>3480</x:v>
      </x:c>
      <x:c r="F537" s="36" t="n">
        <x:v>2733</x:v>
      </x:c>
      <x:c r="G537" s="42" t="n">
        <x:v>0.5862290862290862</x:v>
      </x:c>
      <x:c r="H537" s="36" t="n">
        <x:f>E537*G537</x:f>
        <x:v>2040.07722007722</x:v>
      </x:c>
      <x:c r="I537" s="36" t="n">
        <x:f>IFERROR(H537/A537,0)</x:f>
        <x:v>2040.07722007722</x:v>
      </x:c>
      <x:c r="J537" s="67" t="str">
        <x:v>Modeled from live base + Sep-2026 quality ratio</x:v>
      </x:c>
      <x:c r="K537" s="67" t="str">
        <x:v>https://www.stonealgo.com/diamond-prices/</x:v>
      </x:c>
      <x:c r="L537" s="67" t="str">
        <x:v>https://www.pricescope.com/blog/natural-diamond-prices-september-2026</x:v>
      </x:c>
    </x:row>
    <x:row r="538">
      <x:c r="A538" t="n">
        <x:v>1</x:v>
      </x:c>
      <x:c r="B538" t="str">
        <x:v>Marquise</x:v>
      </x:c>
      <x:c r="C538" t="str">
        <x:v>G</x:v>
      </x:c>
      <x:c r="D538" t="str">
        <x:v>FL</x:v>
      </x:c>
      <x:c r="E538" s="36" t="n">
        <x:v>3480</x:v>
      </x:c>
      <x:c r="F538" s="36" t="n">
        <x:v>5905</x:v>
      </x:c>
      <x:c r="G538" s="42" t="n">
        <x:v>1.2666237666237665</x:v>
      </x:c>
      <x:c r="H538" s="36" t="n">
        <x:f>E538*G538</x:f>
        <x:v>4407.850707850707</x:v>
      </x:c>
      <x:c r="I538" s="36" t="n">
        <x:f>IFERROR(H538/A538,0)</x:f>
        <x:v>4407.850707850707</x:v>
      </x:c>
      <x:c r="J538" s="67" t="str">
        <x:v>Modeled from live base + Sep-2026 quality ratio</x:v>
      </x:c>
      <x:c r="K538" s="67" t="str">
        <x:v>https://www.stonealgo.com/diamond-prices/</x:v>
      </x:c>
      <x:c r="L538" s="67" t="str">
        <x:v>https://www.pricescope.com/blog/natural-diamond-prices-september-2026</x:v>
      </x:c>
    </x:row>
    <x:row r="539">
      <x:c r="A539" t="n">
        <x:v>1</x:v>
      </x:c>
      <x:c r="B539" t="str">
        <x:v>Marquise</x:v>
      </x:c>
      <x:c r="C539" t="str">
        <x:v>G</x:v>
      </x:c>
      <x:c r="D539" t="str">
        <x:v>IF</x:v>
      </x:c>
      <x:c r="E539" s="36" t="n">
        <x:v>3480</x:v>
      </x:c>
      <x:c r="F539" s="36" t="n">
        <x:v>5601</x:v>
      </x:c>
      <x:c r="G539" s="42" t="n">
        <x:v>1.2014157014157014</x:v>
      </x:c>
      <x:c r="H539" s="36" t="n">
        <x:f>E539*G539</x:f>
        <x:v>4180.926640926641</x:v>
      </x:c>
      <x:c r="I539" s="36" t="n">
        <x:f>IFERROR(H539/A539,0)</x:f>
        <x:v>4180.926640926641</x:v>
      </x:c>
      <x:c r="J539" s="67" t="str">
        <x:v>Modeled from live base + Sep-2026 quality ratio</x:v>
      </x:c>
      <x:c r="K539" s="67" t="str">
        <x:v>https://www.stonealgo.com/diamond-prices/</x:v>
      </x:c>
      <x:c r="L539" s="67" t="str">
        <x:v>https://www.pricescope.com/blog/natural-diamond-prices-september-2026</x:v>
      </x:c>
    </x:row>
    <x:row r="540">
      <x:c r="A540" t="n">
        <x:v>1</x:v>
      </x:c>
      <x:c r="B540" t="str">
        <x:v>Marquise</x:v>
      </x:c>
      <x:c r="C540" t="str">
        <x:v>G</x:v>
      </x:c>
      <x:c r="D540" t="str">
        <x:v>VVS1</x:v>
      </x:c>
      <x:c r="E540" s="36" t="n">
        <x:v>3480</x:v>
      </x:c>
      <x:c r="F540" s="36" t="n">
        <x:v>5124</x:v>
      </x:c>
      <x:c r="G540" s="42" t="n">
        <x:v>1.0990990990990992</x:v>
      </x:c>
      <x:c r="H540" s="36" t="n">
        <x:f>E540*G540</x:f>
        <x:v>3824.864864864865</x:v>
      </x:c>
      <x:c r="I540" s="36" t="n">
        <x:f>IFERROR(H540/A540,0)</x:f>
        <x:v>3824.864864864865</x:v>
      </x:c>
      <x:c r="J540" s="67" t="str">
        <x:v>Modeled from live base + Sep-2026 quality ratio</x:v>
      </x:c>
      <x:c r="K540" s="67" t="str">
        <x:v>https://www.stonealgo.com/diamond-prices/</x:v>
      </x:c>
      <x:c r="L540" s="67" t="str">
        <x:v>https://www.pricescope.com/blog/natural-diamond-prices-september-2026</x:v>
      </x:c>
    </x:row>
    <x:row r="541">
      <x:c r="A541" t="n">
        <x:v>1</x:v>
      </x:c>
      <x:c r="B541" t="str">
        <x:v>Marquise</x:v>
      </x:c>
      <x:c r="C541" t="str">
        <x:v>G</x:v>
      </x:c>
      <x:c r="D541" t="str">
        <x:v>VVS2</x:v>
      </x:c>
      <x:c r="E541" s="36" t="n">
        <x:v>3480</x:v>
      </x:c>
      <x:c r="F541" s="36" t="n">
        <x:v>4962</x:v>
      </x:c>
      <x:c r="G541" s="42" t="n">
        <x:v>1.0643500643500643</x:v>
      </x:c>
      <x:c r="H541" s="36" t="n">
        <x:f>E541*G541</x:f>
        <x:v>3703.938223938224</x:v>
      </x:c>
      <x:c r="I541" s="36" t="n">
        <x:f>IFERROR(H541/A541,0)</x:f>
        <x:v>3703.938223938224</x:v>
      </x:c>
      <x:c r="J541" s="67" t="str">
        <x:v>Modeled from live base + Sep-2026 quality ratio</x:v>
      </x:c>
      <x:c r="K541" s="67" t="str">
        <x:v>https://www.stonealgo.com/diamond-prices/</x:v>
      </x:c>
      <x:c r="L541" s="67" t="str">
        <x:v>https://www.pricescope.com/blog/natural-diamond-prices-september-2026</x:v>
      </x:c>
    </x:row>
    <x:row r="542">
      <x:c r="A542" t="n">
        <x:v>1</x:v>
      </x:c>
      <x:c r="B542" t="str">
        <x:v>Marquise</x:v>
      </x:c>
      <x:c r="C542" t="str">
        <x:v>G</x:v>
      </x:c>
      <x:c r="D542" t="str">
        <x:v>VS1</x:v>
      </x:c>
      <x:c r="E542" s="36" t="n">
        <x:v>3480</x:v>
      </x:c>
      <x:c r="F542" s="36" t="n">
        <x:v>4615</x:v>
      </x:c>
      <x:c r="G542" s="42" t="n">
        <x:v>0.98991848991849</x:v>
      </x:c>
      <x:c r="H542" s="36" t="n">
        <x:f>E542*G542</x:f>
        <x:v>3444.916344916345</x:v>
      </x:c>
      <x:c r="I542" s="36" t="n">
        <x:f>IFERROR(H542/A542,0)</x:f>
        <x:v>3444.916344916345</x:v>
      </x:c>
      <x:c r="J542" s="67" t="str">
        <x:v>Modeled from live base + Sep-2026 quality ratio</x:v>
      </x:c>
      <x:c r="K542" s="67" t="str">
        <x:v>https://www.stonealgo.com/diamond-prices/</x:v>
      </x:c>
      <x:c r="L542" s="67" t="str">
        <x:v>https://www.pricescope.com/blog/natural-diamond-prices-september-2026</x:v>
      </x:c>
    </x:row>
    <x:row r="543">
      <x:c r="A543" t="n">
        <x:v>1</x:v>
      </x:c>
      <x:c r="B543" t="str">
        <x:v>Marquise</x:v>
      </x:c>
      <x:c r="C543" t="str">
        <x:v>G</x:v>
      </x:c>
      <x:c r="D543" t="str">
        <x:v>VS2</x:v>
      </x:c>
      <x:c r="E543" s="36" t="n">
        <x:v>3480</x:v>
      </x:c>
      <x:c r="F543" s="36" t="n">
        <x:v>4585</x:v>
      </x:c>
      <x:c r="G543" s="42" t="n">
        <x:v>0.9834834834834835</x:v>
      </x:c>
      <x:c r="H543" s="36" t="n">
        <x:f>E543*G543</x:f>
        <x:v>3422.5225225225226</x:v>
      </x:c>
      <x:c r="I543" s="36" t="n">
        <x:f>IFERROR(H543/A543,0)</x:f>
        <x:v>3422.5225225225226</x:v>
      </x:c>
      <x:c r="J543" s="67" t="str">
        <x:v>Modeled from live base + Sep-2026 quality ratio</x:v>
      </x:c>
      <x:c r="K543" s="67" t="str">
        <x:v>https://www.stonealgo.com/diamond-prices/</x:v>
      </x:c>
      <x:c r="L543" s="67" t="str">
        <x:v>https://www.pricescope.com/blog/natural-diamond-prices-september-2026</x:v>
      </x:c>
    </x:row>
    <x:row r="544">
      <x:c r="A544" t="n">
        <x:v>1</x:v>
      </x:c>
      <x:c r="B544" t="str">
        <x:v>Marquise</x:v>
      </x:c>
      <x:c r="C544" t="str">
        <x:v>G</x:v>
      </x:c>
      <x:c r="D544" t="str">
        <x:v>SI1</x:v>
      </x:c>
      <x:c r="E544" s="36" t="n">
        <x:v>3480</x:v>
      </x:c>
      <x:c r="F544" s="36" t="n">
        <x:v>3664</x:v>
      </x:c>
      <x:c r="G544" s="42" t="n">
        <x:v>0.7859287859287859</x:v>
      </x:c>
      <x:c r="H544" s="36" t="n">
        <x:f>E544*G544</x:f>
        <x:v>2735.032175032175</x:v>
      </x:c>
      <x:c r="I544" s="36" t="n">
        <x:f>IFERROR(H544/A544,0)</x:f>
        <x:v>2735.032175032175</x:v>
      </x:c>
      <x:c r="J544" s="67" t="str">
        <x:v>Modeled from live base + Sep-2026 quality ratio</x:v>
      </x:c>
      <x:c r="K544" s="67" t="str">
        <x:v>https://www.stonealgo.com/diamond-prices/</x:v>
      </x:c>
      <x:c r="L544" s="67" t="str">
        <x:v>https://www.pricescope.com/blog/natural-diamond-prices-september-2026</x:v>
      </x:c>
    </x:row>
    <x:row r="545">
      <x:c r="A545" t="n">
        <x:v>1</x:v>
      </x:c>
      <x:c r="B545" t="str">
        <x:v>Marquise</x:v>
      </x:c>
      <x:c r="C545" t="str">
        <x:v>G</x:v>
      </x:c>
      <x:c r="D545" t="str">
        <x:v>SI2</x:v>
      </x:c>
      <x:c r="E545" s="36" t="n">
        <x:v>3480</x:v>
      </x:c>
      <x:c r="F545" s="36" t="n">
        <x:v>2537</x:v>
      </x:c>
      <x:c r="G545" s="42" t="n">
        <x:v>0.5441870441870442</x:v>
      </x:c>
      <x:c r="H545" s="36" t="n">
        <x:f>E545*G545</x:f>
        <x:v>1893.770913770914</x:v>
      </x:c>
      <x:c r="I545" s="36" t="n">
        <x:f>IFERROR(H545/A545,0)</x:f>
        <x:v>1893.770913770914</x:v>
      </x:c>
      <x:c r="J545" s="67" t="str">
        <x:v>Modeled from live base + Sep-2026 quality ratio</x:v>
      </x:c>
      <x:c r="K545" s="67" t="str">
        <x:v>https://www.stonealgo.com/diamond-prices/</x:v>
      </x:c>
      <x:c r="L545" s="67" t="str">
        <x:v>https://www.pricescope.com/blog/natural-diamond-prices-september-2026</x:v>
      </x:c>
    </x:row>
    <x:row r="546">
      <x:c r="A546" t="n">
        <x:v>1</x:v>
      </x:c>
      <x:c r="B546" t="str">
        <x:v>Marquise</x:v>
      </x:c>
      <x:c r="C546" t="str">
        <x:v>H</x:v>
      </x:c>
      <x:c r="D546" t="str">
        <x:v>FL</x:v>
      </x:c>
      <x:c r="E546" s="36" t="n">
        <x:v>3480</x:v>
      </x:c>
      <x:c r="F546" s="36" t="n">
        <x:v>4563</x:v>
      </x:c>
      <x:c r="G546" s="42" t="n">
        <x:v>0.9787644787644788</x:v>
      </x:c>
      <x:c r="H546" s="36" t="n">
        <x:f>E546*G546</x:f>
        <x:v>3406.1003861003865</x:v>
      </x:c>
      <x:c r="I546" s="36" t="n">
        <x:f>IFERROR(H546/A546,0)</x:f>
        <x:v>3406.1003861003865</x:v>
      </x:c>
      <x:c r="J546" s="67" t="str">
        <x:v>Modeled from live base + Sep-2026 quality ratio</x:v>
      </x:c>
      <x:c r="K546" s="67" t="str">
        <x:v>https://www.stonealgo.com/diamond-prices/</x:v>
      </x:c>
      <x:c r="L546" s="67" t="str">
        <x:v>https://www.pricescope.com/blog/natural-diamond-prices-september-2026</x:v>
      </x:c>
    </x:row>
    <x:row r="547">
      <x:c r="A547" t="n">
        <x:v>1</x:v>
      </x:c>
      <x:c r="B547" t="str">
        <x:v>Marquise</x:v>
      </x:c>
      <x:c r="C547" t="str">
        <x:v>H</x:v>
      </x:c>
      <x:c r="D547" t="str">
        <x:v>IF</x:v>
      </x:c>
      <x:c r="E547" s="36" t="n">
        <x:v>3480</x:v>
      </x:c>
      <x:c r="F547" s="36" t="n">
        <x:v>4809</x:v>
      </x:c>
      <x:c r="G547" s="42" t="n">
        <x:v>1.0315315315315314</x:v>
      </x:c>
      <x:c r="H547" s="36" t="n">
        <x:f>E547*G547</x:f>
        <x:v>3589.7297297297296</x:v>
      </x:c>
      <x:c r="I547" s="36" t="n">
        <x:f>IFERROR(H547/A547,0)</x:f>
        <x:v>3589.7297297297296</x:v>
      </x:c>
      <x:c r="J547" s="67" t="str">
        <x:v>Modeled from live base + Sep-2026 quality ratio</x:v>
      </x:c>
      <x:c r="K547" s="67" t="str">
        <x:v>https://www.stonealgo.com/diamond-prices/</x:v>
      </x:c>
      <x:c r="L547" s="67" t="str">
        <x:v>https://www.pricescope.com/blog/natural-diamond-prices-september-2026</x:v>
      </x:c>
    </x:row>
    <x:row r="548">
      <x:c r="A548" t="n">
        <x:v>1</x:v>
      </x:c>
      <x:c r="B548" t="str">
        <x:v>Marquise</x:v>
      </x:c>
      <x:c r="C548" t="str">
        <x:v>H</x:v>
      </x:c>
      <x:c r="D548" t="str">
        <x:v>VVS1</x:v>
      </x:c>
      <x:c r="E548" s="36" t="n">
        <x:v>3480</x:v>
      </x:c>
      <x:c r="F548" s="36" t="n">
        <x:v>4911</x:v>
      </x:c>
      <x:c r="G548" s="42" t="n">
        <x:v>1.0534105534105533</x:v>
      </x:c>
      <x:c r="H548" s="36" t="n">
        <x:f>E548*G548</x:f>
        <x:v>3665.8687258687255</x:v>
      </x:c>
      <x:c r="I548" s="36" t="n">
        <x:f>IFERROR(H548/A548,0)</x:f>
        <x:v>3665.8687258687255</x:v>
      </x:c>
      <x:c r="J548" s="67" t="str">
        <x:v>Modeled from live base + Sep-2026 quality ratio</x:v>
      </x:c>
      <x:c r="K548" s="67" t="str">
        <x:v>https://www.stonealgo.com/diamond-prices/</x:v>
      </x:c>
      <x:c r="L548" s="67" t="str">
        <x:v>https://www.pricescope.com/blog/natural-diamond-prices-september-2026</x:v>
      </x:c>
    </x:row>
    <x:row r="549">
      <x:c r="A549" t="n">
        <x:v>1</x:v>
      </x:c>
      <x:c r="B549" t="str">
        <x:v>Marquise</x:v>
      </x:c>
      <x:c r="C549" t="str">
        <x:v>H</x:v>
      </x:c>
      <x:c r="D549" t="str">
        <x:v>VVS2</x:v>
      </x:c>
      <x:c r="E549" s="36" t="n">
        <x:v>3480</x:v>
      </x:c>
      <x:c r="F549" s="36" t="n">
        <x:v>4046</x:v>
      </x:c>
      <x:c r="G549" s="42" t="n">
        <x:v>0.8678678678678678</x:v>
      </x:c>
      <x:c r="H549" s="36" t="n">
        <x:f>E549*G549</x:f>
        <x:v>3020.1801801801803</x:v>
      </x:c>
      <x:c r="I549" s="36" t="n">
        <x:f>IFERROR(H549/A549,0)</x:f>
        <x:v>3020.1801801801803</x:v>
      </x:c>
      <x:c r="J549" s="67" t="str">
        <x:v>Modeled from live base + Sep-2026 quality ratio</x:v>
      </x:c>
      <x:c r="K549" s="67" t="str">
        <x:v>https://www.stonealgo.com/diamond-prices/</x:v>
      </x:c>
      <x:c r="L549" s="67" t="str">
        <x:v>https://www.pricescope.com/blog/natural-diamond-prices-september-2026</x:v>
      </x:c>
    </x:row>
    <x:row r="550">
      <x:c r="A550" t="n">
        <x:v>1</x:v>
      </x:c>
      <x:c r="B550" t="str">
        <x:v>Marquise</x:v>
      </x:c>
      <x:c r="C550" t="str">
        <x:v>H</x:v>
      </x:c>
      <x:c r="D550" t="str">
        <x:v>VS1</x:v>
      </x:c>
      <x:c r="E550" s="36" t="n">
        <x:v>3480</x:v>
      </x:c>
      <x:c r="F550" s="36" t="n">
        <x:v>3893</x:v>
      </x:c>
      <x:c r="G550" s="42" t="n">
        <x:v>0.8350493350493351</x:v>
      </x:c>
      <x:c r="H550" s="36" t="n">
        <x:f>E550*G550</x:f>
        <x:v>2905.971685971686</x:v>
      </x:c>
      <x:c r="I550" s="36" t="n">
        <x:f>IFERROR(H550/A550,0)</x:f>
        <x:v>2905.971685971686</x:v>
      </x:c>
      <x:c r="J550" s="67" t="str">
        <x:v>Modeled from live base + Sep-2026 quality ratio</x:v>
      </x:c>
      <x:c r="K550" s="67" t="str">
        <x:v>https://www.stonealgo.com/diamond-prices/</x:v>
      </x:c>
      <x:c r="L550" s="67" t="str">
        <x:v>https://www.pricescope.com/blog/natural-diamond-prices-september-2026</x:v>
      </x:c>
    </x:row>
    <x:row r="551">
      <x:c r="A551" t="n">
        <x:v>1</x:v>
      </x:c>
      <x:c r="B551" t="str">
        <x:v>Marquise</x:v>
      </x:c>
      <x:c r="C551" t="str">
        <x:v>H</x:v>
      </x:c>
      <x:c r="D551" t="str">
        <x:v>VS2</x:v>
      </x:c>
      <x:c r="E551" s="36" t="n">
        <x:v>3480</x:v>
      </x:c>
      <x:c r="F551" s="36" t="n">
        <x:v>3989</x:v>
      </x:c>
      <x:c r="G551" s="42" t="n">
        <x:v>0.8556413556413557</x:v>
      </x:c>
      <x:c r="H551" s="36" t="n">
        <x:f>E551*G551</x:f>
        <x:v>2977.631917631918</x:v>
      </x:c>
      <x:c r="I551" s="36" t="n">
        <x:f>IFERROR(H551/A551,0)</x:f>
        <x:v>2977.631917631918</x:v>
      </x:c>
      <x:c r="J551" s="67" t="str">
        <x:v>Modeled from live base + Sep-2026 quality ratio</x:v>
      </x:c>
      <x:c r="K551" s="67" t="str">
        <x:v>https://www.stonealgo.com/diamond-prices/</x:v>
      </x:c>
      <x:c r="L551" s="67" t="str">
        <x:v>https://www.pricescope.com/blog/natural-diamond-prices-september-2026</x:v>
      </x:c>
    </x:row>
    <x:row r="552">
      <x:c r="A552" t="n">
        <x:v>1</x:v>
      </x:c>
      <x:c r="B552" t="str">
        <x:v>Marquise</x:v>
      </x:c>
      <x:c r="C552" t="str">
        <x:v>H</x:v>
      </x:c>
      <x:c r="D552" t="str">
        <x:v>SI1</x:v>
      </x:c>
      <x:c r="E552" s="36" t="n">
        <x:v>3480</x:v>
      </x:c>
      <x:c r="F552" s="36" t="n">
        <x:v>2828</x:v>
      </x:c>
      <x:c r="G552" s="42" t="n">
        <x:v>0.6066066066066066</x:v>
      </x:c>
      <x:c r="H552" s="36" t="n">
        <x:f>E552*G552</x:f>
        <x:v>2110.990990990991</x:v>
      </x:c>
      <x:c r="I552" s="36" t="n">
        <x:f>IFERROR(H552/A552,0)</x:f>
        <x:v>2110.990990990991</x:v>
      </x:c>
      <x:c r="J552" s="67" t="str">
        <x:v>Modeled from live base + Sep-2026 quality ratio</x:v>
      </x:c>
      <x:c r="K552" s="67" t="str">
        <x:v>https://www.stonealgo.com/diamond-prices/</x:v>
      </x:c>
      <x:c r="L552" s="67" t="str">
        <x:v>https://www.pricescope.com/blog/natural-diamond-prices-september-2026</x:v>
      </x:c>
    </x:row>
    <x:row r="553">
      <x:c r="A553" t="n">
        <x:v>1</x:v>
      </x:c>
      <x:c r="B553" t="str">
        <x:v>Marquise</x:v>
      </x:c>
      <x:c r="C553" t="str">
        <x:v>H</x:v>
      </x:c>
      <x:c r="D553" t="str">
        <x:v>SI2</x:v>
      </x:c>
      <x:c r="E553" s="36" t="n">
        <x:v>3480</x:v>
      </x:c>
      <x:c r="F553" s="36" t="n">
        <x:v>2328</x:v>
      </x:c>
      <x:c r="G553" s="42" t="n">
        <x:v>0.49935649935649934</x:v>
      </x:c>
      <x:c r="H553" s="36" t="n">
        <x:f>E553*G553</x:f>
        <x:v>1737.7606177606176</x:v>
      </x:c>
      <x:c r="I553" s="36" t="n">
        <x:f>IFERROR(H553/A553,0)</x:f>
        <x:v>1737.7606177606176</x:v>
      </x:c>
      <x:c r="J553" s="67" t="str">
        <x:v>Modeled from live base + Sep-2026 quality ratio</x:v>
      </x:c>
      <x:c r="K553" s="67" t="str">
        <x:v>https://www.stonealgo.com/diamond-prices/</x:v>
      </x:c>
      <x:c r="L553" s="67" t="str">
        <x:v>https://www.pricescope.com/blog/natural-diamond-prices-september-2026</x:v>
      </x:c>
    </x:row>
    <x:row r="554">
      <x:c r="A554" t="n">
        <x:v>1</x:v>
      </x:c>
      <x:c r="B554" t="str">
        <x:v>Marquise</x:v>
      </x:c>
      <x:c r="C554" t="str">
        <x:v>I</x:v>
      </x:c>
      <x:c r="D554" t="str">
        <x:v>FL</x:v>
      </x:c>
      <x:c r="E554" s="36" t="n">
        <x:v>3480</x:v>
      </x:c>
      <x:c r="F554" s="36" t="n">
        <x:v>4623</x:v>
      </x:c>
      <x:c r="G554" s="42" t="n">
        <x:v>0.9916344916344917</x:v>
      </x:c>
      <x:c r="H554" s="36" t="n">
        <x:f>E554*G554</x:f>
        <x:v>3450.888030888031</x:v>
      </x:c>
      <x:c r="I554" s="36" t="n">
        <x:f>IFERROR(H554/A554,0)</x:f>
        <x:v>3450.888030888031</x:v>
      </x:c>
      <x:c r="J554" s="67" t="str">
        <x:v>Modeled from live base + Sep-2026 quality ratio</x:v>
      </x:c>
      <x:c r="K554" s="67" t="str">
        <x:v>https://www.stonealgo.com/diamond-prices/</x:v>
      </x:c>
      <x:c r="L554" s="67" t="str">
        <x:v>https://www.pricescope.com/blog/natural-diamond-prices-september-2026</x:v>
      </x:c>
    </x:row>
    <x:row r="555">
      <x:c r="A555" t="n">
        <x:v>1</x:v>
      </x:c>
      <x:c r="B555" t="str">
        <x:v>Marquise</x:v>
      </x:c>
      <x:c r="C555" t="str">
        <x:v>I</x:v>
      </x:c>
      <x:c r="D555" t="str">
        <x:v>IF</x:v>
      </x:c>
      <x:c r="E555" s="36" t="n">
        <x:v>3480</x:v>
      </x:c>
      <x:c r="F555" s="36" t="n">
        <x:v>4005</x:v>
      </x:c>
      <x:c r="G555" s="42" t="n">
        <x:v>0.859073359073359</x:v>
      </x:c>
      <x:c r="H555" s="36" t="n">
        <x:f>E555*G555</x:f>
        <x:v>2989.5752895752894</x:v>
      </x:c>
      <x:c r="I555" s="36" t="n">
        <x:f>IFERROR(H555/A555,0)</x:f>
        <x:v>2989.5752895752894</x:v>
      </x:c>
      <x:c r="J555" s="67" t="str">
        <x:v>Modeled from live base + Sep-2026 quality ratio</x:v>
      </x:c>
      <x:c r="K555" s="67" t="str">
        <x:v>https://www.stonealgo.com/diamond-prices/</x:v>
      </x:c>
      <x:c r="L555" s="67" t="str">
        <x:v>https://www.pricescope.com/blog/natural-diamond-prices-september-2026</x:v>
      </x:c>
    </x:row>
    <x:row r="556">
      <x:c r="A556" t="n">
        <x:v>1</x:v>
      </x:c>
      <x:c r="B556" t="str">
        <x:v>Marquise</x:v>
      </x:c>
      <x:c r="C556" t="str">
        <x:v>I</x:v>
      </x:c>
      <x:c r="D556" t="str">
        <x:v>VVS1</x:v>
      </x:c>
      <x:c r="E556" s="36" t="n">
        <x:v>3480</x:v>
      </x:c>
      <x:c r="F556" s="36" t="n">
        <x:v>3670</x:v>
      </x:c>
      <x:c r="G556" s="42" t="n">
        <x:v>0.7872157872157872</x:v>
      </x:c>
      <x:c r="H556" s="36" t="n">
        <x:f>E556*G556</x:f>
        <x:v>2739.5109395109394</x:v>
      </x:c>
      <x:c r="I556" s="36" t="n">
        <x:f>IFERROR(H556/A556,0)</x:f>
        <x:v>2739.5109395109394</x:v>
      </x:c>
      <x:c r="J556" s="67" t="str">
        <x:v>Modeled from live base + Sep-2026 quality ratio</x:v>
      </x:c>
      <x:c r="K556" s="67" t="str">
        <x:v>https://www.stonealgo.com/diamond-prices/</x:v>
      </x:c>
      <x:c r="L556" s="67" t="str">
        <x:v>https://www.pricescope.com/blog/natural-diamond-prices-september-2026</x:v>
      </x:c>
    </x:row>
    <x:row r="557">
      <x:c r="A557" t="n">
        <x:v>1</x:v>
      </x:c>
      <x:c r="B557" t="str">
        <x:v>Marquise</x:v>
      </x:c>
      <x:c r="C557" t="str">
        <x:v>I</x:v>
      </x:c>
      <x:c r="D557" t="str">
        <x:v>VVS2</x:v>
      </x:c>
      <x:c r="E557" s="36" t="n">
        <x:v>3480</x:v>
      </x:c>
      <x:c r="F557" s="36" t="n">
        <x:v>3447</x:v>
      </x:c>
      <x:c r="G557" s="42" t="n">
        <x:v>0.7393822393822393</x:v>
      </x:c>
      <x:c r="H557" s="36" t="n">
        <x:f>E557*G557</x:f>
        <x:v>2573.050193050193</x:v>
      </x:c>
      <x:c r="I557" s="36" t="n">
        <x:f>IFERROR(H557/A557,0)</x:f>
        <x:v>2573.050193050193</x:v>
      </x:c>
      <x:c r="J557" s="67" t="str">
        <x:v>Modeled from live base + Sep-2026 quality ratio</x:v>
      </x:c>
      <x:c r="K557" s="67" t="str">
        <x:v>https://www.stonealgo.com/diamond-prices/</x:v>
      </x:c>
      <x:c r="L557" s="67" t="str">
        <x:v>https://www.pricescope.com/blog/natural-diamond-prices-september-2026</x:v>
      </x:c>
    </x:row>
    <x:row r="558">
      <x:c r="A558" t="n">
        <x:v>1</x:v>
      </x:c>
      <x:c r="B558" t="str">
        <x:v>Marquise</x:v>
      </x:c>
      <x:c r="C558" t="str">
        <x:v>I</x:v>
      </x:c>
      <x:c r="D558" t="str">
        <x:v>VS1</x:v>
      </x:c>
      <x:c r="E558" s="36" t="n">
        <x:v>3480</x:v>
      </x:c>
      <x:c r="F558" s="36" t="n">
        <x:v>3313</x:v>
      </x:c>
      <x:c r="G558" s="42" t="n">
        <x:v>0.7106392106392107</x:v>
      </x:c>
      <x:c r="H558" s="36" t="n">
        <x:f>E558*G558</x:f>
        <x:v>2473.024453024453</x:v>
      </x:c>
      <x:c r="I558" s="36" t="n">
        <x:f>IFERROR(H558/A558,0)</x:f>
        <x:v>2473.024453024453</x:v>
      </x:c>
      <x:c r="J558" s="67" t="str">
        <x:v>Modeled from live base + Sep-2026 quality ratio</x:v>
      </x:c>
      <x:c r="K558" s="67" t="str">
        <x:v>https://www.stonealgo.com/diamond-prices/</x:v>
      </x:c>
      <x:c r="L558" s="67" t="str">
        <x:v>https://www.pricescope.com/blog/natural-diamond-prices-september-2026</x:v>
      </x:c>
    </x:row>
    <x:row r="559">
      <x:c r="A559" t="n">
        <x:v>1</x:v>
      </x:c>
      <x:c r="B559" t="str">
        <x:v>Marquise</x:v>
      </x:c>
      <x:c r="C559" t="str">
        <x:v>I</x:v>
      </x:c>
      <x:c r="D559" t="str">
        <x:v>VS2</x:v>
      </x:c>
      <x:c r="E559" s="36" t="n">
        <x:v>3480</x:v>
      </x:c>
      <x:c r="F559" s="36" t="n">
        <x:v>3240</x:v>
      </x:c>
      <x:c r="G559" s="42" t="n">
        <x:v>0.694980694980695</x:v>
      </x:c>
      <x:c r="H559" s="36" t="n">
        <x:f>E559*G559</x:f>
        <x:v>2418.5328185328185</x:v>
      </x:c>
      <x:c r="I559" s="36" t="n">
        <x:f>IFERROR(H559/A559,0)</x:f>
        <x:v>2418.5328185328185</x:v>
      </x:c>
      <x:c r="J559" s="67" t="str">
        <x:v>Modeled from live base + Sep-2026 quality ratio</x:v>
      </x:c>
      <x:c r="K559" s="67" t="str">
        <x:v>https://www.stonealgo.com/diamond-prices/</x:v>
      </x:c>
      <x:c r="L559" s="67" t="str">
        <x:v>https://www.pricescope.com/blog/natural-diamond-prices-september-2026</x:v>
      </x:c>
    </x:row>
    <x:row r="560">
      <x:c r="A560" t="n">
        <x:v>1</x:v>
      </x:c>
      <x:c r="B560" t="str">
        <x:v>Marquise</x:v>
      </x:c>
      <x:c r="C560" t="str">
        <x:v>I</x:v>
      </x:c>
      <x:c r="D560" t="str">
        <x:v>SI1</x:v>
      </x:c>
      <x:c r="E560" s="36" t="n">
        <x:v>3480</x:v>
      </x:c>
      <x:c r="F560" s="36" t="n">
        <x:v>3199</x:v>
      </x:c>
      <x:c r="G560" s="42" t="n">
        <x:v>0.6861861861861862</x:v>
      </x:c>
      <x:c r="H560" s="36" t="n">
        <x:f>E560*G560</x:f>
        <x:v>2387.927927927928</x:v>
      </x:c>
      <x:c r="I560" s="36" t="n">
        <x:f>IFERROR(H560/A560,0)</x:f>
        <x:v>2387.927927927928</x:v>
      </x:c>
      <x:c r="J560" s="67" t="str">
        <x:v>Modeled from live base + Sep-2026 quality ratio</x:v>
      </x:c>
      <x:c r="K560" s="67" t="str">
        <x:v>https://www.stonealgo.com/diamond-prices/</x:v>
      </x:c>
      <x:c r="L560" s="67" t="str">
        <x:v>https://www.pricescope.com/blog/natural-diamond-prices-september-2026</x:v>
      </x:c>
    </x:row>
    <x:row r="561">
      <x:c r="A561" t="n">
        <x:v>1</x:v>
      </x:c>
      <x:c r="B561" t="str">
        <x:v>Marquise</x:v>
      </x:c>
      <x:c r="C561" t="str">
        <x:v>I</x:v>
      </x:c>
      <x:c r="D561" t="str">
        <x:v>SI2</x:v>
      </x:c>
      <x:c r="E561" s="36" t="n">
        <x:v>3480</x:v>
      </x:c>
      <x:c r="F561" s="36" t="n">
        <x:v>2874</x:v>
      </x:c>
      <x:c r="G561" s="42" t="n">
        <x:v>0.6164736164736164</x:v>
      </x:c>
      <x:c r="H561" s="36" t="n">
        <x:f>E561*G561</x:f>
        <x:v>2145.328185328185</x:v>
      </x:c>
      <x:c r="I561" s="36" t="n">
        <x:f>IFERROR(H561/A561,0)</x:f>
        <x:v>2145.328185328185</x:v>
      </x:c>
      <x:c r="J561" s="67" t="str">
        <x:v>Modeled from live base + Sep-2026 quality ratio</x:v>
      </x:c>
      <x:c r="K561" s="67" t="str">
        <x:v>https://www.stonealgo.com/diamond-prices/</x:v>
      </x:c>
      <x:c r="L561" s="67" t="str">
        <x:v>https://www.pricescope.com/blog/natural-diamond-prices-september-2026</x:v>
      </x:c>
    </x:row>
    <x:row r="562">
      <x:c r="A562" t="n">
        <x:v>1</x:v>
      </x:c>
      <x:c r="B562" t="str">
        <x:v>Marquise</x:v>
      </x:c>
      <x:c r="C562" t="str">
        <x:v>J</x:v>
      </x:c>
      <x:c r="D562" t="str">
        <x:v>FL</x:v>
      </x:c>
      <x:c r="E562" s="36" t="n">
        <x:v>3480</x:v>
      </x:c>
      <x:c r="F562" s="36" t="n">
        <x:v>3646</x:v>
      </x:c>
      <x:c r="G562" s="42" t="n">
        <x:v>0.782067782067782</x:v>
      </x:c>
      <x:c r="H562" s="36" t="n">
        <x:f>E562*G562</x:f>
        <x:v>2721.5958815958816</x:v>
      </x:c>
      <x:c r="I562" s="36" t="n">
        <x:f>IFERROR(H562/A562,0)</x:f>
        <x:v>2721.5958815958816</x:v>
      </x:c>
      <x:c r="J562" s="67" t="str">
        <x:v>Modeled from live base + Sep-2026 quality ratio</x:v>
      </x:c>
      <x:c r="K562" s="67" t="str">
        <x:v>https://www.stonealgo.com/diamond-prices/</x:v>
      </x:c>
      <x:c r="L562" s="67" t="str">
        <x:v>https://www.pricescope.com/blog/natural-diamond-prices-september-2026</x:v>
      </x:c>
    </x:row>
    <x:row r="563">
      <x:c r="A563" t="n">
        <x:v>1</x:v>
      </x:c>
      <x:c r="B563" t="str">
        <x:v>Marquise</x:v>
      </x:c>
      <x:c r="C563" t="str">
        <x:v>J</x:v>
      </x:c>
      <x:c r="D563" t="str">
        <x:v>IF</x:v>
      </x:c>
      <x:c r="E563" s="36" t="n">
        <x:v>3480</x:v>
      </x:c>
      <x:c r="F563" s="36" t="n">
        <x:v>3368</x:v>
      </x:c>
      <x:c r="G563" s="42" t="n">
        <x:v>0.7224367224367224</x:v>
      </x:c>
      <x:c r="H563" s="36" t="n">
        <x:f>E563*G563</x:f>
        <x:v>2514.079794079794</x:v>
      </x:c>
      <x:c r="I563" s="36" t="n">
        <x:f>IFERROR(H563/A563,0)</x:f>
        <x:v>2514.079794079794</x:v>
      </x:c>
      <x:c r="J563" s="67" t="str">
        <x:v>Modeled from live base + Sep-2026 quality ratio</x:v>
      </x:c>
      <x:c r="K563" s="67" t="str">
        <x:v>https://www.stonealgo.com/diamond-prices/</x:v>
      </x:c>
      <x:c r="L563" s="67" t="str">
        <x:v>https://www.pricescope.com/blog/natural-diamond-prices-september-2026</x:v>
      </x:c>
    </x:row>
    <x:row r="564">
      <x:c r="A564" t="n">
        <x:v>1</x:v>
      </x:c>
      <x:c r="B564" t="str">
        <x:v>Marquise</x:v>
      </x:c>
      <x:c r="C564" t="str">
        <x:v>J</x:v>
      </x:c>
      <x:c r="D564" t="str">
        <x:v>VVS1</x:v>
      </x:c>
      <x:c r="E564" s="36" t="n">
        <x:v>3480</x:v>
      </x:c>
      <x:c r="F564" s="36" t="n">
        <x:v>2956</x:v>
      </x:c>
      <x:c r="G564" s="42" t="n">
        <x:v>0.6340626340626341</x:v>
      </x:c>
      <x:c r="H564" s="36" t="n">
        <x:f>E564*G564</x:f>
        <x:v>2206.5379665379664</x:v>
      </x:c>
      <x:c r="I564" s="36" t="n">
        <x:f>IFERROR(H564/A564,0)</x:f>
        <x:v>2206.5379665379664</x:v>
      </x:c>
      <x:c r="J564" s="67" t="str">
        <x:v>Modeled from live base + Sep-2026 quality ratio</x:v>
      </x:c>
      <x:c r="K564" s="67" t="str">
        <x:v>https://www.stonealgo.com/diamond-prices/</x:v>
      </x:c>
      <x:c r="L564" s="67" t="str">
        <x:v>https://www.pricescope.com/blog/natural-diamond-prices-september-2026</x:v>
      </x:c>
    </x:row>
    <x:row r="565">
      <x:c r="A565" t="n">
        <x:v>1</x:v>
      </x:c>
      <x:c r="B565" t="str">
        <x:v>Marquise</x:v>
      </x:c>
      <x:c r="C565" t="str">
        <x:v>J</x:v>
      </x:c>
      <x:c r="D565" t="str">
        <x:v>VVS2</x:v>
      </x:c>
      <x:c r="E565" s="36" t="n">
        <x:v>3480</x:v>
      </x:c>
      <x:c r="F565" s="36" t="n">
        <x:v>2612</x:v>
      </x:c>
      <x:c r="G565" s="42" t="n">
        <x:v>0.5602745602745602</x:v>
      </x:c>
      <x:c r="H565" s="36" t="n">
        <x:f>E565*G565</x:f>
        <x:v>1949.7554697554697</x:v>
      </x:c>
      <x:c r="I565" s="36" t="n">
        <x:f>IFERROR(H565/A565,0)</x:f>
        <x:v>1949.7554697554697</x:v>
      </x:c>
      <x:c r="J565" s="67" t="str">
        <x:v>Modeled from live base + Sep-2026 quality ratio</x:v>
      </x:c>
      <x:c r="K565" s="67" t="str">
        <x:v>https://www.stonealgo.com/diamond-prices/</x:v>
      </x:c>
      <x:c r="L565" s="67" t="str">
        <x:v>https://www.pricescope.com/blog/natural-diamond-prices-september-2026</x:v>
      </x:c>
    </x:row>
    <x:row r="566">
      <x:c r="A566" t="n">
        <x:v>1</x:v>
      </x:c>
      <x:c r="B566" t="str">
        <x:v>Marquise</x:v>
      </x:c>
      <x:c r="C566" t="str">
        <x:v>J</x:v>
      </x:c>
      <x:c r="D566" t="str">
        <x:v>VS1</x:v>
      </x:c>
      <x:c r="E566" s="36" t="n">
        <x:v>3480</x:v>
      </x:c>
      <x:c r="F566" s="36" t="n">
        <x:v>3002</x:v>
      </x:c>
      <x:c r="G566" s="42" t="n">
        <x:v>0.6439296439296439</x:v>
      </x:c>
      <x:c r="H566" s="36" t="n">
        <x:f>E566*G566</x:f>
        <x:v>2240.875160875161</x:v>
      </x:c>
      <x:c r="I566" s="36" t="n">
        <x:f>IFERROR(H566/A566,0)</x:f>
        <x:v>2240.875160875161</x:v>
      </x:c>
      <x:c r="J566" s="67" t="str">
        <x:v>Modeled from live base + Sep-2026 quality ratio</x:v>
      </x:c>
      <x:c r="K566" s="67" t="str">
        <x:v>https://www.stonealgo.com/diamond-prices/</x:v>
      </x:c>
      <x:c r="L566" s="67" t="str">
        <x:v>https://www.pricescope.com/blog/natural-diamond-prices-september-2026</x:v>
      </x:c>
    </x:row>
    <x:row r="567">
      <x:c r="A567" t="n">
        <x:v>1</x:v>
      </x:c>
      <x:c r="B567" t="str">
        <x:v>Marquise</x:v>
      </x:c>
      <x:c r="C567" t="str">
        <x:v>J</x:v>
      </x:c>
      <x:c r="D567" t="str">
        <x:v>VS2</x:v>
      </x:c>
      <x:c r="E567" s="36" t="n">
        <x:v>3480</x:v>
      </x:c>
      <x:c r="F567" s="36" t="n">
        <x:v>2559</x:v>
      </x:c>
      <x:c r="G567" s="42" t="n">
        <x:v>0.5489060489060489</x:v>
      </x:c>
      <x:c r="H567" s="36" t="n">
        <x:f>E567*G567</x:f>
        <x:v>1910.19305019305</x:v>
      </x:c>
      <x:c r="I567" s="36" t="n">
        <x:f>IFERROR(H567/A567,0)</x:f>
        <x:v>1910.19305019305</x:v>
      </x:c>
      <x:c r="J567" s="67" t="str">
        <x:v>Modeled from live base + Sep-2026 quality ratio</x:v>
      </x:c>
      <x:c r="K567" s="67" t="str">
        <x:v>https://www.stonealgo.com/diamond-prices/</x:v>
      </x:c>
      <x:c r="L567" s="67" t="str">
        <x:v>https://www.pricescope.com/blog/natural-diamond-prices-september-2026</x:v>
      </x:c>
    </x:row>
    <x:row r="568">
      <x:c r="A568" t="n">
        <x:v>1</x:v>
      </x:c>
      <x:c r="B568" t="str">
        <x:v>Marquise</x:v>
      </x:c>
      <x:c r="C568" t="str">
        <x:v>J</x:v>
      </x:c>
      <x:c r="D568" t="str">
        <x:v>SI1</x:v>
      </x:c>
      <x:c r="E568" s="36" t="n">
        <x:v>3480</x:v>
      </x:c>
      <x:c r="F568" s="36" t="n">
        <x:v>2195</x:v>
      </x:c>
      <x:c r="G568" s="42" t="n">
        <x:v>0.47082797082797084</x:v>
      </x:c>
      <x:c r="H568" s="36" t="n">
        <x:f>E568*G568</x:f>
        <x:v>1638.4813384813385</x:v>
      </x:c>
      <x:c r="I568" s="36" t="n">
        <x:f>IFERROR(H568/A568,0)</x:f>
        <x:v>1638.4813384813385</x:v>
      </x:c>
      <x:c r="J568" s="67" t="str">
        <x:v>Modeled from live base + Sep-2026 quality ratio</x:v>
      </x:c>
      <x:c r="K568" s="67" t="str">
        <x:v>https://www.stonealgo.com/diamond-prices/</x:v>
      </x:c>
      <x:c r="L568" s="67" t="str">
        <x:v>https://www.pricescope.com/blog/natural-diamond-prices-september-2026</x:v>
      </x:c>
    </x:row>
    <x:row r="569">
      <x:c r="A569" t="n">
        <x:v>1</x:v>
      </x:c>
      <x:c r="B569" t="str">
        <x:v>Marquise</x:v>
      </x:c>
      <x:c r="C569" t="str">
        <x:v>J</x:v>
      </x:c>
      <x:c r="D569" t="str">
        <x:v>SI2</x:v>
      </x:c>
      <x:c r="E569" s="36" t="n">
        <x:v>3480</x:v>
      </x:c>
      <x:c r="F569" s="36" t="n">
        <x:v>2079</x:v>
      </x:c>
      <x:c r="G569" s="42" t="n">
        <x:v>0.44594594594594594</x:v>
      </x:c>
      <x:c r="H569" s="36" t="n">
        <x:f>E569*G569</x:f>
        <x:v>1551.8918918918919</x:v>
      </x:c>
      <x:c r="I569" s="36" t="n">
        <x:f>IFERROR(H569/A569,0)</x:f>
        <x:v>1551.8918918918919</x:v>
      </x:c>
      <x:c r="J569" s="67" t="str">
        <x:v>Modeled from live base + Sep-2026 quality ratio</x:v>
      </x:c>
      <x:c r="K569" s="67" t="str">
        <x:v>https://www.stonealgo.com/diamond-prices/</x:v>
      </x:c>
      <x:c r="L569" s="67" t="str">
        <x:v>https://www.pricescope.com/blog/natural-diamond-prices-september-2026</x:v>
      </x:c>
    </x:row>
    <x:row r="570">
      <x:c r="A570" t="n">
        <x:v>1</x:v>
      </x:c>
      <x:c r="B570" t="str">
        <x:v>Marquise</x:v>
      </x:c>
      <x:c r="C570" t="str">
        <x:v>K</x:v>
      </x:c>
      <x:c r="D570" t="str">
        <x:v>FL</x:v>
      </x:c>
      <x:c r="E570" s="36" t="n">
        <x:v>3480</x:v>
      </x:c>
      <x:c r="F570" s="36" t="n">
        <x:v>2858</x:v>
      </x:c>
      <x:c r="G570" s="42" t="n">
        <x:v>0.6130416130416131</x:v>
      </x:c>
      <x:c r="H570" s="36" t="n">
        <x:f>E570*G570</x:f>
        <x:v>2133.3848133848137</x:v>
      </x:c>
      <x:c r="I570" s="36" t="n">
        <x:f>IFERROR(H570/A570,0)</x:f>
        <x:v>2133.3848133848137</x:v>
      </x:c>
      <x:c r="J570" s="67" t="str">
        <x:v>Modeled from live base + Sep-2026 quality ratio; K/FL quality cell modeled</x:v>
      </x:c>
      <x:c r="K570" s="67" t="str">
        <x:v>https://www.stonealgo.com/diamond-prices/</x:v>
      </x:c>
      <x:c r="L570" s="67" t="str">
        <x:v>https://www.pricescope.com/blog/natural-diamond-prices-september-2026</x:v>
      </x:c>
    </x:row>
    <x:row r="571">
      <x:c r="A571" t="n">
        <x:v>1</x:v>
      </x:c>
      <x:c r="B571" t="str">
        <x:v>Marquise</x:v>
      </x:c>
      <x:c r="C571" t="str">
        <x:v>K</x:v>
      </x:c>
      <x:c r="D571" t="str">
        <x:v>IF</x:v>
      </x:c>
      <x:c r="E571" s="36" t="n">
        <x:v>3480</x:v>
      </x:c>
      <x:c r="F571" s="36" t="n">
        <x:v>2743</x:v>
      </x:c>
      <x:c r="G571" s="42" t="n">
        <x:v>0.5883740883740883</x:v>
      </x:c>
      <x:c r="H571" s="36" t="n">
        <x:f>E571*G571</x:f>
        <x:v>2047.5418275418274</x:v>
      </x:c>
      <x:c r="I571" s="36" t="n">
        <x:f>IFERROR(H571/A571,0)</x:f>
        <x:v>2047.5418275418274</x:v>
      </x:c>
      <x:c r="J571" s="67" t="str">
        <x:v>Modeled from live base + Sep-2026 quality ratio</x:v>
      </x:c>
      <x:c r="K571" s="67" t="str">
        <x:v>https://www.stonealgo.com/diamond-prices/</x:v>
      </x:c>
      <x:c r="L571" s="67" t="str">
        <x:v>https://www.pricescope.com/blog/natural-diamond-prices-september-2026</x:v>
      </x:c>
    </x:row>
    <x:row r="572">
      <x:c r="A572" t="n">
        <x:v>1</x:v>
      </x:c>
      <x:c r="B572" t="str">
        <x:v>Marquise</x:v>
      </x:c>
      <x:c r="C572" t="str">
        <x:v>K</x:v>
      </x:c>
      <x:c r="D572" t="str">
        <x:v>VVS1</x:v>
      </x:c>
      <x:c r="E572" s="36" t="n">
        <x:v>3480</x:v>
      </x:c>
      <x:c r="F572" s="36" t="n">
        <x:v>2529</x:v>
      </x:c>
      <x:c r="G572" s="42" t="n">
        <x:v>0.5424710424710425</x:v>
      </x:c>
      <x:c r="H572" s="36" t="n">
        <x:f>E572*G572</x:f>
        <x:v>1887.799227799228</x:v>
      </x:c>
      <x:c r="I572" s="36" t="n">
        <x:f>IFERROR(H572/A572,0)</x:f>
        <x:v>1887.799227799228</x:v>
      </x:c>
      <x:c r="J572" s="67" t="str">
        <x:v>Modeled from live base + Sep-2026 quality ratio</x:v>
      </x:c>
      <x:c r="K572" s="67" t="str">
        <x:v>https://www.stonealgo.com/diamond-prices/</x:v>
      </x:c>
      <x:c r="L572" s="67" t="str">
        <x:v>https://www.pricescope.com/blog/natural-diamond-prices-september-2026</x:v>
      </x:c>
    </x:row>
    <x:row r="573">
      <x:c r="A573" t="n">
        <x:v>1</x:v>
      </x:c>
      <x:c r="B573" t="str">
        <x:v>Marquise</x:v>
      </x:c>
      <x:c r="C573" t="str">
        <x:v>K</x:v>
      </x:c>
      <x:c r="D573" t="str">
        <x:v>VVS2</x:v>
      </x:c>
      <x:c r="E573" s="36" t="n">
        <x:v>3480</x:v>
      </x:c>
      <x:c r="F573" s="36" t="n">
        <x:v>2374</x:v>
      </x:c>
      <x:c r="G573" s="42" t="n">
        <x:v>0.5092235092235092</x:v>
      </x:c>
      <x:c r="H573" s="36" t="n">
        <x:f>E573*G573</x:f>
        <x:v>1772.097812097812</x:v>
      </x:c>
      <x:c r="I573" s="36" t="n">
        <x:f>IFERROR(H573/A573,0)</x:f>
        <x:v>1772.097812097812</x:v>
      </x:c>
      <x:c r="J573" s="67" t="str">
        <x:v>Modeled from live base + Sep-2026 quality ratio</x:v>
      </x:c>
      <x:c r="K573" s="67" t="str">
        <x:v>https://www.stonealgo.com/diamond-prices/</x:v>
      </x:c>
      <x:c r="L573" s="67" t="str">
        <x:v>https://www.pricescope.com/blog/natural-diamond-prices-september-2026</x:v>
      </x:c>
    </x:row>
    <x:row r="574">
      <x:c r="A574" t="n">
        <x:v>1</x:v>
      </x:c>
      <x:c r="B574" t="str">
        <x:v>Marquise</x:v>
      </x:c>
      <x:c r="C574" t="str">
        <x:v>K</x:v>
      </x:c>
      <x:c r="D574" t="str">
        <x:v>VS1</x:v>
      </x:c>
      <x:c r="E574" s="36" t="n">
        <x:v>3480</x:v>
      </x:c>
      <x:c r="F574" s="36" t="n">
        <x:v>2223</x:v>
      </x:c>
      <x:c r="G574" s="42" t="n">
        <x:v>0.4768339768339768</x:v>
      </x:c>
      <x:c r="H574" s="36" t="n">
        <x:f>E574*G574</x:f>
        <x:v>1659.3822393822393</x:v>
      </x:c>
      <x:c r="I574" s="36" t="n">
        <x:f>IFERROR(H574/A574,0)</x:f>
        <x:v>1659.3822393822393</x:v>
      </x:c>
      <x:c r="J574" s="67" t="str">
        <x:v>Modeled from live base + Sep-2026 quality ratio</x:v>
      </x:c>
      <x:c r="K574" s="67" t="str">
        <x:v>https://www.stonealgo.com/diamond-prices/</x:v>
      </x:c>
      <x:c r="L574" s="67" t="str">
        <x:v>https://www.pricescope.com/blog/natural-diamond-prices-september-2026</x:v>
      </x:c>
    </x:row>
    <x:row r="575">
      <x:c r="A575" t="n">
        <x:v>1</x:v>
      </x:c>
      <x:c r="B575" t="str">
        <x:v>Marquise</x:v>
      </x:c>
      <x:c r="C575" t="str">
        <x:v>K</x:v>
      </x:c>
      <x:c r="D575" t="str">
        <x:v>VS2</x:v>
      </x:c>
      <x:c r="E575" s="36" t="n">
        <x:v>3480</x:v>
      </x:c>
      <x:c r="F575" s="36" t="n">
        <x:v>2098</x:v>
      </x:c>
      <x:c r="G575" s="42" t="n">
        <x:v>0.45002145002145</x:v>
      </x:c>
      <x:c r="H575" s="36" t="n">
        <x:f>E575*G575</x:f>
        <x:v>1566.074646074646</x:v>
      </x:c>
      <x:c r="I575" s="36" t="n">
        <x:f>IFERROR(H575/A575,0)</x:f>
        <x:v>1566.074646074646</x:v>
      </x:c>
      <x:c r="J575" s="67" t="str">
        <x:v>Modeled from live base + Sep-2026 quality ratio</x:v>
      </x:c>
      <x:c r="K575" s="67" t="str">
        <x:v>https://www.stonealgo.com/diamond-prices/</x:v>
      </x:c>
      <x:c r="L575" s="67" t="str">
        <x:v>https://www.pricescope.com/blog/natural-diamond-prices-september-2026</x:v>
      </x:c>
    </x:row>
    <x:row r="576">
      <x:c r="A576" t="n">
        <x:v>1</x:v>
      </x:c>
      <x:c r="B576" t="str">
        <x:v>Marquise</x:v>
      </x:c>
      <x:c r="C576" t="str">
        <x:v>K</x:v>
      </x:c>
      <x:c r="D576" t="str">
        <x:v>SI1</x:v>
      </x:c>
      <x:c r="E576" s="36" t="n">
        <x:v>3480</x:v>
      </x:c>
      <x:c r="F576" s="36" t="n">
        <x:v>1922</x:v>
      </x:c>
      <x:c r="G576" s="42" t="n">
        <x:v>0.41226941226941227</x:v>
      </x:c>
      <x:c r="H576" s="36" t="n">
        <x:f>E576*G576</x:f>
        <x:v>1434.6975546975548</x:v>
      </x:c>
      <x:c r="I576" s="36" t="n">
        <x:f>IFERROR(H576/A576,0)</x:f>
        <x:v>1434.6975546975548</x:v>
      </x:c>
      <x:c r="J576" s="67" t="str">
        <x:v>Modeled from live base + Sep-2026 quality ratio</x:v>
      </x:c>
      <x:c r="K576" s="67" t="str">
        <x:v>https://www.stonealgo.com/diamond-prices/</x:v>
      </x:c>
      <x:c r="L576" s="67" t="str">
        <x:v>https://www.pricescope.com/blog/natural-diamond-prices-september-2026</x:v>
      </x:c>
    </x:row>
    <x:row r="577">
      <x:c r="A577" t="n">
        <x:v>1</x:v>
      </x:c>
      <x:c r="B577" t="str">
        <x:v>Marquise</x:v>
      </x:c>
      <x:c r="C577" t="str">
        <x:v>K</x:v>
      </x:c>
      <x:c r="D577" t="str">
        <x:v>SI2</x:v>
      </x:c>
      <x:c r="E577" s="36" t="n">
        <x:v>3480</x:v>
      </x:c>
      <x:c r="F577" s="36" t="n">
        <x:v>1764</x:v>
      </x:c>
      <x:c r="G577" s="42" t="n">
        <x:v>0.3783783783783784</x:v>
      </x:c>
      <x:c r="H577" s="36" t="n">
        <x:f>E577*G577</x:f>
        <x:v>1316.7567567567569</x:v>
      </x:c>
      <x:c r="I577" s="36" t="n">
        <x:f>IFERROR(H577/A577,0)</x:f>
        <x:v>1316.7567567567569</x:v>
      </x:c>
      <x:c r="J577" s="67" t="str">
        <x:v>Modeled from live base + Sep-2026 quality ratio</x:v>
      </x:c>
      <x:c r="K577" s="67" t="str">
        <x:v>https://www.stonealgo.com/diamond-prices/</x:v>
      </x:c>
      <x:c r="L577" s="67" t="str">
        <x:v>https://www.pricescope.com/blog/natural-diamond-prices-september-2026</x:v>
      </x:c>
    </x:row>
    <x:row r="578">
      <x:c r="A578" t="n">
        <x:v>1</x:v>
      </x:c>
      <x:c r="B578" t="str">
        <x:v>Asscher</x:v>
      </x:c>
      <x:c r="C578" t="str">
        <x:v>D</x:v>
      </x:c>
      <x:c r="D578" t="str">
        <x:v>FL</x:v>
      </x:c>
      <x:c r="E578" s="36" t="n">
        <x:v>2680</x:v>
      </x:c>
      <x:c r="F578" s="36" t="n">
        <x:v>12665</x:v>
      </x:c>
      <x:c r="G578" s="42" t="n">
        <x:v>2.7166452166452166</x:v>
      </x:c>
      <x:c r="H578" s="36" t="n">
        <x:f>E578*G578</x:f>
        <x:v>7280.609180609181</x:v>
      </x:c>
      <x:c r="I578" s="36" t="n">
        <x:f>IFERROR(H578/A578,0)</x:f>
        <x:v>7280.609180609181</x:v>
      </x:c>
      <x:c r="J578" s="67" t="str">
        <x:v>Modeled from live base + Sep-2026 quality ratio</x:v>
      </x:c>
      <x:c r="K578" s="67" t="str">
        <x:v>https://www.stonealgo.com/diamond-prices/</x:v>
      </x:c>
      <x:c r="L578" s="67" t="str">
        <x:v>https://www.pricescope.com/blog/natural-diamond-prices-september-2026</x:v>
      </x:c>
    </x:row>
    <x:row r="579">
      <x:c r="A579" t="n">
        <x:v>1</x:v>
      </x:c>
      <x:c r="B579" t="str">
        <x:v>Asscher</x:v>
      </x:c>
      <x:c r="C579" t="str">
        <x:v>D</x:v>
      </x:c>
      <x:c r="D579" t="str">
        <x:v>IF</x:v>
      </x:c>
      <x:c r="E579" s="36" t="n">
        <x:v>2680</x:v>
      </x:c>
      <x:c r="F579" s="36" t="n">
        <x:v>13240</x:v>
      </x:c>
      <x:c r="G579" s="42" t="n">
        <x:v>2.83998283998284</x:v>
      </x:c>
      <x:c r="H579" s="36" t="n">
        <x:f>E579*G579</x:f>
        <x:v>7611.154011154012</x:v>
      </x:c>
      <x:c r="I579" s="36" t="n">
        <x:f>IFERROR(H579/A579,0)</x:f>
        <x:v>7611.154011154012</x:v>
      </x:c>
      <x:c r="J579" s="67" t="str">
        <x:v>Modeled from live base + Sep-2026 quality ratio</x:v>
      </x:c>
      <x:c r="K579" s="67" t="str">
        <x:v>https://www.stonealgo.com/diamond-prices/</x:v>
      </x:c>
      <x:c r="L579" s="67" t="str">
        <x:v>https://www.pricescope.com/blog/natural-diamond-prices-september-2026</x:v>
      </x:c>
    </x:row>
    <x:row r="580">
      <x:c r="A580" t="n">
        <x:v>1</x:v>
      </x:c>
      <x:c r="B580" t="str">
        <x:v>Asscher</x:v>
      </x:c>
      <x:c r="C580" t="str">
        <x:v>D</x:v>
      </x:c>
      <x:c r="D580" t="str">
        <x:v>VVS1</x:v>
      </x:c>
      <x:c r="E580" s="36" t="n">
        <x:v>2680</x:v>
      </x:c>
      <x:c r="F580" s="36" t="n">
        <x:v>9555</x:v>
      </x:c>
      <x:c r="G580" s="42" t="n">
        <x:v>2.0495495495495497</x:v>
      </x:c>
      <x:c r="H580" s="36" t="n">
        <x:f>E580*G580</x:f>
        <x:v>5492.792792792793</x:v>
      </x:c>
      <x:c r="I580" s="36" t="n">
        <x:f>IFERROR(H580/A580,0)</x:f>
        <x:v>5492.792792792793</x:v>
      </x:c>
      <x:c r="J580" s="67" t="str">
        <x:v>Modeled from live base + Sep-2026 quality ratio</x:v>
      </x:c>
      <x:c r="K580" s="67" t="str">
        <x:v>https://www.stonealgo.com/diamond-prices/</x:v>
      </x:c>
      <x:c r="L580" s="67" t="str">
        <x:v>https://www.pricescope.com/blog/natural-diamond-prices-september-2026</x:v>
      </x:c>
    </x:row>
    <x:row r="581">
      <x:c r="A581" t="n">
        <x:v>1</x:v>
      </x:c>
      <x:c r="B581" t="str">
        <x:v>Asscher</x:v>
      </x:c>
      <x:c r="C581" t="str">
        <x:v>D</x:v>
      </x:c>
      <x:c r="D581" t="str">
        <x:v>VVS2</x:v>
      </x:c>
      <x:c r="E581" s="36" t="n">
        <x:v>2680</x:v>
      </x:c>
      <x:c r="F581" s="36" t="n">
        <x:v>6660</x:v>
      </x:c>
      <x:c r="G581" s="42" t="n">
        <x:v>1.4285714285714286</x:v>
      </x:c>
      <x:c r="H581" s="36" t="n">
        <x:f>E581*G581</x:f>
        <x:v>3828.5714285714284</x:v>
      </x:c>
      <x:c r="I581" s="36" t="n">
        <x:f>IFERROR(H581/A581,0)</x:f>
        <x:v>3828.5714285714284</x:v>
      </x:c>
      <x:c r="J581" s="67" t="str">
        <x:v>Modeled from live base + Sep-2026 quality ratio</x:v>
      </x:c>
      <x:c r="K581" s="67" t="str">
        <x:v>https://www.stonealgo.com/diamond-prices/</x:v>
      </x:c>
      <x:c r="L581" s="67" t="str">
        <x:v>https://www.pricescope.com/blog/natural-diamond-prices-september-2026</x:v>
      </x:c>
    </x:row>
    <x:row r="582">
      <x:c r="A582" t="n">
        <x:v>1</x:v>
      </x:c>
      <x:c r="B582" t="str">
        <x:v>Asscher</x:v>
      </x:c>
      <x:c r="C582" t="str">
        <x:v>D</x:v>
      </x:c>
      <x:c r="D582" t="str">
        <x:v>VS1</x:v>
      </x:c>
      <x:c r="E582" s="36" t="n">
        <x:v>2680</x:v>
      </x:c>
      <x:c r="F582" s="36" t="n">
        <x:v>6247</x:v>
      </x:c>
      <x:c r="G582" s="42" t="n">
        <x:v>1.33998283998284</x:v>
      </x:c>
      <x:c r="H582" s="36" t="n">
        <x:f>E582*G582</x:f>
        <x:v>3591.154011154011</x:v>
      </x:c>
      <x:c r="I582" s="36" t="n">
        <x:f>IFERROR(H582/A582,0)</x:f>
        <x:v>3591.154011154011</x:v>
      </x:c>
      <x:c r="J582" s="67" t="str">
        <x:v>Modeled from live base + Sep-2026 quality ratio</x:v>
      </x:c>
      <x:c r="K582" s="67" t="str">
        <x:v>https://www.stonealgo.com/diamond-prices/</x:v>
      </x:c>
      <x:c r="L582" s="67" t="str">
        <x:v>https://www.pricescope.com/blog/natural-diamond-prices-september-2026</x:v>
      </x:c>
    </x:row>
    <x:row r="583">
      <x:c r="A583" t="n">
        <x:v>1</x:v>
      </x:c>
      <x:c r="B583" t="str">
        <x:v>Asscher</x:v>
      </x:c>
      <x:c r="C583" t="str">
        <x:v>D</x:v>
      </x:c>
      <x:c r="D583" t="str">
        <x:v>VS2</x:v>
      </x:c>
      <x:c r="E583" s="36" t="n">
        <x:v>2680</x:v>
      </x:c>
      <x:c r="F583" s="36" t="n">
        <x:v>5841</x:v>
      </x:c>
      <x:c r="G583" s="42" t="n">
        <x:v>1.252895752895753</x:v>
      </x:c>
      <x:c r="H583" s="36" t="n">
        <x:f>E583*G583</x:f>
        <x:v>3357.760617760618</x:v>
      </x:c>
      <x:c r="I583" s="36" t="n">
        <x:f>IFERROR(H583/A583,0)</x:f>
        <x:v>3357.760617760618</x:v>
      </x:c>
      <x:c r="J583" s="67" t="str">
        <x:v>Modeled from live base + Sep-2026 quality ratio</x:v>
      </x:c>
      <x:c r="K583" s="67" t="str">
        <x:v>https://www.stonealgo.com/diamond-prices/</x:v>
      </x:c>
      <x:c r="L583" s="67" t="str">
        <x:v>https://www.pricescope.com/blog/natural-diamond-prices-september-2026</x:v>
      </x:c>
    </x:row>
    <x:row r="584">
      <x:c r="A584" t="n">
        <x:v>1</x:v>
      </x:c>
      <x:c r="B584" t="str">
        <x:v>Asscher</x:v>
      </x:c>
      <x:c r="C584" t="str">
        <x:v>D</x:v>
      </x:c>
      <x:c r="D584" t="str">
        <x:v>SI1</x:v>
      </x:c>
      <x:c r="E584" s="36" t="n">
        <x:v>2680</x:v>
      </x:c>
      <x:c r="F584" s="36" t="n">
        <x:v>3762</x:v>
      </x:c>
      <x:c r="G584" s="42" t="n">
        <x:v>0.806949806949807</x:v>
      </x:c>
      <x:c r="H584" s="36" t="n">
        <x:f>E584*G584</x:f>
        <x:v>2162.6254826254826</x:v>
      </x:c>
      <x:c r="I584" s="36" t="n">
        <x:f>IFERROR(H584/A584,0)</x:f>
        <x:v>2162.6254826254826</x:v>
      </x:c>
      <x:c r="J584" s="67" t="str">
        <x:v>Modeled from live base + Sep-2026 quality ratio</x:v>
      </x:c>
      <x:c r="K584" s="67" t="str">
        <x:v>https://www.stonealgo.com/diamond-prices/</x:v>
      </x:c>
      <x:c r="L584" s="67" t="str">
        <x:v>https://www.pricescope.com/blog/natural-diamond-prices-september-2026</x:v>
      </x:c>
    </x:row>
    <x:row r="585">
      <x:c r="A585" t="n">
        <x:v>1</x:v>
      </x:c>
      <x:c r="B585" t="str">
        <x:v>Asscher</x:v>
      </x:c>
      <x:c r="C585" t="str">
        <x:v>D</x:v>
      </x:c>
      <x:c r="D585" t="str">
        <x:v>SI2</x:v>
      </x:c>
      <x:c r="E585" s="36" t="n">
        <x:v>2680</x:v>
      </x:c>
      <x:c r="F585" s="36" t="n">
        <x:v>3026</x:v>
      </x:c>
      <x:c r="G585" s="42" t="n">
        <x:v>0.6490776490776491</x:v>
      </x:c>
      <x:c r="H585" s="36" t="n">
        <x:f>E585*G585</x:f>
        <x:v>1739.5280995280996</x:v>
      </x:c>
      <x:c r="I585" s="36" t="n">
        <x:f>IFERROR(H585/A585,0)</x:f>
        <x:v>1739.5280995280996</x:v>
      </x:c>
      <x:c r="J585" s="67" t="str">
        <x:v>Modeled from live base + Sep-2026 quality ratio</x:v>
      </x:c>
      <x:c r="K585" s="67" t="str">
        <x:v>https://www.stonealgo.com/diamond-prices/</x:v>
      </x:c>
      <x:c r="L585" s="67" t="str">
        <x:v>https://www.pricescope.com/blog/natural-diamond-prices-september-2026</x:v>
      </x:c>
    </x:row>
    <x:row r="586">
      <x:c r="A586" t="n">
        <x:v>1</x:v>
      </x:c>
      <x:c r="B586" t="str">
        <x:v>Asscher</x:v>
      </x:c>
      <x:c r="C586" t="str">
        <x:v>E</x:v>
      </x:c>
      <x:c r="D586" t="str">
        <x:v>FL</x:v>
      </x:c>
      <x:c r="E586" s="36" t="n">
        <x:v>2680</x:v>
      </x:c>
      <x:c r="F586" s="36" t="n">
        <x:v>10072</x:v>
      </x:c>
      <x:c r="G586" s="42" t="n">
        <x:v>2.1604461604461602</x:v>
      </x:c>
      <x:c r="H586" s="36" t="n">
        <x:f>E586*G586</x:f>
        <x:v>5789.995709995709</x:v>
      </x:c>
      <x:c r="I586" s="36" t="n">
        <x:f>IFERROR(H586/A586,0)</x:f>
        <x:v>5789.995709995709</x:v>
      </x:c>
      <x:c r="J586" s="67" t="str">
        <x:v>Modeled from live base + Sep-2026 quality ratio</x:v>
      </x:c>
      <x:c r="K586" s="67" t="str">
        <x:v>https://www.stonealgo.com/diamond-prices/</x:v>
      </x:c>
      <x:c r="L586" s="67" t="str">
        <x:v>https://www.pricescope.com/blog/natural-diamond-prices-september-2026</x:v>
      </x:c>
    </x:row>
    <x:row r="587">
      <x:c r="A587" t="n">
        <x:v>1</x:v>
      </x:c>
      <x:c r="B587" t="str">
        <x:v>Asscher</x:v>
      </x:c>
      <x:c r="C587" t="str">
        <x:v>E</x:v>
      </x:c>
      <x:c r="D587" t="str">
        <x:v>IF</x:v>
      </x:c>
      <x:c r="E587" s="36" t="n">
        <x:v>2680</x:v>
      </x:c>
      <x:c r="F587" s="36" t="n">
        <x:v>8672</x:v>
      </x:c>
      <x:c r="G587" s="42" t="n">
        <x:v>1.8601458601458603</x:v>
      </x:c>
      <x:c r="H587" s="36" t="n">
        <x:f>E587*G587</x:f>
        <x:v>4985.190905190905</x:v>
      </x:c>
      <x:c r="I587" s="36" t="n">
        <x:f>IFERROR(H587/A587,0)</x:f>
        <x:v>4985.190905190905</x:v>
      </x:c>
      <x:c r="J587" s="67" t="str">
        <x:v>Modeled from live base + Sep-2026 quality ratio</x:v>
      </x:c>
      <x:c r="K587" s="67" t="str">
        <x:v>https://www.stonealgo.com/diamond-prices/</x:v>
      </x:c>
      <x:c r="L587" s="67" t="str">
        <x:v>https://www.pricescope.com/blog/natural-diamond-prices-september-2026</x:v>
      </x:c>
    </x:row>
    <x:row r="588">
      <x:c r="A588" t="n">
        <x:v>1</x:v>
      </x:c>
      <x:c r="B588" t="str">
        <x:v>Asscher</x:v>
      </x:c>
      <x:c r="C588" t="str">
        <x:v>E</x:v>
      </x:c>
      <x:c r="D588" t="str">
        <x:v>VVS1</x:v>
      </x:c>
      <x:c r="E588" s="36" t="n">
        <x:v>2680</x:v>
      </x:c>
      <x:c r="F588" s="36" t="n">
        <x:v>7842</x:v>
      </x:c>
      <x:c r="G588" s="42" t="n">
        <x:v>1.6821106821106822</x:v>
      </x:c>
      <x:c r="H588" s="36" t="n">
        <x:f>E588*G588</x:f>
        <x:v>4508.056628056628</x:v>
      </x:c>
      <x:c r="I588" s="36" t="n">
        <x:f>IFERROR(H588/A588,0)</x:f>
        <x:v>4508.056628056628</x:v>
      </x:c>
      <x:c r="J588" s="67" t="str">
        <x:v>Modeled from live base + Sep-2026 quality ratio</x:v>
      </x:c>
      <x:c r="K588" s="67" t="str">
        <x:v>https://www.stonealgo.com/diamond-prices/</x:v>
      </x:c>
      <x:c r="L588" s="67" t="str">
        <x:v>https://www.pricescope.com/blog/natural-diamond-prices-september-2026</x:v>
      </x:c>
    </x:row>
    <x:row r="589">
      <x:c r="A589" t="n">
        <x:v>1</x:v>
      </x:c>
      <x:c r="B589" t="str">
        <x:v>Asscher</x:v>
      </x:c>
      <x:c r="C589" t="str">
        <x:v>E</x:v>
      </x:c>
      <x:c r="D589" t="str">
        <x:v>VVS2</x:v>
      </x:c>
      <x:c r="E589" s="36" t="n">
        <x:v>2680</x:v>
      </x:c>
      <x:c r="F589" s="36" t="n">
        <x:v>6880</x:v>
      </x:c>
      <x:c r="G589" s="42" t="n">
        <x:v>1.4757614757614759</x:v>
      </x:c>
      <x:c r="H589" s="36" t="n">
        <x:f>E589*G589</x:f>
        <x:v>3955.0407550407554</x:v>
      </x:c>
      <x:c r="I589" s="36" t="n">
        <x:f>IFERROR(H589/A589,0)</x:f>
        <x:v>3955.0407550407554</x:v>
      </x:c>
      <x:c r="J589" s="67" t="str">
        <x:v>Modeled from live base + Sep-2026 quality ratio</x:v>
      </x:c>
      <x:c r="K589" s="67" t="str">
        <x:v>https://www.stonealgo.com/diamond-prices/</x:v>
      </x:c>
      <x:c r="L589" s="67" t="str">
        <x:v>https://www.pricescope.com/blog/natural-diamond-prices-september-2026</x:v>
      </x:c>
    </x:row>
    <x:row r="590">
      <x:c r="A590" t="n">
        <x:v>1</x:v>
      </x:c>
      <x:c r="B590" t="str">
        <x:v>Asscher</x:v>
      </x:c>
      <x:c r="C590" t="str">
        <x:v>E</x:v>
      </x:c>
      <x:c r="D590" t="str">
        <x:v>VS1</x:v>
      </x:c>
      <x:c r="E590" s="36" t="n">
        <x:v>2680</x:v>
      </x:c>
      <x:c r="F590" s="36" t="n">
        <x:v>6307</x:v>
      </x:c>
      <x:c r="G590" s="42" t="n">
        <x:v>1.352852852852853</x:v>
      </x:c>
      <x:c r="H590" s="36" t="n">
        <x:f>E590*G590</x:f>
        <x:v>3625.645645645646</x:v>
      </x:c>
      <x:c r="I590" s="36" t="n">
        <x:f>IFERROR(H590/A590,0)</x:f>
        <x:v>3625.645645645646</x:v>
      </x:c>
      <x:c r="J590" s="67" t="str">
        <x:v>Modeled from live base + Sep-2026 quality ratio</x:v>
      </x:c>
      <x:c r="K590" s="67" t="str">
        <x:v>https://www.stonealgo.com/diamond-prices/</x:v>
      </x:c>
      <x:c r="L590" s="67" t="str">
        <x:v>https://www.pricescope.com/blog/natural-diamond-prices-september-2026</x:v>
      </x:c>
    </x:row>
    <x:row r="591">
      <x:c r="A591" t="n">
        <x:v>1</x:v>
      </x:c>
      <x:c r="B591" t="str">
        <x:v>Asscher</x:v>
      </x:c>
      <x:c r="C591" t="str">
        <x:v>E</x:v>
      </x:c>
      <x:c r="D591" t="str">
        <x:v>VS2</x:v>
      </x:c>
      <x:c r="E591" s="36" t="n">
        <x:v>2680</x:v>
      </x:c>
      <x:c r="F591" s="36" t="n">
        <x:v>5249</x:v>
      </x:c>
      <x:c r="G591" s="42" t="n">
        <x:v>1.125911625911626</x:v>
      </x:c>
      <x:c r="H591" s="36" t="n">
        <x:f>E591*G591</x:f>
        <x:v>3017.443157443158</x:v>
      </x:c>
      <x:c r="I591" s="36" t="n">
        <x:f>IFERROR(H591/A591,0)</x:f>
        <x:v>3017.443157443158</x:v>
      </x:c>
      <x:c r="J591" s="67" t="str">
        <x:v>Modeled from live base + Sep-2026 quality ratio</x:v>
      </x:c>
      <x:c r="K591" s="67" t="str">
        <x:v>https://www.stonealgo.com/diamond-prices/</x:v>
      </x:c>
      <x:c r="L591" s="67" t="str">
        <x:v>https://www.pricescope.com/blog/natural-diamond-prices-september-2026</x:v>
      </x:c>
    </x:row>
    <x:row r="592">
      <x:c r="A592" t="n">
        <x:v>1</x:v>
      </x:c>
      <x:c r="B592" t="str">
        <x:v>Asscher</x:v>
      </x:c>
      <x:c r="C592" t="str">
        <x:v>E</x:v>
      </x:c>
      <x:c r="D592" t="str">
        <x:v>SI1</x:v>
      </x:c>
      <x:c r="E592" s="36" t="n">
        <x:v>2680</x:v>
      </x:c>
      <x:c r="F592" s="36" t="n">
        <x:v>3551</x:v>
      </x:c>
      <x:c r="G592" s="42" t="n">
        <x:v>0.7616902616902617</x:v>
      </x:c>
      <x:c r="H592" s="36" t="n">
        <x:f>E592*G592</x:f>
        <x:v>2041.3299013299013</x:v>
      </x:c>
      <x:c r="I592" s="36" t="n">
        <x:f>IFERROR(H592/A592,0)</x:f>
        <x:v>2041.3299013299013</x:v>
      </x:c>
      <x:c r="J592" s="67" t="str">
        <x:v>Modeled from live base + Sep-2026 quality ratio</x:v>
      </x:c>
      <x:c r="K592" s="67" t="str">
        <x:v>https://www.stonealgo.com/diamond-prices/</x:v>
      </x:c>
      <x:c r="L592" s="67" t="str">
        <x:v>https://www.pricescope.com/blog/natural-diamond-prices-september-2026</x:v>
      </x:c>
    </x:row>
    <x:row r="593">
      <x:c r="A593" t="n">
        <x:v>1</x:v>
      </x:c>
      <x:c r="B593" t="str">
        <x:v>Asscher</x:v>
      </x:c>
      <x:c r="C593" t="str">
        <x:v>E</x:v>
      </x:c>
      <x:c r="D593" t="str">
        <x:v>SI2</x:v>
      </x:c>
      <x:c r="E593" s="36" t="n">
        <x:v>2680</x:v>
      </x:c>
      <x:c r="F593" s="36" t="n">
        <x:v>2993</x:v>
      </x:c>
      <x:c r="G593" s="42" t="n">
        <x:v>0.641999141999142</x:v>
      </x:c>
      <x:c r="H593" s="36" t="n">
        <x:f>E593*G593</x:f>
        <x:v>1720.5577005577006</x:v>
      </x:c>
      <x:c r="I593" s="36" t="n">
        <x:f>IFERROR(H593/A593,0)</x:f>
        <x:v>1720.5577005577006</x:v>
      </x:c>
      <x:c r="J593" s="67" t="str">
        <x:v>Modeled from live base + Sep-2026 quality ratio</x:v>
      </x:c>
      <x:c r="K593" s="67" t="str">
        <x:v>https://www.stonealgo.com/diamond-prices/</x:v>
      </x:c>
      <x:c r="L593" s="67" t="str">
        <x:v>https://www.pricescope.com/blog/natural-diamond-prices-september-2026</x:v>
      </x:c>
    </x:row>
    <x:row r="594">
      <x:c r="A594" t="n">
        <x:v>1</x:v>
      </x:c>
      <x:c r="B594" t="str">
        <x:v>Asscher</x:v>
      </x:c>
      <x:c r="C594" t="str">
        <x:v>F</x:v>
      </x:c>
      <x:c r="D594" t="str">
        <x:v>FL</x:v>
      </x:c>
      <x:c r="E594" s="36" t="n">
        <x:v>2680</x:v>
      </x:c>
      <x:c r="F594" s="36" t="n">
        <x:v>6830</x:v>
      </x:c>
      <x:c r="G594" s="42" t="n">
        <x:v>1.4650364650364651</x:v>
      </x:c>
      <x:c r="H594" s="36" t="n">
        <x:f>E594*G594</x:f>
        <x:v>3926.2977262977265</x:v>
      </x:c>
      <x:c r="I594" s="36" t="n">
        <x:f>IFERROR(H594/A594,0)</x:f>
        <x:v>3926.2977262977265</x:v>
      </x:c>
      <x:c r="J594" s="67" t="str">
        <x:v>Modeled from live base + Sep-2026 quality ratio</x:v>
      </x:c>
      <x:c r="K594" s="67" t="str">
        <x:v>https://www.stonealgo.com/diamond-prices/</x:v>
      </x:c>
      <x:c r="L594" s="67" t="str">
        <x:v>https://www.pricescope.com/blog/natural-diamond-prices-september-2026</x:v>
      </x:c>
    </x:row>
    <x:row r="595">
      <x:c r="A595" t="n">
        <x:v>1</x:v>
      </x:c>
      <x:c r="B595" t="str">
        <x:v>Asscher</x:v>
      </x:c>
      <x:c r="C595" t="str">
        <x:v>F</x:v>
      </x:c>
      <x:c r="D595" t="str">
        <x:v>IF</x:v>
      </x:c>
      <x:c r="E595" s="36" t="n">
        <x:v>2680</x:v>
      </x:c>
      <x:c r="F595" s="36" t="n">
        <x:v>7302</x:v>
      </x:c>
      <x:c r="G595" s="42" t="n">
        <x:v>1.5662805662805663</x:v>
      </x:c>
      <x:c r="H595" s="36" t="n">
        <x:f>E595*G595</x:f>
        <x:v>4197.6319176319175</x:v>
      </x:c>
      <x:c r="I595" s="36" t="n">
        <x:f>IFERROR(H595/A595,0)</x:f>
        <x:v>4197.6319176319175</x:v>
      </x:c>
      <x:c r="J595" s="67" t="str">
        <x:v>Modeled from live base + Sep-2026 quality ratio</x:v>
      </x:c>
      <x:c r="K595" s="67" t="str">
        <x:v>https://www.stonealgo.com/diamond-prices/</x:v>
      </x:c>
      <x:c r="L595" s="67" t="str">
        <x:v>https://www.pricescope.com/blog/natural-diamond-prices-september-2026</x:v>
      </x:c>
    </x:row>
    <x:row r="596">
      <x:c r="A596" t="n">
        <x:v>1</x:v>
      </x:c>
      <x:c r="B596" t="str">
        <x:v>Asscher</x:v>
      </x:c>
      <x:c r="C596" t="str">
        <x:v>F</x:v>
      </x:c>
      <x:c r="D596" t="str">
        <x:v>VVS1</x:v>
      </x:c>
      <x:c r="E596" s="36" t="n">
        <x:v>2680</x:v>
      </x:c>
      <x:c r="F596" s="36" t="n">
        <x:v>7542</x:v>
      </x:c>
      <x:c r="G596" s="42" t="n">
        <x:v>1.6177606177606179</x:v>
      </x:c>
      <x:c r="H596" s="36" t="n">
        <x:f>E596*G596</x:f>
        <x:v>4335.598455598456</x:v>
      </x:c>
      <x:c r="I596" s="36" t="n">
        <x:f>IFERROR(H596/A596,0)</x:f>
        <x:v>4335.598455598456</x:v>
      </x:c>
      <x:c r="J596" s="67" t="str">
        <x:v>Modeled from live base + Sep-2026 quality ratio</x:v>
      </x:c>
      <x:c r="K596" s="67" t="str">
        <x:v>https://www.stonealgo.com/diamond-prices/</x:v>
      </x:c>
      <x:c r="L596" s="67" t="str">
        <x:v>https://www.pricescope.com/blog/natural-diamond-prices-september-2026</x:v>
      </x:c>
    </x:row>
    <x:row r="597">
      <x:c r="A597" t="n">
        <x:v>1</x:v>
      </x:c>
      <x:c r="B597" t="str">
        <x:v>Asscher</x:v>
      </x:c>
      <x:c r="C597" t="str">
        <x:v>F</x:v>
      </x:c>
      <x:c r="D597" t="str">
        <x:v>VVS2</x:v>
      </x:c>
      <x:c r="E597" s="36" t="n">
        <x:v>2680</x:v>
      </x:c>
      <x:c r="F597" s="36" t="n">
        <x:v>6352</x:v>
      </x:c>
      <x:c r="G597" s="42" t="n">
        <x:v>1.3625053625053625</x:v>
      </x:c>
      <x:c r="H597" s="36" t="n">
        <x:f>E597*G597</x:f>
        <x:v>3651.5143715143713</x:v>
      </x:c>
      <x:c r="I597" s="36" t="n">
        <x:f>IFERROR(H597/A597,0)</x:f>
        <x:v>3651.5143715143713</x:v>
      </x:c>
      <x:c r="J597" s="67" t="str">
        <x:v>Modeled from live base + Sep-2026 quality ratio</x:v>
      </x:c>
      <x:c r="K597" s="67" t="str">
        <x:v>https://www.stonealgo.com/diamond-prices/</x:v>
      </x:c>
      <x:c r="L597" s="67" t="str">
        <x:v>https://www.pricescope.com/blog/natural-diamond-prices-september-2026</x:v>
      </x:c>
    </x:row>
    <x:row r="598">
      <x:c r="A598" t="n">
        <x:v>1</x:v>
      </x:c>
      <x:c r="B598" t="str">
        <x:v>Asscher</x:v>
      </x:c>
      <x:c r="C598" t="str">
        <x:v>F</x:v>
      </x:c>
      <x:c r="D598" t="str">
        <x:v>VS1</x:v>
      </x:c>
      <x:c r="E598" s="36" t="n">
        <x:v>2680</x:v>
      </x:c>
      <x:c r="F598" s="36" t="n">
        <x:v>5647</x:v>
      </x:c>
      <x:c r="G598" s="42" t="n">
        <x:v>1.2112827112827114</x:v>
      </x:c>
      <x:c r="H598" s="36" t="n">
        <x:f>E598*G598</x:f>
        <x:v>3246.2376662376664</x:v>
      </x:c>
      <x:c r="I598" s="36" t="n">
        <x:f>IFERROR(H598/A598,0)</x:f>
        <x:v>3246.2376662376664</x:v>
      </x:c>
      <x:c r="J598" s="67" t="str">
        <x:v>Modeled from live base + Sep-2026 quality ratio</x:v>
      </x:c>
      <x:c r="K598" s="67" t="str">
        <x:v>https://www.stonealgo.com/diamond-prices/</x:v>
      </x:c>
      <x:c r="L598" s="67" t="str">
        <x:v>https://www.pricescope.com/blog/natural-diamond-prices-september-2026</x:v>
      </x:c>
    </x:row>
    <x:row r="599">
      <x:c r="A599" t="n">
        <x:v>1</x:v>
      </x:c>
      <x:c r="B599" t="str">
        <x:v>Asscher</x:v>
      </x:c>
      <x:c r="C599" t="str">
        <x:v>F</x:v>
      </x:c>
      <x:c r="D599" t="str">
        <x:v>VS2</x:v>
      </x:c>
      <x:c r="E599" s="36" t="n">
        <x:v>2680</x:v>
      </x:c>
      <x:c r="F599" s="36" t="n">
        <x:v>4730</x:v>
      </x:c>
      <x:c r="G599" s="42" t="n">
        <x:v>1.0145860145860146</x:v>
      </x:c>
      <x:c r="H599" s="36" t="n">
        <x:f>E599*G599</x:f>
        <x:v>2719.090519090519</x:v>
      </x:c>
      <x:c r="I599" s="36" t="n">
        <x:f>IFERROR(H599/A599,0)</x:f>
        <x:v>2719.090519090519</x:v>
      </x:c>
      <x:c r="J599" s="67" t="str">
        <x:v>Modeled from live base + Sep-2026 quality ratio</x:v>
      </x:c>
      <x:c r="K599" s="67" t="str">
        <x:v>https://www.stonealgo.com/diamond-prices/</x:v>
      </x:c>
      <x:c r="L599" s="67" t="str">
        <x:v>https://www.pricescope.com/blog/natural-diamond-prices-september-2026</x:v>
      </x:c>
    </x:row>
    <x:row r="600">
      <x:c r="A600" t="n">
        <x:v>1</x:v>
      </x:c>
      <x:c r="B600" t="str">
        <x:v>Asscher</x:v>
      </x:c>
      <x:c r="C600" t="str">
        <x:v>F</x:v>
      </x:c>
      <x:c r="D600" t="str">
        <x:v>SI1</x:v>
      </x:c>
      <x:c r="E600" s="36" t="n">
        <x:v>2680</x:v>
      </x:c>
      <x:c r="F600" s="36" t="n">
        <x:v>3331</x:v>
      </x:c>
      <x:c r="G600" s="42" t="n">
        <x:v>0.7145002145002145</x:v>
      </x:c>
      <x:c r="H600" s="36" t="n">
        <x:f>E600*G600</x:f>
        <x:v>1914.8605748605748</x:v>
      </x:c>
      <x:c r="I600" s="36" t="n">
        <x:f>IFERROR(H600/A600,0)</x:f>
        <x:v>1914.8605748605748</x:v>
      </x:c>
      <x:c r="J600" s="67" t="str">
        <x:v>Modeled from live base + Sep-2026 quality ratio</x:v>
      </x:c>
      <x:c r="K600" s="67" t="str">
        <x:v>https://www.stonealgo.com/diamond-prices/</x:v>
      </x:c>
      <x:c r="L600" s="67" t="str">
        <x:v>https://www.pricescope.com/blog/natural-diamond-prices-september-2026</x:v>
      </x:c>
    </x:row>
    <x:row r="601">
      <x:c r="A601" t="n">
        <x:v>1</x:v>
      </x:c>
      <x:c r="B601" t="str">
        <x:v>Asscher</x:v>
      </x:c>
      <x:c r="C601" t="str">
        <x:v>F</x:v>
      </x:c>
      <x:c r="D601" t="str">
        <x:v>SI2</x:v>
      </x:c>
      <x:c r="E601" s="36" t="n">
        <x:v>2680</x:v>
      </x:c>
      <x:c r="F601" s="36" t="n">
        <x:v>2733</x:v>
      </x:c>
      <x:c r="G601" s="42" t="n">
        <x:v>0.5862290862290862</x:v>
      </x:c>
      <x:c r="H601" s="36" t="n">
        <x:f>E601*G601</x:f>
        <x:v>1571.093951093951</x:v>
      </x:c>
      <x:c r="I601" s="36" t="n">
        <x:f>IFERROR(H601/A601,0)</x:f>
        <x:v>1571.093951093951</x:v>
      </x:c>
      <x:c r="J601" s="67" t="str">
        <x:v>Modeled from live base + Sep-2026 quality ratio</x:v>
      </x:c>
      <x:c r="K601" s="67" t="str">
        <x:v>https://www.stonealgo.com/diamond-prices/</x:v>
      </x:c>
      <x:c r="L601" s="67" t="str">
        <x:v>https://www.pricescope.com/blog/natural-diamond-prices-september-2026</x:v>
      </x:c>
    </x:row>
    <x:row r="602">
      <x:c r="A602" t="n">
        <x:v>1</x:v>
      </x:c>
      <x:c r="B602" t="str">
        <x:v>Asscher</x:v>
      </x:c>
      <x:c r="C602" t="str">
        <x:v>G</x:v>
      </x:c>
      <x:c r="D602" t="str">
        <x:v>FL</x:v>
      </x:c>
      <x:c r="E602" s="36" t="n">
        <x:v>2680</x:v>
      </x:c>
      <x:c r="F602" s="36" t="n">
        <x:v>5905</x:v>
      </x:c>
      <x:c r="G602" s="42" t="n">
        <x:v>1.2666237666237665</x:v>
      </x:c>
      <x:c r="H602" s="36" t="n">
        <x:f>E602*G602</x:f>
        <x:v>3394.5516945516943</x:v>
      </x:c>
      <x:c r="I602" s="36" t="n">
        <x:f>IFERROR(H602/A602,0)</x:f>
        <x:v>3394.5516945516943</x:v>
      </x:c>
      <x:c r="J602" s="67" t="str">
        <x:v>Modeled from live base + Sep-2026 quality ratio</x:v>
      </x:c>
      <x:c r="K602" s="67" t="str">
        <x:v>https://www.stonealgo.com/diamond-prices/</x:v>
      </x:c>
      <x:c r="L602" s="67" t="str">
        <x:v>https://www.pricescope.com/blog/natural-diamond-prices-september-2026</x:v>
      </x:c>
    </x:row>
    <x:row r="603">
      <x:c r="A603" t="n">
        <x:v>1</x:v>
      </x:c>
      <x:c r="B603" t="str">
        <x:v>Asscher</x:v>
      </x:c>
      <x:c r="C603" t="str">
        <x:v>G</x:v>
      </x:c>
      <x:c r="D603" t="str">
        <x:v>IF</x:v>
      </x:c>
      <x:c r="E603" s="36" t="n">
        <x:v>2680</x:v>
      </x:c>
      <x:c r="F603" s="36" t="n">
        <x:v>5601</x:v>
      </x:c>
      <x:c r="G603" s="42" t="n">
        <x:v>1.2014157014157014</x:v>
      </x:c>
      <x:c r="H603" s="36" t="n">
        <x:f>E603*G603</x:f>
        <x:v>3219.7940797940796</x:v>
      </x:c>
      <x:c r="I603" s="36" t="n">
        <x:f>IFERROR(H603/A603,0)</x:f>
        <x:v>3219.7940797940796</x:v>
      </x:c>
      <x:c r="J603" s="67" t="str">
        <x:v>Modeled from live base + Sep-2026 quality ratio</x:v>
      </x:c>
      <x:c r="K603" s="67" t="str">
        <x:v>https://www.stonealgo.com/diamond-prices/</x:v>
      </x:c>
      <x:c r="L603" s="67" t="str">
        <x:v>https://www.pricescope.com/blog/natural-diamond-prices-september-2026</x:v>
      </x:c>
    </x:row>
    <x:row r="604">
      <x:c r="A604" t="n">
        <x:v>1</x:v>
      </x:c>
      <x:c r="B604" t="str">
        <x:v>Asscher</x:v>
      </x:c>
      <x:c r="C604" t="str">
        <x:v>G</x:v>
      </x:c>
      <x:c r="D604" t="str">
        <x:v>VVS1</x:v>
      </x:c>
      <x:c r="E604" s="36" t="n">
        <x:v>2680</x:v>
      </x:c>
      <x:c r="F604" s="36" t="n">
        <x:v>5124</x:v>
      </x:c>
      <x:c r="G604" s="42" t="n">
        <x:v>1.0990990990990992</x:v>
      </x:c>
      <x:c r="H604" s="36" t="n">
        <x:f>E604*G604</x:f>
        <x:v>2945.5855855855857</x:v>
      </x:c>
      <x:c r="I604" s="36" t="n">
        <x:f>IFERROR(H604/A604,0)</x:f>
        <x:v>2945.5855855855857</x:v>
      </x:c>
      <x:c r="J604" s="67" t="str">
        <x:v>Modeled from live base + Sep-2026 quality ratio</x:v>
      </x:c>
      <x:c r="K604" s="67" t="str">
        <x:v>https://www.stonealgo.com/diamond-prices/</x:v>
      </x:c>
      <x:c r="L604" s="67" t="str">
        <x:v>https://www.pricescope.com/blog/natural-diamond-prices-september-2026</x:v>
      </x:c>
    </x:row>
    <x:row r="605">
      <x:c r="A605" t="n">
        <x:v>1</x:v>
      </x:c>
      <x:c r="B605" t="str">
        <x:v>Asscher</x:v>
      </x:c>
      <x:c r="C605" t="str">
        <x:v>G</x:v>
      </x:c>
      <x:c r="D605" t="str">
        <x:v>VVS2</x:v>
      </x:c>
      <x:c r="E605" s="36" t="n">
        <x:v>2680</x:v>
      </x:c>
      <x:c r="F605" s="36" t="n">
        <x:v>4962</x:v>
      </x:c>
      <x:c r="G605" s="42" t="n">
        <x:v>1.0643500643500643</x:v>
      </x:c>
      <x:c r="H605" s="36" t="n">
        <x:f>E605*G605</x:f>
        <x:v>2852.458172458172</x:v>
      </x:c>
      <x:c r="I605" s="36" t="n">
        <x:f>IFERROR(H605/A605,0)</x:f>
        <x:v>2852.458172458172</x:v>
      </x:c>
      <x:c r="J605" s="67" t="str">
        <x:v>Modeled from live base + Sep-2026 quality ratio</x:v>
      </x:c>
      <x:c r="K605" s="67" t="str">
        <x:v>https://www.stonealgo.com/diamond-prices/</x:v>
      </x:c>
      <x:c r="L605" s="67" t="str">
        <x:v>https://www.pricescope.com/blog/natural-diamond-prices-september-2026</x:v>
      </x:c>
    </x:row>
    <x:row r="606">
      <x:c r="A606" t="n">
        <x:v>1</x:v>
      </x:c>
      <x:c r="B606" t="str">
        <x:v>Asscher</x:v>
      </x:c>
      <x:c r="C606" t="str">
        <x:v>G</x:v>
      </x:c>
      <x:c r="D606" t="str">
        <x:v>VS1</x:v>
      </x:c>
      <x:c r="E606" s="36" t="n">
        <x:v>2680</x:v>
      </x:c>
      <x:c r="F606" s="36" t="n">
        <x:v>4615</x:v>
      </x:c>
      <x:c r="G606" s="42" t="n">
        <x:v>0.98991848991849</x:v>
      </x:c>
      <x:c r="H606" s="36" t="n">
        <x:f>E606*G606</x:f>
        <x:v>2652.9815529815532</x:v>
      </x:c>
      <x:c r="I606" s="36" t="n">
        <x:f>IFERROR(H606/A606,0)</x:f>
        <x:v>2652.9815529815532</x:v>
      </x:c>
      <x:c r="J606" s="67" t="str">
        <x:v>Modeled from live base + Sep-2026 quality ratio</x:v>
      </x:c>
      <x:c r="K606" s="67" t="str">
        <x:v>https://www.stonealgo.com/diamond-prices/</x:v>
      </x:c>
      <x:c r="L606" s="67" t="str">
        <x:v>https://www.pricescope.com/blog/natural-diamond-prices-september-2026</x:v>
      </x:c>
    </x:row>
    <x:row r="607">
      <x:c r="A607" t="n">
        <x:v>1</x:v>
      </x:c>
      <x:c r="B607" t="str">
        <x:v>Asscher</x:v>
      </x:c>
      <x:c r="C607" t="str">
        <x:v>G</x:v>
      </x:c>
      <x:c r="D607" t="str">
        <x:v>VS2</x:v>
      </x:c>
      <x:c r="E607" s="36" t="n">
        <x:v>2680</x:v>
      </x:c>
      <x:c r="F607" s="36" t="n">
        <x:v>4585</x:v>
      </x:c>
      <x:c r="G607" s="42" t="n">
        <x:v>0.9834834834834835</x:v>
      </x:c>
      <x:c r="H607" s="36" t="n">
        <x:f>E607*G607</x:f>
        <x:v>2635.7357357357355</x:v>
      </x:c>
      <x:c r="I607" s="36" t="n">
        <x:f>IFERROR(H607/A607,0)</x:f>
        <x:v>2635.7357357357355</x:v>
      </x:c>
      <x:c r="J607" s="67" t="str">
        <x:v>Modeled from live base + Sep-2026 quality ratio</x:v>
      </x:c>
      <x:c r="K607" s="67" t="str">
        <x:v>https://www.stonealgo.com/diamond-prices/</x:v>
      </x:c>
      <x:c r="L607" s="67" t="str">
        <x:v>https://www.pricescope.com/blog/natural-diamond-prices-september-2026</x:v>
      </x:c>
    </x:row>
    <x:row r="608">
      <x:c r="A608" t="n">
        <x:v>1</x:v>
      </x:c>
      <x:c r="B608" t="str">
        <x:v>Asscher</x:v>
      </x:c>
      <x:c r="C608" t="str">
        <x:v>G</x:v>
      </x:c>
      <x:c r="D608" t="str">
        <x:v>SI1</x:v>
      </x:c>
      <x:c r="E608" s="36" t="n">
        <x:v>2680</x:v>
      </x:c>
      <x:c r="F608" s="36" t="n">
        <x:v>3664</x:v>
      </x:c>
      <x:c r="G608" s="42" t="n">
        <x:v>0.7859287859287859</x:v>
      </x:c>
      <x:c r="H608" s="36" t="n">
        <x:f>E608*G608</x:f>
        <x:v>2106.289146289146</x:v>
      </x:c>
      <x:c r="I608" s="36" t="n">
        <x:f>IFERROR(H608/A608,0)</x:f>
        <x:v>2106.289146289146</x:v>
      </x:c>
      <x:c r="J608" s="67" t="str">
        <x:v>Modeled from live base + Sep-2026 quality ratio</x:v>
      </x:c>
      <x:c r="K608" s="67" t="str">
        <x:v>https://www.stonealgo.com/diamond-prices/</x:v>
      </x:c>
      <x:c r="L608" s="67" t="str">
        <x:v>https://www.pricescope.com/blog/natural-diamond-prices-september-2026</x:v>
      </x:c>
    </x:row>
    <x:row r="609">
      <x:c r="A609" t="n">
        <x:v>1</x:v>
      </x:c>
      <x:c r="B609" t="str">
        <x:v>Asscher</x:v>
      </x:c>
      <x:c r="C609" t="str">
        <x:v>G</x:v>
      </x:c>
      <x:c r="D609" t="str">
        <x:v>SI2</x:v>
      </x:c>
      <x:c r="E609" s="36" t="n">
        <x:v>2680</x:v>
      </x:c>
      <x:c r="F609" s="36" t="n">
        <x:v>2537</x:v>
      </x:c>
      <x:c r="G609" s="42" t="n">
        <x:v>0.5441870441870442</x:v>
      </x:c>
      <x:c r="H609" s="36" t="n">
        <x:f>E609*G609</x:f>
        <x:v>1458.4212784212784</x:v>
      </x:c>
      <x:c r="I609" s="36" t="n">
        <x:f>IFERROR(H609/A609,0)</x:f>
        <x:v>1458.4212784212784</x:v>
      </x:c>
      <x:c r="J609" s="67" t="str">
        <x:v>Modeled from live base + Sep-2026 quality ratio</x:v>
      </x:c>
      <x:c r="K609" s="67" t="str">
        <x:v>https://www.stonealgo.com/diamond-prices/</x:v>
      </x:c>
      <x:c r="L609" s="67" t="str">
        <x:v>https://www.pricescope.com/blog/natural-diamond-prices-september-2026</x:v>
      </x:c>
    </x:row>
    <x:row r="610">
      <x:c r="A610" t="n">
        <x:v>1</x:v>
      </x:c>
      <x:c r="B610" t="str">
        <x:v>Asscher</x:v>
      </x:c>
      <x:c r="C610" t="str">
        <x:v>H</x:v>
      </x:c>
      <x:c r="D610" t="str">
        <x:v>FL</x:v>
      </x:c>
      <x:c r="E610" s="36" t="n">
        <x:v>2680</x:v>
      </x:c>
      <x:c r="F610" s="36" t="n">
        <x:v>4563</x:v>
      </x:c>
      <x:c r="G610" s="42" t="n">
        <x:v>0.9787644787644788</x:v>
      </x:c>
      <x:c r="H610" s="36" t="n">
        <x:f>E610*G610</x:f>
        <x:v>2623.088803088803</x:v>
      </x:c>
      <x:c r="I610" s="36" t="n">
        <x:f>IFERROR(H610/A610,0)</x:f>
        <x:v>2623.088803088803</x:v>
      </x:c>
      <x:c r="J610" s="67" t="str">
        <x:v>Modeled from live base + Sep-2026 quality ratio</x:v>
      </x:c>
      <x:c r="K610" s="67" t="str">
        <x:v>https://www.stonealgo.com/diamond-prices/</x:v>
      </x:c>
      <x:c r="L610" s="67" t="str">
        <x:v>https://www.pricescope.com/blog/natural-diamond-prices-september-2026</x:v>
      </x:c>
    </x:row>
    <x:row r="611">
      <x:c r="A611" t="n">
        <x:v>1</x:v>
      </x:c>
      <x:c r="B611" t="str">
        <x:v>Asscher</x:v>
      </x:c>
      <x:c r="C611" t="str">
        <x:v>H</x:v>
      </x:c>
      <x:c r="D611" t="str">
        <x:v>IF</x:v>
      </x:c>
      <x:c r="E611" s="36" t="n">
        <x:v>2680</x:v>
      </x:c>
      <x:c r="F611" s="36" t="n">
        <x:v>4809</x:v>
      </x:c>
      <x:c r="G611" s="42" t="n">
        <x:v>1.0315315315315314</x:v>
      </x:c>
      <x:c r="H611" s="36" t="n">
        <x:f>E611*G611</x:f>
        <x:v>2764.5045045045044</x:v>
      </x:c>
      <x:c r="I611" s="36" t="n">
        <x:f>IFERROR(H611/A611,0)</x:f>
        <x:v>2764.5045045045044</x:v>
      </x:c>
      <x:c r="J611" s="67" t="str">
        <x:v>Modeled from live base + Sep-2026 quality ratio</x:v>
      </x:c>
      <x:c r="K611" s="67" t="str">
        <x:v>https://www.stonealgo.com/diamond-prices/</x:v>
      </x:c>
      <x:c r="L611" s="67" t="str">
        <x:v>https://www.pricescope.com/blog/natural-diamond-prices-september-2026</x:v>
      </x:c>
    </x:row>
    <x:row r="612">
      <x:c r="A612" t="n">
        <x:v>1</x:v>
      </x:c>
      <x:c r="B612" t="str">
        <x:v>Asscher</x:v>
      </x:c>
      <x:c r="C612" t="str">
        <x:v>H</x:v>
      </x:c>
      <x:c r="D612" t="str">
        <x:v>VVS1</x:v>
      </x:c>
      <x:c r="E612" s="36" t="n">
        <x:v>2680</x:v>
      </x:c>
      <x:c r="F612" s="36" t="n">
        <x:v>4911</x:v>
      </x:c>
      <x:c r="G612" s="42" t="n">
        <x:v>1.0534105534105533</x:v>
      </x:c>
      <x:c r="H612" s="36" t="n">
        <x:f>E612*G612</x:f>
        <x:v>2823.140283140283</x:v>
      </x:c>
      <x:c r="I612" s="36" t="n">
        <x:f>IFERROR(H612/A612,0)</x:f>
        <x:v>2823.140283140283</x:v>
      </x:c>
      <x:c r="J612" s="67" t="str">
        <x:v>Modeled from live base + Sep-2026 quality ratio</x:v>
      </x:c>
      <x:c r="K612" s="67" t="str">
        <x:v>https://www.stonealgo.com/diamond-prices/</x:v>
      </x:c>
      <x:c r="L612" s="67" t="str">
        <x:v>https://www.pricescope.com/blog/natural-diamond-prices-september-2026</x:v>
      </x:c>
    </x:row>
    <x:row r="613">
      <x:c r="A613" t="n">
        <x:v>1</x:v>
      </x:c>
      <x:c r="B613" t="str">
        <x:v>Asscher</x:v>
      </x:c>
      <x:c r="C613" t="str">
        <x:v>H</x:v>
      </x:c>
      <x:c r="D613" t="str">
        <x:v>VVS2</x:v>
      </x:c>
      <x:c r="E613" s="36" t="n">
        <x:v>2680</x:v>
      </x:c>
      <x:c r="F613" s="36" t="n">
        <x:v>4046</x:v>
      </x:c>
      <x:c r="G613" s="42" t="n">
        <x:v>0.8678678678678678</x:v>
      </x:c>
      <x:c r="H613" s="36" t="n">
        <x:f>E613*G613</x:f>
        <x:v>2325.8858858858857</x:v>
      </x:c>
      <x:c r="I613" s="36" t="n">
        <x:f>IFERROR(H613/A613,0)</x:f>
        <x:v>2325.8858858858857</x:v>
      </x:c>
      <x:c r="J613" s="67" t="str">
        <x:v>Modeled from live base + Sep-2026 quality ratio</x:v>
      </x:c>
      <x:c r="K613" s="67" t="str">
        <x:v>https://www.stonealgo.com/diamond-prices/</x:v>
      </x:c>
      <x:c r="L613" s="67" t="str">
        <x:v>https://www.pricescope.com/blog/natural-diamond-prices-september-2026</x:v>
      </x:c>
    </x:row>
    <x:row r="614">
      <x:c r="A614" t="n">
        <x:v>1</x:v>
      </x:c>
      <x:c r="B614" t="str">
        <x:v>Asscher</x:v>
      </x:c>
      <x:c r="C614" t="str">
        <x:v>H</x:v>
      </x:c>
      <x:c r="D614" t="str">
        <x:v>VS1</x:v>
      </x:c>
      <x:c r="E614" s="36" t="n">
        <x:v>2680</x:v>
      </x:c>
      <x:c r="F614" s="36" t="n">
        <x:v>3893</x:v>
      </x:c>
      <x:c r="G614" s="42" t="n">
        <x:v>0.8350493350493351</x:v>
      </x:c>
      <x:c r="H614" s="36" t="n">
        <x:f>E614*G614</x:f>
        <x:v>2237.932217932218</x:v>
      </x:c>
      <x:c r="I614" s="36" t="n">
        <x:f>IFERROR(H614/A614,0)</x:f>
        <x:v>2237.932217932218</x:v>
      </x:c>
      <x:c r="J614" s="67" t="str">
        <x:v>Modeled from live base + Sep-2026 quality ratio</x:v>
      </x:c>
      <x:c r="K614" s="67" t="str">
        <x:v>https://www.stonealgo.com/diamond-prices/</x:v>
      </x:c>
      <x:c r="L614" s="67" t="str">
        <x:v>https://www.pricescope.com/blog/natural-diamond-prices-september-2026</x:v>
      </x:c>
    </x:row>
    <x:row r="615">
      <x:c r="A615" t="n">
        <x:v>1</x:v>
      </x:c>
      <x:c r="B615" t="str">
        <x:v>Asscher</x:v>
      </x:c>
      <x:c r="C615" t="str">
        <x:v>H</x:v>
      </x:c>
      <x:c r="D615" t="str">
        <x:v>VS2</x:v>
      </x:c>
      <x:c r="E615" s="36" t="n">
        <x:v>2680</x:v>
      </x:c>
      <x:c r="F615" s="36" t="n">
        <x:v>3989</x:v>
      </x:c>
      <x:c r="G615" s="42" t="n">
        <x:v>0.8556413556413557</x:v>
      </x:c>
      <x:c r="H615" s="36" t="n">
        <x:f>E615*G615</x:f>
        <x:v>2293.118833118833</x:v>
      </x:c>
      <x:c r="I615" s="36" t="n">
        <x:f>IFERROR(H615/A615,0)</x:f>
        <x:v>2293.118833118833</x:v>
      </x:c>
      <x:c r="J615" s="67" t="str">
        <x:v>Modeled from live base + Sep-2026 quality ratio</x:v>
      </x:c>
      <x:c r="K615" s="67" t="str">
        <x:v>https://www.stonealgo.com/diamond-prices/</x:v>
      </x:c>
      <x:c r="L615" s="67" t="str">
        <x:v>https://www.pricescope.com/blog/natural-diamond-prices-september-2026</x:v>
      </x:c>
    </x:row>
    <x:row r="616">
      <x:c r="A616" t="n">
        <x:v>1</x:v>
      </x:c>
      <x:c r="B616" t="str">
        <x:v>Asscher</x:v>
      </x:c>
      <x:c r="C616" t="str">
        <x:v>H</x:v>
      </x:c>
      <x:c r="D616" t="str">
        <x:v>SI1</x:v>
      </x:c>
      <x:c r="E616" s="36" t="n">
        <x:v>2680</x:v>
      </x:c>
      <x:c r="F616" s="36" t="n">
        <x:v>2828</x:v>
      </x:c>
      <x:c r="G616" s="42" t="n">
        <x:v>0.6066066066066066</x:v>
      </x:c>
      <x:c r="H616" s="36" t="n">
        <x:f>E616*G616</x:f>
        <x:v>1625.7057057057057</x:v>
      </x:c>
      <x:c r="I616" s="36" t="n">
        <x:f>IFERROR(H616/A616,0)</x:f>
        <x:v>1625.7057057057057</x:v>
      </x:c>
      <x:c r="J616" s="67" t="str">
        <x:v>Modeled from live base + Sep-2026 quality ratio</x:v>
      </x:c>
      <x:c r="K616" s="67" t="str">
        <x:v>https://www.stonealgo.com/diamond-prices/</x:v>
      </x:c>
      <x:c r="L616" s="67" t="str">
        <x:v>https://www.pricescope.com/blog/natural-diamond-prices-september-2026</x:v>
      </x:c>
    </x:row>
    <x:row r="617">
      <x:c r="A617" t="n">
        <x:v>1</x:v>
      </x:c>
      <x:c r="B617" t="str">
        <x:v>Asscher</x:v>
      </x:c>
      <x:c r="C617" t="str">
        <x:v>H</x:v>
      </x:c>
      <x:c r="D617" t="str">
        <x:v>SI2</x:v>
      </x:c>
      <x:c r="E617" s="36" t="n">
        <x:v>2680</x:v>
      </x:c>
      <x:c r="F617" s="36" t="n">
        <x:v>2328</x:v>
      </x:c>
      <x:c r="G617" s="42" t="n">
        <x:v>0.49935649935649934</x:v>
      </x:c>
      <x:c r="H617" s="36" t="n">
        <x:f>E617*G617</x:f>
        <x:v>1338.2754182754181</x:v>
      </x:c>
      <x:c r="I617" s="36" t="n">
        <x:f>IFERROR(H617/A617,0)</x:f>
        <x:v>1338.2754182754181</x:v>
      </x:c>
      <x:c r="J617" s="67" t="str">
        <x:v>Modeled from live base + Sep-2026 quality ratio</x:v>
      </x:c>
      <x:c r="K617" s="67" t="str">
        <x:v>https://www.stonealgo.com/diamond-prices/</x:v>
      </x:c>
      <x:c r="L617" s="67" t="str">
        <x:v>https://www.pricescope.com/blog/natural-diamond-prices-september-2026</x:v>
      </x:c>
    </x:row>
    <x:row r="618">
      <x:c r="A618" t="n">
        <x:v>1</x:v>
      </x:c>
      <x:c r="B618" t="str">
        <x:v>Asscher</x:v>
      </x:c>
      <x:c r="C618" t="str">
        <x:v>I</x:v>
      </x:c>
      <x:c r="D618" t="str">
        <x:v>FL</x:v>
      </x:c>
      <x:c r="E618" s="36" t="n">
        <x:v>2680</x:v>
      </x:c>
      <x:c r="F618" s="36" t="n">
        <x:v>4623</x:v>
      </x:c>
      <x:c r="G618" s="42" t="n">
        <x:v>0.9916344916344917</x:v>
      </x:c>
      <x:c r="H618" s="36" t="n">
        <x:f>E618*G618</x:f>
        <x:v>2657.580437580438</x:v>
      </x:c>
      <x:c r="I618" s="36" t="n">
        <x:f>IFERROR(H618/A618,0)</x:f>
        <x:v>2657.580437580438</x:v>
      </x:c>
      <x:c r="J618" s="67" t="str">
        <x:v>Modeled from live base + Sep-2026 quality ratio</x:v>
      </x:c>
      <x:c r="K618" s="67" t="str">
        <x:v>https://www.stonealgo.com/diamond-prices/</x:v>
      </x:c>
      <x:c r="L618" s="67" t="str">
        <x:v>https://www.pricescope.com/blog/natural-diamond-prices-september-2026</x:v>
      </x:c>
    </x:row>
    <x:row r="619">
      <x:c r="A619" t="n">
        <x:v>1</x:v>
      </x:c>
      <x:c r="B619" t="str">
        <x:v>Asscher</x:v>
      </x:c>
      <x:c r="C619" t="str">
        <x:v>I</x:v>
      </x:c>
      <x:c r="D619" t="str">
        <x:v>IF</x:v>
      </x:c>
      <x:c r="E619" s="36" t="n">
        <x:v>2680</x:v>
      </x:c>
      <x:c r="F619" s="36" t="n">
        <x:v>4005</x:v>
      </x:c>
      <x:c r="G619" s="42" t="n">
        <x:v>0.859073359073359</x:v>
      </x:c>
      <x:c r="H619" s="36" t="n">
        <x:f>E619*G619</x:f>
        <x:v>2302.3166023166023</x:v>
      </x:c>
      <x:c r="I619" s="36" t="n">
        <x:f>IFERROR(H619/A619,0)</x:f>
        <x:v>2302.3166023166023</x:v>
      </x:c>
      <x:c r="J619" s="67" t="str">
        <x:v>Modeled from live base + Sep-2026 quality ratio</x:v>
      </x:c>
      <x:c r="K619" s="67" t="str">
        <x:v>https://www.stonealgo.com/diamond-prices/</x:v>
      </x:c>
      <x:c r="L619" s="67" t="str">
        <x:v>https://www.pricescope.com/blog/natural-diamond-prices-september-2026</x:v>
      </x:c>
    </x:row>
    <x:row r="620">
      <x:c r="A620" t="n">
        <x:v>1</x:v>
      </x:c>
      <x:c r="B620" t="str">
        <x:v>Asscher</x:v>
      </x:c>
      <x:c r="C620" t="str">
        <x:v>I</x:v>
      </x:c>
      <x:c r="D620" t="str">
        <x:v>VVS1</x:v>
      </x:c>
      <x:c r="E620" s="36" t="n">
        <x:v>2680</x:v>
      </x:c>
      <x:c r="F620" s="36" t="n">
        <x:v>3670</x:v>
      </x:c>
      <x:c r="G620" s="42" t="n">
        <x:v>0.7872157872157872</x:v>
      </x:c>
      <x:c r="H620" s="36" t="n">
        <x:f>E620*G620</x:f>
        <x:v>2109.73830973831</x:v>
      </x:c>
      <x:c r="I620" s="36" t="n">
        <x:f>IFERROR(H620/A620,0)</x:f>
        <x:v>2109.73830973831</x:v>
      </x:c>
      <x:c r="J620" s="67" t="str">
        <x:v>Modeled from live base + Sep-2026 quality ratio</x:v>
      </x:c>
      <x:c r="K620" s="67" t="str">
        <x:v>https://www.stonealgo.com/diamond-prices/</x:v>
      </x:c>
      <x:c r="L620" s="67" t="str">
        <x:v>https://www.pricescope.com/blog/natural-diamond-prices-september-2026</x:v>
      </x:c>
    </x:row>
    <x:row r="621">
      <x:c r="A621" t="n">
        <x:v>1</x:v>
      </x:c>
      <x:c r="B621" t="str">
        <x:v>Asscher</x:v>
      </x:c>
      <x:c r="C621" t="str">
        <x:v>I</x:v>
      </x:c>
      <x:c r="D621" t="str">
        <x:v>VVS2</x:v>
      </x:c>
      <x:c r="E621" s="36" t="n">
        <x:v>2680</x:v>
      </x:c>
      <x:c r="F621" s="36" t="n">
        <x:v>3447</x:v>
      </x:c>
      <x:c r="G621" s="42" t="n">
        <x:v>0.7393822393822393</x:v>
      </x:c>
      <x:c r="H621" s="36" t="n">
        <x:f>E621*G621</x:f>
        <x:v>1981.5444015444014</x:v>
      </x:c>
      <x:c r="I621" s="36" t="n">
        <x:f>IFERROR(H621/A621,0)</x:f>
        <x:v>1981.5444015444014</x:v>
      </x:c>
      <x:c r="J621" s="67" t="str">
        <x:v>Modeled from live base + Sep-2026 quality ratio</x:v>
      </x:c>
      <x:c r="K621" s="67" t="str">
        <x:v>https://www.stonealgo.com/diamond-prices/</x:v>
      </x:c>
      <x:c r="L621" s="67" t="str">
        <x:v>https://www.pricescope.com/blog/natural-diamond-prices-september-2026</x:v>
      </x:c>
    </x:row>
    <x:row r="622">
      <x:c r="A622" t="n">
        <x:v>1</x:v>
      </x:c>
      <x:c r="B622" t="str">
        <x:v>Asscher</x:v>
      </x:c>
      <x:c r="C622" t="str">
        <x:v>I</x:v>
      </x:c>
      <x:c r="D622" t="str">
        <x:v>VS1</x:v>
      </x:c>
      <x:c r="E622" s="36" t="n">
        <x:v>2680</x:v>
      </x:c>
      <x:c r="F622" s="36" t="n">
        <x:v>3313</x:v>
      </x:c>
      <x:c r="G622" s="42" t="n">
        <x:v>0.7106392106392107</x:v>
      </x:c>
      <x:c r="H622" s="36" t="n">
        <x:f>E622*G622</x:f>
        <x:v>1904.5130845130846</x:v>
      </x:c>
      <x:c r="I622" s="36" t="n">
        <x:f>IFERROR(H622/A622,0)</x:f>
        <x:v>1904.5130845130846</x:v>
      </x:c>
      <x:c r="J622" s="67" t="str">
        <x:v>Modeled from live base + Sep-2026 quality ratio</x:v>
      </x:c>
      <x:c r="K622" s="67" t="str">
        <x:v>https://www.stonealgo.com/diamond-prices/</x:v>
      </x:c>
      <x:c r="L622" s="67" t="str">
        <x:v>https://www.pricescope.com/blog/natural-diamond-prices-september-2026</x:v>
      </x:c>
    </x:row>
    <x:row r="623">
      <x:c r="A623" t="n">
        <x:v>1</x:v>
      </x:c>
      <x:c r="B623" t="str">
        <x:v>Asscher</x:v>
      </x:c>
      <x:c r="C623" t="str">
        <x:v>I</x:v>
      </x:c>
      <x:c r="D623" t="str">
        <x:v>VS2</x:v>
      </x:c>
      <x:c r="E623" s="36" t="n">
        <x:v>2680</x:v>
      </x:c>
      <x:c r="F623" s="36" t="n">
        <x:v>3240</x:v>
      </x:c>
      <x:c r="G623" s="42" t="n">
        <x:v>0.694980694980695</x:v>
      </x:c>
      <x:c r="H623" s="36" t="n">
        <x:f>E623*G623</x:f>
        <x:v>1862.5482625482628</x:v>
      </x:c>
      <x:c r="I623" s="36" t="n">
        <x:f>IFERROR(H623/A623,0)</x:f>
        <x:v>1862.5482625482628</x:v>
      </x:c>
      <x:c r="J623" s="67" t="str">
        <x:v>Modeled from live base + Sep-2026 quality ratio</x:v>
      </x:c>
      <x:c r="K623" s="67" t="str">
        <x:v>https://www.stonealgo.com/diamond-prices/</x:v>
      </x:c>
      <x:c r="L623" s="67" t="str">
        <x:v>https://www.pricescope.com/blog/natural-diamond-prices-september-2026</x:v>
      </x:c>
    </x:row>
    <x:row r="624">
      <x:c r="A624" t="n">
        <x:v>1</x:v>
      </x:c>
      <x:c r="B624" t="str">
        <x:v>Asscher</x:v>
      </x:c>
      <x:c r="C624" t="str">
        <x:v>I</x:v>
      </x:c>
      <x:c r="D624" t="str">
        <x:v>SI1</x:v>
      </x:c>
      <x:c r="E624" s="36" t="n">
        <x:v>2680</x:v>
      </x:c>
      <x:c r="F624" s="36" t="n">
        <x:v>3199</x:v>
      </x:c>
      <x:c r="G624" s="42" t="n">
        <x:v>0.6861861861861862</x:v>
      </x:c>
      <x:c r="H624" s="36" t="n">
        <x:f>E624*G624</x:f>
        <x:v>1838.978978978979</x:v>
      </x:c>
      <x:c r="I624" s="36" t="n">
        <x:f>IFERROR(H624/A624,0)</x:f>
        <x:v>1838.978978978979</x:v>
      </x:c>
      <x:c r="J624" s="67" t="str">
        <x:v>Modeled from live base + Sep-2026 quality ratio</x:v>
      </x:c>
      <x:c r="K624" s="67" t="str">
        <x:v>https://www.stonealgo.com/diamond-prices/</x:v>
      </x:c>
      <x:c r="L624" s="67" t="str">
        <x:v>https://www.pricescope.com/blog/natural-diamond-prices-september-2026</x:v>
      </x:c>
    </x:row>
    <x:row r="625">
      <x:c r="A625" t="n">
        <x:v>1</x:v>
      </x:c>
      <x:c r="B625" t="str">
        <x:v>Asscher</x:v>
      </x:c>
      <x:c r="C625" t="str">
        <x:v>I</x:v>
      </x:c>
      <x:c r="D625" t="str">
        <x:v>SI2</x:v>
      </x:c>
      <x:c r="E625" s="36" t="n">
        <x:v>2680</x:v>
      </x:c>
      <x:c r="F625" s="36" t="n">
        <x:v>2874</x:v>
      </x:c>
      <x:c r="G625" s="42" t="n">
        <x:v>0.6164736164736164</x:v>
      </x:c>
      <x:c r="H625" s="36" t="n">
        <x:f>E625*G625</x:f>
        <x:v>1652.149292149292</x:v>
      </x:c>
      <x:c r="I625" s="36" t="n">
        <x:f>IFERROR(H625/A625,0)</x:f>
        <x:v>1652.149292149292</x:v>
      </x:c>
      <x:c r="J625" s="67" t="str">
        <x:v>Modeled from live base + Sep-2026 quality ratio</x:v>
      </x:c>
      <x:c r="K625" s="67" t="str">
        <x:v>https://www.stonealgo.com/diamond-prices/</x:v>
      </x:c>
      <x:c r="L625" s="67" t="str">
        <x:v>https://www.pricescope.com/blog/natural-diamond-prices-september-2026</x:v>
      </x:c>
    </x:row>
    <x:row r="626">
      <x:c r="A626" t="n">
        <x:v>1</x:v>
      </x:c>
      <x:c r="B626" t="str">
        <x:v>Asscher</x:v>
      </x:c>
      <x:c r="C626" t="str">
        <x:v>J</x:v>
      </x:c>
      <x:c r="D626" t="str">
        <x:v>FL</x:v>
      </x:c>
      <x:c r="E626" s="36" t="n">
        <x:v>2680</x:v>
      </x:c>
      <x:c r="F626" s="36" t="n">
        <x:v>3646</x:v>
      </x:c>
      <x:c r="G626" s="42" t="n">
        <x:v>0.782067782067782</x:v>
      </x:c>
      <x:c r="H626" s="36" t="n">
        <x:f>E626*G626</x:f>
        <x:v>2095.941655941656</x:v>
      </x:c>
      <x:c r="I626" s="36" t="n">
        <x:f>IFERROR(H626/A626,0)</x:f>
        <x:v>2095.941655941656</x:v>
      </x:c>
      <x:c r="J626" s="67" t="str">
        <x:v>Modeled from live base + Sep-2026 quality ratio</x:v>
      </x:c>
      <x:c r="K626" s="67" t="str">
        <x:v>https://www.stonealgo.com/diamond-prices/</x:v>
      </x:c>
      <x:c r="L626" s="67" t="str">
        <x:v>https://www.pricescope.com/blog/natural-diamond-prices-september-2026</x:v>
      </x:c>
    </x:row>
    <x:row r="627">
      <x:c r="A627" t="n">
        <x:v>1</x:v>
      </x:c>
      <x:c r="B627" t="str">
        <x:v>Asscher</x:v>
      </x:c>
      <x:c r="C627" t="str">
        <x:v>J</x:v>
      </x:c>
      <x:c r="D627" t="str">
        <x:v>IF</x:v>
      </x:c>
      <x:c r="E627" s="36" t="n">
        <x:v>2680</x:v>
      </x:c>
      <x:c r="F627" s="36" t="n">
        <x:v>3368</x:v>
      </x:c>
      <x:c r="G627" s="42" t="n">
        <x:v>0.7224367224367224</x:v>
      </x:c>
      <x:c r="H627" s="36" t="n">
        <x:f>E627*G627</x:f>
        <x:v>1936.130416130416</x:v>
      </x:c>
      <x:c r="I627" s="36" t="n">
        <x:f>IFERROR(H627/A627,0)</x:f>
        <x:v>1936.130416130416</x:v>
      </x:c>
      <x:c r="J627" s="67" t="str">
        <x:v>Modeled from live base + Sep-2026 quality ratio</x:v>
      </x:c>
      <x:c r="K627" s="67" t="str">
        <x:v>https://www.stonealgo.com/diamond-prices/</x:v>
      </x:c>
      <x:c r="L627" s="67" t="str">
        <x:v>https://www.pricescope.com/blog/natural-diamond-prices-september-2026</x:v>
      </x:c>
    </x:row>
    <x:row r="628">
      <x:c r="A628" t="n">
        <x:v>1</x:v>
      </x:c>
      <x:c r="B628" t="str">
        <x:v>Asscher</x:v>
      </x:c>
      <x:c r="C628" t="str">
        <x:v>J</x:v>
      </x:c>
      <x:c r="D628" t="str">
        <x:v>VVS1</x:v>
      </x:c>
      <x:c r="E628" s="36" t="n">
        <x:v>2680</x:v>
      </x:c>
      <x:c r="F628" s="36" t="n">
        <x:v>2956</x:v>
      </x:c>
      <x:c r="G628" s="42" t="n">
        <x:v>0.6340626340626341</x:v>
      </x:c>
      <x:c r="H628" s="36" t="n">
        <x:f>E628*G628</x:f>
        <x:v>1699.2878592878594</x:v>
      </x:c>
      <x:c r="I628" s="36" t="n">
        <x:f>IFERROR(H628/A628,0)</x:f>
        <x:v>1699.2878592878594</x:v>
      </x:c>
      <x:c r="J628" s="67" t="str">
        <x:v>Modeled from live base + Sep-2026 quality ratio</x:v>
      </x:c>
      <x:c r="K628" s="67" t="str">
        <x:v>https://www.stonealgo.com/diamond-prices/</x:v>
      </x:c>
      <x:c r="L628" s="67" t="str">
        <x:v>https://www.pricescope.com/blog/natural-diamond-prices-september-2026</x:v>
      </x:c>
    </x:row>
    <x:row r="629">
      <x:c r="A629" t="n">
        <x:v>1</x:v>
      </x:c>
      <x:c r="B629" t="str">
        <x:v>Asscher</x:v>
      </x:c>
      <x:c r="C629" t="str">
        <x:v>J</x:v>
      </x:c>
      <x:c r="D629" t="str">
        <x:v>VVS2</x:v>
      </x:c>
      <x:c r="E629" s="36" t="n">
        <x:v>2680</x:v>
      </x:c>
      <x:c r="F629" s="36" t="n">
        <x:v>2612</x:v>
      </x:c>
      <x:c r="G629" s="42" t="n">
        <x:v>0.5602745602745602</x:v>
      </x:c>
      <x:c r="H629" s="36" t="n">
        <x:f>E629*G629</x:f>
        <x:v>1501.5358215358215</x:v>
      </x:c>
      <x:c r="I629" s="36" t="n">
        <x:f>IFERROR(H629/A629,0)</x:f>
        <x:v>1501.5358215358215</x:v>
      </x:c>
      <x:c r="J629" s="67" t="str">
        <x:v>Modeled from live base + Sep-2026 quality ratio</x:v>
      </x:c>
      <x:c r="K629" s="67" t="str">
        <x:v>https://www.stonealgo.com/diamond-prices/</x:v>
      </x:c>
      <x:c r="L629" s="67" t="str">
        <x:v>https://www.pricescope.com/blog/natural-diamond-prices-september-2026</x:v>
      </x:c>
    </x:row>
    <x:row r="630">
      <x:c r="A630" t="n">
        <x:v>1</x:v>
      </x:c>
      <x:c r="B630" t="str">
        <x:v>Asscher</x:v>
      </x:c>
      <x:c r="C630" t="str">
        <x:v>J</x:v>
      </x:c>
      <x:c r="D630" t="str">
        <x:v>VS1</x:v>
      </x:c>
      <x:c r="E630" s="36" t="n">
        <x:v>2680</x:v>
      </x:c>
      <x:c r="F630" s="36" t="n">
        <x:v>3002</x:v>
      </x:c>
      <x:c r="G630" s="42" t="n">
        <x:v>0.6439296439296439</x:v>
      </x:c>
      <x:c r="H630" s="36" t="n">
        <x:f>E630*G630</x:f>
        <x:v>1725.7314457314458</x:v>
      </x:c>
      <x:c r="I630" s="36" t="n">
        <x:f>IFERROR(H630/A630,0)</x:f>
        <x:v>1725.7314457314458</x:v>
      </x:c>
      <x:c r="J630" s="67" t="str">
        <x:v>Modeled from live base + Sep-2026 quality ratio</x:v>
      </x:c>
      <x:c r="K630" s="67" t="str">
        <x:v>https://www.stonealgo.com/diamond-prices/</x:v>
      </x:c>
      <x:c r="L630" s="67" t="str">
        <x:v>https://www.pricescope.com/blog/natural-diamond-prices-september-2026</x:v>
      </x:c>
    </x:row>
    <x:row r="631">
      <x:c r="A631" t="n">
        <x:v>1</x:v>
      </x:c>
      <x:c r="B631" t="str">
        <x:v>Asscher</x:v>
      </x:c>
      <x:c r="C631" t="str">
        <x:v>J</x:v>
      </x:c>
      <x:c r="D631" t="str">
        <x:v>VS2</x:v>
      </x:c>
      <x:c r="E631" s="36" t="n">
        <x:v>2680</x:v>
      </x:c>
      <x:c r="F631" s="36" t="n">
        <x:v>2559</x:v>
      </x:c>
      <x:c r="G631" s="42" t="n">
        <x:v>0.5489060489060489</x:v>
      </x:c>
      <x:c r="H631" s="36" t="n">
        <x:f>E631*G631</x:f>
        <x:v>1471.068211068211</x:v>
      </x:c>
      <x:c r="I631" s="36" t="n">
        <x:f>IFERROR(H631/A631,0)</x:f>
        <x:v>1471.068211068211</x:v>
      </x:c>
      <x:c r="J631" s="67" t="str">
        <x:v>Modeled from live base + Sep-2026 quality ratio</x:v>
      </x:c>
      <x:c r="K631" s="67" t="str">
        <x:v>https://www.stonealgo.com/diamond-prices/</x:v>
      </x:c>
      <x:c r="L631" s="67" t="str">
        <x:v>https://www.pricescope.com/blog/natural-diamond-prices-september-2026</x:v>
      </x:c>
    </x:row>
    <x:row r="632">
      <x:c r="A632" t="n">
        <x:v>1</x:v>
      </x:c>
      <x:c r="B632" t="str">
        <x:v>Asscher</x:v>
      </x:c>
      <x:c r="C632" t="str">
        <x:v>J</x:v>
      </x:c>
      <x:c r="D632" t="str">
        <x:v>SI1</x:v>
      </x:c>
      <x:c r="E632" s="36" t="n">
        <x:v>2680</x:v>
      </x:c>
      <x:c r="F632" s="36" t="n">
        <x:v>2195</x:v>
      </x:c>
      <x:c r="G632" s="42" t="n">
        <x:v>0.47082797082797084</x:v>
      </x:c>
      <x:c r="H632" s="36" t="n">
        <x:f>E632*G632</x:f>
        <x:v>1261.818961818962</x:v>
      </x:c>
      <x:c r="I632" s="36" t="n">
        <x:f>IFERROR(H632/A632,0)</x:f>
        <x:v>1261.818961818962</x:v>
      </x:c>
      <x:c r="J632" s="67" t="str">
        <x:v>Modeled from live base + Sep-2026 quality ratio</x:v>
      </x:c>
      <x:c r="K632" s="67" t="str">
        <x:v>https://www.stonealgo.com/diamond-prices/</x:v>
      </x:c>
      <x:c r="L632" s="67" t="str">
        <x:v>https://www.pricescope.com/blog/natural-diamond-prices-september-2026</x:v>
      </x:c>
    </x:row>
    <x:row r="633">
      <x:c r="A633" t="n">
        <x:v>1</x:v>
      </x:c>
      <x:c r="B633" t="str">
        <x:v>Asscher</x:v>
      </x:c>
      <x:c r="C633" t="str">
        <x:v>J</x:v>
      </x:c>
      <x:c r="D633" t="str">
        <x:v>SI2</x:v>
      </x:c>
      <x:c r="E633" s="36" t="n">
        <x:v>2680</x:v>
      </x:c>
      <x:c r="F633" s="36" t="n">
        <x:v>2079</x:v>
      </x:c>
      <x:c r="G633" s="42" t="n">
        <x:v>0.44594594594594594</x:v>
      </x:c>
      <x:c r="H633" s="36" t="n">
        <x:f>E633*G633</x:f>
        <x:v>1195.1351351351352</x:v>
      </x:c>
      <x:c r="I633" s="36" t="n">
        <x:f>IFERROR(H633/A633,0)</x:f>
        <x:v>1195.1351351351352</x:v>
      </x:c>
      <x:c r="J633" s="67" t="str">
        <x:v>Modeled from live base + Sep-2026 quality ratio</x:v>
      </x:c>
      <x:c r="K633" s="67" t="str">
        <x:v>https://www.stonealgo.com/diamond-prices/</x:v>
      </x:c>
      <x:c r="L633" s="67" t="str">
        <x:v>https://www.pricescope.com/blog/natural-diamond-prices-september-2026</x:v>
      </x:c>
    </x:row>
    <x:row r="634">
      <x:c r="A634" t="n">
        <x:v>1</x:v>
      </x:c>
      <x:c r="B634" t="str">
        <x:v>Asscher</x:v>
      </x:c>
      <x:c r="C634" t="str">
        <x:v>K</x:v>
      </x:c>
      <x:c r="D634" t="str">
        <x:v>FL</x:v>
      </x:c>
      <x:c r="E634" s="36" t="n">
        <x:v>2680</x:v>
      </x:c>
      <x:c r="F634" s="36" t="n">
        <x:v>2858</x:v>
      </x:c>
      <x:c r="G634" s="42" t="n">
        <x:v>0.6130416130416131</x:v>
      </x:c>
      <x:c r="H634" s="36" t="n">
        <x:f>E634*G634</x:f>
        <x:v>1642.951522951523</x:v>
      </x:c>
      <x:c r="I634" s="36" t="n">
        <x:f>IFERROR(H634/A634,0)</x:f>
        <x:v>1642.951522951523</x:v>
      </x:c>
      <x:c r="J634" s="67" t="str">
        <x:v>Modeled from live base + Sep-2026 quality ratio; K/FL quality cell modeled</x:v>
      </x:c>
      <x:c r="K634" s="67" t="str">
        <x:v>https://www.stonealgo.com/diamond-prices/</x:v>
      </x:c>
      <x:c r="L634" s="67" t="str">
        <x:v>https://www.pricescope.com/blog/natural-diamond-prices-september-2026</x:v>
      </x:c>
    </x:row>
    <x:row r="635">
      <x:c r="A635" t="n">
        <x:v>1</x:v>
      </x:c>
      <x:c r="B635" t="str">
        <x:v>Asscher</x:v>
      </x:c>
      <x:c r="C635" t="str">
        <x:v>K</x:v>
      </x:c>
      <x:c r="D635" t="str">
        <x:v>IF</x:v>
      </x:c>
      <x:c r="E635" s="36" t="n">
        <x:v>2680</x:v>
      </x:c>
      <x:c r="F635" s="36" t="n">
        <x:v>2743</x:v>
      </x:c>
      <x:c r="G635" s="42" t="n">
        <x:v>0.5883740883740883</x:v>
      </x:c>
      <x:c r="H635" s="36" t="n">
        <x:f>E635*G635</x:f>
        <x:v>1576.8425568425566</x:v>
      </x:c>
      <x:c r="I635" s="36" t="n">
        <x:f>IFERROR(H635/A635,0)</x:f>
        <x:v>1576.8425568425566</x:v>
      </x:c>
      <x:c r="J635" s="67" t="str">
        <x:v>Modeled from live base + Sep-2026 quality ratio</x:v>
      </x:c>
      <x:c r="K635" s="67" t="str">
        <x:v>https://www.stonealgo.com/diamond-prices/</x:v>
      </x:c>
      <x:c r="L635" s="67" t="str">
        <x:v>https://www.pricescope.com/blog/natural-diamond-prices-september-2026</x:v>
      </x:c>
    </x:row>
    <x:row r="636">
      <x:c r="A636" t="n">
        <x:v>1</x:v>
      </x:c>
      <x:c r="B636" t="str">
        <x:v>Asscher</x:v>
      </x:c>
      <x:c r="C636" t="str">
        <x:v>K</x:v>
      </x:c>
      <x:c r="D636" t="str">
        <x:v>VVS1</x:v>
      </x:c>
      <x:c r="E636" s="36" t="n">
        <x:v>2680</x:v>
      </x:c>
      <x:c r="F636" s="36" t="n">
        <x:v>2529</x:v>
      </x:c>
      <x:c r="G636" s="42" t="n">
        <x:v>0.5424710424710425</x:v>
      </x:c>
      <x:c r="H636" s="36" t="n">
        <x:f>E636*G636</x:f>
        <x:v>1453.822393822394</x:v>
      </x:c>
      <x:c r="I636" s="36" t="n">
        <x:f>IFERROR(H636/A636,0)</x:f>
        <x:v>1453.822393822394</x:v>
      </x:c>
      <x:c r="J636" s="67" t="str">
        <x:v>Modeled from live base + Sep-2026 quality ratio</x:v>
      </x:c>
      <x:c r="K636" s="67" t="str">
        <x:v>https://www.stonealgo.com/diamond-prices/</x:v>
      </x:c>
      <x:c r="L636" s="67" t="str">
        <x:v>https://www.pricescope.com/blog/natural-diamond-prices-september-2026</x:v>
      </x:c>
    </x:row>
    <x:row r="637">
      <x:c r="A637" t="n">
        <x:v>1</x:v>
      </x:c>
      <x:c r="B637" t="str">
        <x:v>Asscher</x:v>
      </x:c>
      <x:c r="C637" t="str">
        <x:v>K</x:v>
      </x:c>
      <x:c r="D637" t="str">
        <x:v>VVS2</x:v>
      </x:c>
      <x:c r="E637" s="36" t="n">
        <x:v>2680</x:v>
      </x:c>
      <x:c r="F637" s="36" t="n">
        <x:v>2374</x:v>
      </x:c>
      <x:c r="G637" s="42" t="n">
        <x:v>0.5092235092235092</x:v>
      </x:c>
      <x:c r="H637" s="36" t="n">
        <x:f>E637*G637</x:f>
        <x:v>1364.7190047190047</x:v>
      </x:c>
      <x:c r="I637" s="36" t="n">
        <x:f>IFERROR(H637/A637,0)</x:f>
        <x:v>1364.7190047190047</x:v>
      </x:c>
      <x:c r="J637" s="67" t="str">
        <x:v>Modeled from live base + Sep-2026 quality ratio</x:v>
      </x:c>
      <x:c r="K637" s="67" t="str">
        <x:v>https://www.stonealgo.com/diamond-prices/</x:v>
      </x:c>
      <x:c r="L637" s="67" t="str">
        <x:v>https://www.pricescope.com/blog/natural-diamond-prices-september-2026</x:v>
      </x:c>
    </x:row>
    <x:row r="638">
      <x:c r="A638" t="n">
        <x:v>1</x:v>
      </x:c>
      <x:c r="B638" t="str">
        <x:v>Asscher</x:v>
      </x:c>
      <x:c r="C638" t="str">
        <x:v>K</x:v>
      </x:c>
      <x:c r="D638" t="str">
        <x:v>VS1</x:v>
      </x:c>
      <x:c r="E638" s="36" t="n">
        <x:v>2680</x:v>
      </x:c>
      <x:c r="F638" s="36" t="n">
        <x:v>2223</x:v>
      </x:c>
      <x:c r="G638" s="42" t="n">
        <x:v>0.4768339768339768</x:v>
      </x:c>
      <x:c r="H638" s="36" t="n">
        <x:f>E638*G638</x:f>
        <x:v>1277.9150579150578</x:v>
      </x:c>
      <x:c r="I638" s="36" t="n">
        <x:f>IFERROR(H638/A638,0)</x:f>
        <x:v>1277.9150579150578</x:v>
      </x:c>
      <x:c r="J638" s="67" t="str">
        <x:v>Modeled from live base + Sep-2026 quality ratio</x:v>
      </x:c>
      <x:c r="K638" s="67" t="str">
        <x:v>https://www.stonealgo.com/diamond-prices/</x:v>
      </x:c>
      <x:c r="L638" s="67" t="str">
        <x:v>https://www.pricescope.com/blog/natural-diamond-prices-september-2026</x:v>
      </x:c>
    </x:row>
    <x:row r="639">
      <x:c r="A639" t="n">
        <x:v>1</x:v>
      </x:c>
      <x:c r="B639" t="str">
        <x:v>Asscher</x:v>
      </x:c>
      <x:c r="C639" t="str">
        <x:v>K</x:v>
      </x:c>
      <x:c r="D639" t="str">
        <x:v>VS2</x:v>
      </x:c>
      <x:c r="E639" s="36" t="n">
        <x:v>2680</x:v>
      </x:c>
      <x:c r="F639" s="36" t="n">
        <x:v>2098</x:v>
      </x:c>
      <x:c r="G639" s="42" t="n">
        <x:v>0.45002145002145</x:v>
      </x:c>
      <x:c r="H639" s="36" t="n">
        <x:f>E639*G639</x:f>
        <x:v>1206.057486057486</x:v>
      </x:c>
      <x:c r="I639" s="36" t="n">
        <x:f>IFERROR(H639/A639,0)</x:f>
        <x:v>1206.057486057486</x:v>
      </x:c>
      <x:c r="J639" s="67" t="str">
        <x:v>Modeled from live base + Sep-2026 quality ratio</x:v>
      </x:c>
      <x:c r="K639" s="67" t="str">
        <x:v>https://www.stonealgo.com/diamond-prices/</x:v>
      </x:c>
      <x:c r="L639" s="67" t="str">
        <x:v>https://www.pricescope.com/blog/natural-diamond-prices-september-2026</x:v>
      </x:c>
    </x:row>
    <x:row r="640">
      <x:c r="A640" t="n">
        <x:v>1</x:v>
      </x:c>
      <x:c r="B640" t="str">
        <x:v>Asscher</x:v>
      </x:c>
      <x:c r="C640" t="str">
        <x:v>K</x:v>
      </x:c>
      <x:c r="D640" t="str">
        <x:v>SI1</x:v>
      </x:c>
      <x:c r="E640" s="36" t="n">
        <x:v>2680</x:v>
      </x:c>
      <x:c r="F640" s="36" t="n">
        <x:v>1922</x:v>
      </x:c>
      <x:c r="G640" s="42" t="n">
        <x:v>0.41226941226941227</x:v>
      </x:c>
      <x:c r="H640" s="36" t="n">
        <x:f>E640*G640</x:f>
        <x:v>1104.8820248820248</x:v>
      </x:c>
      <x:c r="I640" s="36" t="n">
        <x:f>IFERROR(H640/A640,0)</x:f>
        <x:v>1104.8820248820248</x:v>
      </x:c>
      <x:c r="J640" s="67" t="str">
        <x:v>Modeled from live base + Sep-2026 quality ratio</x:v>
      </x:c>
      <x:c r="K640" s="67" t="str">
        <x:v>https://www.stonealgo.com/diamond-prices/</x:v>
      </x:c>
      <x:c r="L640" s="67" t="str">
        <x:v>https://www.pricescope.com/blog/natural-diamond-prices-september-2026</x:v>
      </x:c>
    </x:row>
    <x:row r="641">
      <x:c r="A641" t="n">
        <x:v>1</x:v>
      </x:c>
      <x:c r="B641" t="str">
        <x:v>Asscher</x:v>
      </x:c>
      <x:c r="C641" t="str">
        <x:v>K</x:v>
      </x:c>
      <x:c r="D641" t="str">
        <x:v>SI2</x:v>
      </x:c>
      <x:c r="E641" s="36" t="n">
        <x:v>2680</x:v>
      </x:c>
      <x:c r="F641" s="36" t="n">
        <x:v>1764</x:v>
      </x:c>
      <x:c r="G641" s="42" t="n">
        <x:v>0.3783783783783784</x:v>
      </x:c>
      <x:c r="H641" s="36" t="n">
        <x:f>E641*G641</x:f>
        <x:v>1014.0540540540541</x:v>
      </x:c>
      <x:c r="I641" s="36" t="n">
        <x:f>IFERROR(H641/A641,0)</x:f>
        <x:v>1014.0540540540541</x:v>
      </x:c>
      <x:c r="J641" s="67" t="str">
        <x:v>Modeled from live base + Sep-2026 quality ratio</x:v>
      </x:c>
      <x:c r="K641" s="67" t="str">
        <x:v>https://www.stonealgo.com/diamond-prices/</x:v>
      </x:c>
      <x:c r="L641" s="67" t="str">
        <x:v>https://www.pricescope.com/blog/natural-diamond-prices-september-2026</x:v>
      </x:c>
    </x:row>
    <x:row r="642">
      <x:c r="A642" t="n">
        <x:v>2</x:v>
      </x:c>
      <x:c r="B642" t="str">
        <x:v>Round</x:v>
      </x:c>
      <x:c r="C642" t="str">
        <x:v>D</x:v>
      </x:c>
      <x:c r="D642" t="str">
        <x:v>FL</x:v>
      </x:c>
      <x:c r="E642" s="36" t="n">
        <x:v>19969</x:v>
      </x:c>
      <x:c r="F642" s="36" t="n">
        <x:v>12665</x:v>
      </x:c>
      <x:c r="G642" s="42" t="n">
        <x:v>2.7166452166452166</x:v>
      </x:c>
      <x:c r="H642" s="36" t="n">
        <x:f>E642*G642</x:f>
        <x:v>54248.68833118833</x:v>
      </x:c>
      <x:c r="I642" s="36" t="n">
        <x:f>IFERROR(H642/A642,0)</x:f>
        <x:v>27124.344165594164</x:v>
      </x:c>
      <x:c r="J642" s="67" t="str">
        <x:v>Modeled from live base + Sep-2026 quality ratio</x:v>
      </x:c>
      <x:c r="K642" s="67" t="str">
        <x:v>https://www.stonealgo.com/diamond-prices/</x:v>
      </x:c>
      <x:c r="L642" s="67" t="str">
        <x:v>https://www.pricescope.com/blog/natural-diamond-prices-september-2026</x:v>
      </x:c>
    </x:row>
    <x:row r="643">
      <x:c r="A643" t="n">
        <x:v>2</x:v>
      </x:c>
      <x:c r="B643" t="str">
        <x:v>Round</x:v>
      </x:c>
      <x:c r="C643" t="str">
        <x:v>D</x:v>
      </x:c>
      <x:c r="D643" t="str">
        <x:v>IF</x:v>
      </x:c>
      <x:c r="E643" s="36" t="n">
        <x:v>19969</x:v>
      </x:c>
      <x:c r="F643" s="36" t="n">
        <x:v>13240</x:v>
      </x:c>
      <x:c r="G643" s="42" t="n">
        <x:v>2.83998283998284</x:v>
      </x:c>
      <x:c r="H643" s="36" t="n">
        <x:f>E643*G643</x:f>
        <x:v>56711.61733161734</x:v>
      </x:c>
      <x:c r="I643" s="36" t="n">
        <x:f>IFERROR(H643/A643,0)</x:f>
        <x:v>28355.80866580867</x:v>
      </x:c>
      <x:c r="J643" s="67" t="str">
        <x:v>Modeled from live base + Sep-2026 quality ratio</x:v>
      </x:c>
      <x:c r="K643" s="67" t="str">
        <x:v>https://www.stonealgo.com/diamond-prices/</x:v>
      </x:c>
      <x:c r="L643" s="67" t="str">
        <x:v>https://www.pricescope.com/blog/natural-diamond-prices-september-2026</x:v>
      </x:c>
    </x:row>
    <x:row r="644">
      <x:c r="A644" t="n">
        <x:v>2</x:v>
      </x:c>
      <x:c r="B644" t="str">
        <x:v>Round</x:v>
      </x:c>
      <x:c r="C644" t="str">
        <x:v>D</x:v>
      </x:c>
      <x:c r="D644" t="str">
        <x:v>VVS1</x:v>
      </x:c>
      <x:c r="E644" s="36" t="n">
        <x:v>19969</x:v>
      </x:c>
      <x:c r="F644" s="36" t="n">
        <x:v>9555</x:v>
      </x:c>
      <x:c r="G644" s="42" t="n">
        <x:v>2.0495495495495497</x:v>
      </x:c>
      <x:c r="H644" s="36" t="n">
        <x:f>E644*G644</x:f>
        <x:v>40927.454954954956</x:v>
      </x:c>
      <x:c r="I644" s="36" t="n">
        <x:f>IFERROR(H644/A644,0)</x:f>
        <x:v>20463.727477477478</x:v>
      </x:c>
      <x:c r="J644" s="67" t="str">
        <x:v>Modeled from live base + Sep-2026 quality ratio</x:v>
      </x:c>
      <x:c r="K644" s="67" t="str">
        <x:v>https://www.stonealgo.com/diamond-prices/</x:v>
      </x:c>
      <x:c r="L644" s="67" t="str">
        <x:v>https://www.pricescope.com/blog/natural-diamond-prices-september-2026</x:v>
      </x:c>
    </x:row>
    <x:row r="645">
      <x:c r="A645" t="n">
        <x:v>2</x:v>
      </x:c>
      <x:c r="B645" t="str">
        <x:v>Round</x:v>
      </x:c>
      <x:c r="C645" t="str">
        <x:v>D</x:v>
      </x:c>
      <x:c r="D645" t="str">
        <x:v>VVS2</x:v>
      </x:c>
      <x:c r="E645" s="36" t="n">
        <x:v>19969</x:v>
      </x:c>
      <x:c r="F645" s="36" t="n">
        <x:v>6660</x:v>
      </x:c>
      <x:c r="G645" s="42" t="n">
        <x:v>1.4285714285714286</x:v>
      </x:c>
      <x:c r="H645" s="36" t="n">
        <x:f>E645*G645</x:f>
        <x:v>28527.14285714286</x:v>
      </x:c>
      <x:c r="I645" s="36" t="n">
        <x:f>IFERROR(H645/A645,0)</x:f>
        <x:v>14263.57142857143</x:v>
      </x:c>
      <x:c r="J645" s="67" t="str">
        <x:v>Modeled from live base + Sep-2026 quality ratio</x:v>
      </x:c>
      <x:c r="K645" s="67" t="str">
        <x:v>https://www.stonealgo.com/diamond-prices/</x:v>
      </x:c>
      <x:c r="L645" s="67" t="str">
        <x:v>https://www.pricescope.com/blog/natural-diamond-prices-september-2026</x:v>
      </x:c>
    </x:row>
    <x:row r="646">
      <x:c r="A646" t="n">
        <x:v>2</x:v>
      </x:c>
      <x:c r="B646" t="str">
        <x:v>Round</x:v>
      </x:c>
      <x:c r="C646" t="str">
        <x:v>D</x:v>
      </x:c>
      <x:c r="D646" t="str">
        <x:v>VS1</x:v>
      </x:c>
      <x:c r="E646" s="36" t="n">
        <x:v>19969</x:v>
      </x:c>
      <x:c r="F646" s="36" t="n">
        <x:v>6247</x:v>
      </x:c>
      <x:c r="G646" s="42" t="n">
        <x:v>1.33998283998284</x:v>
      </x:c>
      <x:c r="H646" s="36" t="n">
        <x:f>E646*G646</x:f>
        <x:v>26758.11733161733</x:v>
      </x:c>
      <x:c r="I646" s="36" t="n">
        <x:f>IFERROR(H646/A646,0)</x:f>
        <x:v>13379.058665808665</x:v>
      </x:c>
      <x:c r="J646" s="67" t="str">
        <x:v>Modeled from live base + Sep-2026 quality ratio</x:v>
      </x:c>
      <x:c r="K646" s="67" t="str">
        <x:v>https://www.stonealgo.com/diamond-prices/</x:v>
      </x:c>
      <x:c r="L646" s="67" t="str">
        <x:v>https://www.pricescope.com/blog/natural-diamond-prices-september-2026</x:v>
      </x:c>
    </x:row>
    <x:row r="647">
      <x:c r="A647" t="n">
        <x:v>2</x:v>
      </x:c>
      <x:c r="B647" t="str">
        <x:v>Round</x:v>
      </x:c>
      <x:c r="C647" t="str">
        <x:v>D</x:v>
      </x:c>
      <x:c r="D647" t="str">
        <x:v>VS2</x:v>
      </x:c>
      <x:c r="E647" s="36" t="n">
        <x:v>19969</x:v>
      </x:c>
      <x:c r="F647" s="36" t="n">
        <x:v>5841</x:v>
      </x:c>
      <x:c r="G647" s="42" t="n">
        <x:v>1.252895752895753</x:v>
      </x:c>
      <x:c r="H647" s="36" t="n">
        <x:f>E647*G647</x:f>
        <x:v>25019.075289575292</x:v>
      </x:c>
      <x:c r="I647" s="36" t="n">
        <x:f>IFERROR(H647/A647,0)</x:f>
        <x:v>12509.537644787646</x:v>
      </x:c>
      <x:c r="J647" s="67" t="str">
        <x:v>Modeled from live base + Sep-2026 quality ratio</x:v>
      </x:c>
      <x:c r="K647" s="67" t="str">
        <x:v>https://www.stonealgo.com/diamond-prices/</x:v>
      </x:c>
      <x:c r="L647" s="67" t="str">
        <x:v>https://www.pricescope.com/blog/natural-diamond-prices-september-2026</x:v>
      </x:c>
    </x:row>
    <x:row r="648">
      <x:c r="A648" t="n">
        <x:v>2</x:v>
      </x:c>
      <x:c r="B648" t="str">
        <x:v>Round</x:v>
      </x:c>
      <x:c r="C648" t="str">
        <x:v>D</x:v>
      </x:c>
      <x:c r="D648" t="str">
        <x:v>SI1</x:v>
      </x:c>
      <x:c r="E648" s="36" t="n">
        <x:v>19969</x:v>
      </x:c>
      <x:c r="F648" s="36" t="n">
        <x:v>3762</x:v>
      </x:c>
      <x:c r="G648" s="42" t="n">
        <x:v>0.806949806949807</x:v>
      </x:c>
      <x:c r="H648" s="36" t="n">
        <x:f>E648*G648</x:f>
        <x:v>16113.980694980695</x:v>
      </x:c>
      <x:c r="I648" s="36" t="n">
        <x:f>IFERROR(H648/A648,0)</x:f>
        <x:v>8056.990347490348</x:v>
      </x:c>
      <x:c r="J648" s="67" t="str">
        <x:v>Modeled from live base + Sep-2026 quality ratio</x:v>
      </x:c>
      <x:c r="K648" s="67" t="str">
        <x:v>https://www.stonealgo.com/diamond-prices/</x:v>
      </x:c>
      <x:c r="L648" s="67" t="str">
        <x:v>https://www.pricescope.com/blog/natural-diamond-prices-september-2026</x:v>
      </x:c>
    </x:row>
    <x:row r="649">
      <x:c r="A649" t="n">
        <x:v>2</x:v>
      </x:c>
      <x:c r="B649" t="str">
        <x:v>Round</x:v>
      </x:c>
      <x:c r="C649" t="str">
        <x:v>D</x:v>
      </x:c>
      <x:c r="D649" t="str">
        <x:v>SI2</x:v>
      </x:c>
      <x:c r="E649" s="36" t="n">
        <x:v>19969</x:v>
      </x:c>
      <x:c r="F649" s="36" t="n">
        <x:v>3026</x:v>
      </x:c>
      <x:c r="G649" s="42" t="n">
        <x:v>0.6490776490776491</x:v>
      </x:c>
      <x:c r="H649" s="36" t="n">
        <x:f>E649*G649</x:f>
        <x:v>12961.431574431575</x:v>
      </x:c>
      <x:c r="I649" s="36" t="n">
        <x:f>IFERROR(H649/A649,0)</x:f>
        <x:v>6480.715787215788</x:v>
      </x:c>
      <x:c r="J649" s="67" t="str">
        <x:v>Modeled from live base + Sep-2026 quality ratio</x:v>
      </x:c>
      <x:c r="K649" s="67" t="str">
        <x:v>https://www.stonealgo.com/diamond-prices/</x:v>
      </x:c>
      <x:c r="L649" s="67" t="str">
        <x:v>https://www.pricescope.com/blog/natural-diamond-prices-september-2026</x:v>
      </x:c>
    </x:row>
    <x:row r="650">
      <x:c r="A650" t="n">
        <x:v>2</x:v>
      </x:c>
      <x:c r="B650" t="str">
        <x:v>Round</x:v>
      </x:c>
      <x:c r="C650" t="str">
        <x:v>E</x:v>
      </x:c>
      <x:c r="D650" t="str">
        <x:v>FL</x:v>
      </x:c>
      <x:c r="E650" s="36" t="n">
        <x:v>19969</x:v>
      </x:c>
      <x:c r="F650" s="36" t="n">
        <x:v>10072</x:v>
      </x:c>
      <x:c r="G650" s="42" t="n">
        <x:v>2.1604461604461602</x:v>
      </x:c>
      <x:c r="H650" s="36" t="n">
        <x:f>E650*G650</x:f>
        <x:v>43141.94937794937</x:v>
      </x:c>
      <x:c r="I650" s="36" t="n">
        <x:f>IFERROR(H650/A650,0)</x:f>
        <x:v>21570.974688974686</x:v>
      </x:c>
      <x:c r="J650" s="67" t="str">
        <x:v>Modeled from live base + Sep-2026 quality ratio</x:v>
      </x:c>
      <x:c r="K650" s="67" t="str">
        <x:v>https://www.stonealgo.com/diamond-prices/</x:v>
      </x:c>
      <x:c r="L650" s="67" t="str">
        <x:v>https://www.pricescope.com/blog/natural-diamond-prices-september-2026</x:v>
      </x:c>
    </x:row>
    <x:row r="651">
      <x:c r="A651" t="n">
        <x:v>2</x:v>
      </x:c>
      <x:c r="B651" t="str">
        <x:v>Round</x:v>
      </x:c>
      <x:c r="C651" t="str">
        <x:v>E</x:v>
      </x:c>
      <x:c r="D651" t="str">
        <x:v>IF</x:v>
      </x:c>
      <x:c r="E651" s="36" t="n">
        <x:v>19969</x:v>
      </x:c>
      <x:c r="F651" s="36" t="n">
        <x:v>8672</x:v>
      </x:c>
      <x:c r="G651" s="42" t="n">
        <x:v>1.8601458601458603</x:v>
      </x:c>
      <x:c r="H651" s="36" t="n">
        <x:f>E651*G651</x:f>
        <x:v>37145.252681252685</x:v>
      </x:c>
      <x:c r="I651" s="36" t="n">
        <x:f>IFERROR(H651/A651,0)</x:f>
        <x:v>18572.626340626342</x:v>
      </x:c>
      <x:c r="J651" s="67" t="str">
        <x:v>Modeled from live base + Sep-2026 quality ratio</x:v>
      </x:c>
      <x:c r="K651" s="67" t="str">
        <x:v>https://www.stonealgo.com/diamond-prices/</x:v>
      </x:c>
      <x:c r="L651" s="67" t="str">
        <x:v>https://www.pricescope.com/blog/natural-diamond-prices-september-2026</x:v>
      </x:c>
    </x:row>
    <x:row r="652">
      <x:c r="A652" t="n">
        <x:v>2</x:v>
      </x:c>
      <x:c r="B652" t="str">
        <x:v>Round</x:v>
      </x:c>
      <x:c r="C652" t="str">
        <x:v>E</x:v>
      </x:c>
      <x:c r="D652" t="str">
        <x:v>VVS1</x:v>
      </x:c>
      <x:c r="E652" s="36" t="n">
        <x:v>19969</x:v>
      </x:c>
      <x:c r="F652" s="36" t="n">
        <x:v>7842</x:v>
      </x:c>
      <x:c r="G652" s="42" t="n">
        <x:v>1.6821106821106822</x:v>
      </x:c>
      <x:c r="H652" s="36" t="n">
        <x:f>E652*G652</x:f>
        <x:v>33590.06821106821</x:v>
      </x:c>
      <x:c r="I652" s="36" t="n">
        <x:f>IFERROR(H652/A652,0)</x:f>
        <x:v>16795.034105534105</x:v>
      </x:c>
      <x:c r="J652" s="67" t="str">
        <x:v>Modeled from live base + Sep-2026 quality ratio</x:v>
      </x:c>
      <x:c r="K652" s="67" t="str">
        <x:v>https://www.stonealgo.com/diamond-prices/</x:v>
      </x:c>
      <x:c r="L652" s="67" t="str">
        <x:v>https://www.pricescope.com/blog/natural-diamond-prices-september-2026</x:v>
      </x:c>
    </x:row>
    <x:row r="653">
      <x:c r="A653" t="n">
        <x:v>2</x:v>
      </x:c>
      <x:c r="B653" t="str">
        <x:v>Round</x:v>
      </x:c>
      <x:c r="C653" t="str">
        <x:v>E</x:v>
      </x:c>
      <x:c r="D653" t="str">
        <x:v>VVS2</x:v>
      </x:c>
      <x:c r="E653" s="36" t="n">
        <x:v>19969</x:v>
      </x:c>
      <x:c r="F653" s="36" t="n">
        <x:v>6880</x:v>
      </x:c>
      <x:c r="G653" s="42" t="n">
        <x:v>1.4757614757614759</x:v>
      </x:c>
      <x:c r="H653" s="36" t="n">
        <x:f>E653*G653</x:f>
        <x:v>29469.480909480913</x:v>
      </x:c>
      <x:c r="I653" s="36" t="n">
        <x:f>IFERROR(H653/A653,0)</x:f>
        <x:v>14734.740454740457</x:v>
      </x:c>
      <x:c r="J653" s="67" t="str">
        <x:v>Modeled from live base + Sep-2026 quality ratio</x:v>
      </x:c>
      <x:c r="K653" s="67" t="str">
        <x:v>https://www.stonealgo.com/diamond-prices/</x:v>
      </x:c>
      <x:c r="L653" s="67" t="str">
        <x:v>https://www.pricescope.com/blog/natural-diamond-prices-september-2026</x:v>
      </x:c>
    </x:row>
    <x:row r="654">
      <x:c r="A654" t="n">
        <x:v>2</x:v>
      </x:c>
      <x:c r="B654" t="str">
        <x:v>Round</x:v>
      </x:c>
      <x:c r="C654" t="str">
        <x:v>E</x:v>
      </x:c>
      <x:c r="D654" t="str">
        <x:v>VS1</x:v>
      </x:c>
      <x:c r="E654" s="36" t="n">
        <x:v>19969</x:v>
      </x:c>
      <x:c r="F654" s="36" t="n">
        <x:v>6307</x:v>
      </x:c>
      <x:c r="G654" s="42" t="n">
        <x:v>1.352852852852853</x:v>
      </x:c>
      <x:c r="H654" s="36" t="n">
        <x:f>E654*G654</x:f>
        <x:v>27015.11861861862</x:v>
      </x:c>
      <x:c r="I654" s="36" t="n">
        <x:f>IFERROR(H654/A654,0)</x:f>
        <x:v>13507.55930930931</x:v>
      </x:c>
      <x:c r="J654" s="67" t="str">
        <x:v>Modeled from live base + Sep-2026 quality ratio</x:v>
      </x:c>
      <x:c r="K654" s="67" t="str">
        <x:v>https://www.stonealgo.com/diamond-prices/</x:v>
      </x:c>
      <x:c r="L654" s="67" t="str">
        <x:v>https://www.pricescope.com/blog/natural-diamond-prices-september-2026</x:v>
      </x:c>
    </x:row>
    <x:row r="655">
      <x:c r="A655" t="n">
        <x:v>2</x:v>
      </x:c>
      <x:c r="B655" t="str">
        <x:v>Round</x:v>
      </x:c>
      <x:c r="C655" t="str">
        <x:v>E</x:v>
      </x:c>
      <x:c r="D655" t="str">
        <x:v>VS2</x:v>
      </x:c>
      <x:c r="E655" s="36" t="n">
        <x:v>19969</x:v>
      </x:c>
      <x:c r="F655" s="36" t="n">
        <x:v>5249</x:v>
      </x:c>
      <x:c r="G655" s="42" t="n">
        <x:v>1.125911625911626</x:v>
      </x:c>
      <x:c r="H655" s="36" t="n">
        <x:f>E655*G655</x:f>
        <x:v>22483.32925782926</x:v>
      </x:c>
      <x:c r="I655" s="36" t="n">
        <x:f>IFERROR(H655/A655,0)</x:f>
        <x:v>11241.66462891463</x:v>
      </x:c>
      <x:c r="J655" s="67" t="str">
        <x:v>Modeled from live base + Sep-2026 quality ratio</x:v>
      </x:c>
      <x:c r="K655" s="67" t="str">
        <x:v>https://www.stonealgo.com/diamond-prices/</x:v>
      </x:c>
      <x:c r="L655" s="67" t="str">
        <x:v>https://www.pricescope.com/blog/natural-diamond-prices-september-2026</x:v>
      </x:c>
    </x:row>
    <x:row r="656">
      <x:c r="A656" t="n">
        <x:v>2</x:v>
      </x:c>
      <x:c r="B656" t="str">
        <x:v>Round</x:v>
      </x:c>
      <x:c r="C656" t="str">
        <x:v>E</x:v>
      </x:c>
      <x:c r="D656" t="str">
        <x:v>SI1</x:v>
      </x:c>
      <x:c r="E656" s="36" t="n">
        <x:v>19969</x:v>
      </x:c>
      <x:c r="F656" s="36" t="n">
        <x:v>3551</x:v>
      </x:c>
      <x:c r="G656" s="42" t="n">
        <x:v>0.7616902616902617</x:v>
      </x:c>
      <x:c r="H656" s="36" t="n">
        <x:f>E656*G656</x:f>
        <x:v>15210.192835692835</x:v>
      </x:c>
      <x:c r="I656" s="36" t="n">
        <x:f>IFERROR(H656/A656,0)</x:f>
        <x:v>7605.096417846417</x:v>
      </x:c>
      <x:c r="J656" s="67" t="str">
        <x:v>Modeled from live base + Sep-2026 quality ratio</x:v>
      </x:c>
      <x:c r="K656" s="67" t="str">
        <x:v>https://www.stonealgo.com/diamond-prices/</x:v>
      </x:c>
      <x:c r="L656" s="67" t="str">
        <x:v>https://www.pricescope.com/blog/natural-diamond-prices-september-2026</x:v>
      </x:c>
    </x:row>
    <x:row r="657">
      <x:c r="A657" t="n">
        <x:v>2</x:v>
      </x:c>
      <x:c r="B657" t="str">
        <x:v>Round</x:v>
      </x:c>
      <x:c r="C657" t="str">
        <x:v>E</x:v>
      </x:c>
      <x:c r="D657" t="str">
        <x:v>SI2</x:v>
      </x:c>
      <x:c r="E657" s="36" t="n">
        <x:v>19969</x:v>
      </x:c>
      <x:c r="F657" s="36" t="n">
        <x:v>2993</x:v>
      </x:c>
      <x:c r="G657" s="42" t="n">
        <x:v>0.641999141999142</x:v>
      </x:c>
      <x:c r="H657" s="36" t="n">
        <x:f>E657*G657</x:f>
        <x:v>12820.080866580867</x:v>
      </x:c>
      <x:c r="I657" s="36" t="n">
        <x:f>IFERROR(H657/A657,0)</x:f>
        <x:v>6410.040433290434</x:v>
      </x:c>
      <x:c r="J657" s="67" t="str">
        <x:v>Modeled from live base + Sep-2026 quality ratio</x:v>
      </x:c>
      <x:c r="K657" s="67" t="str">
        <x:v>https://www.stonealgo.com/diamond-prices/</x:v>
      </x:c>
      <x:c r="L657" s="67" t="str">
        <x:v>https://www.pricescope.com/blog/natural-diamond-prices-september-2026</x:v>
      </x:c>
    </x:row>
    <x:row r="658">
      <x:c r="A658" t="n">
        <x:v>2</x:v>
      </x:c>
      <x:c r="B658" t="str">
        <x:v>Round</x:v>
      </x:c>
      <x:c r="C658" t="str">
        <x:v>F</x:v>
      </x:c>
      <x:c r="D658" t="str">
        <x:v>FL</x:v>
      </x:c>
      <x:c r="E658" s="36" t="n">
        <x:v>19969</x:v>
      </x:c>
      <x:c r="F658" s="36" t="n">
        <x:v>6830</x:v>
      </x:c>
      <x:c r="G658" s="42" t="n">
        <x:v>1.4650364650364651</x:v>
      </x:c>
      <x:c r="H658" s="36" t="n">
        <x:f>E658*G658</x:f>
        <x:v>29255.313170313173</x:v>
      </x:c>
      <x:c r="I658" s="36" t="n">
        <x:f>IFERROR(H658/A658,0)</x:f>
        <x:v>14627.656585156587</x:v>
      </x:c>
      <x:c r="J658" s="67" t="str">
        <x:v>Modeled from live base + Sep-2026 quality ratio</x:v>
      </x:c>
      <x:c r="K658" s="67" t="str">
        <x:v>https://www.stonealgo.com/diamond-prices/</x:v>
      </x:c>
      <x:c r="L658" s="67" t="str">
        <x:v>https://www.pricescope.com/blog/natural-diamond-prices-september-2026</x:v>
      </x:c>
    </x:row>
    <x:row r="659">
      <x:c r="A659" t="n">
        <x:v>2</x:v>
      </x:c>
      <x:c r="B659" t="str">
        <x:v>Round</x:v>
      </x:c>
      <x:c r="C659" t="str">
        <x:v>F</x:v>
      </x:c>
      <x:c r="D659" t="str">
        <x:v>IF</x:v>
      </x:c>
      <x:c r="E659" s="36" t="n">
        <x:v>19969</x:v>
      </x:c>
      <x:c r="F659" s="36" t="n">
        <x:v>7302</x:v>
      </x:c>
      <x:c r="G659" s="42" t="n">
        <x:v>1.5662805662805663</x:v>
      </x:c>
      <x:c r="H659" s="36" t="n">
        <x:f>E659*G659</x:f>
        <x:v>31277.05662805663</x:v>
      </x:c>
      <x:c r="I659" s="36" t="n">
        <x:f>IFERROR(H659/A659,0)</x:f>
        <x:v>15638.528314028315</x:v>
      </x:c>
      <x:c r="J659" s="67" t="str">
        <x:v>Modeled from live base + Sep-2026 quality ratio</x:v>
      </x:c>
      <x:c r="K659" s="67" t="str">
        <x:v>https://www.stonealgo.com/diamond-prices/</x:v>
      </x:c>
      <x:c r="L659" s="67" t="str">
        <x:v>https://www.pricescope.com/blog/natural-diamond-prices-september-2026</x:v>
      </x:c>
    </x:row>
    <x:row r="660">
      <x:c r="A660" t="n">
        <x:v>2</x:v>
      </x:c>
      <x:c r="B660" t="str">
        <x:v>Round</x:v>
      </x:c>
      <x:c r="C660" t="str">
        <x:v>F</x:v>
      </x:c>
      <x:c r="D660" t="str">
        <x:v>VVS1</x:v>
      </x:c>
      <x:c r="E660" s="36" t="n">
        <x:v>19969</x:v>
      </x:c>
      <x:c r="F660" s="36" t="n">
        <x:v>7542</x:v>
      </x:c>
      <x:c r="G660" s="42" t="n">
        <x:v>1.6177606177606179</x:v>
      </x:c>
      <x:c r="H660" s="36" t="n">
        <x:f>E660*G660</x:f>
        <x:v>32305.06177606178</x:v>
      </x:c>
      <x:c r="I660" s="36" t="n">
        <x:f>IFERROR(H660/A660,0)</x:f>
        <x:v>16152.53088803089</x:v>
      </x:c>
      <x:c r="J660" s="67" t="str">
        <x:v>Modeled from live base + Sep-2026 quality ratio</x:v>
      </x:c>
      <x:c r="K660" s="67" t="str">
        <x:v>https://www.stonealgo.com/diamond-prices/</x:v>
      </x:c>
      <x:c r="L660" s="67" t="str">
        <x:v>https://www.pricescope.com/blog/natural-diamond-prices-september-2026</x:v>
      </x:c>
    </x:row>
    <x:row r="661">
      <x:c r="A661" t="n">
        <x:v>2</x:v>
      </x:c>
      <x:c r="B661" t="str">
        <x:v>Round</x:v>
      </x:c>
      <x:c r="C661" t="str">
        <x:v>F</x:v>
      </x:c>
      <x:c r="D661" t="str">
        <x:v>VVS2</x:v>
      </x:c>
      <x:c r="E661" s="36" t="n">
        <x:v>19969</x:v>
      </x:c>
      <x:c r="F661" s="36" t="n">
        <x:v>6352</x:v>
      </x:c>
      <x:c r="G661" s="42" t="n">
        <x:v>1.3625053625053625</x:v>
      </x:c>
      <x:c r="H661" s="36" t="n">
        <x:f>E661*G661</x:f>
        <x:v>27207.869583869582</x:v>
      </x:c>
      <x:c r="I661" s="36" t="n">
        <x:f>IFERROR(H661/A661,0)</x:f>
        <x:v>13603.934791934791</x:v>
      </x:c>
      <x:c r="J661" s="67" t="str">
        <x:v>Modeled from live base + Sep-2026 quality ratio</x:v>
      </x:c>
      <x:c r="K661" s="67" t="str">
        <x:v>https://www.stonealgo.com/diamond-prices/</x:v>
      </x:c>
      <x:c r="L661" s="67" t="str">
        <x:v>https://www.pricescope.com/blog/natural-diamond-prices-september-2026</x:v>
      </x:c>
    </x:row>
    <x:row r="662">
      <x:c r="A662" t="n">
        <x:v>2</x:v>
      </x:c>
      <x:c r="B662" t="str">
        <x:v>Round</x:v>
      </x:c>
      <x:c r="C662" t="str">
        <x:v>F</x:v>
      </x:c>
      <x:c r="D662" t="str">
        <x:v>VS1</x:v>
      </x:c>
      <x:c r="E662" s="36" t="n">
        <x:v>19969</x:v>
      </x:c>
      <x:c r="F662" s="36" t="n">
        <x:v>5647</x:v>
      </x:c>
      <x:c r="G662" s="42" t="n">
        <x:v>1.2112827112827114</x:v>
      </x:c>
      <x:c r="H662" s="36" t="n">
        <x:f>E662*G662</x:f>
        <x:v>24188.104461604464</x:v>
      </x:c>
      <x:c r="I662" s="36" t="n">
        <x:f>IFERROR(H662/A662,0)</x:f>
        <x:v>12094.052230802232</x:v>
      </x:c>
      <x:c r="J662" s="67" t="str">
        <x:v>Modeled from live base + Sep-2026 quality ratio</x:v>
      </x:c>
      <x:c r="K662" s="67" t="str">
        <x:v>https://www.stonealgo.com/diamond-prices/</x:v>
      </x:c>
      <x:c r="L662" s="67" t="str">
        <x:v>https://www.pricescope.com/blog/natural-diamond-prices-september-2026</x:v>
      </x:c>
    </x:row>
    <x:row r="663">
      <x:c r="A663" t="n">
        <x:v>2</x:v>
      </x:c>
      <x:c r="B663" t="str">
        <x:v>Round</x:v>
      </x:c>
      <x:c r="C663" t="str">
        <x:v>F</x:v>
      </x:c>
      <x:c r="D663" t="str">
        <x:v>VS2</x:v>
      </x:c>
      <x:c r="E663" s="36" t="n">
        <x:v>19969</x:v>
      </x:c>
      <x:c r="F663" s="36" t="n">
        <x:v>4730</x:v>
      </x:c>
      <x:c r="G663" s="42" t="n">
        <x:v>1.0145860145860146</x:v>
      </x:c>
      <x:c r="H663" s="36" t="n">
        <x:f>E663*G663</x:f>
        <x:v>20260.268125268125</x:v>
      </x:c>
      <x:c r="I663" s="36" t="n">
        <x:f>IFERROR(H663/A663,0)</x:f>
        <x:v>10130.134062634063</x:v>
      </x:c>
      <x:c r="J663" s="67" t="str">
        <x:v>Modeled from live base + Sep-2026 quality ratio</x:v>
      </x:c>
      <x:c r="K663" s="67" t="str">
        <x:v>https://www.stonealgo.com/diamond-prices/</x:v>
      </x:c>
      <x:c r="L663" s="67" t="str">
        <x:v>https://www.pricescope.com/blog/natural-diamond-prices-september-2026</x:v>
      </x:c>
    </x:row>
    <x:row r="664">
      <x:c r="A664" t="n">
        <x:v>2</x:v>
      </x:c>
      <x:c r="B664" t="str">
        <x:v>Round</x:v>
      </x:c>
      <x:c r="C664" t="str">
        <x:v>F</x:v>
      </x:c>
      <x:c r="D664" t="str">
        <x:v>SI1</x:v>
      </x:c>
      <x:c r="E664" s="36" t="n">
        <x:v>19969</x:v>
      </x:c>
      <x:c r="F664" s="36" t="n">
        <x:v>3331</x:v>
      </x:c>
      <x:c r="G664" s="42" t="n">
        <x:v>0.7145002145002145</x:v>
      </x:c>
      <x:c r="H664" s="36" t="n">
        <x:f>E664*G664</x:f>
        <x:v>14267.854783354784</x:v>
      </x:c>
      <x:c r="I664" s="36" t="n">
        <x:f>IFERROR(H664/A664,0)</x:f>
        <x:v>7133.927391677392</x:v>
      </x:c>
      <x:c r="J664" s="67" t="str">
        <x:v>Modeled from live base + Sep-2026 quality ratio</x:v>
      </x:c>
      <x:c r="K664" s="67" t="str">
        <x:v>https://www.stonealgo.com/diamond-prices/</x:v>
      </x:c>
      <x:c r="L664" s="67" t="str">
        <x:v>https://www.pricescope.com/blog/natural-diamond-prices-september-2026</x:v>
      </x:c>
    </x:row>
    <x:row r="665">
      <x:c r="A665" t="n">
        <x:v>2</x:v>
      </x:c>
      <x:c r="B665" t="str">
        <x:v>Round</x:v>
      </x:c>
      <x:c r="C665" t="str">
        <x:v>F</x:v>
      </x:c>
      <x:c r="D665" t="str">
        <x:v>SI2</x:v>
      </x:c>
      <x:c r="E665" s="36" t="n">
        <x:v>19969</x:v>
      </x:c>
      <x:c r="F665" s="36" t="n">
        <x:v>2733</x:v>
      </x:c>
      <x:c r="G665" s="42" t="n">
        <x:v>0.5862290862290862</x:v>
      </x:c>
      <x:c r="H665" s="36" t="n">
        <x:f>E665*G665</x:f>
        <x:v>11706.408622908622</x:v>
      </x:c>
      <x:c r="I665" s="36" t="n">
        <x:f>IFERROR(H665/A665,0)</x:f>
        <x:v>5853.204311454311</x:v>
      </x:c>
      <x:c r="J665" s="67" t="str">
        <x:v>Modeled from live base + Sep-2026 quality ratio</x:v>
      </x:c>
      <x:c r="K665" s="67" t="str">
        <x:v>https://www.stonealgo.com/diamond-prices/</x:v>
      </x:c>
      <x:c r="L665" s="67" t="str">
        <x:v>https://www.pricescope.com/blog/natural-diamond-prices-september-2026</x:v>
      </x:c>
    </x:row>
    <x:row r="666">
      <x:c r="A666" t="n">
        <x:v>2</x:v>
      </x:c>
      <x:c r="B666" t="str">
        <x:v>Round</x:v>
      </x:c>
      <x:c r="C666" t="str">
        <x:v>G</x:v>
      </x:c>
      <x:c r="D666" t="str">
        <x:v>FL</x:v>
      </x:c>
      <x:c r="E666" s="36" t="n">
        <x:v>19969</x:v>
      </x:c>
      <x:c r="F666" s="36" t="n">
        <x:v>5905</x:v>
      </x:c>
      <x:c r="G666" s="42" t="n">
        <x:v>1.2666237666237665</x:v>
      </x:c>
      <x:c r="H666" s="36" t="n">
        <x:f>E666*G666</x:f>
        <x:v>25293.209995709993</x:v>
      </x:c>
      <x:c r="I666" s="36" t="n">
        <x:f>IFERROR(H666/A666,0)</x:f>
        <x:v>12646.604997854996</x:v>
      </x:c>
      <x:c r="J666" s="67" t="str">
        <x:v>Modeled from live base + Sep-2026 quality ratio</x:v>
      </x:c>
      <x:c r="K666" s="67" t="str">
        <x:v>https://www.stonealgo.com/diamond-prices/</x:v>
      </x:c>
      <x:c r="L666" s="67" t="str">
        <x:v>https://www.pricescope.com/blog/natural-diamond-prices-september-2026</x:v>
      </x:c>
    </x:row>
    <x:row r="667">
      <x:c r="A667" t="n">
        <x:v>2</x:v>
      </x:c>
      <x:c r="B667" t="str">
        <x:v>Round</x:v>
      </x:c>
      <x:c r="C667" t="str">
        <x:v>G</x:v>
      </x:c>
      <x:c r="D667" t="str">
        <x:v>IF</x:v>
      </x:c>
      <x:c r="E667" s="36" t="n">
        <x:v>19969</x:v>
      </x:c>
      <x:c r="F667" s="36" t="n">
        <x:v>5601</x:v>
      </x:c>
      <x:c r="G667" s="42" t="n">
        <x:v>1.2014157014157014</x:v>
      </x:c>
      <x:c r="H667" s="36" t="n">
        <x:f>E667*G667</x:f>
        <x:v>23991.07014157014</x:v>
      </x:c>
      <x:c r="I667" s="36" t="n">
        <x:f>IFERROR(H667/A667,0)</x:f>
        <x:v>11995.53507078507</x:v>
      </x:c>
      <x:c r="J667" s="67" t="str">
        <x:v>Modeled from live base + Sep-2026 quality ratio</x:v>
      </x:c>
      <x:c r="K667" s="67" t="str">
        <x:v>https://www.stonealgo.com/diamond-prices/</x:v>
      </x:c>
      <x:c r="L667" s="67" t="str">
        <x:v>https://www.pricescope.com/blog/natural-diamond-prices-september-2026</x:v>
      </x:c>
    </x:row>
    <x:row r="668">
      <x:c r="A668" t="n">
        <x:v>2</x:v>
      </x:c>
      <x:c r="B668" t="str">
        <x:v>Round</x:v>
      </x:c>
      <x:c r="C668" t="str">
        <x:v>G</x:v>
      </x:c>
      <x:c r="D668" t="str">
        <x:v>VVS1</x:v>
      </x:c>
      <x:c r="E668" s="36" t="n">
        <x:v>19969</x:v>
      </x:c>
      <x:c r="F668" s="36" t="n">
        <x:v>5124</x:v>
      </x:c>
      <x:c r="G668" s="42" t="n">
        <x:v>1.0990990990990992</x:v>
      </x:c>
      <x:c r="H668" s="36" t="n">
        <x:f>E668*G668</x:f>
        <x:v>21947.90990990991</x:v>
      </x:c>
      <x:c r="I668" s="36" t="n">
        <x:f>IFERROR(H668/A668,0)</x:f>
        <x:v>10973.954954954956</x:v>
      </x:c>
      <x:c r="J668" s="67" t="str">
        <x:v>Modeled from live base + Sep-2026 quality ratio</x:v>
      </x:c>
      <x:c r="K668" s="67" t="str">
        <x:v>https://www.stonealgo.com/diamond-prices/</x:v>
      </x:c>
      <x:c r="L668" s="67" t="str">
        <x:v>https://www.pricescope.com/blog/natural-diamond-prices-september-2026</x:v>
      </x:c>
    </x:row>
    <x:row r="669">
      <x:c r="A669" t="n">
        <x:v>2</x:v>
      </x:c>
      <x:c r="B669" t="str">
        <x:v>Round</x:v>
      </x:c>
      <x:c r="C669" t="str">
        <x:v>G</x:v>
      </x:c>
      <x:c r="D669" t="str">
        <x:v>VVS2</x:v>
      </x:c>
      <x:c r="E669" s="36" t="n">
        <x:v>19969</x:v>
      </x:c>
      <x:c r="F669" s="36" t="n">
        <x:v>4962</x:v>
      </x:c>
      <x:c r="G669" s="42" t="n">
        <x:v>1.0643500643500643</x:v>
      </x:c>
      <x:c r="H669" s="36" t="n">
        <x:f>E669*G669</x:f>
        <x:v>21254.006435006435</x:v>
      </x:c>
      <x:c r="I669" s="36" t="n">
        <x:f>IFERROR(H669/A669,0)</x:f>
        <x:v>10627.003217503217</x:v>
      </x:c>
      <x:c r="J669" s="67" t="str">
        <x:v>Modeled from live base + Sep-2026 quality ratio</x:v>
      </x:c>
      <x:c r="K669" s="67" t="str">
        <x:v>https://www.stonealgo.com/diamond-prices/</x:v>
      </x:c>
      <x:c r="L669" s="67" t="str">
        <x:v>https://www.pricescope.com/blog/natural-diamond-prices-september-2026</x:v>
      </x:c>
    </x:row>
    <x:row r="670">
      <x:c r="A670" t="n">
        <x:v>2</x:v>
      </x:c>
      <x:c r="B670" t="str">
        <x:v>Round</x:v>
      </x:c>
      <x:c r="C670" t="str">
        <x:v>G</x:v>
      </x:c>
      <x:c r="D670" t="str">
        <x:v>VS1</x:v>
      </x:c>
      <x:c r="E670" s="36" t="n">
        <x:v>19969</x:v>
      </x:c>
      <x:c r="F670" s="36" t="n">
        <x:v>4615</x:v>
      </x:c>
      <x:c r="G670" s="42" t="n">
        <x:v>0.98991848991849</x:v>
      </x:c>
      <x:c r="H670" s="36" t="n">
        <x:f>E670*G670</x:f>
        <x:v>19767.682325182326</x:v>
      </x:c>
      <x:c r="I670" s="36" t="n">
        <x:f>IFERROR(H670/A670,0)</x:f>
        <x:v>9883.841162591163</x:v>
      </x:c>
      <x:c r="J670" s="67" t="str">
        <x:v>Modeled from live base + Sep-2026 quality ratio</x:v>
      </x:c>
      <x:c r="K670" s="67" t="str">
        <x:v>https://www.stonealgo.com/diamond-prices/</x:v>
      </x:c>
      <x:c r="L670" s="67" t="str">
        <x:v>https://www.pricescope.com/blog/natural-diamond-prices-september-2026</x:v>
      </x:c>
    </x:row>
    <x:row r="671">
      <x:c r="A671" t="n">
        <x:v>2</x:v>
      </x:c>
      <x:c r="B671" t="str">
        <x:v>Round</x:v>
      </x:c>
      <x:c r="C671" t="str">
        <x:v>G</x:v>
      </x:c>
      <x:c r="D671" t="str">
        <x:v>VS2</x:v>
      </x:c>
      <x:c r="E671" s="36" t="n">
        <x:v>19969</x:v>
      </x:c>
      <x:c r="F671" s="36" t="n">
        <x:v>4585</x:v>
      </x:c>
      <x:c r="G671" s="42" t="n">
        <x:v>0.9834834834834835</x:v>
      </x:c>
      <x:c r="H671" s="36" t="n">
        <x:f>E671*G671</x:f>
        <x:v>19639.181681681683</x:v>
      </x:c>
      <x:c r="I671" s="36" t="n">
        <x:f>IFERROR(H671/A671,0)</x:f>
        <x:v>9819.590840840841</x:v>
      </x:c>
      <x:c r="J671" s="67" t="str">
        <x:v>Modeled from live base + Sep-2026 quality ratio</x:v>
      </x:c>
      <x:c r="K671" s="67" t="str">
        <x:v>https://www.stonealgo.com/diamond-prices/</x:v>
      </x:c>
      <x:c r="L671" s="67" t="str">
        <x:v>https://www.pricescope.com/blog/natural-diamond-prices-september-2026</x:v>
      </x:c>
    </x:row>
    <x:row r="672">
      <x:c r="A672" t="n">
        <x:v>2</x:v>
      </x:c>
      <x:c r="B672" t="str">
        <x:v>Round</x:v>
      </x:c>
      <x:c r="C672" t="str">
        <x:v>G</x:v>
      </x:c>
      <x:c r="D672" t="str">
        <x:v>SI1</x:v>
      </x:c>
      <x:c r="E672" s="36" t="n">
        <x:v>19969</x:v>
      </x:c>
      <x:c r="F672" s="36" t="n">
        <x:v>3664</x:v>
      </x:c>
      <x:c r="G672" s="42" t="n">
        <x:v>0.7859287859287859</x:v>
      </x:c>
      <x:c r="H672" s="36" t="n">
        <x:f>E672*G672</x:f>
        <x:v>15694.211926211925</x:v>
      </x:c>
      <x:c r="I672" s="36" t="n">
        <x:f>IFERROR(H672/A672,0)</x:f>
        <x:v>7847.1059631059625</x:v>
      </x:c>
      <x:c r="J672" s="67" t="str">
        <x:v>Modeled from live base + Sep-2026 quality ratio</x:v>
      </x:c>
      <x:c r="K672" s="67" t="str">
        <x:v>https://www.stonealgo.com/diamond-prices/</x:v>
      </x:c>
      <x:c r="L672" s="67" t="str">
        <x:v>https://www.pricescope.com/blog/natural-diamond-prices-september-2026</x:v>
      </x:c>
    </x:row>
    <x:row r="673">
      <x:c r="A673" t="n">
        <x:v>2</x:v>
      </x:c>
      <x:c r="B673" t="str">
        <x:v>Round</x:v>
      </x:c>
      <x:c r="C673" t="str">
        <x:v>G</x:v>
      </x:c>
      <x:c r="D673" t="str">
        <x:v>SI2</x:v>
      </x:c>
      <x:c r="E673" s="36" t="n">
        <x:v>19969</x:v>
      </x:c>
      <x:c r="F673" s="36" t="n">
        <x:v>2537</x:v>
      </x:c>
      <x:c r="G673" s="42" t="n">
        <x:v>0.5441870441870442</x:v>
      </x:c>
      <x:c r="H673" s="36" t="n">
        <x:f>E673*G673</x:f>
        <x:v>10866.871085371085</x:v>
      </x:c>
      <x:c r="I673" s="36" t="n">
        <x:f>IFERROR(H673/A673,0)</x:f>
        <x:v>5433.435542685543</x:v>
      </x:c>
      <x:c r="J673" s="67" t="str">
        <x:v>Modeled from live base + Sep-2026 quality ratio</x:v>
      </x:c>
      <x:c r="K673" s="67" t="str">
        <x:v>https://www.stonealgo.com/diamond-prices/</x:v>
      </x:c>
      <x:c r="L673" s="67" t="str">
        <x:v>https://www.pricescope.com/blog/natural-diamond-prices-september-2026</x:v>
      </x:c>
    </x:row>
    <x:row r="674">
      <x:c r="A674" t="n">
        <x:v>2</x:v>
      </x:c>
      <x:c r="B674" t="str">
        <x:v>Round</x:v>
      </x:c>
      <x:c r="C674" t="str">
        <x:v>H</x:v>
      </x:c>
      <x:c r="D674" t="str">
        <x:v>FL</x:v>
      </x:c>
      <x:c r="E674" s="36" t="n">
        <x:v>19969</x:v>
      </x:c>
      <x:c r="F674" s="36" t="n">
        <x:v>4563</x:v>
      </x:c>
      <x:c r="G674" s="42" t="n">
        <x:v>0.9787644787644788</x:v>
      </x:c>
      <x:c r="H674" s="36" t="n">
        <x:f>E674*G674</x:f>
        <x:v>19544.947876447877</x:v>
      </x:c>
      <x:c r="I674" s="36" t="n">
        <x:f>IFERROR(H674/A674,0)</x:f>
        <x:v>9772.473938223939</x:v>
      </x:c>
      <x:c r="J674" s="67" t="str">
        <x:v>Modeled from live base + Sep-2026 quality ratio</x:v>
      </x:c>
      <x:c r="K674" s="67" t="str">
        <x:v>https://www.stonealgo.com/diamond-prices/</x:v>
      </x:c>
      <x:c r="L674" s="67" t="str">
        <x:v>https://www.pricescope.com/blog/natural-diamond-prices-september-2026</x:v>
      </x:c>
    </x:row>
    <x:row r="675">
      <x:c r="A675" t="n">
        <x:v>2</x:v>
      </x:c>
      <x:c r="B675" t="str">
        <x:v>Round</x:v>
      </x:c>
      <x:c r="C675" t="str">
        <x:v>H</x:v>
      </x:c>
      <x:c r="D675" t="str">
        <x:v>IF</x:v>
      </x:c>
      <x:c r="E675" s="36" t="n">
        <x:v>19969</x:v>
      </x:c>
      <x:c r="F675" s="36" t="n">
        <x:v>4809</x:v>
      </x:c>
      <x:c r="G675" s="42" t="n">
        <x:v>1.0315315315315314</x:v>
      </x:c>
      <x:c r="H675" s="36" t="n">
        <x:f>E675*G675</x:f>
        <x:v>20598.65315315315</x:v>
      </x:c>
      <x:c r="I675" s="36" t="n">
        <x:f>IFERROR(H675/A675,0)</x:f>
        <x:v>10299.326576576575</x:v>
      </x:c>
      <x:c r="J675" s="67" t="str">
        <x:v>Modeled from live base + Sep-2026 quality ratio</x:v>
      </x:c>
      <x:c r="K675" s="67" t="str">
        <x:v>https://www.stonealgo.com/diamond-prices/</x:v>
      </x:c>
      <x:c r="L675" s="67" t="str">
        <x:v>https://www.pricescope.com/blog/natural-diamond-prices-september-2026</x:v>
      </x:c>
    </x:row>
    <x:row r="676">
      <x:c r="A676" t="n">
        <x:v>2</x:v>
      </x:c>
      <x:c r="B676" t="str">
        <x:v>Round</x:v>
      </x:c>
      <x:c r="C676" t="str">
        <x:v>H</x:v>
      </x:c>
      <x:c r="D676" t="str">
        <x:v>VVS1</x:v>
      </x:c>
      <x:c r="E676" s="36" t="n">
        <x:v>19969</x:v>
      </x:c>
      <x:c r="F676" s="36" t="n">
        <x:v>4911</x:v>
      </x:c>
      <x:c r="G676" s="42" t="n">
        <x:v>1.0534105534105533</x:v>
      </x:c>
      <x:c r="H676" s="36" t="n">
        <x:f>E676*G676</x:f>
        <x:v>21035.55534105534</x:v>
      </x:c>
      <x:c r="I676" s="36" t="n">
        <x:f>IFERROR(H676/A676,0)</x:f>
        <x:v>10517.77767052767</x:v>
      </x:c>
      <x:c r="J676" s="67" t="str">
        <x:v>Modeled from live base + Sep-2026 quality ratio</x:v>
      </x:c>
      <x:c r="K676" s="67" t="str">
        <x:v>https://www.stonealgo.com/diamond-prices/</x:v>
      </x:c>
      <x:c r="L676" s="67" t="str">
        <x:v>https://www.pricescope.com/blog/natural-diamond-prices-september-2026</x:v>
      </x:c>
    </x:row>
    <x:row r="677">
      <x:c r="A677" t="n">
        <x:v>2</x:v>
      </x:c>
      <x:c r="B677" t="str">
        <x:v>Round</x:v>
      </x:c>
      <x:c r="C677" t="str">
        <x:v>H</x:v>
      </x:c>
      <x:c r="D677" t="str">
        <x:v>VVS2</x:v>
      </x:c>
      <x:c r="E677" s="36" t="n">
        <x:v>19969</x:v>
      </x:c>
      <x:c r="F677" s="36" t="n">
        <x:v>4046</x:v>
      </x:c>
      <x:c r="G677" s="42" t="n">
        <x:v>0.8678678678678678</x:v>
      </x:c>
      <x:c r="H677" s="36" t="n">
        <x:f>E677*G677</x:f>
        <x:v>17330.453453453454</x:v>
      </x:c>
      <x:c r="I677" s="36" t="n">
        <x:f>IFERROR(H677/A677,0)</x:f>
        <x:v>8665.226726726727</x:v>
      </x:c>
      <x:c r="J677" s="67" t="str">
        <x:v>Modeled from live base + Sep-2026 quality ratio</x:v>
      </x:c>
      <x:c r="K677" s="67" t="str">
        <x:v>https://www.stonealgo.com/diamond-prices/</x:v>
      </x:c>
      <x:c r="L677" s="67" t="str">
        <x:v>https://www.pricescope.com/blog/natural-diamond-prices-september-2026</x:v>
      </x:c>
    </x:row>
    <x:row r="678">
      <x:c r="A678" t="n">
        <x:v>2</x:v>
      </x:c>
      <x:c r="B678" t="str">
        <x:v>Round</x:v>
      </x:c>
      <x:c r="C678" t="str">
        <x:v>H</x:v>
      </x:c>
      <x:c r="D678" t="str">
        <x:v>VS1</x:v>
      </x:c>
      <x:c r="E678" s="36" t="n">
        <x:v>19969</x:v>
      </x:c>
      <x:c r="F678" s="36" t="n">
        <x:v>3893</x:v>
      </x:c>
      <x:c r="G678" s="42" t="n">
        <x:v>0.8350493350493351</x:v>
      </x:c>
      <x:c r="H678" s="36" t="n">
        <x:f>E678*G678</x:f>
        <x:v>16675.100171600174</x:v>
      </x:c>
      <x:c r="I678" s="36" t="n">
        <x:f>IFERROR(H678/A678,0)</x:f>
        <x:v>8337.550085800087</x:v>
      </x:c>
      <x:c r="J678" s="67" t="str">
        <x:v>Modeled from live base + Sep-2026 quality ratio</x:v>
      </x:c>
      <x:c r="K678" s="67" t="str">
        <x:v>https://www.stonealgo.com/diamond-prices/</x:v>
      </x:c>
      <x:c r="L678" s="67" t="str">
        <x:v>https://www.pricescope.com/blog/natural-diamond-prices-september-2026</x:v>
      </x:c>
    </x:row>
    <x:row r="679">
      <x:c r="A679" t="n">
        <x:v>2</x:v>
      </x:c>
      <x:c r="B679" t="str">
        <x:v>Round</x:v>
      </x:c>
      <x:c r="C679" t="str">
        <x:v>H</x:v>
      </x:c>
      <x:c r="D679" t="str">
        <x:v>VS2</x:v>
      </x:c>
      <x:c r="E679" s="36" t="n">
        <x:v>19969</x:v>
      </x:c>
      <x:c r="F679" s="36" t="n">
        <x:v>3989</x:v>
      </x:c>
      <x:c r="G679" s="42" t="n">
        <x:v>0.8556413556413557</x:v>
      </x:c>
      <x:c r="H679" s="36" t="n">
        <x:f>E679*G679</x:f>
        <x:v>17086.30223080223</x:v>
      </x:c>
      <x:c r="I679" s="36" t="n">
        <x:f>IFERROR(H679/A679,0)</x:f>
        <x:v>8543.151115401115</x:v>
      </x:c>
      <x:c r="J679" s="67" t="str">
        <x:v>Modeled from live base + Sep-2026 quality ratio</x:v>
      </x:c>
      <x:c r="K679" s="67" t="str">
        <x:v>https://www.stonealgo.com/diamond-prices/</x:v>
      </x:c>
      <x:c r="L679" s="67" t="str">
        <x:v>https://www.pricescope.com/blog/natural-diamond-prices-september-2026</x:v>
      </x:c>
    </x:row>
    <x:row r="680">
      <x:c r="A680" t="n">
        <x:v>2</x:v>
      </x:c>
      <x:c r="B680" t="str">
        <x:v>Round</x:v>
      </x:c>
      <x:c r="C680" t="str">
        <x:v>H</x:v>
      </x:c>
      <x:c r="D680" t="str">
        <x:v>SI1</x:v>
      </x:c>
      <x:c r="E680" s="36" t="n">
        <x:v>19969</x:v>
      </x:c>
      <x:c r="F680" s="36" t="n">
        <x:v>2828</x:v>
      </x:c>
      <x:c r="G680" s="42" t="n">
        <x:v>0.6066066066066066</x:v>
      </x:c>
      <x:c r="H680" s="36" t="n">
        <x:f>E680*G680</x:f>
        <x:v>12113.327327327326</x:v>
      </x:c>
      <x:c r="I680" s="36" t="n">
        <x:f>IFERROR(H680/A680,0)</x:f>
        <x:v>6056.663663663663</x:v>
      </x:c>
      <x:c r="J680" s="67" t="str">
        <x:v>Modeled from live base + Sep-2026 quality ratio</x:v>
      </x:c>
      <x:c r="K680" s="67" t="str">
        <x:v>https://www.stonealgo.com/diamond-prices/</x:v>
      </x:c>
      <x:c r="L680" s="67" t="str">
        <x:v>https://www.pricescope.com/blog/natural-diamond-prices-september-2026</x:v>
      </x:c>
    </x:row>
    <x:row r="681">
      <x:c r="A681" t="n">
        <x:v>2</x:v>
      </x:c>
      <x:c r="B681" t="str">
        <x:v>Round</x:v>
      </x:c>
      <x:c r="C681" t="str">
        <x:v>H</x:v>
      </x:c>
      <x:c r="D681" t="str">
        <x:v>SI2</x:v>
      </x:c>
      <x:c r="E681" s="36" t="n">
        <x:v>19969</x:v>
      </x:c>
      <x:c r="F681" s="36" t="n">
        <x:v>2328</x:v>
      </x:c>
      <x:c r="G681" s="42" t="n">
        <x:v>0.49935649935649934</x:v>
      </x:c>
      <x:c r="H681" s="36" t="n">
        <x:f>E681*G681</x:f>
        <x:v>9971.649935649935</x:v>
      </x:c>
      <x:c r="I681" s="36" t="n">
        <x:f>IFERROR(H681/A681,0)</x:f>
        <x:v>4985.824967824968</x:v>
      </x:c>
      <x:c r="J681" s="67" t="str">
        <x:v>Modeled from live base + Sep-2026 quality ratio</x:v>
      </x:c>
      <x:c r="K681" s="67" t="str">
        <x:v>https://www.stonealgo.com/diamond-prices/</x:v>
      </x:c>
      <x:c r="L681" s="67" t="str">
        <x:v>https://www.pricescope.com/blog/natural-diamond-prices-september-2026</x:v>
      </x:c>
    </x:row>
    <x:row r="682">
      <x:c r="A682" t="n">
        <x:v>2</x:v>
      </x:c>
      <x:c r="B682" t="str">
        <x:v>Round</x:v>
      </x:c>
      <x:c r="C682" t="str">
        <x:v>I</x:v>
      </x:c>
      <x:c r="D682" t="str">
        <x:v>FL</x:v>
      </x:c>
      <x:c r="E682" s="36" t="n">
        <x:v>19969</x:v>
      </x:c>
      <x:c r="F682" s="36" t="n">
        <x:v>4623</x:v>
      </x:c>
      <x:c r="G682" s="42" t="n">
        <x:v>0.9916344916344917</x:v>
      </x:c>
      <x:c r="H682" s="36" t="n">
        <x:f>E682*G682</x:f>
        <x:v>19801.949163449164</x:v>
      </x:c>
      <x:c r="I682" s="36" t="n">
        <x:f>IFERROR(H682/A682,0)</x:f>
        <x:v>9900.974581724582</x:v>
      </x:c>
      <x:c r="J682" s="67" t="str">
        <x:v>Modeled from live base + Sep-2026 quality ratio</x:v>
      </x:c>
      <x:c r="K682" s="67" t="str">
        <x:v>https://www.stonealgo.com/diamond-prices/</x:v>
      </x:c>
      <x:c r="L682" s="67" t="str">
        <x:v>https://www.pricescope.com/blog/natural-diamond-prices-september-2026</x:v>
      </x:c>
    </x:row>
    <x:row r="683">
      <x:c r="A683" t="n">
        <x:v>2</x:v>
      </x:c>
      <x:c r="B683" t="str">
        <x:v>Round</x:v>
      </x:c>
      <x:c r="C683" t="str">
        <x:v>I</x:v>
      </x:c>
      <x:c r="D683" t="str">
        <x:v>IF</x:v>
      </x:c>
      <x:c r="E683" s="36" t="n">
        <x:v>19969</x:v>
      </x:c>
      <x:c r="F683" s="36" t="n">
        <x:v>4005</x:v>
      </x:c>
      <x:c r="G683" s="42" t="n">
        <x:v>0.859073359073359</x:v>
      </x:c>
      <x:c r="H683" s="36" t="n">
        <x:f>E683*G683</x:f>
        <x:v>17154.835907335906</x:v>
      </x:c>
      <x:c r="I683" s="36" t="n">
        <x:f>IFERROR(H683/A683,0)</x:f>
        <x:v>8577.417953667953</x:v>
      </x:c>
      <x:c r="J683" s="67" t="str">
        <x:v>Modeled from live base + Sep-2026 quality ratio</x:v>
      </x:c>
      <x:c r="K683" s="67" t="str">
        <x:v>https://www.stonealgo.com/diamond-prices/</x:v>
      </x:c>
      <x:c r="L683" s="67" t="str">
        <x:v>https://www.pricescope.com/blog/natural-diamond-prices-september-2026</x:v>
      </x:c>
    </x:row>
    <x:row r="684">
      <x:c r="A684" t="n">
        <x:v>2</x:v>
      </x:c>
      <x:c r="B684" t="str">
        <x:v>Round</x:v>
      </x:c>
      <x:c r="C684" t="str">
        <x:v>I</x:v>
      </x:c>
      <x:c r="D684" t="str">
        <x:v>VVS1</x:v>
      </x:c>
      <x:c r="E684" s="36" t="n">
        <x:v>19969</x:v>
      </x:c>
      <x:c r="F684" s="36" t="n">
        <x:v>3670</x:v>
      </x:c>
      <x:c r="G684" s="42" t="n">
        <x:v>0.7872157872157872</x:v>
      </x:c>
      <x:c r="H684" s="36" t="n">
        <x:f>E684*G684</x:f>
        <x:v>15719.912054912054</x:v>
      </x:c>
      <x:c r="I684" s="36" t="n">
        <x:f>IFERROR(H684/A684,0)</x:f>
        <x:v>7859.956027456027</x:v>
      </x:c>
      <x:c r="J684" s="67" t="str">
        <x:v>Modeled from live base + Sep-2026 quality ratio</x:v>
      </x:c>
      <x:c r="K684" s="67" t="str">
        <x:v>https://www.stonealgo.com/diamond-prices/</x:v>
      </x:c>
      <x:c r="L684" s="67" t="str">
        <x:v>https://www.pricescope.com/blog/natural-diamond-prices-september-2026</x:v>
      </x:c>
    </x:row>
    <x:row r="685">
      <x:c r="A685" t="n">
        <x:v>2</x:v>
      </x:c>
      <x:c r="B685" t="str">
        <x:v>Round</x:v>
      </x:c>
      <x:c r="C685" t="str">
        <x:v>I</x:v>
      </x:c>
      <x:c r="D685" t="str">
        <x:v>VVS2</x:v>
      </x:c>
      <x:c r="E685" s="36" t="n">
        <x:v>19969</x:v>
      </x:c>
      <x:c r="F685" s="36" t="n">
        <x:v>3447</x:v>
      </x:c>
      <x:c r="G685" s="42" t="n">
        <x:v>0.7393822393822393</x:v>
      </x:c>
      <x:c r="H685" s="36" t="n">
        <x:f>E685*G685</x:f>
        <x:v>14764.723938223937</x:v>
      </x:c>
      <x:c r="I685" s="36" t="n">
        <x:f>IFERROR(H685/A685,0)</x:f>
        <x:v>7382.361969111968</x:v>
      </x:c>
      <x:c r="J685" s="67" t="str">
        <x:v>Modeled from live base + Sep-2026 quality ratio</x:v>
      </x:c>
      <x:c r="K685" s="67" t="str">
        <x:v>https://www.stonealgo.com/diamond-prices/</x:v>
      </x:c>
      <x:c r="L685" s="67" t="str">
        <x:v>https://www.pricescope.com/blog/natural-diamond-prices-september-2026</x:v>
      </x:c>
    </x:row>
    <x:row r="686">
      <x:c r="A686" t="n">
        <x:v>2</x:v>
      </x:c>
      <x:c r="B686" t="str">
        <x:v>Round</x:v>
      </x:c>
      <x:c r="C686" t="str">
        <x:v>I</x:v>
      </x:c>
      <x:c r="D686" t="str">
        <x:v>VS1</x:v>
      </x:c>
      <x:c r="E686" s="36" t="n">
        <x:v>19969</x:v>
      </x:c>
      <x:c r="F686" s="36" t="n">
        <x:v>3313</x:v>
      </x:c>
      <x:c r="G686" s="42" t="n">
        <x:v>0.7106392106392107</x:v>
      </x:c>
      <x:c r="H686" s="36" t="n">
        <x:f>E686*G686</x:f>
        <x:v>14190.754397254397</x:v>
      </x:c>
      <x:c r="I686" s="36" t="n">
        <x:f>IFERROR(H686/A686,0)</x:f>
        <x:v>7095.377198627199</x:v>
      </x:c>
      <x:c r="J686" s="67" t="str">
        <x:v>Modeled from live base + Sep-2026 quality ratio</x:v>
      </x:c>
      <x:c r="K686" s="67" t="str">
        <x:v>https://www.stonealgo.com/diamond-prices/</x:v>
      </x:c>
      <x:c r="L686" s="67" t="str">
        <x:v>https://www.pricescope.com/blog/natural-diamond-prices-september-2026</x:v>
      </x:c>
    </x:row>
    <x:row r="687">
      <x:c r="A687" t="n">
        <x:v>2</x:v>
      </x:c>
      <x:c r="B687" t="str">
        <x:v>Round</x:v>
      </x:c>
      <x:c r="C687" t="str">
        <x:v>I</x:v>
      </x:c>
      <x:c r="D687" t="str">
        <x:v>VS2</x:v>
      </x:c>
      <x:c r="E687" s="36" t="n">
        <x:v>19969</x:v>
      </x:c>
      <x:c r="F687" s="36" t="n">
        <x:v>3240</x:v>
      </x:c>
      <x:c r="G687" s="42" t="n">
        <x:v>0.694980694980695</x:v>
      </x:c>
      <x:c r="H687" s="36" t="n">
        <x:f>E687*G687</x:f>
        <x:v>13878.069498069499</x:v>
      </x:c>
      <x:c r="I687" s="36" t="n">
        <x:f>IFERROR(H687/A687,0)</x:f>
        <x:v>6939.034749034749</x:v>
      </x:c>
      <x:c r="J687" s="67" t="str">
        <x:v>Modeled from live base + Sep-2026 quality ratio</x:v>
      </x:c>
      <x:c r="K687" s="67" t="str">
        <x:v>https://www.stonealgo.com/diamond-prices/</x:v>
      </x:c>
      <x:c r="L687" s="67" t="str">
        <x:v>https://www.pricescope.com/blog/natural-diamond-prices-september-2026</x:v>
      </x:c>
    </x:row>
    <x:row r="688">
      <x:c r="A688" t="n">
        <x:v>2</x:v>
      </x:c>
      <x:c r="B688" t="str">
        <x:v>Round</x:v>
      </x:c>
      <x:c r="C688" t="str">
        <x:v>I</x:v>
      </x:c>
      <x:c r="D688" t="str">
        <x:v>SI1</x:v>
      </x:c>
      <x:c r="E688" s="36" t="n">
        <x:v>19969</x:v>
      </x:c>
      <x:c r="F688" s="36" t="n">
        <x:v>3199</x:v>
      </x:c>
      <x:c r="G688" s="42" t="n">
        <x:v>0.6861861861861862</x:v>
      </x:c>
      <x:c r="H688" s="36" t="n">
        <x:f>E688*G688</x:f>
        <x:v>13702.451951951953</x:v>
      </x:c>
      <x:c r="I688" s="36" t="n">
        <x:f>IFERROR(H688/A688,0)</x:f>
        <x:v>6851.225975975976</x:v>
      </x:c>
      <x:c r="J688" s="67" t="str">
        <x:v>Modeled from live base + Sep-2026 quality ratio</x:v>
      </x:c>
      <x:c r="K688" s="67" t="str">
        <x:v>https://www.stonealgo.com/diamond-prices/</x:v>
      </x:c>
      <x:c r="L688" s="67" t="str">
        <x:v>https://www.pricescope.com/blog/natural-diamond-prices-september-2026</x:v>
      </x:c>
    </x:row>
    <x:row r="689">
      <x:c r="A689" t="n">
        <x:v>2</x:v>
      </x:c>
      <x:c r="B689" t="str">
        <x:v>Round</x:v>
      </x:c>
      <x:c r="C689" t="str">
        <x:v>I</x:v>
      </x:c>
      <x:c r="D689" t="str">
        <x:v>SI2</x:v>
      </x:c>
      <x:c r="E689" s="36" t="n">
        <x:v>19969</x:v>
      </x:c>
      <x:c r="F689" s="36" t="n">
        <x:v>2874</x:v>
      </x:c>
      <x:c r="G689" s="42" t="n">
        <x:v>0.6164736164736164</x:v>
      </x:c>
      <x:c r="H689" s="36" t="n">
        <x:f>E689*G689</x:f>
        <x:v>12310.361647361646</x:v>
      </x:c>
      <x:c r="I689" s="36" t="n">
        <x:f>IFERROR(H689/A689,0)</x:f>
        <x:v>6155.180823680823</x:v>
      </x:c>
      <x:c r="J689" s="67" t="str">
        <x:v>Modeled from live base + Sep-2026 quality ratio</x:v>
      </x:c>
      <x:c r="K689" s="67" t="str">
        <x:v>https://www.stonealgo.com/diamond-prices/</x:v>
      </x:c>
      <x:c r="L689" s="67" t="str">
        <x:v>https://www.pricescope.com/blog/natural-diamond-prices-september-2026</x:v>
      </x:c>
    </x:row>
    <x:row r="690">
      <x:c r="A690" t="n">
        <x:v>2</x:v>
      </x:c>
      <x:c r="B690" t="str">
        <x:v>Round</x:v>
      </x:c>
      <x:c r="C690" t="str">
        <x:v>J</x:v>
      </x:c>
      <x:c r="D690" t="str">
        <x:v>FL</x:v>
      </x:c>
      <x:c r="E690" s="36" t="n">
        <x:v>19969</x:v>
      </x:c>
      <x:c r="F690" s="36" t="n">
        <x:v>3646</x:v>
      </x:c>
      <x:c r="G690" s="42" t="n">
        <x:v>0.782067782067782</x:v>
      </x:c>
      <x:c r="H690" s="36" t="n">
        <x:f>E690*G690</x:f>
        <x:v>15617.11154011154</x:v>
      </x:c>
      <x:c r="I690" s="36" t="n">
        <x:f>IFERROR(H690/A690,0)</x:f>
        <x:v>7808.55577005577</x:v>
      </x:c>
      <x:c r="J690" s="67" t="str">
        <x:v>Modeled from live base + Sep-2026 quality ratio</x:v>
      </x:c>
      <x:c r="K690" s="67" t="str">
        <x:v>https://www.stonealgo.com/diamond-prices/</x:v>
      </x:c>
      <x:c r="L690" s="67" t="str">
        <x:v>https://www.pricescope.com/blog/natural-diamond-prices-september-2026</x:v>
      </x:c>
    </x:row>
    <x:row r="691">
      <x:c r="A691" t="n">
        <x:v>2</x:v>
      </x:c>
      <x:c r="B691" t="str">
        <x:v>Round</x:v>
      </x:c>
      <x:c r="C691" t="str">
        <x:v>J</x:v>
      </x:c>
      <x:c r="D691" t="str">
        <x:v>IF</x:v>
      </x:c>
      <x:c r="E691" s="36" t="n">
        <x:v>19969</x:v>
      </x:c>
      <x:c r="F691" s="36" t="n">
        <x:v>3368</x:v>
      </x:c>
      <x:c r="G691" s="42" t="n">
        <x:v>0.7224367224367224</x:v>
      </x:c>
      <x:c r="H691" s="36" t="n">
        <x:f>E691*G691</x:f>
        <x:v>14426.338910338909</x:v>
      </x:c>
      <x:c r="I691" s="36" t="n">
        <x:f>IFERROR(H691/A691,0)</x:f>
        <x:v>7213.1694551694545</x:v>
      </x:c>
      <x:c r="J691" s="67" t="str">
        <x:v>Modeled from live base + Sep-2026 quality ratio</x:v>
      </x:c>
      <x:c r="K691" s="67" t="str">
        <x:v>https://www.stonealgo.com/diamond-prices/</x:v>
      </x:c>
      <x:c r="L691" s="67" t="str">
        <x:v>https://www.pricescope.com/blog/natural-diamond-prices-september-2026</x:v>
      </x:c>
    </x:row>
    <x:row r="692">
      <x:c r="A692" t="n">
        <x:v>2</x:v>
      </x:c>
      <x:c r="B692" t="str">
        <x:v>Round</x:v>
      </x:c>
      <x:c r="C692" t="str">
        <x:v>J</x:v>
      </x:c>
      <x:c r="D692" t="str">
        <x:v>VVS1</x:v>
      </x:c>
      <x:c r="E692" s="36" t="n">
        <x:v>19969</x:v>
      </x:c>
      <x:c r="F692" s="36" t="n">
        <x:v>2956</x:v>
      </x:c>
      <x:c r="G692" s="42" t="n">
        <x:v>0.6340626340626341</x:v>
      </x:c>
      <x:c r="H692" s="36" t="n">
        <x:f>E692*G692</x:f>
        <x:v>12661.59673959674</x:v>
      </x:c>
      <x:c r="I692" s="36" t="n">
        <x:f>IFERROR(H692/A692,0)</x:f>
        <x:v>6330.79836979837</x:v>
      </x:c>
      <x:c r="J692" s="67" t="str">
        <x:v>Modeled from live base + Sep-2026 quality ratio</x:v>
      </x:c>
      <x:c r="K692" s="67" t="str">
        <x:v>https://www.stonealgo.com/diamond-prices/</x:v>
      </x:c>
      <x:c r="L692" s="67" t="str">
        <x:v>https://www.pricescope.com/blog/natural-diamond-prices-september-2026</x:v>
      </x:c>
    </x:row>
    <x:row r="693">
      <x:c r="A693" t="n">
        <x:v>2</x:v>
      </x:c>
      <x:c r="B693" t="str">
        <x:v>Round</x:v>
      </x:c>
      <x:c r="C693" t="str">
        <x:v>J</x:v>
      </x:c>
      <x:c r="D693" t="str">
        <x:v>VVS2</x:v>
      </x:c>
      <x:c r="E693" s="36" t="n">
        <x:v>19969</x:v>
      </x:c>
      <x:c r="F693" s="36" t="n">
        <x:v>2612</x:v>
      </x:c>
      <x:c r="G693" s="42" t="n">
        <x:v>0.5602745602745602</x:v>
      </x:c>
      <x:c r="H693" s="36" t="n">
        <x:f>E693*G693</x:f>
        <x:v>11188.122694122694</x:v>
      </x:c>
      <x:c r="I693" s="36" t="n">
        <x:f>IFERROR(H693/A693,0)</x:f>
        <x:v>5594.061347061347</x:v>
      </x:c>
      <x:c r="J693" s="67" t="str">
        <x:v>Modeled from live base + Sep-2026 quality ratio</x:v>
      </x:c>
      <x:c r="K693" s="67" t="str">
        <x:v>https://www.stonealgo.com/diamond-prices/</x:v>
      </x:c>
      <x:c r="L693" s="67" t="str">
        <x:v>https://www.pricescope.com/blog/natural-diamond-prices-september-2026</x:v>
      </x:c>
    </x:row>
    <x:row r="694">
      <x:c r="A694" t="n">
        <x:v>2</x:v>
      </x:c>
      <x:c r="B694" t="str">
        <x:v>Round</x:v>
      </x:c>
      <x:c r="C694" t="str">
        <x:v>J</x:v>
      </x:c>
      <x:c r="D694" t="str">
        <x:v>VS1</x:v>
      </x:c>
      <x:c r="E694" s="36" t="n">
        <x:v>19969</x:v>
      </x:c>
      <x:c r="F694" s="36" t="n">
        <x:v>3002</x:v>
      </x:c>
      <x:c r="G694" s="42" t="n">
        <x:v>0.6439296439296439</x:v>
      </x:c>
      <x:c r="H694" s="36" t="n">
        <x:f>E694*G694</x:f>
        <x:v>12858.63105963106</x:v>
      </x:c>
      <x:c r="I694" s="36" t="n">
        <x:f>IFERROR(H694/A694,0)</x:f>
        <x:v>6429.31552981553</x:v>
      </x:c>
      <x:c r="J694" s="67" t="str">
        <x:v>Modeled from live base + Sep-2026 quality ratio</x:v>
      </x:c>
      <x:c r="K694" s="67" t="str">
        <x:v>https://www.stonealgo.com/diamond-prices/</x:v>
      </x:c>
      <x:c r="L694" s="67" t="str">
        <x:v>https://www.pricescope.com/blog/natural-diamond-prices-september-2026</x:v>
      </x:c>
    </x:row>
    <x:row r="695">
      <x:c r="A695" t="n">
        <x:v>2</x:v>
      </x:c>
      <x:c r="B695" t="str">
        <x:v>Round</x:v>
      </x:c>
      <x:c r="C695" t="str">
        <x:v>J</x:v>
      </x:c>
      <x:c r="D695" t="str">
        <x:v>VS2</x:v>
      </x:c>
      <x:c r="E695" s="36" t="n">
        <x:v>19969</x:v>
      </x:c>
      <x:c r="F695" s="36" t="n">
        <x:v>2559</x:v>
      </x:c>
      <x:c r="G695" s="42" t="n">
        <x:v>0.5489060489060489</x:v>
      </x:c>
      <x:c r="H695" s="36" t="n">
        <x:f>E695*G695</x:f>
        <x:v>10961.10489060489</x:v>
      </x:c>
      <x:c r="I695" s="36" t="n">
        <x:f>IFERROR(H695/A695,0)</x:f>
        <x:v>5480.552445302445</x:v>
      </x:c>
      <x:c r="J695" s="67" t="str">
        <x:v>Modeled from live base + Sep-2026 quality ratio</x:v>
      </x:c>
      <x:c r="K695" s="67" t="str">
        <x:v>https://www.stonealgo.com/diamond-prices/</x:v>
      </x:c>
      <x:c r="L695" s="67" t="str">
        <x:v>https://www.pricescope.com/blog/natural-diamond-prices-september-2026</x:v>
      </x:c>
    </x:row>
    <x:row r="696">
      <x:c r="A696" t="n">
        <x:v>2</x:v>
      </x:c>
      <x:c r="B696" t="str">
        <x:v>Round</x:v>
      </x:c>
      <x:c r="C696" t="str">
        <x:v>J</x:v>
      </x:c>
      <x:c r="D696" t="str">
        <x:v>SI1</x:v>
      </x:c>
      <x:c r="E696" s="36" t="n">
        <x:v>19969</x:v>
      </x:c>
      <x:c r="F696" s="36" t="n">
        <x:v>2195</x:v>
      </x:c>
      <x:c r="G696" s="42" t="n">
        <x:v>0.47082797082797084</x:v>
      </x:c>
      <x:c r="H696" s="36" t="n">
        <x:f>E696*G696</x:f>
        <x:v>9401.96374946375</x:v>
      </x:c>
      <x:c r="I696" s="36" t="n">
        <x:f>IFERROR(H696/A696,0)</x:f>
        <x:v>4700.981874731875</x:v>
      </x:c>
      <x:c r="J696" s="67" t="str">
        <x:v>Modeled from live base + Sep-2026 quality ratio</x:v>
      </x:c>
      <x:c r="K696" s="67" t="str">
        <x:v>https://www.stonealgo.com/diamond-prices/</x:v>
      </x:c>
      <x:c r="L696" s="67" t="str">
        <x:v>https://www.pricescope.com/blog/natural-diamond-prices-september-2026</x:v>
      </x:c>
    </x:row>
    <x:row r="697">
      <x:c r="A697" t="n">
        <x:v>2</x:v>
      </x:c>
      <x:c r="B697" t="str">
        <x:v>Round</x:v>
      </x:c>
      <x:c r="C697" t="str">
        <x:v>J</x:v>
      </x:c>
      <x:c r="D697" t="str">
        <x:v>SI2</x:v>
      </x:c>
      <x:c r="E697" s="36" t="n">
        <x:v>19969</x:v>
      </x:c>
      <x:c r="F697" s="36" t="n">
        <x:v>2079</x:v>
      </x:c>
      <x:c r="G697" s="42" t="n">
        <x:v>0.44594594594594594</x:v>
      </x:c>
      <x:c r="H697" s="36" t="n">
        <x:f>E697*G697</x:f>
        <x:v>8905.094594594595</x:v>
      </x:c>
      <x:c r="I697" s="36" t="n">
        <x:f>IFERROR(H697/A697,0)</x:f>
        <x:v>4452.5472972972975</x:v>
      </x:c>
      <x:c r="J697" s="67" t="str">
        <x:v>Modeled from live base + Sep-2026 quality ratio</x:v>
      </x:c>
      <x:c r="K697" s="67" t="str">
        <x:v>https://www.stonealgo.com/diamond-prices/</x:v>
      </x:c>
      <x:c r="L697" s="67" t="str">
        <x:v>https://www.pricescope.com/blog/natural-diamond-prices-september-2026</x:v>
      </x:c>
    </x:row>
    <x:row r="698">
      <x:c r="A698" t="n">
        <x:v>2</x:v>
      </x:c>
      <x:c r="B698" t="str">
        <x:v>Round</x:v>
      </x:c>
      <x:c r="C698" t="str">
        <x:v>K</x:v>
      </x:c>
      <x:c r="D698" t="str">
        <x:v>FL</x:v>
      </x:c>
      <x:c r="E698" s="36" t="n">
        <x:v>19969</x:v>
      </x:c>
      <x:c r="F698" s="36" t="n">
        <x:v>2858</x:v>
      </x:c>
      <x:c r="G698" s="42" t="n">
        <x:v>0.6130416130416131</x:v>
      </x:c>
      <x:c r="H698" s="36" t="n">
        <x:f>E698*G698</x:f>
        <x:v>12241.827970827972</x:v>
      </x:c>
      <x:c r="I698" s="36" t="n">
        <x:f>IFERROR(H698/A698,0)</x:f>
        <x:v>6120.913985413986</x:v>
      </x:c>
      <x:c r="J698" s="67" t="str">
        <x:v>Modeled from live base + Sep-2026 quality ratio; K/FL quality cell modeled</x:v>
      </x:c>
      <x:c r="K698" s="67" t="str">
        <x:v>https://www.stonealgo.com/diamond-prices/</x:v>
      </x:c>
      <x:c r="L698" s="67" t="str">
        <x:v>https://www.pricescope.com/blog/natural-diamond-prices-september-2026</x:v>
      </x:c>
    </x:row>
    <x:row r="699">
      <x:c r="A699" t="n">
        <x:v>2</x:v>
      </x:c>
      <x:c r="B699" t="str">
        <x:v>Round</x:v>
      </x:c>
      <x:c r="C699" t="str">
        <x:v>K</x:v>
      </x:c>
      <x:c r="D699" t="str">
        <x:v>IF</x:v>
      </x:c>
      <x:c r="E699" s="36" t="n">
        <x:v>19969</x:v>
      </x:c>
      <x:c r="F699" s="36" t="n">
        <x:v>2743</x:v>
      </x:c>
      <x:c r="G699" s="42" t="n">
        <x:v>0.5883740883740883</x:v>
      </x:c>
      <x:c r="H699" s="36" t="n">
        <x:f>E699*G699</x:f>
        <x:v>11749.242170742169</x:v>
      </x:c>
      <x:c r="I699" s="36" t="n">
        <x:f>IFERROR(H699/A699,0)</x:f>
        <x:v>5874.6210853710845</x:v>
      </x:c>
      <x:c r="J699" s="67" t="str">
        <x:v>Modeled from live base + Sep-2026 quality ratio</x:v>
      </x:c>
      <x:c r="K699" s="67" t="str">
        <x:v>https://www.stonealgo.com/diamond-prices/</x:v>
      </x:c>
      <x:c r="L699" s="67" t="str">
        <x:v>https://www.pricescope.com/blog/natural-diamond-prices-september-2026</x:v>
      </x:c>
    </x:row>
    <x:row r="700">
      <x:c r="A700" t="n">
        <x:v>2</x:v>
      </x:c>
      <x:c r="B700" t="str">
        <x:v>Round</x:v>
      </x:c>
      <x:c r="C700" t="str">
        <x:v>K</x:v>
      </x:c>
      <x:c r="D700" t="str">
        <x:v>VVS1</x:v>
      </x:c>
      <x:c r="E700" s="36" t="n">
        <x:v>19969</x:v>
      </x:c>
      <x:c r="F700" s="36" t="n">
        <x:v>2529</x:v>
      </x:c>
      <x:c r="G700" s="42" t="n">
        <x:v>0.5424710424710425</x:v>
      </x:c>
      <x:c r="H700" s="36" t="n">
        <x:f>E700*G700</x:f>
        <x:v>10832.604247104247</x:v>
      </x:c>
      <x:c r="I700" s="36" t="n">
        <x:f>IFERROR(H700/A700,0)</x:f>
        <x:v>5416.302123552124</x:v>
      </x:c>
      <x:c r="J700" s="67" t="str">
        <x:v>Modeled from live base + Sep-2026 quality ratio</x:v>
      </x:c>
      <x:c r="K700" s="67" t="str">
        <x:v>https://www.stonealgo.com/diamond-prices/</x:v>
      </x:c>
      <x:c r="L700" s="67" t="str">
        <x:v>https://www.pricescope.com/blog/natural-diamond-prices-september-2026</x:v>
      </x:c>
    </x:row>
    <x:row r="701">
      <x:c r="A701" t="n">
        <x:v>2</x:v>
      </x:c>
      <x:c r="B701" t="str">
        <x:v>Round</x:v>
      </x:c>
      <x:c r="C701" t="str">
        <x:v>K</x:v>
      </x:c>
      <x:c r="D701" t="str">
        <x:v>VVS2</x:v>
      </x:c>
      <x:c r="E701" s="36" t="n">
        <x:v>19969</x:v>
      </x:c>
      <x:c r="F701" s="36" t="n">
        <x:v>2374</x:v>
      </x:c>
      <x:c r="G701" s="42" t="n">
        <x:v>0.5092235092235092</x:v>
      </x:c>
      <x:c r="H701" s="36" t="n">
        <x:f>E701*G701</x:f>
        <x:v>10168.684255684257</x:v>
      </x:c>
      <x:c r="I701" s="36" t="n">
        <x:f>IFERROR(H701/A701,0)</x:f>
        <x:v>5084.342127842128</x:v>
      </x:c>
      <x:c r="J701" s="67" t="str">
        <x:v>Modeled from live base + Sep-2026 quality ratio</x:v>
      </x:c>
      <x:c r="K701" s="67" t="str">
        <x:v>https://www.stonealgo.com/diamond-prices/</x:v>
      </x:c>
      <x:c r="L701" s="67" t="str">
        <x:v>https://www.pricescope.com/blog/natural-diamond-prices-september-2026</x:v>
      </x:c>
    </x:row>
    <x:row r="702">
      <x:c r="A702" t="n">
        <x:v>2</x:v>
      </x:c>
      <x:c r="B702" t="str">
        <x:v>Round</x:v>
      </x:c>
      <x:c r="C702" t="str">
        <x:v>K</x:v>
      </x:c>
      <x:c r="D702" t="str">
        <x:v>VS1</x:v>
      </x:c>
      <x:c r="E702" s="36" t="n">
        <x:v>19969</x:v>
      </x:c>
      <x:c r="F702" s="36" t="n">
        <x:v>2223</x:v>
      </x:c>
      <x:c r="G702" s="42" t="n">
        <x:v>0.4768339768339768</x:v>
      </x:c>
      <x:c r="H702" s="36" t="n">
        <x:f>E702*G702</x:f>
        <x:v>9521.897683397683</x:v>
      </x:c>
      <x:c r="I702" s="36" t="n">
        <x:f>IFERROR(H702/A702,0)</x:f>
        <x:v>4760.9488416988415</x:v>
      </x:c>
      <x:c r="J702" s="67" t="str">
        <x:v>Modeled from live base + Sep-2026 quality ratio</x:v>
      </x:c>
      <x:c r="K702" s="67" t="str">
        <x:v>https://www.stonealgo.com/diamond-prices/</x:v>
      </x:c>
      <x:c r="L702" s="67" t="str">
        <x:v>https://www.pricescope.com/blog/natural-diamond-prices-september-2026</x:v>
      </x:c>
    </x:row>
    <x:row r="703">
      <x:c r="A703" t="n">
        <x:v>2</x:v>
      </x:c>
      <x:c r="B703" t="str">
        <x:v>Round</x:v>
      </x:c>
      <x:c r="C703" t="str">
        <x:v>K</x:v>
      </x:c>
      <x:c r="D703" t="str">
        <x:v>VS2</x:v>
      </x:c>
      <x:c r="E703" s="36" t="n">
        <x:v>19969</x:v>
      </x:c>
      <x:c r="F703" s="36" t="n">
        <x:v>2098</x:v>
      </x:c>
      <x:c r="G703" s="42" t="n">
        <x:v>0.45002145002145</x:v>
      </x:c>
      <x:c r="H703" s="36" t="n">
        <x:f>E703*G703</x:f>
        <x:v>8986.478335478336</x:v>
      </x:c>
      <x:c r="I703" s="36" t="n">
        <x:f>IFERROR(H703/A703,0)</x:f>
        <x:v>4493.239167739168</x:v>
      </x:c>
      <x:c r="J703" s="67" t="str">
        <x:v>Modeled from live base + Sep-2026 quality ratio</x:v>
      </x:c>
      <x:c r="K703" s="67" t="str">
        <x:v>https://www.stonealgo.com/diamond-prices/</x:v>
      </x:c>
      <x:c r="L703" s="67" t="str">
        <x:v>https://www.pricescope.com/blog/natural-diamond-prices-september-2026</x:v>
      </x:c>
    </x:row>
    <x:row r="704">
      <x:c r="A704" t="n">
        <x:v>2</x:v>
      </x:c>
      <x:c r="B704" t="str">
        <x:v>Round</x:v>
      </x:c>
      <x:c r="C704" t="str">
        <x:v>K</x:v>
      </x:c>
      <x:c r="D704" t="str">
        <x:v>SI1</x:v>
      </x:c>
      <x:c r="E704" s="36" t="n">
        <x:v>19969</x:v>
      </x:c>
      <x:c r="F704" s="36" t="n">
        <x:v>1922</x:v>
      </x:c>
      <x:c r="G704" s="42" t="n">
        <x:v>0.41226941226941227</x:v>
      </x:c>
      <x:c r="H704" s="36" t="n">
        <x:f>E704*G704</x:f>
        <x:v>8232.607893607894</x:v>
      </x:c>
      <x:c r="I704" s="36" t="n">
        <x:f>IFERROR(H704/A704,0)</x:f>
        <x:v>4116.303946803947</x:v>
      </x:c>
      <x:c r="J704" s="67" t="str">
        <x:v>Modeled from live base + Sep-2026 quality ratio</x:v>
      </x:c>
      <x:c r="K704" s="67" t="str">
        <x:v>https://www.stonealgo.com/diamond-prices/</x:v>
      </x:c>
      <x:c r="L704" s="67" t="str">
        <x:v>https://www.pricescope.com/blog/natural-diamond-prices-september-2026</x:v>
      </x:c>
    </x:row>
    <x:row r="705">
      <x:c r="A705" t="n">
        <x:v>2</x:v>
      </x:c>
      <x:c r="B705" t="str">
        <x:v>Round</x:v>
      </x:c>
      <x:c r="C705" t="str">
        <x:v>K</x:v>
      </x:c>
      <x:c r="D705" t="str">
        <x:v>SI2</x:v>
      </x:c>
      <x:c r="E705" s="36" t="n">
        <x:v>19969</x:v>
      </x:c>
      <x:c r="F705" s="36" t="n">
        <x:v>1764</x:v>
      </x:c>
      <x:c r="G705" s="42" t="n">
        <x:v>0.3783783783783784</x:v>
      </x:c>
      <x:c r="H705" s="36" t="n">
        <x:f>E705*G705</x:f>
        <x:v>7555.837837837838</x:v>
      </x:c>
      <x:c r="I705" s="36" t="n">
        <x:f>IFERROR(H705/A705,0)</x:f>
        <x:v>3777.918918918919</x:v>
      </x:c>
      <x:c r="J705" s="67" t="str">
        <x:v>Modeled from live base + Sep-2026 quality ratio</x:v>
      </x:c>
      <x:c r="K705" s="67" t="str">
        <x:v>https://www.stonealgo.com/diamond-prices/</x:v>
      </x:c>
      <x:c r="L705" s="67" t="str">
        <x:v>https://www.pricescope.com/blog/natural-diamond-prices-september-2026</x:v>
      </x:c>
    </x:row>
    <x:row r="706">
      <x:c r="A706" t="n">
        <x:v>2</x:v>
      </x:c>
      <x:c r="B706" t="str">
        <x:v>Oval</x:v>
      </x:c>
      <x:c r="C706" t="str">
        <x:v>D</x:v>
      </x:c>
      <x:c r="D706" t="str">
        <x:v>FL</x:v>
      </x:c>
      <x:c r="E706" s="36" t="n">
        <x:v>19180</x:v>
      </x:c>
      <x:c r="F706" s="36" t="n">
        <x:v>12665</x:v>
      </x:c>
      <x:c r="G706" s="42" t="n">
        <x:v>2.7166452166452166</x:v>
      </x:c>
      <x:c r="H706" s="36" t="n">
        <x:f>E706*G706</x:f>
        <x:v>52105.25525525525</x:v>
      </x:c>
      <x:c r="I706" s="36" t="n">
        <x:f>IFERROR(H706/A706,0)</x:f>
        <x:v>26052.627627627626</x:v>
      </x:c>
      <x:c r="J706" s="67" t="str">
        <x:v>Modeled from live base + Sep-2026 quality ratio</x:v>
      </x:c>
      <x:c r="K706" s="67" t="str">
        <x:v>https://www.stonealgo.com/diamond-prices/</x:v>
      </x:c>
      <x:c r="L706" s="67" t="str">
        <x:v>https://www.pricescope.com/blog/natural-diamond-prices-september-2026</x:v>
      </x:c>
    </x:row>
    <x:row r="707">
      <x:c r="A707" t="n">
        <x:v>2</x:v>
      </x:c>
      <x:c r="B707" t="str">
        <x:v>Oval</x:v>
      </x:c>
      <x:c r="C707" t="str">
        <x:v>D</x:v>
      </x:c>
      <x:c r="D707" t="str">
        <x:v>IF</x:v>
      </x:c>
      <x:c r="E707" s="36" t="n">
        <x:v>19180</x:v>
      </x:c>
      <x:c r="F707" s="36" t="n">
        <x:v>13240</x:v>
      </x:c>
      <x:c r="G707" s="42" t="n">
        <x:v>2.83998283998284</x:v>
      </x:c>
      <x:c r="H707" s="36" t="n">
        <x:f>E707*G707</x:f>
        <x:v>54470.87087087087</x:v>
      </x:c>
      <x:c r="I707" s="36" t="n">
        <x:f>IFERROR(H707/A707,0)</x:f>
        <x:v>27235.435435435436</x:v>
      </x:c>
      <x:c r="J707" s="67" t="str">
        <x:v>Modeled from live base + Sep-2026 quality ratio</x:v>
      </x:c>
      <x:c r="K707" s="67" t="str">
        <x:v>https://www.stonealgo.com/diamond-prices/</x:v>
      </x:c>
      <x:c r="L707" s="67" t="str">
        <x:v>https://www.pricescope.com/blog/natural-diamond-prices-september-2026</x:v>
      </x:c>
    </x:row>
    <x:row r="708">
      <x:c r="A708" t="n">
        <x:v>2</x:v>
      </x:c>
      <x:c r="B708" t="str">
        <x:v>Oval</x:v>
      </x:c>
      <x:c r="C708" t="str">
        <x:v>D</x:v>
      </x:c>
      <x:c r="D708" t="str">
        <x:v>VVS1</x:v>
      </x:c>
      <x:c r="E708" s="36" t="n">
        <x:v>19180</x:v>
      </x:c>
      <x:c r="F708" s="36" t="n">
        <x:v>9555</x:v>
      </x:c>
      <x:c r="G708" s="42" t="n">
        <x:v>2.0495495495495497</x:v>
      </x:c>
      <x:c r="H708" s="36" t="n">
        <x:f>E708*G708</x:f>
        <x:v>39310.36036036036</x:v>
      </x:c>
      <x:c r="I708" s="36" t="n">
        <x:f>IFERROR(H708/A708,0)</x:f>
        <x:v>19655.18018018018</x:v>
      </x:c>
      <x:c r="J708" s="67" t="str">
        <x:v>Modeled from live base + Sep-2026 quality ratio</x:v>
      </x:c>
      <x:c r="K708" s="67" t="str">
        <x:v>https://www.stonealgo.com/diamond-prices/</x:v>
      </x:c>
      <x:c r="L708" s="67" t="str">
        <x:v>https://www.pricescope.com/blog/natural-diamond-prices-september-2026</x:v>
      </x:c>
    </x:row>
    <x:row r="709">
      <x:c r="A709" t="n">
        <x:v>2</x:v>
      </x:c>
      <x:c r="B709" t="str">
        <x:v>Oval</x:v>
      </x:c>
      <x:c r="C709" t="str">
        <x:v>D</x:v>
      </x:c>
      <x:c r="D709" t="str">
        <x:v>VVS2</x:v>
      </x:c>
      <x:c r="E709" s="36" t="n">
        <x:v>19180</x:v>
      </x:c>
      <x:c r="F709" s="36" t="n">
        <x:v>6660</x:v>
      </x:c>
      <x:c r="G709" s="42" t="n">
        <x:v>1.4285714285714286</x:v>
      </x:c>
      <x:c r="H709" s="36" t="n">
        <x:f>E709*G709</x:f>
        <x:v>27400</x:v>
      </x:c>
      <x:c r="I709" s="36" t="n">
        <x:f>IFERROR(H709/A709,0)</x:f>
        <x:v>13700</x:v>
      </x:c>
      <x:c r="J709" s="67" t="str">
        <x:v>Modeled from live base + Sep-2026 quality ratio</x:v>
      </x:c>
      <x:c r="K709" s="67" t="str">
        <x:v>https://www.stonealgo.com/diamond-prices/</x:v>
      </x:c>
      <x:c r="L709" s="67" t="str">
        <x:v>https://www.pricescope.com/blog/natural-diamond-prices-september-2026</x:v>
      </x:c>
    </x:row>
    <x:row r="710">
      <x:c r="A710" t="n">
        <x:v>2</x:v>
      </x:c>
      <x:c r="B710" t="str">
        <x:v>Oval</x:v>
      </x:c>
      <x:c r="C710" t="str">
        <x:v>D</x:v>
      </x:c>
      <x:c r="D710" t="str">
        <x:v>VS1</x:v>
      </x:c>
      <x:c r="E710" s="36" t="n">
        <x:v>19180</x:v>
      </x:c>
      <x:c r="F710" s="36" t="n">
        <x:v>6247</x:v>
      </x:c>
      <x:c r="G710" s="42" t="n">
        <x:v>1.33998283998284</x:v>
      </x:c>
      <x:c r="H710" s="36" t="n">
        <x:f>E710*G710</x:f>
        <x:v>25700.87087087087</x:v>
      </x:c>
      <x:c r="I710" s="36" t="n">
        <x:f>IFERROR(H710/A710,0)</x:f>
        <x:v>12850.435435435435</x:v>
      </x:c>
      <x:c r="J710" s="67" t="str">
        <x:v>Modeled from live base + Sep-2026 quality ratio</x:v>
      </x:c>
      <x:c r="K710" s="67" t="str">
        <x:v>https://www.stonealgo.com/diamond-prices/</x:v>
      </x:c>
      <x:c r="L710" s="67" t="str">
        <x:v>https://www.pricescope.com/blog/natural-diamond-prices-september-2026</x:v>
      </x:c>
    </x:row>
    <x:row r="711">
      <x:c r="A711" t="n">
        <x:v>2</x:v>
      </x:c>
      <x:c r="B711" t="str">
        <x:v>Oval</x:v>
      </x:c>
      <x:c r="C711" t="str">
        <x:v>D</x:v>
      </x:c>
      <x:c r="D711" t="str">
        <x:v>VS2</x:v>
      </x:c>
      <x:c r="E711" s="36" t="n">
        <x:v>19180</x:v>
      </x:c>
      <x:c r="F711" s="36" t="n">
        <x:v>5841</x:v>
      </x:c>
      <x:c r="G711" s="42" t="n">
        <x:v>1.252895752895753</x:v>
      </x:c>
      <x:c r="H711" s="36" t="n">
        <x:f>E711*G711</x:f>
        <x:v>24030.54054054054</x:v>
      </x:c>
      <x:c r="I711" s="36" t="n">
        <x:f>IFERROR(H711/A711,0)</x:f>
        <x:v>12015.27027027027</x:v>
      </x:c>
      <x:c r="J711" s="67" t="str">
        <x:v>Modeled from live base + Sep-2026 quality ratio</x:v>
      </x:c>
      <x:c r="K711" s="67" t="str">
        <x:v>https://www.stonealgo.com/diamond-prices/</x:v>
      </x:c>
      <x:c r="L711" s="67" t="str">
        <x:v>https://www.pricescope.com/blog/natural-diamond-prices-september-2026</x:v>
      </x:c>
    </x:row>
    <x:row r="712">
      <x:c r="A712" t="n">
        <x:v>2</x:v>
      </x:c>
      <x:c r="B712" t="str">
        <x:v>Oval</x:v>
      </x:c>
      <x:c r="C712" t="str">
        <x:v>D</x:v>
      </x:c>
      <x:c r="D712" t="str">
        <x:v>SI1</x:v>
      </x:c>
      <x:c r="E712" s="36" t="n">
        <x:v>19180</x:v>
      </x:c>
      <x:c r="F712" s="36" t="n">
        <x:v>3762</x:v>
      </x:c>
      <x:c r="G712" s="42" t="n">
        <x:v>0.806949806949807</x:v>
      </x:c>
      <x:c r="H712" s="36" t="n">
        <x:f>E712*G712</x:f>
        <x:v>15477.297297297298</x:v>
      </x:c>
      <x:c r="I712" s="36" t="n">
        <x:f>IFERROR(H712/A712,0)</x:f>
        <x:v>7738.648648648649</x:v>
      </x:c>
      <x:c r="J712" s="67" t="str">
        <x:v>Modeled from live base + Sep-2026 quality ratio</x:v>
      </x:c>
      <x:c r="K712" s="67" t="str">
        <x:v>https://www.stonealgo.com/diamond-prices/</x:v>
      </x:c>
      <x:c r="L712" s="67" t="str">
        <x:v>https://www.pricescope.com/blog/natural-diamond-prices-september-2026</x:v>
      </x:c>
    </x:row>
    <x:row r="713">
      <x:c r="A713" t="n">
        <x:v>2</x:v>
      </x:c>
      <x:c r="B713" t="str">
        <x:v>Oval</x:v>
      </x:c>
      <x:c r="C713" t="str">
        <x:v>D</x:v>
      </x:c>
      <x:c r="D713" t="str">
        <x:v>SI2</x:v>
      </x:c>
      <x:c r="E713" s="36" t="n">
        <x:v>19180</x:v>
      </x:c>
      <x:c r="F713" s="36" t="n">
        <x:v>3026</x:v>
      </x:c>
      <x:c r="G713" s="42" t="n">
        <x:v>0.6490776490776491</x:v>
      </x:c>
      <x:c r="H713" s="36" t="n">
        <x:f>E713*G713</x:f>
        <x:v>12449.30930930931</x:v>
      </x:c>
      <x:c r="I713" s="36" t="n">
        <x:f>IFERROR(H713/A713,0)</x:f>
        <x:v>6224.654654654655</x:v>
      </x:c>
      <x:c r="J713" s="67" t="str">
        <x:v>Modeled from live base + Sep-2026 quality ratio</x:v>
      </x:c>
      <x:c r="K713" s="67" t="str">
        <x:v>https://www.stonealgo.com/diamond-prices/</x:v>
      </x:c>
      <x:c r="L713" s="67" t="str">
        <x:v>https://www.pricescope.com/blog/natural-diamond-prices-september-2026</x:v>
      </x:c>
    </x:row>
    <x:row r="714">
      <x:c r="A714" t="n">
        <x:v>2</x:v>
      </x:c>
      <x:c r="B714" t="str">
        <x:v>Oval</x:v>
      </x:c>
      <x:c r="C714" t="str">
        <x:v>E</x:v>
      </x:c>
      <x:c r="D714" t="str">
        <x:v>FL</x:v>
      </x:c>
      <x:c r="E714" s="36" t="n">
        <x:v>19180</x:v>
      </x:c>
      <x:c r="F714" s="36" t="n">
        <x:v>10072</x:v>
      </x:c>
      <x:c r="G714" s="42" t="n">
        <x:v>2.1604461604461602</x:v>
      </x:c>
      <x:c r="H714" s="36" t="n">
        <x:f>E714*G714</x:f>
        <x:v>41437.35735735735</x:v>
      </x:c>
      <x:c r="I714" s="36" t="n">
        <x:f>IFERROR(H714/A714,0)</x:f>
        <x:v>20718.678678678676</x:v>
      </x:c>
      <x:c r="J714" s="67" t="str">
        <x:v>Modeled from live base + Sep-2026 quality ratio</x:v>
      </x:c>
      <x:c r="K714" s="67" t="str">
        <x:v>https://www.stonealgo.com/diamond-prices/</x:v>
      </x:c>
      <x:c r="L714" s="67" t="str">
        <x:v>https://www.pricescope.com/blog/natural-diamond-prices-september-2026</x:v>
      </x:c>
    </x:row>
    <x:row r="715">
      <x:c r="A715" t="n">
        <x:v>2</x:v>
      </x:c>
      <x:c r="B715" t="str">
        <x:v>Oval</x:v>
      </x:c>
      <x:c r="C715" t="str">
        <x:v>E</x:v>
      </x:c>
      <x:c r="D715" t="str">
        <x:v>IF</x:v>
      </x:c>
      <x:c r="E715" s="36" t="n">
        <x:v>19180</x:v>
      </x:c>
      <x:c r="F715" s="36" t="n">
        <x:v>8672</x:v>
      </x:c>
      <x:c r="G715" s="42" t="n">
        <x:v>1.8601458601458603</x:v>
      </x:c>
      <x:c r="H715" s="36" t="n">
        <x:f>E715*G715</x:f>
        <x:v>35677.597597597596</x:v>
      </x:c>
      <x:c r="I715" s="36" t="n">
        <x:f>IFERROR(H715/A715,0)</x:f>
        <x:v>17838.798798798798</x:v>
      </x:c>
      <x:c r="J715" s="67" t="str">
        <x:v>Modeled from live base + Sep-2026 quality ratio</x:v>
      </x:c>
      <x:c r="K715" s="67" t="str">
        <x:v>https://www.stonealgo.com/diamond-prices/</x:v>
      </x:c>
      <x:c r="L715" s="67" t="str">
        <x:v>https://www.pricescope.com/blog/natural-diamond-prices-september-2026</x:v>
      </x:c>
    </x:row>
    <x:row r="716">
      <x:c r="A716" t="n">
        <x:v>2</x:v>
      </x:c>
      <x:c r="B716" t="str">
        <x:v>Oval</x:v>
      </x:c>
      <x:c r="C716" t="str">
        <x:v>E</x:v>
      </x:c>
      <x:c r="D716" t="str">
        <x:v>VVS1</x:v>
      </x:c>
      <x:c r="E716" s="36" t="n">
        <x:v>19180</x:v>
      </x:c>
      <x:c r="F716" s="36" t="n">
        <x:v>7842</x:v>
      </x:c>
      <x:c r="G716" s="42" t="n">
        <x:v>1.6821106821106822</x:v>
      </x:c>
      <x:c r="H716" s="36" t="n">
        <x:f>E716*G716</x:f>
        <x:v>32262.882882882885</x:v>
      </x:c>
      <x:c r="I716" s="36" t="n">
        <x:f>IFERROR(H716/A716,0)</x:f>
        <x:v>16131.441441441442</x:v>
      </x:c>
      <x:c r="J716" s="67" t="str">
        <x:v>Modeled from live base + Sep-2026 quality ratio</x:v>
      </x:c>
      <x:c r="K716" s="67" t="str">
        <x:v>https://www.stonealgo.com/diamond-prices/</x:v>
      </x:c>
      <x:c r="L716" s="67" t="str">
        <x:v>https://www.pricescope.com/blog/natural-diamond-prices-september-2026</x:v>
      </x:c>
    </x:row>
    <x:row r="717">
      <x:c r="A717" t="n">
        <x:v>2</x:v>
      </x:c>
      <x:c r="B717" t="str">
        <x:v>Oval</x:v>
      </x:c>
      <x:c r="C717" t="str">
        <x:v>E</x:v>
      </x:c>
      <x:c r="D717" t="str">
        <x:v>VVS2</x:v>
      </x:c>
      <x:c r="E717" s="36" t="n">
        <x:v>19180</x:v>
      </x:c>
      <x:c r="F717" s="36" t="n">
        <x:v>6880</x:v>
      </x:c>
      <x:c r="G717" s="42" t="n">
        <x:v>1.4757614757614759</x:v>
      </x:c>
      <x:c r="H717" s="36" t="n">
        <x:f>E717*G717</x:f>
        <x:v>28305.105105105107</x:v>
      </x:c>
      <x:c r="I717" s="36" t="n">
        <x:f>IFERROR(H717/A717,0)</x:f>
        <x:v>14152.552552552554</x:v>
      </x:c>
      <x:c r="J717" s="67" t="str">
        <x:v>Modeled from live base + Sep-2026 quality ratio</x:v>
      </x:c>
      <x:c r="K717" s="67" t="str">
        <x:v>https://www.stonealgo.com/diamond-prices/</x:v>
      </x:c>
      <x:c r="L717" s="67" t="str">
        <x:v>https://www.pricescope.com/blog/natural-diamond-prices-september-2026</x:v>
      </x:c>
    </x:row>
    <x:row r="718">
      <x:c r="A718" t="n">
        <x:v>2</x:v>
      </x:c>
      <x:c r="B718" t="str">
        <x:v>Oval</x:v>
      </x:c>
      <x:c r="C718" t="str">
        <x:v>E</x:v>
      </x:c>
      <x:c r="D718" t="str">
        <x:v>VS1</x:v>
      </x:c>
      <x:c r="E718" s="36" t="n">
        <x:v>19180</x:v>
      </x:c>
      <x:c r="F718" s="36" t="n">
        <x:v>6307</x:v>
      </x:c>
      <x:c r="G718" s="42" t="n">
        <x:v>1.352852852852853</x:v>
      </x:c>
      <x:c r="H718" s="36" t="n">
        <x:f>E718*G718</x:f>
        <x:v>25947.71771771772</x:v>
      </x:c>
      <x:c r="I718" s="36" t="n">
        <x:f>IFERROR(H718/A718,0)</x:f>
        <x:v>12973.85885885886</x:v>
      </x:c>
      <x:c r="J718" s="67" t="str">
        <x:v>Modeled from live base + Sep-2026 quality ratio</x:v>
      </x:c>
      <x:c r="K718" s="67" t="str">
        <x:v>https://www.stonealgo.com/diamond-prices/</x:v>
      </x:c>
      <x:c r="L718" s="67" t="str">
        <x:v>https://www.pricescope.com/blog/natural-diamond-prices-september-2026</x:v>
      </x:c>
    </x:row>
    <x:row r="719">
      <x:c r="A719" t="n">
        <x:v>2</x:v>
      </x:c>
      <x:c r="B719" t="str">
        <x:v>Oval</x:v>
      </x:c>
      <x:c r="C719" t="str">
        <x:v>E</x:v>
      </x:c>
      <x:c r="D719" t="str">
        <x:v>VS2</x:v>
      </x:c>
      <x:c r="E719" s="36" t="n">
        <x:v>19180</x:v>
      </x:c>
      <x:c r="F719" s="36" t="n">
        <x:v>5249</x:v>
      </x:c>
      <x:c r="G719" s="42" t="n">
        <x:v>1.125911625911626</x:v>
      </x:c>
      <x:c r="H719" s="36" t="n">
        <x:f>E719*G719</x:f>
        <x:v>21594.984984984985</x:v>
      </x:c>
      <x:c r="I719" s="36" t="n">
        <x:f>IFERROR(H719/A719,0)</x:f>
        <x:v>10797.492492492493</x:v>
      </x:c>
      <x:c r="J719" s="67" t="str">
        <x:v>Modeled from live base + Sep-2026 quality ratio</x:v>
      </x:c>
      <x:c r="K719" s="67" t="str">
        <x:v>https://www.stonealgo.com/diamond-prices/</x:v>
      </x:c>
      <x:c r="L719" s="67" t="str">
        <x:v>https://www.pricescope.com/blog/natural-diamond-prices-september-2026</x:v>
      </x:c>
    </x:row>
    <x:row r="720">
      <x:c r="A720" t="n">
        <x:v>2</x:v>
      </x:c>
      <x:c r="B720" t="str">
        <x:v>Oval</x:v>
      </x:c>
      <x:c r="C720" t="str">
        <x:v>E</x:v>
      </x:c>
      <x:c r="D720" t="str">
        <x:v>SI1</x:v>
      </x:c>
      <x:c r="E720" s="36" t="n">
        <x:v>19180</x:v>
      </x:c>
      <x:c r="F720" s="36" t="n">
        <x:v>3551</x:v>
      </x:c>
      <x:c r="G720" s="42" t="n">
        <x:v>0.7616902616902617</x:v>
      </x:c>
      <x:c r="H720" s="36" t="n">
        <x:f>E720*G720</x:f>
        <x:v>14609.219219219218</x:v>
      </x:c>
      <x:c r="I720" s="36" t="n">
        <x:f>IFERROR(H720/A720,0)</x:f>
        <x:v>7304.609609609609</x:v>
      </x:c>
      <x:c r="J720" s="67" t="str">
        <x:v>Modeled from live base + Sep-2026 quality ratio</x:v>
      </x:c>
      <x:c r="K720" s="67" t="str">
        <x:v>https://www.stonealgo.com/diamond-prices/</x:v>
      </x:c>
      <x:c r="L720" s="67" t="str">
        <x:v>https://www.pricescope.com/blog/natural-diamond-prices-september-2026</x:v>
      </x:c>
    </x:row>
    <x:row r="721">
      <x:c r="A721" t="n">
        <x:v>2</x:v>
      </x:c>
      <x:c r="B721" t="str">
        <x:v>Oval</x:v>
      </x:c>
      <x:c r="C721" t="str">
        <x:v>E</x:v>
      </x:c>
      <x:c r="D721" t="str">
        <x:v>SI2</x:v>
      </x:c>
      <x:c r="E721" s="36" t="n">
        <x:v>19180</x:v>
      </x:c>
      <x:c r="F721" s="36" t="n">
        <x:v>2993</x:v>
      </x:c>
      <x:c r="G721" s="42" t="n">
        <x:v>0.641999141999142</x:v>
      </x:c>
      <x:c r="H721" s="36" t="n">
        <x:f>E721*G721</x:f>
        <x:v>12313.543543543543</x:v>
      </x:c>
      <x:c r="I721" s="36" t="n">
        <x:f>IFERROR(H721/A721,0)</x:f>
        <x:v>6156.7717717717715</x:v>
      </x:c>
      <x:c r="J721" s="67" t="str">
        <x:v>Modeled from live base + Sep-2026 quality ratio</x:v>
      </x:c>
      <x:c r="K721" s="67" t="str">
        <x:v>https://www.stonealgo.com/diamond-prices/</x:v>
      </x:c>
      <x:c r="L721" s="67" t="str">
        <x:v>https://www.pricescope.com/blog/natural-diamond-prices-september-2026</x:v>
      </x:c>
    </x:row>
    <x:row r="722">
      <x:c r="A722" t="n">
        <x:v>2</x:v>
      </x:c>
      <x:c r="B722" t="str">
        <x:v>Oval</x:v>
      </x:c>
      <x:c r="C722" t="str">
        <x:v>F</x:v>
      </x:c>
      <x:c r="D722" t="str">
        <x:v>FL</x:v>
      </x:c>
      <x:c r="E722" s="36" t="n">
        <x:v>19180</x:v>
      </x:c>
      <x:c r="F722" s="36" t="n">
        <x:v>6830</x:v>
      </x:c>
      <x:c r="G722" s="42" t="n">
        <x:v>1.4650364650364651</x:v>
      </x:c>
      <x:c r="H722" s="36" t="n">
        <x:f>E722*G722</x:f>
        <x:v>28099.3993993994</x:v>
      </x:c>
      <x:c r="I722" s="36" t="n">
        <x:f>IFERROR(H722/A722,0)</x:f>
        <x:v>14049.6996996997</x:v>
      </x:c>
      <x:c r="J722" s="67" t="str">
        <x:v>Modeled from live base + Sep-2026 quality ratio</x:v>
      </x:c>
      <x:c r="K722" s="67" t="str">
        <x:v>https://www.stonealgo.com/diamond-prices/</x:v>
      </x:c>
      <x:c r="L722" s="67" t="str">
        <x:v>https://www.pricescope.com/blog/natural-diamond-prices-september-2026</x:v>
      </x:c>
    </x:row>
    <x:row r="723">
      <x:c r="A723" t="n">
        <x:v>2</x:v>
      </x:c>
      <x:c r="B723" t="str">
        <x:v>Oval</x:v>
      </x:c>
      <x:c r="C723" t="str">
        <x:v>F</x:v>
      </x:c>
      <x:c r="D723" t="str">
        <x:v>IF</x:v>
      </x:c>
      <x:c r="E723" s="36" t="n">
        <x:v>19180</x:v>
      </x:c>
      <x:c r="F723" s="36" t="n">
        <x:v>7302</x:v>
      </x:c>
      <x:c r="G723" s="42" t="n">
        <x:v>1.5662805662805663</x:v>
      </x:c>
      <x:c r="H723" s="36" t="n">
        <x:f>E723*G723</x:f>
        <x:v>30041.26126126126</x:v>
      </x:c>
      <x:c r="I723" s="36" t="n">
        <x:f>IFERROR(H723/A723,0)</x:f>
        <x:v>15020.63063063063</x:v>
      </x:c>
      <x:c r="J723" s="67" t="str">
        <x:v>Modeled from live base + Sep-2026 quality ratio</x:v>
      </x:c>
      <x:c r="K723" s="67" t="str">
        <x:v>https://www.stonealgo.com/diamond-prices/</x:v>
      </x:c>
      <x:c r="L723" s="67" t="str">
        <x:v>https://www.pricescope.com/blog/natural-diamond-prices-september-2026</x:v>
      </x:c>
    </x:row>
    <x:row r="724">
      <x:c r="A724" t="n">
        <x:v>2</x:v>
      </x:c>
      <x:c r="B724" t="str">
        <x:v>Oval</x:v>
      </x:c>
      <x:c r="C724" t="str">
        <x:v>F</x:v>
      </x:c>
      <x:c r="D724" t="str">
        <x:v>VVS1</x:v>
      </x:c>
      <x:c r="E724" s="36" t="n">
        <x:v>19180</x:v>
      </x:c>
      <x:c r="F724" s="36" t="n">
        <x:v>7542</x:v>
      </x:c>
      <x:c r="G724" s="42" t="n">
        <x:v>1.6177606177606179</x:v>
      </x:c>
      <x:c r="H724" s="36" t="n">
        <x:f>E724*G724</x:f>
        <x:v>31028.64864864865</x:v>
      </x:c>
      <x:c r="I724" s="36" t="n">
        <x:f>IFERROR(H724/A724,0)</x:f>
        <x:v>15514.324324324325</x:v>
      </x:c>
      <x:c r="J724" s="67" t="str">
        <x:v>Modeled from live base + Sep-2026 quality ratio</x:v>
      </x:c>
      <x:c r="K724" s="67" t="str">
        <x:v>https://www.stonealgo.com/diamond-prices/</x:v>
      </x:c>
      <x:c r="L724" s="67" t="str">
        <x:v>https://www.pricescope.com/blog/natural-diamond-prices-september-2026</x:v>
      </x:c>
    </x:row>
    <x:row r="725">
      <x:c r="A725" t="n">
        <x:v>2</x:v>
      </x:c>
      <x:c r="B725" t="str">
        <x:v>Oval</x:v>
      </x:c>
      <x:c r="C725" t="str">
        <x:v>F</x:v>
      </x:c>
      <x:c r="D725" t="str">
        <x:v>VVS2</x:v>
      </x:c>
      <x:c r="E725" s="36" t="n">
        <x:v>19180</x:v>
      </x:c>
      <x:c r="F725" s="36" t="n">
        <x:v>6352</x:v>
      </x:c>
      <x:c r="G725" s="42" t="n">
        <x:v>1.3625053625053625</x:v>
      </x:c>
      <x:c r="H725" s="36" t="n">
        <x:f>E725*G725</x:f>
        <x:v>26132.85285285285</x:v>
      </x:c>
      <x:c r="I725" s="36" t="n">
        <x:f>IFERROR(H725/A725,0)</x:f>
        <x:v>13066.426426426426</x:v>
      </x:c>
      <x:c r="J725" s="67" t="str">
        <x:v>Modeled from live base + Sep-2026 quality ratio</x:v>
      </x:c>
      <x:c r="K725" s="67" t="str">
        <x:v>https://www.stonealgo.com/diamond-prices/</x:v>
      </x:c>
      <x:c r="L725" s="67" t="str">
        <x:v>https://www.pricescope.com/blog/natural-diamond-prices-september-2026</x:v>
      </x:c>
    </x:row>
    <x:row r="726">
      <x:c r="A726" t="n">
        <x:v>2</x:v>
      </x:c>
      <x:c r="B726" t="str">
        <x:v>Oval</x:v>
      </x:c>
      <x:c r="C726" t="str">
        <x:v>F</x:v>
      </x:c>
      <x:c r="D726" t="str">
        <x:v>VS1</x:v>
      </x:c>
      <x:c r="E726" s="36" t="n">
        <x:v>19180</x:v>
      </x:c>
      <x:c r="F726" s="36" t="n">
        <x:v>5647</x:v>
      </x:c>
      <x:c r="G726" s="42" t="n">
        <x:v>1.2112827112827114</x:v>
      </x:c>
      <x:c r="H726" s="36" t="n">
        <x:f>E726*G726</x:f>
        <x:v>23232.402402402404</x:v>
      </x:c>
      <x:c r="I726" s="36" t="n">
        <x:f>IFERROR(H726/A726,0)</x:f>
        <x:v>11616.201201201202</x:v>
      </x:c>
      <x:c r="J726" s="67" t="str">
        <x:v>Modeled from live base + Sep-2026 quality ratio</x:v>
      </x:c>
      <x:c r="K726" s="67" t="str">
        <x:v>https://www.stonealgo.com/diamond-prices/</x:v>
      </x:c>
      <x:c r="L726" s="67" t="str">
        <x:v>https://www.pricescope.com/blog/natural-diamond-prices-september-2026</x:v>
      </x:c>
    </x:row>
    <x:row r="727">
      <x:c r="A727" t="n">
        <x:v>2</x:v>
      </x:c>
      <x:c r="B727" t="str">
        <x:v>Oval</x:v>
      </x:c>
      <x:c r="C727" t="str">
        <x:v>F</x:v>
      </x:c>
      <x:c r="D727" t="str">
        <x:v>VS2</x:v>
      </x:c>
      <x:c r="E727" s="36" t="n">
        <x:v>19180</x:v>
      </x:c>
      <x:c r="F727" s="36" t="n">
        <x:v>4730</x:v>
      </x:c>
      <x:c r="G727" s="42" t="n">
        <x:v>1.0145860145860146</x:v>
      </x:c>
      <x:c r="H727" s="36" t="n">
        <x:f>E727*G727</x:f>
        <x:v>19459.75975975976</x:v>
      </x:c>
      <x:c r="I727" s="36" t="n">
        <x:f>IFERROR(H727/A727,0)</x:f>
        <x:v>9729.87987987988</x:v>
      </x:c>
      <x:c r="J727" s="67" t="str">
        <x:v>Modeled from live base + Sep-2026 quality ratio</x:v>
      </x:c>
      <x:c r="K727" s="67" t="str">
        <x:v>https://www.stonealgo.com/diamond-prices/</x:v>
      </x:c>
      <x:c r="L727" s="67" t="str">
        <x:v>https://www.pricescope.com/blog/natural-diamond-prices-september-2026</x:v>
      </x:c>
    </x:row>
    <x:row r="728">
      <x:c r="A728" t="n">
        <x:v>2</x:v>
      </x:c>
      <x:c r="B728" t="str">
        <x:v>Oval</x:v>
      </x:c>
      <x:c r="C728" t="str">
        <x:v>F</x:v>
      </x:c>
      <x:c r="D728" t="str">
        <x:v>SI1</x:v>
      </x:c>
      <x:c r="E728" s="36" t="n">
        <x:v>19180</x:v>
      </x:c>
      <x:c r="F728" s="36" t="n">
        <x:v>3331</x:v>
      </x:c>
      <x:c r="G728" s="42" t="n">
        <x:v>0.7145002145002145</x:v>
      </x:c>
      <x:c r="H728" s="36" t="n">
        <x:f>E728*G728</x:f>
        <x:v>13704.114114114114</x:v>
      </x:c>
      <x:c r="I728" s="36" t="n">
        <x:f>IFERROR(H728/A728,0)</x:f>
        <x:v>6852.057057057057</x:v>
      </x:c>
      <x:c r="J728" s="67" t="str">
        <x:v>Modeled from live base + Sep-2026 quality ratio</x:v>
      </x:c>
      <x:c r="K728" s="67" t="str">
        <x:v>https://www.stonealgo.com/diamond-prices/</x:v>
      </x:c>
      <x:c r="L728" s="67" t="str">
        <x:v>https://www.pricescope.com/blog/natural-diamond-prices-september-2026</x:v>
      </x:c>
    </x:row>
    <x:row r="729">
      <x:c r="A729" t="n">
        <x:v>2</x:v>
      </x:c>
      <x:c r="B729" t="str">
        <x:v>Oval</x:v>
      </x:c>
      <x:c r="C729" t="str">
        <x:v>F</x:v>
      </x:c>
      <x:c r="D729" t="str">
        <x:v>SI2</x:v>
      </x:c>
      <x:c r="E729" s="36" t="n">
        <x:v>19180</x:v>
      </x:c>
      <x:c r="F729" s="36" t="n">
        <x:v>2733</x:v>
      </x:c>
      <x:c r="G729" s="42" t="n">
        <x:v>0.5862290862290862</x:v>
      </x:c>
      <x:c r="H729" s="36" t="n">
        <x:f>E729*G729</x:f>
        <x:v>11243.873873873874</x:v>
      </x:c>
      <x:c r="I729" s="36" t="n">
        <x:f>IFERROR(H729/A729,0)</x:f>
        <x:v>5621.936936936937</x:v>
      </x:c>
      <x:c r="J729" s="67" t="str">
        <x:v>Modeled from live base + Sep-2026 quality ratio</x:v>
      </x:c>
      <x:c r="K729" s="67" t="str">
        <x:v>https://www.stonealgo.com/diamond-prices/</x:v>
      </x:c>
      <x:c r="L729" s="67" t="str">
        <x:v>https://www.pricescope.com/blog/natural-diamond-prices-september-2026</x:v>
      </x:c>
    </x:row>
    <x:row r="730">
      <x:c r="A730" t="n">
        <x:v>2</x:v>
      </x:c>
      <x:c r="B730" t="str">
        <x:v>Oval</x:v>
      </x:c>
      <x:c r="C730" t="str">
        <x:v>G</x:v>
      </x:c>
      <x:c r="D730" t="str">
        <x:v>FL</x:v>
      </x:c>
      <x:c r="E730" s="36" t="n">
        <x:v>19180</x:v>
      </x:c>
      <x:c r="F730" s="36" t="n">
        <x:v>5905</x:v>
      </x:c>
      <x:c r="G730" s="42" t="n">
        <x:v>1.2666237666237665</x:v>
      </x:c>
      <x:c r="H730" s="36" t="n">
        <x:f>E730*G730</x:f>
        <x:v>24293.843843843842</x:v>
      </x:c>
      <x:c r="I730" s="36" t="n">
        <x:f>IFERROR(H730/A730,0)</x:f>
        <x:v>12146.921921921921</x:v>
      </x:c>
      <x:c r="J730" s="67" t="str">
        <x:v>Modeled from live base + Sep-2026 quality ratio</x:v>
      </x:c>
      <x:c r="K730" s="67" t="str">
        <x:v>https://www.stonealgo.com/diamond-prices/</x:v>
      </x:c>
      <x:c r="L730" s="67" t="str">
        <x:v>https://www.pricescope.com/blog/natural-diamond-prices-september-2026</x:v>
      </x:c>
    </x:row>
    <x:row r="731">
      <x:c r="A731" t="n">
        <x:v>2</x:v>
      </x:c>
      <x:c r="B731" t="str">
        <x:v>Oval</x:v>
      </x:c>
      <x:c r="C731" t="str">
        <x:v>G</x:v>
      </x:c>
      <x:c r="D731" t="str">
        <x:v>IF</x:v>
      </x:c>
      <x:c r="E731" s="36" t="n">
        <x:v>19180</x:v>
      </x:c>
      <x:c r="F731" s="36" t="n">
        <x:v>5601</x:v>
      </x:c>
      <x:c r="G731" s="42" t="n">
        <x:v>1.2014157014157014</x:v>
      </x:c>
      <x:c r="H731" s="36" t="n">
        <x:f>E731*G731</x:f>
        <x:v>23043.153153153155</x:v>
      </x:c>
      <x:c r="I731" s="36" t="n">
        <x:f>IFERROR(H731/A731,0)</x:f>
        <x:v>11521.576576576577</x:v>
      </x:c>
      <x:c r="J731" s="67" t="str">
        <x:v>Modeled from live base + Sep-2026 quality ratio</x:v>
      </x:c>
      <x:c r="K731" s="67" t="str">
        <x:v>https://www.stonealgo.com/diamond-prices/</x:v>
      </x:c>
      <x:c r="L731" s="67" t="str">
        <x:v>https://www.pricescope.com/blog/natural-diamond-prices-september-2026</x:v>
      </x:c>
    </x:row>
    <x:row r="732">
      <x:c r="A732" t="n">
        <x:v>2</x:v>
      </x:c>
      <x:c r="B732" t="str">
        <x:v>Oval</x:v>
      </x:c>
      <x:c r="C732" t="str">
        <x:v>G</x:v>
      </x:c>
      <x:c r="D732" t="str">
        <x:v>VVS1</x:v>
      </x:c>
      <x:c r="E732" s="36" t="n">
        <x:v>19180</x:v>
      </x:c>
      <x:c r="F732" s="36" t="n">
        <x:v>5124</x:v>
      </x:c>
      <x:c r="G732" s="42" t="n">
        <x:v>1.0990990990990992</x:v>
      </x:c>
      <x:c r="H732" s="36" t="n">
        <x:f>E732*G732</x:f>
        <x:v>21080.72072072072</x:v>
      </x:c>
      <x:c r="I732" s="36" t="n">
        <x:f>IFERROR(H732/A732,0)</x:f>
        <x:v>10540.36036036036</x:v>
      </x:c>
      <x:c r="J732" s="67" t="str">
        <x:v>Modeled from live base + Sep-2026 quality ratio</x:v>
      </x:c>
      <x:c r="K732" s="67" t="str">
        <x:v>https://www.stonealgo.com/diamond-prices/</x:v>
      </x:c>
      <x:c r="L732" s="67" t="str">
        <x:v>https://www.pricescope.com/blog/natural-diamond-prices-september-2026</x:v>
      </x:c>
    </x:row>
    <x:row r="733">
      <x:c r="A733" t="n">
        <x:v>2</x:v>
      </x:c>
      <x:c r="B733" t="str">
        <x:v>Oval</x:v>
      </x:c>
      <x:c r="C733" t="str">
        <x:v>G</x:v>
      </x:c>
      <x:c r="D733" t="str">
        <x:v>VVS2</x:v>
      </x:c>
      <x:c r="E733" s="36" t="n">
        <x:v>19180</x:v>
      </x:c>
      <x:c r="F733" s="36" t="n">
        <x:v>4962</x:v>
      </x:c>
      <x:c r="G733" s="42" t="n">
        <x:v>1.0643500643500643</x:v>
      </x:c>
      <x:c r="H733" s="36" t="n">
        <x:f>E733*G733</x:f>
        <x:v>20414.234234234234</x:v>
      </x:c>
      <x:c r="I733" s="36" t="n">
        <x:f>IFERROR(H733/A733,0)</x:f>
        <x:v>10207.117117117117</x:v>
      </x:c>
      <x:c r="J733" s="67" t="str">
        <x:v>Modeled from live base + Sep-2026 quality ratio</x:v>
      </x:c>
      <x:c r="K733" s="67" t="str">
        <x:v>https://www.stonealgo.com/diamond-prices/</x:v>
      </x:c>
      <x:c r="L733" s="67" t="str">
        <x:v>https://www.pricescope.com/blog/natural-diamond-prices-september-2026</x:v>
      </x:c>
    </x:row>
    <x:row r="734">
      <x:c r="A734" t="n">
        <x:v>2</x:v>
      </x:c>
      <x:c r="B734" t="str">
        <x:v>Oval</x:v>
      </x:c>
      <x:c r="C734" t="str">
        <x:v>G</x:v>
      </x:c>
      <x:c r="D734" t="str">
        <x:v>VS1</x:v>
      </x:c>
      <x:c r="E734" s="36" t="n">
        <x:v>19180</x:v>
      </x:c>
      <x:c r="F734" s="36" t="n">
        <x:v>4615</x:v>
      </x:c>
      <x:c r="G734" s="42" t="n">
        <x:v>0.98991848991849</x:v>
      </x:c>
      <x:c r="H734" s="36" t="n">
        <x:f>E734*G734</x:f>
        <x:v>18986.63663663664</x:v>
      </x:c>
      <x:c r="I734" s="36" t="n">
        <x:f>IFERROR(H734/A734,0)</x:f>
        <x:v>9493.31831831832</x:v>
      </x:c>
      <x:c r="J734" s="67" t="str">
        <x:v>Modeled from live base + Sep-2026 quality ratio</x:v>
      </x:c>
      <x:c r="K734" s="67" t="str">
        <x:v>https://www.stonealgo.com/diamond-prices/</x:v>
      </x:c>
      <x:c r="L734" s="67" t="str">
        <x:v>https://www.pricescope.com/blog/natural-diamond-prices-september-2026</x:v>
      </x:c>
    </x:row>
    <x:row r="735">
      <x:c r="A735" t="n">
        <x:v>2</x:v>
      </x:c>
      <x:c r="B735" t="str">
        <x:v>Oval</x:v>
      </x:c>
      <x:c r="C735" t="str">
        <x:v>G</x:v>
      </x:c>
      <x:c r="D735" t="str">
        <x:v>VS2</x:v>
      </x:c>
      <x:c r="E735" s="36" t="n">
        <x:v>19180</x:v>
      </x:c>
      <x:c r="F735" s="36" t="n">
        <x:v>4585</x:v>
      </x:c>
      <x:c r="G735" s="42" t="n">
        <x:v>0.9834834834834835</x:v>
      </x:c>
      <x:c r="H735" s="36" t="n">
        <x:f>E735*G735</x:f>
        <x:v>18863.213213213214</x:v>
      </x:c>
      <x:c r="I735" s="36" t="n">
        <x:f>IFERROR(H735/A735,0)</x:f>
        <x:v>9431.606606606607</x:v>
      </x:c>
      <x:c r="J735" s="67" t="str">
        <x:v>Modeled from live base + Sep-2026 quality ratio</x:v>
      </x:c>
      <x:c r="K735" s="67" t="str">
        <x:v>https://www.stonealgo.com/diamond-prices/</x:v>
      </x:c>
      <x:c r="L735" s="67" t="str">
        <x:v>https://www.pricescope.com/blog/natural-diamond-prices-september-2026</x:v>
      </x:c>
    </x:row>
    <x:row r="736">
      <x:c r="A736" t="n">
        <x:v>2</x:v>
      </x:c>
      <x:c r="B736" t="str">
        <x:v>Oval</x:v>
      </x:c>
      <x:c r="C736" t="str">
        <x:v>G</x:v>
      </x:c>
      <x:c r="D736" t="str">
        <x:v>SI1</x:v>
      </x:c>
      <x:c r="E736" s="36" t="n">
        <x:v>19180</x:v>
      </x:c>
      <x:c r="F736" s="36" t="n">
        <x:v>3664</x:v>
      </x:c>
      <x:c r="G736" s="42" t="n">
        <x:v>0.7859287859287859</x:v>
      </x:c>
      <x:c r="H736" s="36" t="n">
        <x:f>E736*G736</x:f>
        <x:v>15074.114114114114</x:v>
      </x:c>
      <x:c r="I736" s="36" t="n">
        <x:f>IFERROR(H736/A736,0)</x:f>
        <x:v>7537.057057057057</x:v>
      </x:c>
      <x:c r="J736" s="67" t="str">
        <x:v>Modeled from live base + Sep-2026 quality ratio</x:v>
      </x:c>
      <x:c r="K736" s="67" t="str">
        <x:v>https://www.stonealgo.com/diamond-prices/</x:v>
      </x:c>
      <x:c r="L736" s="67" t="str">
        <x:v>https://www.pricescope.com/blog/natural-diamond-prices-september-2026</x:v>
      </x:c>
    </x:row>
    <x:row r="737">
      <x:c r="A737" t="n">
        <x:v>2</x:v>
      </x:c>
      <x:c r="B737" t="str">
        <x:v>Oval</x:v>
      </x:c>
      <x:c r="C737" t="str">
        <x:v>G</x:v>
      </x:c>
      <x:c r="D737" t="str">
        <x:v>SI2</x:v>
      </x:c>
      <x:c r="E737" s="36" t="n">
        <x:v>19180</x:v>
      </x:c>
      <x:c r="F737" s="36" t="n">
        <x:v>2537</x:v>
      </x:c>
      <x:c r="G737" s="42" t="n">
        <x:v>0.5441870441870442</x:v>
      </x:c>
      <x:c r="H737" s="36" t="n">
        <x:f>E737*G737</x:f>
        <x:v>10437.507507507507</x:v>
      </x:c>
      <x:c r="I737" s="36" t="n">
        <x:f>IFERROR(H737/A737,0)</x:f>
        <x:v>5218.753753753754</x:v>
      </x:c>
      <x:c r="J737" s="67" t="str">
        <x:v>Modeled from live base + Sep-2026 quality ratio</x:v>
      </x:c>
      <x:c r="K737" s="67" t="str">
        <x:v>https://www.stonealgo.com/diamond-prices/</x:v>
      </x:c>
      <x:c r="L737" s="67" t="str">
        <x:v>https://www.pricescope.com/blog/natural-diamond-prices-september-2026</x:v>
      </x:c>
    </x:row>
    <x:row r="738">
      <x:c r="A738" t="n">
        <x:v>2</x:v>
      </x:c>
      <x:c r="B738" t="str">
        <x:v>Oval</x:v>
      </x:c>
      <x:c r="C738" t="str">
        <x:v>H</x:v>
      </x:c>
      <x:c r="D738" t="str">
        <x:v>FL</x:v>
      </x:c>
      <x:c r="E738" s="36" t="n">
        <x:v>19180</x:v>
      </x:c>
      <x:c r="F738" s="36" t="n">
        <x:v>4563</x:v>
      </x:c>
      <x:c r="G738" s="42" t="n">
        <x:v>0.9787644787644788</x:v>
      </x:c>
      <x:c r="H738" s="36" t="n">
        <x:f>E738*G738</x:f>
        <x:v>18772.702702702703</x:v>
      </x:c>
      <x:c r="I738" s="36" t="n">
        <x:f>IFERROR(H738/A738,0)</x:f>
        <x:v>9386.351351351352</x:v>
      </x:c>
      <x:c r="J738" s="67" t="str">
        <x:v>Modeled from live base + Sep-2026 quality ratio</x:v>
      </x:c>
      <x:c r="K738" s="67" t="str">
        <x:v>https://www.stonealgo.com/diamond-prices/</x:v>
      </x:c>
      <x:c r="L738" s="67" t="str">
        <x:v>https://www.pricescope.com/blog/natural-diamond-prices-september-2026</x:v>
      </x:c>
    </x:row>
    <x:row r="739">
      <x:c r="A739" t="n">
        <x:v>2</x:v>
      </x:c>
      <x:c r="B739" t="str">
        <x:v>Oval</x:v>
      </x:c>
      <x:c r="C739" t="str">
        <x:v>H</x:v>
      </x:c>
      <x:c r="D739" t="str">
        <x:v>IF</x:v>
      </x:c>
      <x:c r="E739" s="36" t="n">
        <x:v>19180</x:v>
      </x:c>
      <x:c r="F739" s="36" t="n">
        <x:v>4809</x:v>
      </x:c>
      <x:c r="G739" s="42" t="n">
        <x:v>1.0315315315315314</x:v>
      </x:c>
      <x:c r="H739" s="36" t="n">
        <x:f>E739*G739</x:f>
        <x:v>19784.774774774774</x:v>
      </x:c>
      <x:c r="I739" s="36" t="n">
        <x:f>IFERROR(H739/A739,0)</x:f>
        <x:v>9892.387387387387</x:v>
      </x:c>
      <x:c r="J739" s="67" t="str">
        <x:v>Modeled from live base + Sep-2026 quality ratio</x:v>
      </x:c>
      <x:c r="K739" s="67" t="str">
        <x:v>https://www.stonealgo.com/diamond-prices/</x:v>
      </x:c>
      <x:c r="L739" s="67" t="str">
        <x:v>https://www.pricescope.com/blog/natural-diamond-prices-september-2026</x:v>
      </x:c>
    </x:row>
    <x:row r="740">
      <x:c r="A740" t="n">
        <x:v>2</x:v>
      </x:c>
      <x:c r="B740" t="str">
        <x:v>Oval</x:v>
      </x:c>
      <x:c r="C740" t="str">
        <x:v>H</x:v>
      </x:c>
      <x:c r="D740" t="str">
        <x:v>VVS1</x:v>
      </x:c>
      <x:c r="E740" s="36" t="n">
        <x:v>19180</x:v>
      </x:c>
      <x:c r="F740" s="36" t="n">
        <x:v>4911</x:v>
      </x:c>
      <x:c r="G740" s="42" t="n">
        <x:v>1.0534105534105533</x:v>
      </x:c>
      <x:c r="H740" s="36" t="n">
        <x:f>E740*G740</x:f>
        <x:v>20204.414414414412</x:v>
      </x:c>
      <x:c r="I740" s="36" t="n">
        <x:f>IFERROR(H740/A740,0)</x:f>
        <x:v>10102.207207207206</x:v>
      </x:c>
      <x:c r="J740" s="67" t="str">
        <x:v>Modeled from live base + Sep-2026 quality ratio</x:v>
      </x:c>
      <x:c r="K740" s="67" t="str">
        <x:v>https://www.stonealgo.com/diamond-prices/</x:v>
      </x:c>
      <x:c r="L740" s="67" t="str">
        <x:v>https://www.pricescope.com/blog/natural-diamond-prices-september-2026</x:v>
      </x:c>
    </x:row>
    <x:row r="741">
      <x:c r="A741" t="n">
        <x:v>2</x:v>
      </x:c>
      <x:c r="B741" t="str">
        <x:v>Oval</x:v>
      </x:c>
      <x:c r="C741" t="str">
        <x:v>H</x:v>
      </x:c>
      <x:c r="D741" t="str">
        <x:v>VVS2</x:v>
      </x:c>
      <x:c r="E741" s="36" t="n">
        <x:v>19180</x:v>
      </x:c>
      <x:c r="F741" s="36" t="n">
        <x:v>4046</x:v>
      </x:c>
      <x:c r="G741" s="42" t="n">
        <x:v>0.8678678678678678</x:v>
      </x:c>
      <x:c r="H741" s="36" t="n">
        <x:f>E741*G741</x:f>
        <x:v>16645.705705705706</x:v>
      </x:c>
      <x:c r="I741" s="36" t="n">
        <x:f>IFERROR(H741/A741,0)</x:f>
        <x:v>8322.852852852853</x:v>
      </x:c>
      <x:c r="J741" s="67" t="str">
        <x:v>Modeled from live base + Sep-2026 quality ratio</x:v>
      </x:c>
      <x:c r="K741" s="67" t="str">
        <x:v>https://www.stonealgo.com/diamond-prices/</x:v>
      </x:c>
      <x:c r="L741" s="67" t="str">
        <x:v>https://www.pricescope.com/blog/natural-diamond-prices-september-2026</x:v>
      </x:c>
    </x:row>
    <x:row r="742">
      <x:c r="A742" t="n">
        <x:v>2</x:v>
      </x:c>
      <x:c r="B742" t="str">
        <x:v>Oval</x:v>
      </x:c>
      <x:c r="C742" t="str">
        <x:v>H</x:v>
      </x:c>
      <x:c r="D742" t="str">
        <x:v>VS1</x:v>
      </x:c>
      <x:c r="E742" s="36" t="n">
        <x:v>19180</x:v>
      </x:c>
      <x:c r="F742" s="36" t="n">
        <x:v>3893</x:v>
      </x:c>
      <x:c r="G742" s="42" t="n">
        <x:v>0.8350493350493351</x:v>
      </x:c>
      <x:c r="H742" s="36" t="n">
        <x:f>E742*G742</x:f>
        <x:v>16016.246246246246</x:v>
      </x:c>
      <x:c r="I742" s="36" t="n">
        <x:f>IFERROR(H742/A742,0)</x:f>
        <x:v>8008.123123123123</x:v>
      </x:c>
      <x:c r="J742" s="67" t="str">
        <x:v>Modeled from live base + Sep-2026 quality ratio</x:v>
      </x:c>
      <x:c r="K742" s="67" t="str">
        <x:v>https://www.stonealgo.com/diamond-prices/</x:v>
      </x:c>
      <x:c r="L742" s="67" t="str">
        <x:v>https://www.pricescope.com/blog/natural-diamond-prices-september-2026</x:v>
      </x:c>
    </x:row>
    <x:row r="743">
      <x:c r="A743" t="n">
        <x:v>2</x:v>
      </x:c>
      <x:c r="B743" t="str">
        <x:v>Oval</x:v>
      </x:c>
      <x:c r="C743" t="str">
        <x:v>H</x:v>
      </x:c>
      <x:c r="D743" t="str">
        <x:v>VS2</x:v>
      </x:c>
      <x:c r="E743" s="36" t="n">
        <x:v>19180</x:v>
      </x:c>
      <x:c r="F743" s="36" t="n">
        <x:v>3989</x:v>
      </x:c>
      <x:c r="G743" s="42" t="n">
        <x:v>0.8556413556413557</x:v>
      </x:c>
      <x:c r="H743" s="36" t="n">
        <x:f>E743*G743</x:f>
        <x:v>16411.201201201202</x:v>
      </x:c>
      <x:c r="I743" s="36" t="n">
        <x:f>IFERROR(H743/A743,0)</x:f>
        <x:v>8205.600600600601</x:v>
      </x:c>
      <x:c r="J743" s="67" t="str">
        <x:v>Modeled from live base + Sep-2026 quality ratio</x:v>
      </x:c>
      <x:c r="K743" s="67" t="str">
        <x:v>https://www.stonealgo.com/diamond-prices/</x:v>
      </x:c>
      <x:c r="L743" s="67" t="str">
        <x:v>https://www.pricescope.com/blog/natural-diamond-prices-september-2026</x:v>
      </x:c>
    </x:row>
    <x:row r="744">
      <x:c r="A744" t="n">
        <x:v>2</x:v>
      </x:c>
      <x:c r="B744" t="str">
        <x:v>Oval</x:v>
      </x:c>
      <x:c r="C744" t="str">
        <x:v>H</x:v>
      </x:c>
      <x:c r="D744" t="str">
        <x:v>SI1</x:v>
      </x:c>
      <x:c r="E744" s="36" t="n">
        <x:v>19180</x:v>
      </x:c>
      <x:c r="F744" s="36" t="n">
        <x:v>2828</x:v>
      </x:c>
      <x:c r="G744" s="42" t="n">
        <x:v>0.6066066066066066</x:v>
      </x:c>
      <x:c r="H744" s="36" t="n">
        <x:f>E744*G744</x:f>
        <x:v>11634.714714714715</x:v>
      </x:c>
      <x:c r="I744" s="36" t="n">
        <x:f>IFERROR(H744/A744,0)</x:f>
        <x:v>5817.357357357358</x:v>
      </x:c>
      <x:c r="J744" s="67" t="str">
        <x:v>Modeled from live base + Sep-2026 quality ratio</x:v>
      </x:c>
      <x:c r="K744" s="67" t="str">
        <x:v>https://www.stonealgo.com/diamond-prices/</x:v>
      </x:c>
      <x:c r="L744" s="67" t="str">
        <x:v>https://www.pricescope.com/blog/natural-diamond-prices-september-2026</x:v>
      </x:c>
    </x:row>
    <x:row r="745">
      <x:c r="A745" t="n">
        <x:v>2</x:v>
      </x:c>
      <x:c r="B745" t="str">
        <x:v>Oval</x:v>
      </x:c>
      <x:c r="C745" t="str">
        <x:v>H</x:v>
      </x:c>
      <x:c r="D745" t="str">
        <x:v>SI2</x:v>
      </x:c>
      <x:c r="E745" s="36" t="n">
        <x:v>19180</x:v>
      </x:c>
      <x:c r="F745" s="36" t="n">
        <x:v>2328</x:v>
      </x:c>
      <x:c r="G745" s="42" t="n">
        <x:v>0.49935649935649934</x:v>
      </x:c>
      <x:c r="H745" s="36" t="n">
        <x:f>E745*G745</x:f>
        <x:v>9577.657657657657</x:v>
      </x:c>
      <x:c r="I745" s="36" t="n">
        <x:f>IFERROR(H745/A745,0)</x:f>
        <x:v>4788.828828828829</x:v>
      </x:c>
      <x:c r="J745" s="67" t="str">
        <x:v>Modeled from live base + Sep-2026 quality ratio</x:v>
      </x:c>
      <x:c r="K745" s="67" t="str">
        <x:v>https://www.stonealgo.com/diamond-prices/</x:v>
      </x:c>
      <x:c r="L745" s="67" t="str">
        <x:v>https://www.pricescope.com/blog/natural-diamond-prices-september-2026</x:v>
      </x:c>
    </x:row>
    <x:row r="746">
      <x:c r="A746" t="n">
        <x:v>2</x:v>
      </x:c>
      <x:c r="B746" t="str">
        <x:v>Oval</x:v>
      </x:c>
      <x:c r="C746" t="str">
        <x:v>I</x:v>
      </x:c>
      <x:c r="D746" t="str">
        <x:v>FL</x:v>
      </x:c>
      <x:c r="E746" s="36" t="n">
        <x:v>19180</x:v>
      </x:c>
      <x:c r="F746" s="36" t="n">
        <x:v>4623</x:v>
      </x:c>
      <x:c r="G746" s="42" t="n">
        <x:v>0.9916344916344917</x:v>
      </x:c>
      <x:c r="H746" s="36" t="n">
        <x:f>E746*G746</x:f>
        <x:v>19019.54954954955</x:v>
      </x:c>
      <x:c r="I746" s="36" t="n">
        <x:f>IFERROR(H746/A746,0)</x:f>
        <x:v>9509.774774774774</x:v>
      </x:c>
      <x:c r="J746" s="67" t="str">
        <x:v>Modeled from live base + Sep-2026 quality ratio</x:v>
      </x:c>
      <x:c r="K746" s="67" t="str">
        <x:v>https://www.stonealgo.com/diamond-prices/</x:v>
      </x:c>
      <x:c r="L746" s="67" t="str">
        <x:v>https://www.pricescope.com/blog/natural-diamond-prices-september-2026</x:v>
      </x:c>
    </x:row>
    <x:row r="747">
      <x:c r="A747" t="n">
        <x:v>2</x:v>
      </x:c>
      <x:c r="B747" t="str">
        <x:v>Oval</x:v>
      </x:c>
      <x:c r="C747" t="str">
        <x:v>I</x:v>
      </x:c>
      <x:c r="D747" t="str">
        <x:v>IF</x:v>
      </x:c>
      <x:c r="E747" s="36" t="n">
        <x:v>19180</x:v>
      </x:c>
      <x:c r="F747" s="36" t="n">
        <x:v>4005</x:v>
      </x:c>
      <x:c r="G747" s="42" t="n">
        <x:v>0.859073359073359</x:v>
      </x:c>
      <x:c r="H747" s="36" t="n">
        <x:f>E747*G747</x:f>
        <x:v>16477.027027027027</x:v>
      </x:c>
      <x:c r="I747" s="36" t="n">
        <x:f>IFERROR(H747/A747,0)</x:f>
        <x:v>8238.513513513513</x:v>
      </x:c>
      <x:c r="J747" s="67" t="str">
        <x:v>Modeled from live base + Sep-2026 quality ratio</x:v>
      </x:c>
      <x:c r="K747" s="67" t="str">
        <x:v>https://www.stonealgo.com/diamond-prices/</x:v>
      </x:c>
      <x:c r="L747" s="67" t="str">
        <x:v>https://www.pricescope.com/blog/natural-diamond-prices-september-2026</x:v>
      </x:c>
    </x:row>
    <x:row r="748">
      <x:c r="A748" t="n">
        <x:v>2</x:v>
      </x:c>
      <x:c r="B748" t="str">
        <x:v>Oval</x:v>
      </x:c>
      <x:c r="C748" t="str">
        <x:v>I</x:v>
      </x:c>
      <x:c r="D748" t="str">
        <x:v>VVS1</x:v>
      </x:c>
      <x:c r="E748" s="36" t="n">
        <x:v>19180</x:v>
      </x:c>
      <x:c r="F748" s="36" t="n">
        <x:v>3670</x:v>
      </x:c>
      <x:c r="G748" s="42" t="n">
        <x:v>0.7872157872157872</x:v>
      </x:c>
      <x:c r="H748" s="36" t="n">
        <x:f>E748*G748</x:f>
        <x:v>15098.798798798798</x:v>
      </x:c>
      <x:c r="I748" s="36" t="n">
        <x:f>IFERROR(H748/A748,0)</x:f>
        <x:v>7549.399399399399</x:v>
      </x:c>
      <x:c r="J748" s="67" t="str">
        <x:v>Modeled from live base + Sep-2026 quality ratio</x:v>
      </x:c>
      <x:c r="K748" s="67" t="str">
        <x:v>https://www.stonealgo.com/diamond-prices/</x:v>
      </x:c>
      <x:c r="L748" s="67" t="str">
        <x:v>https://www.pricescope.com/blog/natural-diamond-prices-september-2026</x:v>
      </x:c>
    </x:row>
    <x:row r="749">
      <x:c r="A749" t="n">
        <x:v>2</x:v>
      </x:c>
      <x:c r="B749" t="str">
        <x:v>Oval</x:v>
      </x:c>
      <x:c r="C749" t="str">
        <x:v>I</x:v>
      </x:c>
      <x:c r="D749" t="str">
        <x:v>VVS2</x:v>
      </x:c>
      <x:c r="E749" s="36" t="n">
        <x:v>19180</x:v>
      </x:c>
      <x:c r="F749" s="36" t="n">
        <x:v>3447</x:v>
      </x:c>
      <x:c r="G749" s="42" t="n">
        <x:v>0.7393822393822393</x:v>
      </x:c>
      <x:c r="H749" s="36" t="n">
        <x:f>E749*G749</x:f>
        <x:v>14181.35135135135</x:v>
      </x:c>
      <x:c r="I749" s="36" t="n">
        <x:f>IFERROR(H749/A749,0)</x:f>
        <x:v>7090.675675675675</x:v>
      </x:c>
      <x:c r="J749" s="67" t="str">
        <x:v>Modeled from live base + Sep-2026 quality ratio</x:v>
      </x:c>
      <x:c r="K749" s="67" t="str">
        <x:v>https://www.stonealgo.com/diamond-prices/</x:v>
      </x:c>
      <x:c r="L749" s="67" t="str">
        <x:v>https://www.pricescope.com/blog/natural-diamond-prices-september-2026</x:v>
      </x:c>
    </x:row>
    <x:row r="750">
      <x:c r="A750" t="n">
        <x:v>2</x:v>
      </x:c>
      <x:c r="B750" t="str">
        <x:v>Oval</x:v>
      </x:c>
      <x:c r="C750" t="str">
        <x:v>I</x:v>
      </x:c>
      <x:c r="D750" t="str">
        <x:v>VS1</x:v>
      </x:c>
      <x:c r="E750" s="36" t="n">
        <x:v>19180</x:v>
      </x:c>
      <x:c r="F750" s="36" t="n">
        <x:v>3313</x:v>
      </x:c>
      <x:c r="G750" s="42" t="n">
        <x:v>0.7106392106392107</x:v>
      </x:c>
      <x:c r="H750" s="36" t="n">
        <x:f>E750*G750</x:f>
        <x:v>13630.060060060061</x:v>
      </x:c>
      <x:c r="I750" s="36" t="n">
        <x:f>IFERROR(H750/A750,0)</x:f>
        <x:v>6815.0300300300305</x:v>
      </x:c>
      <x:c r="J750" s="67" t="str">
        <x:v>Modeled from live base + Sep-2026 quality ratio</x:v>
      </x:c>
      <x:c r="K750" s="67" t="str">
        <x:v>https://www.stonealgo.com/diamond-prices/</x:v>
      </x:c>
      <x:c r="L750" s="67" t="str">
        <x:v>https://www.pricescope.com/blog/natural-diamond-prices-september-2026</x:v>
      </x:c>
    </x:row>
    <x:row r="751">
      <x:c r="A751" t="n">
        <x:v>2</x:v>
      </x:c>
      <x:c r="B751" t="str">
        <x:v>Oval</x:v>
      </x:c>
      <x:c r="C751" t="str">
        <x:v>I</x:v>
      </x:c>
      <x:c r="D751" t="str">
        <x:v>VS2</x:v>
      </x:c>
      <x:c r="E751" s="36" t="n">
        <x:v>19180</x:v>
      </x:c>
      <x:c r="F751" s="36" t="n">
        <x:v>3240</x:v>
      </x:c>
      <x:c r="G751" s="42" t="n">
        <x:v>0.694980694980695</x:v>
      </x:c>
      <x:c r="H751" s="36" t="n">
        <x:f>E751*G751</x:f>
        <x:v>13329.72972972973</x:v>
      </x:c>
      <x:c r="I751" s="36" t="n">
        <x:f>IFERROR(H751/A751,0)</x:f>
        <x:v>6664.864864864865</x:v>
      </x:c>
      <x:c r="J751" s="67" t="str">
        <x:v>Modeled from live base + Sep-2026 quality ratio</x:v>
      </x:c>
      <x:c r="K751" s="67" t="str">
        <x:v>https://www.stonealgo.com/diamond-prices/</x:v>
      </x:c>
      <x:c r="L751" s="67" t="str">
        <x:v>https://www.pricescope.com/blog/natural-diamond-prices-september-2026</x:v>
      </x:c>
    </x:row>
    <x:row r="752">
      <x:c r="A752" t="n">
        <x:v>2</x:v>
      </x:c>
      <x:c r="B752" t="str">
        <x:v>Oval</x:v>
      </x:c>
      <x:c r="C752" t="str">
        <x:v>I</x:v>
      </x:c>
      <x:c r="D752" t="str">
        <x:v>SI1</x:v>
      </x:c>
      <x:c r="E752" s="36" t="n">
        <x:v>19180</x:v>
      </x:c>
      <x:c r="F752" s="36" t="n">
        <x:v>3199</x:v>
      </x:c>
      <x:c r="G752" s="42" t="n">
        <x:v>0.6861861861861862</x:v>
      </x:c>
      <x:c r="H752" s="36" t="n">
        <x:f>E752*G752</x:f>
        <x:v>13161.051051051052</x:v>
      </x:c>
      <x:c r="I752" s="36" t="n">
        <x:f>IFERROR(H752/A752,0)</x:f>
        <x:v>6580.525525525526</x:v>
      </x:c>
      <x:c r="J752" s="67" t="str">
        <x:v>Modeled from live base + Sep-2026 quality ratio</x:v>
      </x:c>
      <x:c r="K752" s="67" t="str">
        <x:v>https://www.stonealgo.com/diamond-prices/</x:v>
      </x:c>
      <x:c r="L752" s="67" t="str">
        <x:v>https://www.pricescope.com/blog/natural-diamond-prices-september-2026</x:v>
      </x:c>
    </x:row>
    <x:row r="753">
      <x:c r="A753" t="n">
        <x:v>2</x:v>
      </x:c>
      <x:c r="B753" t="str">
        <x:v>Oval</x:v>
      </x:c>
      <x:c r="C753" t="str">
        <x:v>I</x:v>
      </x:c>
      <x:c r="D753" t="str">
        <x:v>SI2</x:v>
      </x:c>
      <x:c r="E753" s="36" t="n">
        <x:v>19180</x:v>
      </x:c>
      <x:c r="F753" s="36" t="n">
        <x:v>2874</x:v>
      </x:c>
      <x:c r="G753" s="42" t="n">
        <x:v>0.6164736164736164</x:v>
      </x:c>
      <x:c r="H753" s="36" t="n">
        <x:f>E753*G753</x:f>
        <x:v>11823.963963963963</x:v>
      </x:c>
      <x:c r="I753" s="36" t="n">
        <x:f>IFERROR(H753/A753,0)</x:f>
        <x:v>5911.981981981981</x:v>
      </x:c>
      <x:c r="J753" s="67" t="str">
        <x:v>Modeled from live base + Sep-2026 quality ratio</x:v>
      </x:c>
      <x:c r="K753" s="67" t="str">
        <x:v>https://www.stonealgo.com/diamond-prices/</x:v>
      </x:c>
      <x:c r="L753" s="67" t="str">
        <x:v>https://www.pricescope.com/blog/natural-diamond-prices-september-2026</x:v>
      </x:c>
    </x:row>
    <x:row r="754">
      <x:c r="A754" t="n">
        <x:v>2</x:v>
      </x:c>
      <x:c r="B754" t="str">
        <x:v>Oval</x:v>
      </x:c>
      <x:c r="C754" t="str">
        <x:v>J</x:v>
      </x:c>
      <x:c r="D754" t="str">
        <x:v>FL</x:v>
      </x:c>
      <x:c r="E754" s="36" t="n">
        <x:v>19180</x:v>
      </x:c>
      <x:c r="F754" s="36" t="n">
        <x:v>3646</x:v>
      </x:c>
      <x:c r="G754" s="42" t="n">
        <x:v>0.782067782067782</x:v>
      </x:c>
      <x:c r="H754" s="36" t="n">
        <x:f>E754*G754</x:f>
        <x:v>15000.06006006006</x:v>
      </x:c>
      <x:c r="I754" s="36" t="n">
        <x:f>IFERROR(H754/A754,0)</x:f>
        <x:v>7500.03003003003</x:v>
      </x:c>
      <x:c r="J754" s="67" t="str">
        <x:v>Modeled from live base + Sep-2026 quality ratio</x:v>
      </x:c>
      <x:c r="K754" s="67" t="str">
        <x:v>https://www.stonealgo.com/diamond-prices/</x:v>
      </x:c>
      <x:c r="L754" s="67" t="str">
        <x:v>https://www.pricescope.com/blog/natural-diamond-prices-september-2026</x:v>
      </x:c>
    </x:row>
    <x:row r="755">
      <x:c r="A755" t="n">
        <x:v>2</x:v>
      </x:c>
      <x:c r="B755" t="str">
        <x:v>Oval</x:v>
      </x:c>
      <x:c r="C755" t="str">
        <x:v>J</x:v>
      </x:c>
      <x:c r="D755" t="str">
        <x:v>IF</x:v>
      </x:c>
      <x:c r="E755" s="36" t="n">
        <x:v>19180</x:v>
      </x:c>
      <x:c r="F755" s="36" t="n">
        <x:v>3368</x:v>
      </x:c>
      <x:c r="G755" s="42" t="n">
        <x:v>0.7224367224367224</x:v>
      </x:c>
      <x:c r="H755" s="36" t="n">
        <x:f>E755*G755</x:f>
        <x:v>13856.336336336335</x:v>
      </x:c>
      <x:c r="I755" s="36" t="n">
        <x:f>IFERROR(H755/A755,0)</x:f>
        <x:v>6928.1681681681675</x:v>
      </x:c>
      <x:c r="J755" s="67" t="str">
        <x:v>Modeled from live base + Sep-2026 quality ratio</x:v>
      </x:c>
      <x:c r="K755" s="67" t="str">
        <x:v>https://www.stonealgo.com/diamond-prices/</x:v>
      </x:c>
      <x:c r="L755" s="67" t="str">
        <x:v>https://www.pricescope.com/blog/natural-diamond-prices-september-2026</x:v>
      </x:c>
    </x:row>
    <x:row r="756">
      <x:c r="A756" t="n">
        <x:v>2</x:v>
      </x:c>
      <x:c r="B756" t="str">
        <x:v>Oval</x:v>
      </x:c>
      <x:c r="C756" t="str">
        <x:v>J</x:v>
      </x:c>
      <x:c r="D756" t="str">
        <x:v>VVS1</x:v>
      </x:c>
      <x:c r="E756" s="36" t="n">
        <x:v>19180</x:v>
      </x:c>
      <x:c r="F756" s="36" t="n">
        <x:v>2956</x:v>
      </x:c>
      <x:c r="G756" s="42" t="n">
        <x:v>0.6340626340626341</x:v>
      </x:c>
      <x:c r="H756" s="36" t="n">
        <x:f>E756*G756</x:f>
        <x:v>12161.321321321322</x:v>
      </x:c>
      <x:c r="I756" s="36" t="n">
        <x:f>IFERROR(H756/A756,0)</x:f>
        <x:v>6080.660660660661</x:v>
      </x:c>
      <x:c r="J756" s="67" t="str">
        <x:v>Modeled from live base + Sep-2026 quality ratio</x:v>
      </x:c>
      <x:c r="K756" s="67" t="str">
        <x:v>https://www.stonealgo.com/diamond-prices/</x:v>
      </x:c>
      <x:c r="L756" s="67" t="str">
        <x:v>https://www.pricescope.com/blog/natural-diamond-prices-september-2026</x:v>
      </x:c>
    </x:row>
    <x:row r="757">
      <x:c r="A757" t="n">
        <x:v>2</x:v>
      </x:c>
      <x:c r="B757" t="str">
        <x:v>Oval</x:v>
      </x:c>
      <x:c r="C757" t="str">
        <x:v>J</x:v>
      </x:c>
      <x:c r="D757" t="str">
        <x:v>VVS2</x:v>
      </x:c>
      <x:c r="E757" s="36" t="n">
        <x:v>19180</x:v>
      </x:c>
      <x:c r="F757" s="36" t="n">
        <x:v>2612</x:v>
      </x:c>
      <x:c r="G757" s="42" t="n">
        <x:v>0.5602745602745602</x:v>
      </x:c>
      <x:c r="H757" s="36" t="n">
        <x:f>E757*G757</x:f>
        <x:v>10746.066066066065</x:v>
      </x:c>
      <x:c r="I757" s="36" t="n">
        <x:f>IFERROR(H757/A757,0)</x:f>
        <x:v>5373.033033033033</x:v>
      </x:c>
      <x:c r="J757" s="67" t="str">
        <x:v>Modeled from live base + Sep-2026 quality ratio</x:v>
      </x:c>
      <x:c r="K757" s="67" t="str">
        <x:v>https://www.stonealgo.com/diamond-prices/</x:v>
      </x:c>
      <x:c r="L757" s="67" t="str">
        <x:v>https://www.pricescope.com/blog/natural-diamond-prices-september-2026</x:v>
      </x:c>
    </x:row>
    <x:row r="758">
      <x:c r="A758" t="n">
        <x:v>2</x:v>
      </x:c>
      <x:c r="B758" t="str">
        <x:v>Oval</x:v>
      </x:c>
      <x:c r="C758" t="str">
        <x:v>J</x:v>
      </x:c>
      <x:c r="D758" t="str">
        <x:v>VS1</x:v>
      </x:c>
      <x:c r="E758" s="36" t="n">
        <x:v>19180</x:v>
      </x:c>
      <x:c r="F758" s="36" t="n">
        <x:v>3002</x:v>
      </x:c>
      <x:c r="G758" s="42" t="n">
        <x:v>0.6439296439296439</x:v>
      </x:c>
      <x:c r="H758" s="36" t="n">
        <x:f>E758*G758</x:f>
        <x:v>12350.57057057057</x:v>
      </x:c>
      <x:c r="I758" s="36" t="n">
        <x:f>IFERROR(H758/A758,0)</x:f>
        <x:v>6175.285285285285</x:v>
      </x:c>
      <x:c r="J758" s="67" t="str">
        <x:v>Modeled from live base + Sep-2026 quality ratio</x:v>
      </x:c>
      <x:c r="K758" s="67" t="str">
        <x:v>https://www.stonealgo.com/diamond-prices/</x:v>
      </x:c>
      <x:c r="L758" s="67" t="str">
        <x:v>https://www.pricescope.com/blog/natural-diamond-prices-september-2026</x:v>
      </x:c>
    </x:row>
    <x:row r="759">
      <x:c r="A759" t="n">
        <x:v>2</x:v>
      </x:c>
      <x:c r="B759" t="str">
        <x:v>Oval</x:v>
      </x:c>
      <x:c r="C759" t="str">
        <x:v>J</x:v>
      </x:c>
      <x:c r="D759" t="str">
        <x:v>VS2</x:v>
      </x:c>
      <x:c r="E759" s="36" t="n">
        <x:v>19180</x:v>
      </x:c>
      <x:c r="F759" s="36" t="n">
        <x:v>2559</x:v>
      </x:c>
      <x:c r="G759" s="42" t="n">
        <x:v>0.5489060489060489</x:v>
      </x:c>
      <x:c r="H759" s="36" t="n">
        <x:f>E759*G759</x:f>
        <x:v>10528.018018018018</x:v>
      </x:c>
      <x:c r="I759" s="36" t="n">
        <x:f>IFERROR(H759/A759,0)</x:f>
        <x:v>5264.009009009009</x:v>
      </x:c>
      <x:c r="J759" s="67" t="str">
        <x:v>Modeled from live base + Sep-2026 quality ratio</x:v>
      </x:c>
      <x:c r="K759" s="67" t="str">
        <x:v>https://www.stonealgo.com/diamond-prices/</x:v>
      </x:c>
      <x:c r="L759" s="67" t="str">
        <x:v>https://www.pricescope.com/blog/natural-diamond-prices-september-2026</x:v>
      </x:c>
    </x:row>
    <x:row r="760">
      <x:c r="A760" t="n">
        <x:v>2</x:v>
      </x:c>
      <x:c r="B760" t="str">
        <x:v>Oval</x:v>
      </x:c>
      <x:c r="C760" t="str">
        <x:v>J</x:v>
      </x:c>
      <x:c r="D760" t="str">
        <x:v>SI1</x:v>
      </x:c>
      <x:c r="E760" s="36" t="n">
        <x:v>19180</x:v>
      </x:c>
      <x:c r="F760" s="36" t="n">
        <x:v>2195</x:v>
      </x:c>
      <x:c r="G760" s="42" t="n">
        <x:v>0.47082797082797084</x:v>
      </x:c>
      <x:c r="H760" s="36" t="n">
        <x:f>E760*G760</x:f>
        <x:v>9030.48048048048</x:v>
      </x:c>
      <x:c r="I760" s="36" t="n">
        <x:f>IFERROR(H760/A760,0)</x:f>
        <x:v>4515.24024024024</x:v>
      </x:c>
      <x:c r="J760" s="67" t="str">
        <x:v>Modeled from live base + Sep-2026 quality ratio</x:v>
      </x:c>
      <x:c r="K760" s="67" t="str">
        <x:v>https://www.stonealgo.com/diamond-prices/</x:v>
      </x:c>
      <x:c r="L760" s="67" t="str">
        <x:v>https://www.pricescope.com/blog/natural-diamond-prices-september-2026</x:v>
      </x:c>
    </x:row>
    <x:row r="761">
      <x:c r="A761" t="n">
        <x:v>2</x:v>
      </x:c>
      <x:c r="B761" t="str">
        <x:v>Oval</x:v>
      </x:c>
      <x:c r="C761" t="str">
        <x:v>J</x:v>
      </x:c>
      <x:c r="D761" t="str">
        <x:v>SI2</x:v>
      </x:c>
      <x:c r="E761" s="36" t="n">
        <x:v>19180</x:v>
      </x:c>
      <x:c r="F761" s="36" t="n">
        <x:v>2079</x:v>
      </x:c>
      <x:c r="G761" s="42" t="n">
        <x:v>0.44594594594594594</x:v>
      </x:c>
      <x:c r="H761" s="36" t="n">
        <x:f>E761*G761</x:f>
        <x:v>8553.243243243243</x:v>
      </x:c>
      <x:c r="I761" s="36" t="n">
        <x:f>IFERROR(H761/A761,0)</x:f>
        <x:v>4276.621621621622</x:v>
      </x:c>
      <x:c r="J761" s="67" t="str">
        <x:v>Modeled from live base + Sep-2026 quality ratio</x:v>
      </x:c>
      <x:c r="K761" s="67" t="str">
        <x:v>https://www.stonealgo.com/diamond-prices/</x:v>
      </x:c>
      <x:c r="L761" s="67" t="str">
        <x:v>https://www.pricescope.com/blog/natural-diamond-prices-september-2026</x:v>
      </x:c>
    </x:row>
    <x:row r="762">
      <x:c r="A762" t="n">
        <x:v>2</x:v>
      </x:c>
      <x:c r="B762" t="str">
        <x:v>Oval</x:v>
      </x:c>
      <x:c r="C762" t="str">
        <x:v>K</x:v>
      </x:c>
      <x:c r="D762" t="str">
        <x:v>FL</x:v>
      </x:c>
      <x:c r="E762" s="36" t="n">
        <x:v>19180</x:v>
      </x:c>
      <x:c r="F762" s="36" t="n">
        <x:v>2858</x:v>
      </x:c>
      <x:c r="G762" s="42" t="n">
        <x:v>0.6130416130416131</x:v>
      </x:c>
      <x:c r="H762" s="36" t="n">
        <x:f>E762*G762</x:f>
        <x:v>11758.13813813814</x:v>
      </x:c>
      <x:c r="I762" s="36" t="n">
        <x:f>IFERROR(H762/A762,0)</x:f>
        <x:v>5879.06906906907</x:v>
      </x:c>
      <x:c r="J762" s="67" t="str">
        <x:v>Modeled from live base + Sep-2026 quality ratio; K/FL quality cell modeled</x:v>
      </x:c>
      <x:c r="K762" s="67" t="str">
        <x:v>https://www.stonealgo.com/diamond-prices/</x:v>
      </x:c>
      <x:c r="L762" s="67" t="str">
        <x:v>https://www.pricescope.com/blog/natural-diamond-prices-september-2026</x:v>
      </x:c>
    </x:row>
    <x:row r="763">
      <x:c r="A763" t="n">
        <x:v>2</x:v>
      </x:c>
      <x:c r="B763" t="str">
        <x:v>Oval</x:v>
      </x:c>
      <x:c r="C763" t="str">
        <x:v>K</x:v>
      </x:c>
      <x:c r="D763" t="str">
        <x:v>IF</x:v>
      </x:c>
      <x:c r="E763" s="36" t="n">
        <x:v>19180</x:v>
      </x:c>
      <x:c r="F763" s="36" t="n">
        <x:v>2743</x:v>
      </x:c>
      <x:c r="G763" s="42" t="n">
        <x:v>0.5883740883740883</x:v>
      </x:c>
      <x:c r="H763" s="36" t="n">
        <x:f>E763*G763</x:f>
        <x:v>11285.015015015015</x:v>
      </x:c>
      <x:c r="I763" s="36" t="n">
        <x:f>IFERROR(H763/A763,0)</x:f>
        <x:v>5642.507507507507</x:v>
      </x:c>
      <x:c r="J763" s="67" t="str">
        <x:v>Modeled from live base + Sep-2026 quality ratio</x:v>
      </x:c>
      <x:c r="K763" s="67" t="str">
        <x:v>https://www.stonealgo.com/diamond-prices/</x:v>
      </x:c>
      <x:c r="L763" s="67" t="str">
        <x:v>https://www.pricescope.com/blog/natural-diamond-prices-september-2026</x:v>
      </x:c>
    </x:row>
    <x:row r="764">
      <x:c r="A764" t="n">
        <x:v>2</x:v>
      </x:c>
      <x:c r="B764" t="str">
        <x:v>Oval</x:v>
      </x:c>
      <x:c r="C764" t="str">
        <x:v>K</x:v>
      </x:c>
      <x:c r="D764" t="str">
        <x:v>VVS1</x:v>
      </x:c>
      <x:c r="E764" s="36" t="n">
        <x:v>19180</x:v>
      </x:c>
      <x:c r="F764" s="36" t="n">
        <x:v>2529</x:v>
      </x:c>
      <x:c r="G764" s="42" t="n">
        <x:v>0.5424710424710425</x:v>
      </x:c>
      <x:c r="H764" s="36" t="n">
        <x:f>E764*G764</x:f>
        <x:v>10404.594594594595</x:v>
      </x:c>
      <x:c r="I764" s="36" t="n">
        <x:f>IFERROR(H764/A764,0)</x:f>
        <x:v>5202.2972972972975</x:v>
      </x:c>
      <x:c r="J764" s="67" t="str">
        <x:v>Modeled from live base + Sep-2026 quality ratio</x:v>
      </x:c>
      <x:c r="K764" s="67" t="str">
        <x:v>https://www.stonealgo.com/diamond-prices/</x:v>
      </x:c>
      <x:c r="L764" s="67" t="str">
        <x:v>https://www.pricescope.com/blog/natural-diamond-prices-september-2026</x:v>
      </x:c>
    </x:row>
    <x:row r="765">
      <x:c r="A765" t="n">
        <x:v>2</x:v>
      </x:c>
      <x:c r="B765" t="str">
        <x:v>Oval</x:v>
      </x:c>
      <x:c r="C765" t="str">
        <x:v>K</x:v>
      </x:c>
      <x:c r="D765" t="str">
        <x:v>VVS2</x:v>
      </x:c>
      <x:c r="E765" s="36" t="n">
        <x:v>19180</x:v>
      </x:c>
      <x:c r="F765" s="36" t="n">
        <x:v>2374</x:v>
      </x:c>
      <x:c r="G765" s="42" t="n">
        <x:v>0.5092235092235092</x:v>
      </x:c>
      <x:c r="H765" s="36" t="n">
        <x:f>E765*G765</x:f>
        <x:v>9766.906906906906</x:v>
      </x:c>
      <x:c r="I765" s="36" t="n">
        <x:f>IFERROR(H765/A765,0)</x:f>
        <x:v>4883.453453453453</x:v>
      </x:c>
      <x:c r="J765" s="67" t="str">
        <x:v>Modeled from live base + Sep-2026 quality ratio</x:v>
      </x:c>
      <x:c r="K765" s="67" t="str">
        <x:v>https://www.stonealgo.com/diamond-prices/</x:v>
      </x:c>
      <x:c r="L765" s="67" t="str">
        <x:v>https://www.pricescope.com/blog/natural-diamond-prices-september-2026</x:v>
      </x:c>
    </x:row>
    <x:row r="766">
      <x:c r="A766" t="n">
        <x:v>2</x:v>
      </x:c>
      <x:c r="B766" t="str">
        <x:v>Oval</x:v>
      </x:c>
      <x:c r="C766" t="str">
        <x:v>K</x:v>
      </x:c>
      <x:c r="D766" t="str">
        <x:v>VS1</x:v>
      </x:c>
      <x:c r="E766" s="36" t="n">
        <x:v>19180</x:v>
      </x:c>
      <x:c r="F766" s="36" t="n">
        <x:v>2223</x:v>
      </x:c>
      <x:c r="G766" s="42" t="n">
        <x:v>0.4768339768339768</x:v>
      </x:c>
      <x:c r="H766" s="36" t="n">
        <x:f>E766*G766</x:f>
        <x:v>9145.675675675675</x:v>
      </x:c>
      <x:c r="I766" s="36" t="n">
        <x:f>IFERROR(H766/A766,0)</x:f>
        <x:v>4572.8378378378375</x:v>
      </x:c>
      <x:c r="J766" s="67" t="str">
        <x:v>Modeled from live base + Sep-2026 quality ratio</x:v>
      </x:c>
      <x:c r="K766" s="67" t="str">
        <x:v>https://www.stonealgo.com/diamond-prices/</x:v>
      </x:c>
      <x:c r="L766" s="67" t="str">
        <x:v>https://www.pricescope.com/blog/natural-diamond-prices-september-2026</x:v>
      </x:c>
    </x:row>
    <x:row r="767">
      <x:c r="A767" t="n">
        <x:v>2</x:v>
      </x:c>
      <x:c r="B767" t="str">
        <x:v>Oval</x:v>
      </x:c>
      <x:c r="C767" t="str">
        <x:v>K</x:v>
      </x:c>
      <x:c r="D767" t="str">
        <x:v>VS2</x:v>
      </x:c>
      <x:c r="E767" s="36" t="n">
        <x:v>19180</x:v>
      </x:c>
      <x:c r="F767" s="36" t="n">
        <x:v>2098</x:v>
      </x:c>
      <x:c r="G767" s="42" t="n">
        <x:v>0.45002145002145</x:v>
      </x:c>
      <x:c r="H767" s="36" t="n">
        <x:f>E767*G767</x:f>
        <x:v>8631.41141141141</x:v>
      </x:c>
      <x:c r="I767" s="36" t="n">
        <x:f>IFERROR(H767/A767,0)</x:f>
        <x:v>4315.705705705705</x:v>
      </x:c>
      <x:c r="J767" s="67" t="str">
        <x:v>Modeled from live base + Sep-2026 quality ratio</x:v>
      </x:c>
      <x:c r="K767" s="67" t="str">
        <x:v>https://www.stonealgo.com/diamond-prices/</x:v>
      </x:c>
      <x:c r="L767" s="67" t="str">
        <x:v>https://www.pricescope.com/blog/natural-diamond-prices-september-2026</x:v>
      </x:c>
    </x:row>
    <x:row r="768">
      <x:c r="A768" t="n">
        <x:v>2</x:v>
      </x:c>
      <x:c r="B768" t="str">
        <x:v>Oval</x:v>
      </x:c>
      <x:c r="C768" t="str">
        <x:v>K</x:v>
      </x:c>
      <x:c r="D768" t="str">
        <x:v>SI1</x:v>
      </x:c>
      <x:c r="E768" s="36" t="n">
        <x:v>19180</x:v>
      </x:c>
      <x:c r="F768" s="36" t="n">
        <x:v>1922</x:v>
      </x:c>
      <x:c r="G768" s="42" t="n">
        <x:v>0.41226941226941227</x:v>
      </x:c>
      <x:c r="H768" s="36" t="n">
        <x:f>E768*G768</x:f>
        <x:v>7907.327327327327</x:v>
      </x:c>
      <x:c r="I768" s="36" t="n">
        <x:f>IFERROR(H768/A768,0)</x:f>
        <x:v>3953.6636636636636</x:v>
      </x:c>
      <x:c r="J768" s="67" t="str">
        <x:v>Modeled from live base + Sep-2026 quality ratio</x:v>
      </x:c>
      <x:c r="K768" s="67" t="str">
        <x:v>https://www.stonealgo.com/diamond-prices/</x:v>
      </x:c>
      <x:c r="L768" s="67" t="str">
        <x:v>https://www.pricescope.com/blog/natural-diamond-prices-september-2026</x:v>
      </x:c>
    </x:row>
    <x:row r="769">
      <x:c r="A769" t="n">
        <x:v>2</x:v>
      </x:c>
      <x:c r="B769" t="str">
        <x:v>Oval</x:v>
      </x:c>
      <x:c r="C769" t="str">
        <x:v>K</x:v>
      </x:c>
      <x:c r="D769" t="str">
        <x:v>SI2</x:v>
      </x:c>
      <x:c r="E769" s="36" t="n">
        <x:v>19180</x:v>
      </x:c>
      <x:c r="F769" s="36" t="n">
        <x:v>1764</x:v>
      </x:c>
      <x:c r="G769" s="42" t="n">
        <x:v>0.3783783783783784</x:v>
      </x:c>
      <x:c r="H769" s="36" t="n">
        <x:f>E769*G769</x:f>
        <x:v>7257.2972972972975</x:v>
      </x:c>
      <x:c r="I769" s="36" t="n">
        <x:f>IFERROR(H769/A769,0)</x:f>
        <x:v>3628.6486486486488</x:v>
      </x:c>
      <x:c r="J769" s="67" t="str">
        <x:v>Modeled from live base + Sep-2026 quality ratio</x:v>
      </x:c>
      <x:c r="K769" s="67" t="str">
        <x:v>https://www.stonealgo.com/diamond-prices/</x:v>
      </x:c>
      <x:c r="L769" s="67" t="str">
        <x:v>https://www.pricescope.com/blog/natural-diamond-prices-september-2026</x:v>
      </x:c>
    </x:row>
    <x:row r="770">
      <x:c r="A770" t="n">
        <x:v>2</x:v>
      </x:c>
      <x:c r="B770" t="str">
        <x:v>Princess</x:v>
      </x:c>
      <x:c r="C770" t="str">
        <x:v>D</x:v>
      </x:c>
      <x:c r="D770" t="str">
        <x:v>FL</x:v>
      </x:c>
      <x:c r="E770" s="36" t="n">
        <x:v>13000</x:v>
      </x:c>
      <x:c r="F770" s="36" t="n">
        <x:v>12665</x:v>
      </x:c>
      <x:c r="G770" s="42" t="n">
        <x:v>2.7166452166452166</x:v>
      </x:c>
      <x:c r="H770" s="36" t="n">
        <x:f>E770*G770</x:f>
        <x:v>35316.38781638782</x:v>
      </x:c>
      <x:c r="I770" s="36" t="n">
        <x:f>IFERROR(H770/A770,0)</x:f>
        <x:v>17658.19390819391</x:v>
      </x:c>
      <x:c r="J770" s="67" t="str">
        <x:v>Modeled from live base + Sep-2026 quality ratio</x:v>
      </x:c>
      <x:c r="K770" s="67" t="str">
        <x:v>https://www.stonealgo.com/diamond-prices/</x:v>
      </x:c>
      <x:c r="L770" s="67" t="str">
        <x:v>https://www.pricescope.com/blog/natural-diamond-prices-september-2026</x:v>
      </x:c>
    </x:row>
    <x:row r="771">
      <x:c r="A771" t="n">
        <x:v>2</x:v>
      </x:c>
      <x:c r="B771" t="str">
        <x:v>Princess</x:v>
      </x:c>
      <x:c r="C771" t="str">
        <x:v>D</x:v>
      </x:c>
      <x:c r="D771" t="str">
        <x:v>IF</x:v>
      </x:c>
      <x:c r="E771" s="36" t="n">
        <x:v>13000</x:v>
      </x:c>
      <x:c r="F771" s="36" t="n">
        <x:v>13240</x:v>
      </x:c>
      <x:c r="G771" s="42" t="n">
        <x:v>2.83998283998284</x:v>
      </x:c>
      <x:c r="H771" s="36" t="n">
        <x:f>E771*G771</x:f>
        <x:v>36919.77691977692</x:v>
      </x:c>
      <x:c r="I771" s="36" t="n">
        <x:f>IFERROR(H771/A771,0)</x:f>
        <x:v>18459.88845988846</x:v>
      </x:c>
      <x:c r="J771" s="67" t="str">
        <x:v>Modeled from live base + Sep-2026 quality ratio</x:v>
      </x:c>
      <x:c r="K771" s="67" t="str">
        <x:v>https://www.stonealgo.com/diamond-prices/</x:v>
      </x:c>
      <x:c r="L771" s="67" t="str">
        <x:v>https://www.pricescope.com/blog/natural-diamond-prices-september-2026</x:v>
      </x:c>
    </x:row>
    <x:row r="772">
      <x:c r="A772" t="n">
        <x:v>2</x:v>
      </x:c>
      <x:c r="B772" t="str">
        <x:v>Princess</x:v>
      </x:c>
      <x:c r="C772" t="str">
        <x:v>D</x:v>
      </x:c>
      <x:c r="D772" t="str">
        <x:v>VVS1</x:v>
      </x:c>
      <x:c r="E772" s="36" t="n">
        <x:v>13000</x:v>
      </x:c>
      <x:c r="F772" s="36" t="n">
        <x:v>9555</x:v>
      </x:c>
      <x:c r="G772" s="42" t="n">
        <x:v>2.0495495495495497</x:v>
      </x:c>
      <x:c r="H772" s="36" t="n">
        <x:f>E772*G772</x:f>
        <x:v>26644.144144144146</x:v>
      </x:c>
      <x:c r="I772" s="36" t="n">
        <x:f>IFERROR(H772/A772,0)</x:f>
        <x:v>13322.072072072073</x:v>
      </x:c>
      <x:c r="J772" s="67" t="str">
        <x:v>Modeled from live base + Sep-2026 quality ratio</x:v>
      </x:c>
      <x:c r="K772" s="67" t="str">
        <x:v>https://www.stonealgo.com/diamond-prices/</x:v>
      </x:c>
      <x:c r="L772" s="67" t="str">
        <x:v>https://www.pricescope.com/blog/natural-diamond-prices-september-2026</x:v>
      </x:c>
    </x:row>
    <x:row r="773">
      <x:c r="A773" t="n">
        <x:v>2</x:v>
      </x:c>
      <x:c r="B773" t="str">
        <x:v>Princess</x:v>
      </x:c>
      <x:c r="C773" t="str">
        <x:v>D</x:v>
      </x:c>
      <x:c r="D773" t="str">
        <x:v>VVS2</x:v>
      </x:c>
      <x:c r="E773" s="36" t="n">
        <x:v>13000</x:v>
      </x:c>
      <x:c r="F773" s="36" t="n">
        <x:v>6660</x:v>
      </x:c>
      <x:c r="G773" s="42" t="n">
        <x:v>1.4285714285714286</x:v>
      </x:c>
      <x:c r="H773" s="36" t="n">
        <x:f>E773*G773</x:f>
        <x:v>18571.428571428572</x:v>
      </x:c>
      <x:c r="I773" s="36" t="n">
        <x:f>IFERROR(H773/A773,0)</x:f>
        <x:v>9285.714285714286</x:v>
      </x:c>
      <x:c r="J773" s="67" t="str">
        <x:v>Modeled from live base + Sep-2026 quality ratio</x:v>
      </x:c>
      <x:c r="K773" s="67" t="str">
        <x:v>https://www.stonealgo.com/diamond-prices/</x:v>
      </x:c>
      <x:c r="L773" s="67" t="str">
        <x:v>https://www.pricescope.com/blog/natural-diamond-prices-september-2026</x:v>
      </x:c>
    </x:row>
    <x:row r="774">
      <x:c r="A774" t="n">
        <x:v>2</x:v>
      </x:c>
      <x:c r="B774" t="str">
        <x:v>Princess</x:v>
      </x:c>
      <x:c r="C774" t="str">
        <x:v>D</x:v>
      </x:c>
      <x:c r="D774" t="str">
        <x:v>VS1</x:v>
      </x:c>
      <x:c r="E774" s="36" t="n">
        <x:v>13000</x:v>
      </x:c>
      <x:c r="F774" s="36" t="n">
        <x:v>6247</x:v>
      </x:c>
      <x:c r="G774" s="42" t="n">
        <x:v>1.33998283998284</x:v>
      </x:c>
      <x:c r="H774" s="36" t="n">
        <x:f>E774*G774</x:f>
        <x:v>17419.77691977692</x:v>
      </x:c>
      <x:c r="I774" s="36" t="n">
        <x:f>IFERROR(H774/A774,0)</x:f>
        <x:v>8709.88845988846</x:v>
      </x:c>
      <x:c r="J774" s="67" t="str">
        <x:v>Modeled from live base + Sep-2026 quality ratio</x:v>
      </x:c>
      <x:c r="K774" s="67" t="str">
        <x:v>https://www.stonealgo.com/diamond-prices/</x:v>
      </x:c>
      <x:c r="L774" s="67" t="str">
        <x:v>https://www.pricescope.com/blog/natural-diamond-prices-september-2026</x:v>
      </x:c>
    </x:row>
    <x:row r="775">
      <x:c r="A775" t="n">
        <x:v>2</x:v>
      </x:c>
      <x:c r="B775" t="str">
        <x:v>Princess</x:v>
      </x:c>
      <x:c r="C775" t="str">
        <x:v>D</x:v>
      </x:c>
      <x:c r="D775" t="str">
        <x:v>VS2</x:v>
      </x:c>
      <x:c r="E775" s="36" t="n">
        <x:v>13000</x:v>
      </x:c>
      <x:c r="F775" s="36" t="n">
        <x:v>5841</x:v>
      </x:c>
      <x:c r="G775" s="42" t="n">
        <x:v>1.252895752895753</x:v>
      </x:c>
      <x:c r="H775" s="36" t="n">
        <x:f>E775*G775</x:f>
        <x:v>16287.64478764479</x:v>
      </x:c>
      <x:c r="I775" s="36" t="n">
        <x:f>IFERROR(H775/A775,0)</x:f>
        <x:v>8143.822393822395</x:v>
      </x:c>
      <x:c r="J775" s="67" t="str">
        <x:v>Modeled from live base + Sep-2026 quality ratio</x:v>
      </x:c>
      <x:c r="K775" s="67" t="str">
        <x:v>https://www.stonealgo.com/diamond-prices/</x:v>
      </x:c>
      <x:c r="L775" s="67" t="str">
        <x:v>https://www.pricescope.com/blog/natural-diamond-prices-september-2026</x:v>
      </x:c>
    </x:row>
    <x:row r="776">
      <x:c r="A776" t="n">
        <x:v>2</x:v>
      </x:c>
      <x:c r="B776" t="str">
        <x:v>Princess</x:v>
      </x:c>
      <x:c r="C776" t="str">
        <x:v>D</x:v>
      </x:c>
      <x:c r="D776" t="str">
        <x:v>SI1</x:v>
      </x:c>
      <x:c r="E776" s="36" t="n">
        <x:v>13000</x:v>
      </x:c>
      <x:c r="F776" s="36" t="n">
        <x:v>3762</x:v>
      </x:c>
      <x:c r="G776" s="42" t="n">
        <x:v>0.806949806949807</x:v>
      </x:c>
      <x:c r="H776" s="36" t="n">
        <x:f>E776*G776</x:f>
        <x:v>10490.34749034749</x:v>
      </x:c>
      <x:c r="I776" s="36" t="n">
        <x:f>IFERROR(H776/A776,0)</x:f>
        <x:v>5245.173745173745</x:v>
      </x:c>
      <x:c r="J776" s="67" t="str">
        <x:v>Modeled from live base + Sep-2026 quality ratio</x:v>
      </x:c>
      <x:c r="K776" s="67" t="str">
        <x:v>https://www.stonealgo.com/diamond-prices/</x:v>
      </x:c>
      <x:c r="L776" s="67" t="str">
        <x:v>https://www.pricescope.com/blog/natural-diamond-prices-september-2026</x:v>
      </x:c>
    </x:row>
    <x:row r="777">
      <x:c r="A777" t="n">
        <x:v>2</x:v>
      </x:c>
      <x:c r="B777" t="str">
        <x:v>Princess</x:v>
      </x:c>
      <x:c r="C777" t="str">
        <x:v>D</x:v>
      </x:c>
      <x:c r="D777" t="str">
        <x:v>SI2</x:v>
      </x:c>
      <x:c r="E777" s="36" t="n">
        <x:v>13000</x:v>
      </x:c>
      <x:c r="F777" s="36" t="n">
        <x:v>3026</x:v>
      </x:c>
      <x:c r="G777" s="42" t="n">
        <x:v>0.6490776490776491</x:v>
      </x:c>
      <x:c r="H777" s="36" t="n">
        <x:f>E777*G777</x:f>
        <x:v>8438.009438009438</x:v>
      </x:c>
      <x:c r="I777" s="36" t="n">
        <x:f>IFERROR(H777/A777,0)</x:f>
        <x:v>4219.004719004719</x:v>
      </x:c>
      <x:c r="J777" s="67" t="str">
        <x:v>Modeled from live base + Sep-2026 quality ratio</x:v>
      </x:c>
      <x:c r="K777" s="67" t="str">
        <x:v>https://www.stonealgo.com/diamond-prices/</x:v>
      </x:c>
      <x:c r="L777" s="67" t="str">
        <x:v>https://www.pricescope.com/blog/natural-diamond-prices-september-2026</x:v>
      </x:c>
    </x:row>
    <x:row r="778">
      <x:c r="A778" t="n">
        <x:v>2</x:v>
      </x:c>
      <x:c r="B778" t="str">
        <x:v>Princess</x:v>
      </x:c>
      <x:c r="C778" t="str">
        <x:v>E</x:v>
      </x:c>
      <x:c r="D778" t="str">
        <x:v>FL</x:v>
      </x:c>
      <x:c r="E778" s="36" t="n">
        <x:v>13000</x:v>
      </x:c>
      <x:c r="F778" s="36" t="n">
        <x:v>10072</x:v>
      </x:c>
      <x:c r="G778" s="42" t="n">
        <x:v>2.1604461604461602</x:v>
      </x:c>
      <x:c r="H778" s="36" t="n">
        <x:f>E778*G778</x:f>
        <x:v>28085.80008580008</x:v>
      </x:c>
      <x:c r="I778" s="36" t="n">
        <x:f>IFERROR(H778/A778,0)</x:f>
        <x:v>14042.90004290004</x:v>
      </x:c>
      <x:c r="J778" s="67" t="str">
        <x:v>Modeled from live base + Sep-2026 quality ratio</x:v>
      </x:c>
      <x:c r="K778" s="67" t="str">
        <x:v>https://www.stonealgo.com/diamond-prices/</x:v>
      </x:c>
      <x:c r="L778" s="67" t="str">
        <x:v>https://www.pricescope.com/blog/natural-diamond-prices-september-2026</x:v>
      </x:c>
    </x:row>
    <x:row r="779">
      <x:c r="A779" t="n">
        <x:v>2</x:v>
      </x:c>
      <x:c r="B779" t="str">
        <x:v>Princess</x:v>
      </x:c>
      <x:c r="C779" t="str">
        <x:v>E</x:v>
      </x:c>
      <x:c r="D779" t="str">
        <x:v>IF</x:v>
      </x:c>
      <x:c r="E779" s="36" t="n">
        <x:v>13000</x:v>
      </x:c>
      <x:c r="F779" s="36" t="n">
        <x:v>8672</x:v>
      </x:c>
      <x:c r="G779" s="42" t="n">
        <x:v>1.8601458601458603</x:v>
      </x:c>
      <x:c r="H779" s="36" t="n">
        <x:f>E779*G779</x:f>
        <x:v>24181.896181896183</x:v>
      </x:c>
      <x:c r="I779" s="36" t="n">
        <x:f>IFERROR(H779/A779,0)</x:f>
        <x:v>12090.948090948092</x:v>
      </x:c>
      <x:c r="J779" s="67" t="str">
        <x:v>Modeled from live base + Sep-2026 quality ratio</x:v>
      </x:c>
      <x:c r="K779" s="67" t="str">
        <x:v>https://www.stonealgo.com/diamond-prices/</x:v>
      </x:c>
      <x:c r="L779" s="67" t="str">
        <x:v>https://www.pricescope.com/blog/natural-diamond-prices-september-2026</x:v>
      </x:c>
    </x:row>
    <x:row r="780">
      <x:c r="A780" t="n">
        <x:v>2</x:v>
      </x:c>
      <x:c r="B780" t="str">
        <x:v>Princess</x:v>
      </x:c>
      <x:c r="C780" t="str">
        <x:v>E</x:v>
      </x:c>
      <x:c r="D780" t="str">
        <x:v>VVS1</x:v>
      </x:c>
      <x:c r="E780" s="36" t="n">
        <x:v>13000</x:v>
      </x:c>
      <x:c r="F780" s="36" t="n">
        <x:v>7842</x:v>
      </x:c>
      <x:c r="G780" s="42" t="n">
        <x:v>1.6821106821106822</x:v>
      </x:c>
      <x:c r="H780" s="36" t="n">
        <x:f>E780*G780</x:f>
        <x:v>21867.43886743887</x:v>
      </x:c>
      <x:c r="I780" s="36" t="n">
        <x:f>IFERROR(H780/A780,0)</x:f>
        <x:v>10933.719433719434</x:v>
      </x:c>
      <x:c r="J780" s="67" t="str">
        <x:v>Modeled from live base + Sep-2026 quality ratio</x:v>
      </x:c>
      <x:c r="K780" s="67" t="str">
        <x:v>https://www.stonealgo.com/diamond-prices/</x:v>
      </x:c>
      <x:c r="L780" s="67" t="str">
        <x:v>https://www.pricescope.com/blog/natural-diamond-prices-september-2026</x:v>
      </x:c>
    </x:row>
    <x:row r="781">
      <x:c r="A781" t="n">
        <x:v>2</x:v>
      </x:c>
      <x:c r="B781" t="str">
        <x:v>Princess</x:v>
      </x:c>
      <x:c r="C781" t="str">
        <x:v>E</x:v>
      </x:c>
      <x:c r="D781" t="str">
        <x:v>VVS2</x:v>
      </x:c>
      <x:c r="E781" s="36" t="n">
        <x:v>13000</x:v>
      </x:c>
      <x:c r="F781" s="36" t="n">
        <x:v>6880</x:v>
      </x:c>
      <x:c r="G781" s="42" t="n">
        <x:v>1.4757614757614759</x:v>
      </x:c>
      <x:c r="H781" s="36" t="n">
        <x:f>E781*G781</x:f>
        <x:v>19184.899184899186</x:v>
      </x:c>
      <x:c r="I781" s="36" t="n">
        <x:f>IFERROR(H781/A781,0)</x:f>
        <x:v>9592.449592449593</x:v>
      </x:c>
      <x:c r="J781" s="67" t="str">
        <x:v>Modeled from live base + Sep-2026 quality ratio</x:v>
      </x:c>
      <x:c r="K781" s="67" t="str">
        <x:v>https://www.stonealgo.com/diamond-prices/</x:v>
      </x:c>
      <x:c r="L781" s="67" t="str">
        <x:v>https://www.pricescope.com/blog/natural-diamond-prices-september-2026</x:v>
      </x:c>
    </x:row>
    <x:row r="782">
      <x:c r="A782" t="n">
        <x:v>2</x:v>
      </x:c>
      <x:c r="B782" t="str">
        <x:v>Princess</x:v>
      </x:c>
      <x:c r="C782" t="str">
        <x:v>E</x:v>
      </x:c>
      <x:c r="D782" t="str">
        <x:v>VS1</x:v>
      </x:c>
      <x:c r="E782" s="36" t="n">
        <x:v>13000</x:v>
      </x:c>
      <x:c r="F782" s="36" t="n">
        <x:v>6307</x:v>
      </x:c>
      <x:c r="G782" s="42" t="n">
        <x:v>1.352852852852853</x:v>
      </x:c>
      <x:c r="H782" s="36" t="n">
        <x:f>E782*G782</x:f>
        <x:v>17587.08708708709</x:v>
      </x:c>
      <x:c r="I782" s="36" t="n">
        <x:f>IFERROR(H782/A782,0)</x:f>
        <x:v>8793.543543543545</x:v>
      </x:c>
      <x:c r="J782" s="67" t="str">
        <x:v>Modeled from live base + Sep-2026 quality ratio</x:v>
      </x:c>
      <x:c r="K782" s="67" t="str">
        <x:v>https://www.stonealgo.com/diamond-prices/</x:v>
      </x:c>
      <x:c r="L782" s="67" t="str">
        <x:v>https://www.pricescope.com/blog/natural-diamond-prices-september-2026</x:v>
      </x:c>
    </x:row>
    <x:row r="783">
      <x:c r="A783" t="n">
        <x:v>2</x:v>
      </x:c>
      <x:c r="B783" t="str">
        <x:v>Princess</x:v>
      </x:c>
      <x:c r="C783" t="str">
        <x:v>E</x:v>
      </x:c>
      <x:c r="D783" t="str">
        <x:v>VS2</x:v>
      </x:c>
      <x:c r="E783" s="36" t="n">
        <x:v>13000</x:v>
      </x:c>
      <x:c r="F783" s="36" t="n">
        <x:v>5249</x:v>
      </x:c>
      <x:c r="G783" s="42" t="n">
        <x:v>1.125911625911626</x:v>
      </x:c>
      <x:c r="H783" s="36" t="n">
        <x:f>E783*G783</x:f>
        <x:v>14636.851136851137</x:v>
      </x:c>
      <x:c r="I783" s="36" t="n">
        <x:f>IFERROR(H783/A783,0)</x:f>
        <x:v>7318.425568425569</x:v>
      </x:c>
      <x:c r="J783" s="67" t="str">
        <x:v>Modeled from live base + Sep-2026 quality ratio</x:v>
      </x:c>
      <x:c r="K783" s="67" t="str">
        <x:v>https://www.stonealgo.com/diamond-prices/</x:v>
      </x:c>
      <x:c r="L783" s="67" t="str">
        <x:v>https://www.pricescope.com/blog/natural-diamond-prices-september-2026</x:v>
      </x:c>
    </x:row>
    <x:row r="784">
      <x:c r="A784" t="n">
        <x:v>2</x:v>
      </x:c>
      <x:c r="B784" t="str">
        <x:v>Princess</x:v>
      </x:c>
      <x:c r="C784" t="str">
        <x:v>E</x:v>
      </x:c>
      <x:c r="D784" t="str">
        <x:v>SI1</x:v>
      </x:c>
      <x:c r="E784" s="36" t="n">
        <x:v>13000</x:v>
      </x:c>
      <x:c r="F784" s="36" t="n">
        <x:v>3551</x:v>
      </x:c>
      <x:c r="G784" s="42" t="n">
        <x:v>0.7616902616902617</x:v>
      </x:c>
      <x:c r="H784" s="36" t="n">
        <x:f>E784*G784</x:f>
        <x:v>9901.973401973402</x:v>
      </x:c>
      <x:c r="I784" s="36" t="n">
        <x:f>IFERROR(H784/A784,0)</x:f>
        <x:v>4950.986700986701</x:v>
      </x:c>
      <x:c r="J784" s="67" t="str">
        <x:v>Modeled from live base + Sep-2026 quality ratio</x:v>
      </x:c>
      <x:c r="K784" s="67" t="str">
        <x:v>https://www.stonealgo.com/diamond-prices/</x:v>
      </x:c>
      <x:c r="L784" s="67" t="str">
        <x:v>https://www.pricescope.com/blog/natural-diamond-prices-september-2026</x:v>
      </x:c>
    </x:row>
    <x:row r="785">
      <x:c r="A785" t="n">
        <x:v>2</x:v>
      </x:c>
      <x:c r="B785" t="str">
        <x:v>Princess</x:v>
      </x:c>
      <x:c r="C785" t="str">
        <x:v>E</x:v>
      </x:c>
      <x:c r="D785" t="str">
        <x:v>SI2</x:v>
      </x:c>
      <x:c r="E785" s="36" t="n">
        <x:v>13000</x:v>
      </x:c>
      <x:c r="F785" s="36" t="n">
        <x:v>2993</x:v>
      </x:c>
      <x:c r="G785" s="42" t="n">
        <x:v>0.641999141999142</x:v>
      </x:c>
      <x:c r="H785" s="36" t="n">
        <x:f>E785*G785</x:f>
        <x:v>8345.988845988846</x:v>
      </x:c>
      <x:c r="I785" s="36" t="n">
        <x:f>IFERROR(H785/A785,0)</x:f>
        <x:v>4172.994422994423</x:v>
      </x:c>
      <x:c r="J785" s="67" t="str">
        <x:v>Modeled from live base + Sep-2026 quality ratio</x:v>
      </x:c>
      <x:c r="K785" s="67" t="str">
        <x:v>https://www.stonealgo.com/diamond-prices/</x:v>
      </x:c>
      <x:c r="L785" s="67" t="str">
        <x:v>https://www.pricescope.com/blog/natural-diamond-prices-september-2026</x:v>
      </x:c>
    </x:row>
    <x:row r="786">
      <x:c r="A786" t="n">
        <x:v>2</x:v>
      </x:c>
      <x:c r="B786" t="str">
        <x:v>Princess</x:v>
      </x:c>
      <x:c r="C786" t="str">
        <x:v>F</x:v>
      </x:c>
      <x:c r="D786" t="str">
        <x:v>FL</x:v>
      </x:c>
      <x:c r="E786" s="36" t="n">
        <x:v>13000</x:v>
      </x:c>
      <x:c r="F786" s="36" t="n">
        <x:v>6830</x:v>
      </x:c>
      <x:c r="G786" s="42" t="n">
        <x:v>1.4650364650364651</x:v>
      </x:c>
      <x:c r="H786" s="36" t="n">
        <x:f>E786*G786</x:f>
        <x:v>19045.474045474046</x:v>
      </x:c>
      <x:c r="I786" s="36" t="n">
        <x:f>IFERROR(H786/A786,0)</x:f>
        <x:v>9522.737022737023</x:v>
      </x:c>
      <x:c r="J786" s="67" t="str">
        <x:v>Modeled from live base + Sep-2026 quality ratio</x:v>
      </x:c>
      <x:c r="K786" s="67" t="str">
        <x:v>https://www.stonealgo.com/diamond-prices/</x:v>
      </x:c>
      <x:c r="L786" s="67" t="str">
        <x:v>https://www.pricescope.com/blog/natural-diamond-prices-september-2026</x:v>
      </x:c>
    </x:row>
    <x:row r="787">
      <x:c r="A787" t="n">
        <x:v>2</x:v>
      </x:c>
      <x:c r="B787" t="str">
        <x:v>Princess</x:v>
      </x:c>
      <x:c r="C787" t="str">
        <x:v>F</x:v>
      </x:c>
      <x:c r="D787" t="str">
        <x:v>IF</x:v>
      </x:c>
      <x:c r="E787" s="36" t="n">
        <x:v>13000</x:v>
      </x:c>
      <x:c r="F787" s="36" t="n">
        <x:v>7302</x:v>
      </x:c>
      <x:c r="G787" s="42" t="n">
        <x:v>1.5662805662805663</x:v>
      </x:c>
      <x:c r="H787" s="36" t="n">
        <x:f>E787*G787</x:f>
        <x:v>20361.647361647363</x:v>
      </x:c>
      <x:c r="I787" s="36" t="n">
        <x:f>IFERROR(H787/A787,0)</x:f>
        <x:v>10180.823680823682</x:v>
      </x:c>
      <x:c r="J787" s="67" t="str">
        <x:v>Modeled from live base + Sep-2026 quality ratio</x:v>
      </x:c>
      <x:c r="K787" s="67" t="str">
        <x:v>https://www.stonealgo.com/diamond-prices/</x:v>
      </x:c>
      <x:c r="L787" s="67" t="str">
        <x:v>https://www.pricescope.com/blog/natural-diamond-prices-september-2026</x:v>
      </x:c>
    </x:row>
    <x:row r="788">
      <x:c r="A788" t="n">
        <x:v>2</x:v>
      </x:c>
      <x:c r="B788" t="str">
        <x:v>Princess</x:v>
      </x:c>
      <x:c r="C788" t="str">
        <x:v>F</x:v>
      </x:c>
      <x:c r="D788" t="str">
        <x:v>VVS1</x:v>
      </x:c>
      <x:c r="E788" s="36" t="n">
        <x:v>13000</x:v>
      </x:c>
      <x:c r="F788" s="36" t="n">
        <x:v>7542</x:v>
      </x:c>
      <x:c r="G788" s="42" t="n">
        <x:v>1.6177606177606179</x:v>
      </x:c>
      <x:c r="H788" s="36" t="n">
        <x:f>E788*G788</x:f>
        <x:v>21030.888030888033</x:v>
      </x:c>
      <x:c r="I788" s="36" t="n">
        <x:f>IFERROR(H788/A788,0)</x:f>
        <x:v>10515.444015444016</x:v>
      </x:c>
      <x:c r="J788" s="67" t="str">
        <x:v>Modeled from live base + Sep-2026 quality ratio</x:v>
      </x:c>
      <x:c r="K788" s="67" t="str">
        <x:v>https://www.stonealgo.com/diamond-prices/</x:v>
      </x:c>
      <x:c r="L788" s="67" t="str">
        <x:v>https://www.pricescope.com/blog/natural-diamond-prices-september-2026</x:v>
      </x:c>
    </x:row>
    <x:row r="789">
      <x:c r="A789" t="n">
        <x:v>2</x:v>
      </x:c>
      <x:c r="B789" t="str">
        <x:v>Princess</x:v>
      </x:c>
      <x:c r="C789" t="str">
        <x:v>F</x:v>
      </x:c>
      <x:c r="D789" t="str">
        <x:v>VVS2</x:v>
      </x:c>
      <x:c r="E789" s="36" t="n">
        <x:v>13000</x:v>
      </x:c>
      <x:c r="F789" s="36" t="n">
        <x:v>6352</x:v>
      </x:c>
      <x:c r="G789" s="42" t="n">
        <x:v>1.3625053625053625</x:v>
      </x:c>
      <x:c r="H789" s="36" t="n">
        <x:f>E789*G789</x:f>
        <x:v>17712.56971256971</x:v>
      </x:c>
      <x:c r="I789" s="36" t="n">
        <x:f>IFERROR(H789/A789,0)</x:f>
        <x:v>8856.284856284856</x:v>
      </x:c>
      <x:c r="J789" s="67" t="str">
        <x:v>Modeled from live base + Sep-2026 quality ratio</x:v>
      </x:c>
      <x:c r="K789" s="67" t="str">
        <x:v>https://www.stonealgo.com/diamond-prices/</x:v>
      </x:c>
      <x:c r="L789" s="67" t="str">
        <x:v>https://www.pricescope.com/blog/natural-diamond-prices-september-2026</x:v>
      </x:c>
    </x:row>
    <x:row r="790">
      <x:c r="A790" t="n">
        <x:v>2</x:v>
      </x:c>
      <x:c r="B790" t="str">
        <x:v>Princess</x:v>
      </x:c>
      <x:c r="C790" t="str">
        <x:v>F</x:v>
      </x:c>
      <x:c r="D790" t="str">
        <x:v>VS1</x:v>
      </x:c>
      <x:c r="E790" s="36" t="n">
        <x:v>13000</x:v>
      </x:c>
      <x:c r="F790" s="36" t="n">
        <x:v>5647</x:v>
      </x:c>
      <x:c r="G790" s="42" t="n">
        <x:v>1.2112827112827114</x:v>
      </x:c>
      <x:c r="H790" s="36" t="n">
        <x:f>E790*G790</x:f>
        <x:v>15746.675246675248</x:v>
      </x:c>
      <x:c r="I790" s="36" t="n">
        <x:f>IFERROR(H790/A790,0)</x:f>
        <x:v>7873.337623337624</x:v>
      </x:c>
      <x:c r="J790" s="67" t="str">
        <x:v>Modeled from live base + Sep-2026 quality ratio</x:v>
      </x:c>
      <x:c r="K790" s="67" t="str">
        <x:v>https://www.stonealgo.com/diamond-prices/</x:v>
      </x:c>
      <x:c r="L790" s="67" t="str">
        <x:v>https://www.pricescope.com/blog/natural-diamond-prices-september-2026</x:v>
      </x:c>
    </x:row>
    <x:row r="791">
      <x:c r="A791" t="n">
        <x:v>2</x:v>
      </x:c>
      <x:c r="B791" t="str">
        <x:v>Princess</x:v>
      </x:c>
      <x:c r="C791" t="str">
        <x:v>F</x:v>
      </x:c>
      <x:c r="D791" t="str">
        <x:v>VS2</x:v>
      </x:c>
      <x:c r="E791" s="36" t="n">
        <x:v>13000</x:v>
      </x:c>
      <x:c r="F791" s="36" t="n">
        <x:v>4730</x:v>
      </x:c>
      <x:c r="G791" s="42" t="n">
        <x:v>1.0145860145860146</x:v>
      </x:c>
      <x:c r="H791" s="36" t="n">
        <x:f>E791*G791</x:f>
        <x:v>13189.61818961819</x:v>
      </x:c>
      <x:c r="I791" s="36" t="n">
        <x:f>IFERROR(H791/A791,0)</x:f>
        <x:v>6594.809094809095</x:v>
      </x:c>
      <x:c r="J791" s="67" t="str">
        <x:v>Modeled from live base + Sep-2026 quality ratio</x:v>
      </x:c>
      <x:c r="K791" s="67" t="str">
        <x:v>https://www.stonealgo.com/diamond-prices/</x:v>
      </x:c>
      <x:c r="L791" s="67" t="str">
        <x:v>https://www.pricescope.com/blog/natural-diamond-prices-september-2026</x:v>
      </x:c>
    </x:row>
    <x:row r="792">
      <x:c r="A792" t="n">
        <x:v>2</x:v>
      </x:c>
      <x:c r="B792" t="str">
        <x:v>Princess</x:v>
      </x:c>
      <x:c r="C792" t="str">
        <x:v>F</x:v>
      </x:c>
      <x:c r="D792" t="str">
        <x:v>SI1</x:v>
      </x:c>
      <x:c r="E792" s="36" t="n">
        <x:v>13000</x:v>
      </x:c>
      <x:c r="F792" s="36" t="n">
        <x:v>3331</x:v>
      </x:c>
      <x:c r="G792" s="42" t="n">
        <x:v>0.7145002145002145</x:v>
      </x:c>
      <x:c r="H792" s="36" t="n">
        <x:f>E792*G792</x:f>
        <x:v>9288.502788502788</x:v>
      </x:c>
      <x:c r="I792" s="36" t="n">
        <x:f>IFERROR(H792/A792,0)</x:f>
        <x:v>4644.251394251394</x:v>
      </x:c>
      <x:c r="J792" s="67" t="str">
        <x:v>Modeled from live base + Sep-2026 quality ratio</x:v>
      </x:c>
      <x:c r="K792" s="67" t="str">
        <x:v>https://www.stonealgo.com/diamond-prices/</x:v>
      </x:c>
      <x:c r="L792" s="67" t="str">
        <x:v>https://www.pricescope.com/blog/natural-diamond-prices-september-2026</x:v>
      </x:c>
    </x:row>
    <x:row r="793">
      <x:c r="A793" t="n">
        <x:v>2</x:v>
      </x:c>
      <x:c r="B793" t="str">
        <x:v>Princess</x:v>
      </x:c>
      <x:c r="C793" t="str">
        <x:v>F</x:v>
      </x:c>
      <x:c r="D793" t="str">
        <x:v>SI2</x:v>
      </x:c>
      <x:c r="E793" s="36" t="n">
        <x:v>13000</x:v>
      </x:c>
      <x:c r="F793" s="36" t="n">
        <x:v>2733</x:v>
      </x:c>
      <x:c r="G793" s="42" t="n">
        <x:v>0.5862290862290862</x:v>
      </x:c>
      <x:c r="H793" s="36" t="n">
        <x:f>E793*G793</x:f>
        <x:v>7620.97812097812</x:v>
      </x:c>
      <x:c r="I793" s="36" t="n">
        <x:f>IFERROR(H793/A793,0)</x:f>
        <x:v>3810.48906048906</x:v>
      </x:c>
      <x:c r="J793" s="67" t="str">
        <x:v>Modeled from live base + Sep-2026 quality ratio</x:v>
      </x:c>
      <x:c r="K793" s="67" t="str">
        <x:v>https://www.stonealgo.com/diamond-prices/</x:v>
      </x:c>
      <x:c r="L793" s="67" t="str">
        <x:v>https://www.pricescope.com/blog/natural-diamond-prices-september-2026</x:v>
      </x:c>
    </x:row>
    <x:row r="794">
      <x:c r="A794" t="n">
        <x:v>2</x:v>
      </x:c>
      <x:c r="B794" t="str">
        <x:v>Princess</x:v>
      </x:c>
      <x:c r="C794" t="str">
        <x:v>G</x:v>
      </x:c>
      <x:c r="D794" t="str">
        <x:v>FL</x:v>
      </x:c>
      <x:c r="E794" s="36" t="n">
        <x:v>13000</x:v>
      </x:c>
      <x:c r="F794" s="36" t="n">
        <x:v>5905</x:v>
      </x:c>
      <x:c r="G794" s="42" t="n">
        <x:v>1.2666237666237665</x:v>
      </x:c>
      <x:c r="H794" s="36" t="n">
        <x:f>E794*G794</x:f>
        <x:v>16466.108966108965</x:v>
      </x:c>
      <x:c r="I794" s="36" t="n">
        <x:f>IFERROR(H794/A794,0)</x:f>
        <x:v>8233.054483054482</x:v>
      </x:c>
      <x:c r="J794" s="67" t="str">
        <x:v>Modeled from live base + Sep-2026 quality ratio</x:v>
      </x:c>
      <x:c r="K794" s="67" t="str">
        <x:v>https://www.stonealgo.com/diamond-prices/</x:v>
      </x:c>
      <x:c r="L794" s="67" t="str">
        <x:v>https://www.pricescope.com/blog/natural-diamond-prices-september-2026</x:v>
      </x:c>
    </x:row>
    <x:row r="795">
      <x:c r="A795" t="n">
        <x:v>2</x:v>
      </x:c>
      <x:c r="B795" t="str">
        <x:v>Princess</x:v>
      </x:c>
      <x:c r="C795" t="str">
        <x:v>G</x:v>
      </x:c>
      <x:c r="D795" t="str">
        <x:v>IF</x:v>
      </x:c>
      <x:c r="E795" s="36" t="n">
        <x:v>13000</x:v>
      </x:c>
      <x:c r="F795" s="36" t="n">
        <x:v>5601</x:v>
      </x:c>
      <x:c r="G795" s="42" t="n">
        <x:v>1.2014157014157014</x:v>
      </x:c>
      <x:c r="H795" s="36" t="n">
        <x:f>E795*G795</x:f>
        <x:v>15618.404118404118</x:v>
      </x:c>
      <x:c r="I795" s="36" t="n">
        <x:f>IFERROR(H795/A795,0)</x:f>
        <x:v>7809.202059202059</x:v>
      </x:c>
      <x:c r="J795" s="67" t="str">
        <x:v>Modeled from live base + Sep-2026 quality ratio</x:v>
      </x:c>
      <x:c r="K795" s="67" t="str">
        <x:v>https://www.stonealgo.com/diamond-prices/</x:v>
      </x:c>
      <x:c r="L795" s="67" t="str">
        <x:v>https://www.pricescope.com/blog/natural-diamond-prices-september-2026</x:v>
      </x:c>
    </x:row>
    <x:row r="796">
      <x:c r="A796" t="n">
        <x:v>2</x:v>
      </x:c>
      <x:c r="B796" t="str">
        <x:v>Princess</x:v>
      </x:c>
      <x:c r="C796" t="str">
        <x:v>G</x:v>
      </x:c>
      <x:c r="D796" t="str">
        <x:v>VVS1</x:v>
      </x:c>
      <x:c r="E796" s="36" t="n">
        <x:v>13000</x:v>
      </x:c>
      <x:c r="F796" s="36" t="n">
        <x:v>5124</x:v>
      </x:c>
      <x:c r="G796" s="42" t="n">
        <x:v>1.0990990990990992</x:v>
      </x:c>
      <x:c r="H796" s="36" t="n">
        <x:f>E796*G796</x:f>
        <x:v>14288.28828828829</x:v>
      </x:c>
      <x:c r="I796" s="36" t="n">
        <x:f>IFERROR(H796/A796,0)</x:f>
        <x:v>7144.144144144145</x:v>
      </x:c>
      <x:c r="J796" s="67" t="str">
        <x:v>Modeled from live base + Sep-2026 quality ratio</x:v>
      </x:c>
      <x:c r="K796" s="67" t="str">
        <x:v>https://www.stonealgo.com/diamond-prices/</x:v>
      </x:c>
      <x:c r="L796" s="67" t="str">
        <x:v>https://www.pricescope.com/blog/natural-diamond-prices-september-2026</x:v>
      </x:c>
    </x:row>
    <x:row r="797">
      <x:c r="A797" t="n">
        <x:v>2</x:v>
      </x:c>
      <x:c r="B797" t="str">
        <x:v>Princess</x:v>
      </x:c>
      <x:c r="C797" t="str">
        <x:v>G</x:v>
      </x:c>
      <x:c r="D797" t="str">
        <x:v>VVS2</x:v>
      </x:c>
      <x:c r="E797" s="36" t="n">
        <x:v>13000</x:v>
      </x:c>
      <x:c r="F797" s="36" t="n">
        <x:v>4962</x:v>
      </x:c>
      <x:c r="G797" s="42" t="n">
        <x:v>1.0643500643500643</x:v>
      </x:c>
      <x:c r="H797" s="36" t="n">
        <x:f>E797*G797</x:f>
        <x:v>13836.550836550836</x:v>
      </x:c>
      <x:c r="I797" s="36" t="n">
        <x:f>IFERROR(H797/A797,0)</x:f>
        <x:v>6918.275418275418</x:v>
      </x:c>
      <x:c r="J797" s="67" t="str">
        <x:v>Modeled from live base + Sep-2026 quality ratio</x:v>
      </x:c>
      <x:c r="K797" s="67" t="str">
        <x:v>https://www.stonealgo.com/diamond-prices/</x:v>
      </x:c>
      <x:c r="L797" s="67" t="str">
        <x:v>https://www.pricescope.com/blog/natural-diamond-prices-september-2026</x:v>
      </x:c>
    </x:row>
    <x:row r="798">
      <x:c r="A798" t="n">
        <x:v>2</x:v>
      </x:c>
      <x:c r="B798" t="str">
        <x:v>Princess</x:v>
      </x:c>
      <x:c r="C798" t="str">
        <x:v>G</x:v>
      </x:c>
      <x:c r="D798" t="str">
        <x:v>VS1</x:v>
      </x:c>
      <x:c r="E798" s="36" t="n">
        <x:v>13000</x:v>
      </x:c>
      <x:c r="F798" s="36" t="n">
        <x:v>4615</x:v>
      </x:c>
      <x:c r="G798" s="42" t="n">
        <x:v>0.98991848991849</x:v>
      </x:c>
      <x:c r="H798" s="36" t="n">
        <x:f>E798*G798</x:f>
        <x:v>12868.94036894037</x:v>
      </x:c>
      <x:c r="I798" s="36" t="n">
        <x:f>IFERROR(H798/A798,0)</x:f>
        <x:v>6434.470184470185</x:v>
      </x:c>
      <x:c r="J798" s="67" t="str">
        <x:v>Modeled from live base + Sep-2026 quality ratio</x:v>
      </x:c>
      <x:c r="K798" s="67" t="str">
        <x:v>https://www.stonealgo.com/diamond-prices/</x:v>
      </x:c>
      <x:c r="L798" s="67" t="str">
        <x:v>https://www.pricescope.com/blog/natural-diamond-prices-september-2026</x:v>
      </x:c>
    </x:row>
    <x:row r="799">
      <x:c r="A799" t="n">
        <x:v>2</x:v>
      </x:c>
      <x:c r="B799" t="str">
        <x:v>Princess</x:v>
      </x:c>
      <x:c r="C799" t="str">
        <x:v>G</x:v>
      </x:c>
      <x:c r="D799" t="str">
        <x:v>VS2</x:v>
      </x:c>
      <x:c r="E799" s="36" t="n">
        <x:v>13000</x:v>
      </x:c>
      <x:c r="F799" s="36" t="n">
        <x:v>4585</x:v>
      </x:c>
      <x:c r="G799" s="42" t="n">
        <x:v>0.9834834834834835</x:v>
      </x:c>
      <x:c r="H799" s="36" t="n">
        <x:f>E799*G799</x:f>
        <x:v>12785.285285285285</x:v>
      </x:c>
      <x:c r="I799" s="36" t="n">
        <x:f>IFERROR(H799/A799,0)</x:f>
        <x:v>6392.642642642642</x:v>
      </x:c>
      <x:c r="J799" s="67" t="str">
        <x:v>Modeled from live base + Sep-2026 quality ratio</x:v>
      </x:c>
      <x:c r="K799" s="67" t="str">
        <x:v>https://www.stonealgo.com/diamond-prices/</x:v>
      </x:c>
      <x:c r="L799" s="67" t="str">
        <x:v>https://www.pricescope.com/blog/natural-diamond-prices-september-2026</x:v>
      </x:c>
    </x:row>
    <x:row r="800">
      <x:c r="A800" t="n">
        <x:v>2</x:v>
      </x:c>
      <x:c r="B800" t="str">
        <x:v>Princess</x:v>
      </x:c>
      <x:c r="C800" t="str">
        <x:v>G</x:v>
      </x:c>
      <x:c r="D800" t="str">
        <x:v>SI1</x:v>
      </x:c>
      <x:c r="E800" s="36" t="n">
        <x:v>13000</x:v>
      </x:c>
      <x:c r="F800" s="36" t="n">
        <x:v>3664</x:v>
      </x:c>
      <x:c r="G800" s="42" t="n">
        <x:v>0.7859287859287859</x:v>
      </x:c>
      <x:c r="H800" s="36" t="n">
        <x:f>E800*G800</x:f>
        <x:v>10217.074217074216</x:v>
      </x:c>
      <x:c r="I800" s="36" t="n">
        <x:f>IFERROR(H800/A800,0)</x:f>
        <x:v>5108.537108537108</x:v>
      </x:c>
      <x:c r="J800" s="67" t="str">
        <x:v>Modeled from live base + Sep-2026 quality ratio</x:v>
      </x:c>
      <x:c r="K800" s="67" t="str">
        <x:v>https://www.stonealgo.com/diamond-prices/</x:v>
      </x:c>
      <x:c r="L800" s="67" t="str">
        <x:v>https://www.pricescope.com/blog/natural-diamond-prices-september-2026</x:v>
      </x:c>
    </x:row>
    <x:row r="801">
      <x:c r="A801" t="n">
        <x:v>2</x:v>
      </x:c>
      <x:c r="B801" t="str">
        <x:v>Princess</x:v>
      </x:c>
      <x:c r="C801" t="str">
        <x:v>G</x:v>
      </x:c>
      <x:c r="D801" t="str">
        <x:v>SI2</x:v>
      </x:c>
      <x:c r="E801" s="36" t="n">
        <x:v>13000</x:v>
      </x:c>
      <x:c r="F801" s="36" t="n">
        <x:v>2537</x:v>
      </x:c>
      <x:c r="G801" s="42" t="n">
        <x:v>0.5441870441870442</x:v>
      </x:c>
      <x:c r="H801" s="36" t="n">
        <x:f>E801*G801</x:f>
        <x:v>7074.4315744315745</x:v>
      </x:c>
      <x:c r="I801" s="36" t="n">
        <x:f>IFERROR(H801/A801,0)</x:f>
        <x:v>3537.2157872157873</x:v>
      </x:c>
      <x:c r="J801" s="67" t="str">
        <x:v>Modeled from live base + Sep-2026 quality ratio</x:v>
      </x:c>
      <x:c r="K801" s="67" t="str">
        <x:v>https://www.stonealgo.com/diamond-prices/</x:v>
      </x:c>
      <x:c r="L801" s="67" t="str">
        <x:v>https://www.pricescope.com/blog/natural-diamond-prices-september-2026</x:v>
      </x:c>
    </x:row>
    <x:row r="802">
      <x:c r="A802" t="n">
        <x:v>2</x:v>
      </x:c>
      <x:c r="B802" t="str">
        <x:v>Princess</x:v>
      </x:c>
      <x:c r="C802" t="str">
        <x:v>H</x:v>
      </x:c>
      <x:c r="D802" t="str">
        <x:v>FL</x:v>
      </x:c>
      <x:c r="E802" s="36" t="n">
        <x:v>13000</x:v>
      </x:c>
      <x:c r="F802" s="36" t="n">
        <x:v>4563</x:v>
      </x:c>
      <x:c r="G802" s="42" t="n">
        <x:v>0.9787644787644788</x:v>
      </x:c>
      <x:c r="H802" s="36" t="n">
        <x:f>E802*G802</x:f>
        <x:v>12723.938223938225</x:v>
      </x:c>
      <x:c r="I802" s="36" t="n">
        <x:f>IFERROR(H802/A802,0)</x:f>
        <x:v>6361.969111969112</x:v>
      </x:c>
      <x:c r="J802" s="67" t="str">
        <x:v>Modeled from live base + Sep-2026 quality ratio</x:v>
      </x:c>
      <x:c r="K802" s="67" t="str">
        <x:v>https://www.stonealgo.com/diamond-prices/</x:v>
      </x:c>
      <x:c r="L802" s="67" t="str">
        <x:v>https://www.pricescope.com/blog/natural-diamond-prices-september-2026</x:v>
      </x:c>
    </x:row>
    <x:row r="803">
      <x:c r="A803" t="n">
        <x:v>2</x:v>
      </x:c>
      <x:c r="B803" t="str">
        <x:v>Princess</x:v>
      </x:c>
      <x:c r="C803" t="str">
        <x:v>H</x:v>
      </x:c>
      <x:c r="D803" t="str">
        <x:v>IF</x:v>
      </x:c>
      <x:c r="E803" s="36" t="n">
        <x:v>13000</x:v>
      </x:c>
      <x:c r="F803" s="36" t="n">
        <x:v>4809</x:v>
      </x:c>
      <x:c r="G803" s="42" t="n">
        <x:v>1.0315315315315314</x:v>
      </x:c>
      <x:c r="H803" s="36" t="n">
        <x:f>E803*G803</x:f>
        <x:v>13409.90990990991</x:v>
      </x:c>
      <x:c r="I803" s="36" t="n">
        <x:f>IFERROR(H803/A803,0)</x:f>
        <x:v>6704.954954954955</x:v>
      </x:c>
      <x:c r="J803" s="67" t="str">
        <x:v>Modeled from live base + Sep-2026 quality ratio</x:v>
      </x:c>
      <x:c r="K803" s="67" t="str">
        <x:v>https://www.stonealgo.com/diamond-prices/</x:v>
      </x:c>
      <x:c r="L803" s="67" t="str">
        <x:v>https://www.pricescope.com/blog/natural-diamond-prices-september-2026</x:v>
      </x:c>
    </x:row>
    <x:row r="804">
      <x:c r="A804" t="n">
        <x:v>2</x:v>
      </x:c>
      <x:c r="B804" t="str">
        <x:v>Princess</x:v>
      </x:c>
      <x:c r="C804" t="str">
        <x:v>H</x:v>
      </x:c>
      <x:c r="D804" t="str">
        <x:v>VVS1</x:v>
      </x:c>
      <x:c r="E804" s="36" t="n">
        <x:v>13000</x:v>
      </x:c>
      <x:c r="F804" s="36" t="n">
        <x:v>4911</x:v>
      </x:c>
      <x:c r="G804" s="42" t="n">
        <x:v>1.0534105534105533</x:v>
      </x:c>
      <x:c r="H804" s="36" t="n">
        <x:f>E804*G804</x:f>
        <x:v>13694.337194337193</x:v>
      </x:c>
      <x:c r="I804" s="36" t="n">
        <x:f>IFERROR(H804/A804,0)</x:f>
        <x:v>6847.1685971685965</x:v>
      </x:c>
      <x:c r="J804" s="67" t="str">
        <x:v>Modeled from live base + Sep-2026 quality ratio</x:v>
      </x:c>
      <x:c r="K804" s="67" t="str">
        <x:v>https://www.stonealgo.com/diamond-prices/</x:v>
      </x:c>
      <x:c r="L804" s="67" t="str">
        <x:v>https://www.pricescope.com/blog/natural-diamond-prices-september-2026</x:v>
      </x:c>
    </x:row>
    <x:row r="805">
      <x:c r="A805" t="n">
        <x:v>2</x:v>
      </x:c>
      <x:c r="B805" t="str">
        <x:v>Princess</x:v>
      </x:c>
      <x:c r="C805" t="str">
        <x:v>H</x:v>
      </x:c>
      <x:c r="D805" t="str">
        <x:v>VVS2</x:v>
      </x:c>
      <x:c r="E805" s="36" t="n">
        <x:v>13000</x:v>
      </x:c>
      <x:c r="F805" s="36" t="n">
        <x:v>4046</x:v>
      </x:c>
      <x:c r="G805" s="42" t="n">
        <x:v>0.8678678678678678</x:v>
      </x:c>
      <x:c r="H805" s="36" t="n">
        <x:f>E805*G805</x:f>
        <x:v>11282.282282282282</x:v>
      </x:c>
      <x:c r="I805" s="36" t="n">
        <x:f>IFERROR(H805/A805,0)</x:f>
        <x:v>5641.141141141141</x:v>
      </x:c>
      <x:c r="J805" s="67" t="str">
        <x:v>Modeled from live base + Sep-2026 quality ratio</x:v>
      </x:c>
      <x:c r="K805" s="67" t="str">
        <x:v>https://www.stonealgo.com/diamond-prices/</x:v>
      </x:c>
      <x:c r="L805" s="67" t="str">
        <x:v>https://www.pricescope.com/blog/natural-diamond-prices-september-2026</x:v>
      </x:c>
    </x:row>
    <x:row r="806">
      <x:c r="A806" t="n">
        <x:v>2</x:v>
      </x:c>
      <x:c r="B806" t="str">
        <x:v>Princess</x:v>
      </x:c>
      <x:c r="C806" t="str">
        <x:v>H</x:v>
      </x:c>
      <x:c r="D806" t="str">
        <x:v>VS1</x:v>
      </x:c>
      <x:c r="E806" s="36" t="n">
        <x:v>13000</x:v>
      </x:c>
      <x:c r="F806" s="36" t="n">
        <x:v>3893</x:v>
      </x:c>
      <x:c r="G806" s="42" t="n">
        <x:v>0.8350493350493351</x:v>
      </x:c>
      <x:c r="H806" s="36" t="n">
        <x:f>E806*G806</x:f>
        <x:v>10855.641355641355</x:v>
      </x:c>
      <x:c r="I806" s="36" t="n">
        <x:f>IFERROR(H806/A806,0)</x:f>
        <x:v>5427.820677820678</x:v>
      </x:c>
      <x:c r="J806" s="67" t="str">
        <x:v>Modeled from live base + Sep-2026 quality ratio</x:v>
      </x:c>
      <x:c r="K806" s="67" t="str">
        <x:v>https://www.stonealgo.com/diamond-prices/</x:v>
      </x:c>
      <x:c r="L806" s="67" t="str">
        <x:v>https://www.pricescope.com/blog/natural-diamond-prices-september-2026</x:v>
      </x:c>
    </x:row>
    <x:row r="807">
      <x:c r="A807" t="n">
        <x:v>2</x:v>
      </x:c>
      <x:c r="B807" t="str">
        <x:v>Princess</x:v>
      </x:c>
      <x:c r="C807" t="str">
        <x:v>H</x:v>
      </x:c>
      <x:c r="D807" t="str">
        <x:v>VS2</x:v>
      </x:c>
      <x:c r="E807" s="36" t="n">
        <x:v>13000</x:v>
      </x:c>
      <x:c r="F807" s="36" t="n">
        <x:v>3989</x:v>
      </x:c>
      <x:c r="G807" s="42" t="n">
        <x:v>0.8556413556413557</x:v>
      </x:c>
      <x:c r="H807" s="36" t="n">
        <x:f>E807*G807</x:f>
        <x:v>11123.337623337624</x:v>
      </x:c>
      <x:c r="I807" s="36" t="n">
        <x:f>IFERROR(H807/A807,0)</x:f>
        <x:v>5561.668811668812</x:v>
      </x:c>
      <x:c r="J807" s="67" t="str">
        <x:v>Modeled from live base + Sep-2026 quality ratio</x:v>
      </x:c>
      <x:c r="K807" s="67" t="str">
        <x:v>https://www.stonealgo.com/diamond-prices/</x:v>
      </x:c>
      <x:c r="L807" s="67" t="str">
        <x:v>https://www.pricescope.com/blog/natural-diamond-prices-september-2026</x:v>
      </x:c>
    </x:row>
    <x:row r="808">
      <x:c r="A808" t="n">
        <x:v>2</x:v>
      </x:c>
      <x:c r="B808" t="str">
        <x:v>Princess</x:v>
      </x:c>
      <x:c r="C808" t="str">
        <x:v>H</x:v>
      </x:c>
      <x:c r="D808" t="str">
        <x:v>SI1</x:v>
      </x:c>
      <x:c r="E808" s="36" t="n">
        <x:v>13000</x:v>
      </x:c>
      <x:c r="F808" s="36" t="n">
        <x:v>2828</x:v>
      </x:c>
      <x:c r="G808" s="42" t="n">
        <x:v>0.6066066066066066</x:v>
      </x:c>
      <x:c r="H808" s="36" t="n">
        <x:f>E808*G808</x:f>
        <x:v>7885.885885885886</x:v>
      </x:c>
      <x:c r="I808" s="36" t="n">
        <x:f>IFERROR(H808/A808,0)</x:f>
        <x:v>3942.942942942943</x:v>
      </x:c>
      <x:c r="J808" s="67" t="str">
        <x:v>Modeled from live base + Sep-2026 quality ratio</x:v>
      </x:c>
      <x:c r="K808" s="67" t="str">
        <x:v>https://www.stonealgo.com/diamond-prices/</x:v>
      </x:c>
      <x:c r="L808" s="67" t="str">
        <x:v>https://www.pricescope.com/blog/natural-diamond-prices-september-2026</x:v>
      </x:c>
    </x:row>
    <x:row r="809">
      <x:c r="A809" t="n">
        <x:v>2</x:v>
      </x:c>
      <x:c r="B809" t="str">
        <x:v>Princess</x:v>
      </x:c>
      <x:c r="C809" t="str">
        <x:v>H</x:v>
      </x:c>
      <x:c r="D809" t="str">
        <x:v>SI2</x:v>
      </x:c>
      <x:c r="E809" s="36" t="n">
        <x:v>13000</x:v>
      </x:c>
      <x:c r="F809" s="36" t="n">
        <x:v>2328</x:v>
      </x:c>
      <x:c r="G809" s="42" t="n">
        <x:v>0.49935649935649934</x:v>
      </x:c>
      <x:c r="H809" s="36" t="n">
        <x:f>E809*G809</x:f>
        <x:v>6491.6344916344915</x:v>
      </x:c>
      <x:c r="I809" s="36" t="n">
        <x:f>IFERROR(H809/A809,0)</x:f>
        <x:v>3245.8172458172457</x:v>
      </x:c>
      <x:c r="J809" s="67" t="str">
        <x:v>Modeled from live base + Sep-2026 quality ratio</x:v>
      </x:c>
      <x:c r="K809" s="67" t="str">
        <x:v>https://www.stonealgo.com/diamond-prices/</x:v>
      </x:c>
      <x:c r="L809" s="67" t="str">
        <x:v>https://www.pricescope.com/blog/natural-diamond-prices-september-2026</x:v>
      </x:c>
    </x:row>
    <x:row r="810">
      <x:c r="A810" t="n">
        <x:v>2</x:v>
      </x:c>
      <x:c r="B810" t="str">
        <x:v>Princess</x:v>
      </x:c>
      <x:c r="C810" t="str">
        <x:v>I</x:v>
      </x:c>
      <x:c r="D810" t="str">
        <x:v>FL</x:v>
      </x:c>
      <x:c r="E810" s="36" t="n">
        <x:v>13000</x:v>
      </x:c>
      <x:c r="F810" s="36" t="n">
        <x:v>4623</x:v>
      </x:c>
      <x:c r="G810" s="42" t="n">
        <x:v>0.9916344916344917</x:v>
      </x:c>
      <x:c r="H810" s="36" t="n">
        <x:f>E810*G810</x:f>
        <x:v>12891.248391248391</x:v>
      </x:c>
      <x:c r="I810" s="36" t="n">
        <x:f>IFERROR(H810/A810,0)</x:f>
        <x:v>6445.624195624196</x:v>
      </x:c>
      <x:c r="J810" s="67" t="str">
        <x:v>Modeled from live base + Sep-2026 quality ratio</x:v>
      </x:c>
      <x:c r="K810" s="67" t="str">
        <x:v>https://www.stonealgo.com/diamond-prices/</x:v>
      </x:c>
      <x:c r="L810" s="67" t="str">
        <x:v>https://www.pricescope.com/blog/natural-diamond-prices-september-2026</x:v>
      </x:c>
    </x:row>
    <x:row r="811">
      <x:c r="A811" t="n">
        <x:v>2</x:v>
      </x:c>
      <x:c r="B811" t="str">
        <x:v>Princess</x:v>
      </x:c>
      <x:c r="C811" t="str">
        <x:v>I</x:v>
      </x:c>
      <x:c r="D811" t="str">
        <x:v>IF</x:v>
      </x:c>
      <x:c r="E811" s="36" t="n">
        <x:v>13000</x:v>
      </x:c>
      <x:c r="F811" s="36" t="n">
        <x:v>4005</x:v>
      </x:c>
      <x:c r="G811" s="42" t="n">
        <x:v>0.859073359073359</x:v>
      </x:c>
      <x:c r="H811" s="36" t="n">
        <x:f>E811*G811</x:f>
        <x:v>11167.953667953667</x:v>
      </x:c>
      <x:c r="I811" s="36" t="n">
        <x:f>IFERROR(H811/A811,0)</x:f>
        <x:v>5583.976833976833</x:v>
      </x:c>
      <x:c r="J811" s="67" t="str">
        <x:v>Modeled from live base + Sep-2026 quality ratio</x:v>
      </x:c>
      <x:c r="K811" s="67" t="str">
        <x:v>https://www.stonealgo.com/diamond-prices/</x:v>
      </x:c>
      <x:c r="L811" s="67" t="str">
        <x:v>https://www.pricescope.com/blog/natural-diamond-prices-september-2026</x:v>
      </x:c>
    </x:row>
    <x:row r="812">
      <x:c r="A812" t="n">
        <x:v>2</x:v>
      </x:c>
      <x:c r="B812" t="str">
        <x:v>Princess</x:v>
      </x:c>
      <x:c r="C812" t="str">
        <x:v>I</x:v>
      </x:c>
      <x:c r="D812" t="str">
        <x:v>VVS1</x:v>
      </x:c>
      <x:c r="E812" s="36" t="n">
        <x:v>13000</x:v>
      </x:c>
      <x:c r="F812" s="36" t="n">
        <x:v>3670</x:v>
      </x:c>
      <x:c r="G812" s="42" t="n">
        <x:v>0.7872157872157872</x:v>
      </x:c>
      <x:c r="H812" s="36" t="n">
        <x:f>E812*G812</x:f>
        <x:v>10233.805233805233</x:v>
      </x:c>
      <x:c r="I812" s="36" t="n">
        <x:f>IFERROR(H812/A812,0)</x:f>
        <x:v>5116.9026169026165</x:v>
      </x:c>
      <x:c r="J812" s="67" t="str">
        <x:v>Modeled from live base + Sep-2026 quality ratio</x:v>
      </x:c>
      <x:c r="K812" s="67" t="str">
        <x:v>https://www.stonealgo.com/diamond-prices/</x:v>
      </x:c>
      <x:c r="L812" s="67" t="str">
        <x:v>https://www.pricescope.com/blog/natural-diamond-prices-september-2026</x:v>
      </x:c>
    </x:row>
    <x:row r="813">
      <x:c r="A813" t="n">
        <x:v>2</x:v>
      </x:c>
      <x:c r="B813" t="str">
        <x:v>Princess</x:v>
      </x:c>
      <x:c r="C813" t="str">
        <x:v>I</x:v>
      </x:c>
      <x:c r="D813" t="str">
        <x:v>VVS2</x:v>
      </x:c>
      <x:c r="E813" s="36" t="n">
        <x:v>13000</x:v>
      </x:c>
      <x:c r="F813" s="36" t="n">
        <x:v>3447</x:v>
      </x:c>
      <x:c r="G813" s="42" t="n">
        <x:v>0.7393822393822393</x:v>
      </x:c>
      <x:c r="H813" s="36" t="n">
        <x:f>E813*G813</x:f>
        <x:v>9611.969111969112</x:v>
      </x:c>
      <x:c r="I813" s="36" t="n">
        <x:f>IFERROR(H813/A813,0)</x:f>
        <x:v>4805.984555984556</x:v>
      </x:c>
      <x:c r="J813" s="67" t="str">
        <x:v>Modeled from live base + Sep-2026 quality ratio</x:v>
      </x:c>
      <x:c r="K813" s="67" t="str">
        <x:v>https://www.stonealgo.com/diamond-prices/</x:v>
      </x:c>
      <x:c r="L813" s="67" t="str">
        <x:v>https://www.pricescope.com/blog/natural-diamond-prices-september-2026</x:v>
      </x:c>
    </x:row>
    <x:row r="814">
      <x:c r="A814" t="n">
        <x:v>2</x:v>
      </x:c>
      <x:c r="B814" t="str">
        <x:v>Princess</x:v>
      </x:c>
      <x:c r="C814" t="str">
        <x:v>I</x:v>
      </x:c>
      <x:c r="D814" t="str">
        <x:v>VS1</x:v>
      </x:c>
      <x:c r="E814" s="36" t="n">
        <x:v>13000</x:v>
      </x:c>
      <x:c r="F814" s="36" t="n">
        <x:v>3313</x:v>
      </x:c>
      <x:c r="G814" s="42" t="n">
        <x:v>0.7106392106392107</x:v>
      </x:c>
      <x:c r="H814" s="36" t="n">
        <x:f>E814*G814</x:f>
        <x:v>9238.30973830974</x:v>
      </x:c>
      <x:c r="I814" s="36" t="n">
        <x:f>IFERROR(H814/A814,0)</x:f>
        <x:v>4619.15486915487</x:v>
      </x:c>
      <x:c r="J814" s="67" t="str">
        <x:v>Modeled from live base + Sep-2026 quality ratio</x:v>
      </x:c>
      <x:c r="K814" s="67" t="str">
        <x:v>https://www.stonealgo.com/diamond-prices/</x:v>
      </x:c>
      <x:c r="L814" s="67" t="str">
        <x:v>https://www.pricescope.com/blog/natural-diamond-prices-september-2026</x:v>
      </x:c>
    </x:row>
    <x:row r="815">
      <x:c r="A815" t="n">
        <x:v>2</x:v>
      </x:c>
      <x:c r="B815" t="str">
        <x:v>Princess</x:v>
      </x:c>
      <x:c r="C815" t="str">
        <x:v>I</x:v>
      </x:c>
      <x:c r="D815" t="str">
        <x:v>VS2</x:v>
      </x:c>
      <x:c r="E815" s="36" t="n">
        <x:v>13000</x:v>
      </x:c>
      <x:c r="F815" s="36" t="n">
        <x:v>3240</x:v>
      </x:c>
      <x:c r="G815" s="42" t="n">
        <x:v>0.694980694980695</x:v>
      </x:c>
      <x:c r="H815" s="36" t="n">
        <x:f>E815*G815</x:f>
        <x:v>9034.749034749035</x:v>
      </x:c>
      <x:c r="I815" s="36" t="n">
        <x:f>IFERROR(H815/A815,0)</x:f>
        <x:v>4517.374517374517</x:v>
      </x:c>
      <x:c r="J815" s="67" t="str">
        <x:v>Modeled from live base + Sep-2026 quality ratio</x:v>
      </x:c>
      <x:c r="K815" s="67" t="str">
        <x:v>https://www.stonealgo.com/diamond-prices/</x:v>
      </x:c>
      <x:c r="L815" s="67" t="str">
        <x:v>https://www.pricescope.com/blog/natural-diamond-prices-september-2026</x:v>
      </x:c>
    </x:row>
    <x:row r="816">
      <x:c r="A816" t="n">
        <x:v>2</x:v>
      </x:c>
      <x:c r="B816" t="str">
        <x:v>Princess</x:v>
      </x:c>
      <x:c r="C816" t="str">
        <x:v>I</x:v>
      </x:c>
      <x:c r="D816" t="str">
        <x:v>SI1</x:v>
      </x:c>
      <x:c r="E816" s="36" t="n">
        <x:v>13000</x:v>
      </x:c>
      <x:c r="F816" s="36" t="n">
        <x:v>3199</x:v>
      </x:c>
      <x:c r="G816" s="42" t="n">
        <x:v>0.6861861861861862</x:v>
      </x:c>
      <x:c r="H816" s="36" t="n">
        <x:f>E816*G816</x:f>
        <x:v>8920.420420420422</x:v>
      </x:c>
      <x:c r="I816" s="36" t="n">
        <x:f>IFERROR(H816/A816,0)</x:f>
        <x:v>4460.210210210211</x:v>
      </x:c>
      <x:c r="J816" s="67" t="str">
        <x:v>Modeled from live base + Sep-2026 quality ratio</x:v>
      </x:c>
      <x:c r="K816" s="67" t="str">
        <x:v>https://www.stonealgo.com/diamond-prices/</x:v>
      </x:c>
      <x:c r="L816" s="67" t="str">
        <x:v>https://www.pricescope.com/blog/natural-diamond-prices-september-2026</x:v>
      </x:c>
    </x:row>
    <x:row r="817">
      <x:c r="A817" t="n">
        <x:v>2</x:v>
      </x:c>
      <x:c r="B817" t="str">
        <x:v>Princess</x:v>
      </x:c>
      <x:c r="C817" t="str">
        <x:v>I</x:v>
      </x:c>
      <x:c r="D817" t="str">
        <x:v>SI2</x:v>
      </x:c>
      <x:c r="E817" s="36" t="n">
        <x:v>13000</x:v>
      </x:c>
      <x:c r="F817" s="36" t="n">
        <x:v>2874</x:v>
      </x:c>
      <x:c r="G817" s="42" t="n">
        <x:v>0.6164736164736164</x:v>
      </x:c>
      <x:c r="H817" s="36" t="n">
        <x:f>E817*G817</x:f>
        <x:v>8014.157014157014</x:v>
      </x:c>
      <x:c r="I817" s="36" t="n">
        <x:f>IFERROR(H817/A817,0)</x:f>
        <x:v>4007.078507078507</x:v>
      </x:c>
      <x:c r="J817" s="67" t="str">
        <x:v>Modeled from live base + Sep-2026 quality ratio</x:v>
      </x:c>
      <x:c r="K817" s="67" t="str">
        <x:v>https://www.stonealgo.com/diamond-prices/</x:v>
      </x:c>
      <x:c r="L817" s="67" t="str">
        <x:v>https://www.pricescope.com/blog/natural-diamond-prices-september-2026</x:v>
      </x:c>
    </x:row>
    <x:row r="818">
      <x:c r="A818" t="n">
        <x:v>2</x:v>
      </x:c>
      <x:c r="B818" t="str">
        <x:v>Princess</x:v>
      </x:c>
      <x:c r="C818" t="str">
        <x:v>J</x:v>
      </x:c>
      <x:c r="D818" t="str">
        <x:v>FL</x:v>
      </x:c>
      <x:c r="E818" s="36" t="n">
        <x:v>13000</x:v>
      </x:c>
      <x:c r="F818" s="36" t="n">
        <x:v>3646</x:v>
      </x:c>
      <x:c r="G818" s="42" t="n">
        <x:v>0.782067782067782</x:v>
      </x:c>
      <x:c r="H818" s="36" t="n">
        <x:f>E818*G818</x:f>
        <x:v>10166.881166881167</x:v>
      </x:c>
      <x:c r="I818" s="36" t="n">
        <x:f>IFERROR(H818/A818,0)</x:f>
        <x:v>5083.440583440583</x:v>
      </x:c>
      <x:c r="J818" s="67" t="str">
        <x:v>Modeled from live base + Sep-2026 quality ratio</x:v>
      </x:c>
      <x:c r="K818" s="67" t="str">
        <x:v>https://www.stonealgo.com/diamond-prices/</x:v>
      </x:c>
      <x:c r="L818" s="67" t="str">
        <x:v>https://www.pricescope.com/blog/natural-diamond-prices-september-2026</x:v>
      </x:c>
    </x:row>
    <x:row r="819">
      <x:c r="A819" t="n">
        <x:v>2</x:v>
      </x:c>
      <x:c r="B819" t="str">
        <x:v>Princess</x:v>
      </x:c>
      <x:c r="C819" t="str">
        <x:v>J</x:v>
      </x:c>
      <x:c r="D819" t="str">
        <x:v>IF</x:v>
      </x:c>
      <x:c r="E819" s="36" t="n">
        <x:v>13000</x:v>
      </x:c>
      <x:c r="F819" s="36" t="n">
        <x:v>3368</x:v>
      </x:c>
      <x:c r="G819" s="42" t="n">
        <x:v>0.7224367224367224</x:v>
      </x:c>
      <x:c r="H819" s="36" t="n">
        <x:f>E819*G819</x:f>
        <x:v>9391.677391677391</x:v>
      </x:c>
      <x:c r="I819" s="36" t="n">
        <x:f>IFERROR(H819/A819,0)</x:f>
        <x:v>4695.8386958386955</x:v>
      </x:c>
      <x:c r="J819" s="67" t="str">
        <x:v>Modeled from live base + Sep-2026 quality ratio</x:v>
      </x:c>
      <x:c r="K819" s="67" t="str">
        <x:v>https://www.stonealgo.com/diamond-prices/</x:v>
      </x:c>
      <x:c r="L819" s="67" t="str">
        <x:v>https://www.pricescope.com/blog/natural-diamond-prices-september-2026</x:v>
      </x:c>
    </x:row>
    <x:row r="820">
      <x:c r="A820" t="n">
        <x:v>2</x:v>
      </x:c>
      <x:c r="B820" t="str">
        <x:v>Princess</x:v>
      </x:c>
      <x:c r="C820" t="str">
        <x:v>J</x:v>
      </x:c>
      <x:c r="D820" t="str">
        <x:v>VVS1</x:v>
      </x:c>
      <x:c r="E820" s="36" t="n">
        <x:v>13000</x:v>
      </x:c>
      <x:c r="F820" s="36" t="n">
        <x:v>2956</x:v>
      </x:c>
      <x:c r="G820" s="42" t="n">
        <x:v>0.6340626340626341</x:v>
      </x:c>
      <x:c r="H820" s="36" t="n">
        <x:f>E820*G820</x:f>
        <x:v>8242.814242814244</x:v>
      </x:c>
      <x:c r="I820" s="36" t="n">
        <x:f>IFERROR(H820/A820,0)</x:f>
        <x:v>4121.407121407122</x:v>
      </x:c>
      <x:c r="J820" s="67" t="str">
        <x:v>Modeled from live base + Sep-2026 quality ratio</x:v>
      </x:c>
      <x:c r="K820" s="67" t="str">
        <x:v>https://www.stonealgo.com/diamond-prices/</x:v>
      </x:c>
      <x:c r="L820" s="67" t="str">
        <x:v>https://www.pricescope.com/blog/natural-diamond-prices-september-2026</x:v>
      </x:c>
    </x:row>
    <x:row r="821">
      <x:c r="A821" t="n">
        <x:v>2</x:v>
      </x:c>
      <x:c r="B821" t="str">
        <x:v>Princess</x:v>
      </x:c>
      <x:c r="C821" t="str">
        <x:v>J</x:v>
      </x:c>
      <x:c r="D821" t="str">
        <x:v>VVS2</x:v>
      </x:c>
      <x:c r="E821" s="36" t="n">
        <x:v>13000</x:v>
      </x:c>
      <x:c r="F821" s="36" t="n">
        <x:v>2612</x:v>
      </x:c>
      <x:c r="G821" s="42" t="n">
        <x:v>0.5602745602745602</x:v>
      </x:c>
      <x:c r="H821" s="36" t="n">
        <x:f>E821*G821</x:f>
        <x:v>7283.5692835692835</x:v>
      </x:c>
      <x:c r="I821" s="36" t="n">
        <x:f>IFERROR(H821/A821,0)</x:f>
        <x:v>3641.7846417846417</x:v>
      </x:c>
      <x:c r="J821" s="67" t="str">
        <x:v>Modeled from live base + Sep-2026 quality ratio</x:v>
      </x:c>
      <x:c r="K821" s="67" t="str">
        <x:v>https://www.stonealgo.com/diamond-prices/</x:v>
      </x:c>
      <x:c r="L821" s="67" t="str">
        <x:v>https://www.pricescope.com/blog/natural-diamond-prices-september-2026</x:v>
      </x:c>
    </x:row>
    <x:row r="822">
      <x:c r="A822" t="n">
        <x:v>2</x:v>
      </x:c>
      <x:c r="B822" t="str">
        <x:v>Princess</x:v>
      </x:c>
      <x:c r="C822" t="str">
        <x:v>J</x:v>
      </x:c>
      <x:c r="D822" t="str">
        <x:v>VS1</x:v>
      </x:c>
      <x:c r="E822" s="36" t="n">
        <x:v>13000</x:v>
      </x:c>
      <x:c r="F822" s="36" t="n">
        <x:v>3002</x:v>
      </x:c>
      <x:c r="G822" s="42" t="n">
        <x:v>0.6439296439296439</x:v>
      </x:c>
      <x:c r="H822" s="36" t="n">
        <x:f>E822*G822</x:f>
        <x:v>8371.085371085372</x:v>
      </x:c>
      <x:c r="I822" s="36" t="n">
        <x:f>IFERROR(H822/A822,0)</x:f>
        <x:v>4185.542685542686</x:v>
      </x:c>
      <x:c r="J822" s="67" t="str">
        <x:v>Modeled from live base + Sep-2026 quality ratio</x:v>
      </x:c>
      <x:c r="K822" s="67" t="str">
        <x:v>https://www.stonealgo.com/diamond-prices/</x:v>
      </x:c>
      <x:c r="L822" s="67" t="str">
        <x:v>https://www.pricescope.com/blog/natural-diamond-prices-september-2026</x:v>
      </x:c>
    </x:row>
    <x:row r="823">
      <x:c r="A823" t="n">
        <x:v>2</x:v>
      </x:c>
      <x:c r="B823" t="str">
        <x:v>Princess</x:v>
      </x:c>
      <x:c r="C823" t="str">
        <x:v>J</x:v>
      </x:c>
      <x:c r="D823" t="str">
        <x:v>VS2</x:v>
      </x:c>
      <x:c r="E823" s="36" t="n">
        <x:v>13000</x:v>
      </x:c>
      <x:c r="F823" s="36" t="n">
        <x:v>2559</x:v>
      </x:c>
      <x:c r="G823" s="42" t="n">
        <x:v>0.5489060489060489</x:v>
      </x:c>
      <x:c r="H823" s="36" t="n">
        <x:f>E823*G823</x:f>
        <x:v>7135.778635778635</x:v>
      </x:c>
      <x:c r="I823" s="36" t="n">
        <x:f>IFERROR(H823/A823,0)</x:f>
        <x:v>3567.8893178893177</x:v>
      </x:c>
      <x:c r="J823" s="67" t="str">
        <x:v>Modeled from live base + Sep-2026 quality ratio</x:v>
      </x:c>
      <x:c r="K823" s="67" t="str">
        <x:v>https://www.stonealgo.com/diamond-prices/</x:v>
      </x:c>
      <x:c r="L823" s="67" t="str">
        <x:v>https://www.pricescope.com/blog/natural-diamond-prices-september-2026</x:v>
      </x:c>
    </x:row>
    <x:row r="824">
      <x:c r="A824" t="n">
        <x:v>2</x:v>
      </x:c>
      <x:c r="B824" t="str">
        <x:v>Princess</x:v>
      </x:c>
      <x:c r="C824" t="str">
        <x:v>J</x:v>
      </x:c>
      <x:c r="D824" t="str">
        <x:v>SI1</x:v>
      </x:c>
      <x:c r="E824" s="36" t="n">
        <x:v>13000</x:v>
      </x:c>
      <x:c r="F824" s="36" t="n">
        <x:v>2195</x:v>
      </x:c>
      <x:c r="G824" s="42" t="n">
        <x:v>0.47082797082797084</x:v>
      </x:c>
      <x:c r="H824" s="36" t="n">
        <x:f>E824*G824</x:f>
        <x:v>6120.763620763621</x:v>
      </x:c>
      <x:c r="I824" s="36" t="n">
        <x:f>IFERROR(H824/A824,0)</x:f>
        <x:v>3060.3818103818103</x:v>
      </x:c>
      <x:c r="J824" s="67" t="str">
        <x:v>Modeled from live base + Sep-2026 quality ratio</x:v>
      </x:c>
      <x:c r="K824" s="67" t="str">
        <x:v>https://www.stonealgo.com/diamond-prices/</x:v>
      </x:c>
      <x:c r="L824" s="67" t="str">
        <x:v>https://www.pricescope.com/blog/natural-diamond-prices-september-2026</x:v>
      </x:c>
    </x:row>
    <x:row r="825">
      <x:c r="A825" t="n">
        <x:v>2</x:v>
      </x:c>
      <x:c r="B825" t="str">
        <x:v>Princess</x:v>
      </x:c>
      <x:c r="C825" t="str">
        <x:v>J</x:v>
      </x:c>
      <x:c r="D825" t="str">
        <x:v>SI2</x:v>
      </x:c>
      <x:c r="E825" s="36" t="n">
        <x:v>13000</x:v>
      </x:c>
      <x:c r="F825" s="36" t="n">
        <x:v>2079</x:v>
      </x:c>
      <x:c r="G825" s="42" t="n">
        <x:v>0.44594594594594594</x:v>
      </x:c>
      <x:c r="H825" s="36" t="n">
        <x:f>E825*G825</x:f>
        <x:v>5797.2972972972975</x:v>
      </x:c>
      <x:c r="I825" s="36" t="n">
        <x:f>IFERROR(H825/A825,0)</x:f>
        <x:v>2898.6486486486488</x:v>
      </x:c>
      <x:c r="J825" s="67" t="str">
        <x:v>Modeled from live base + Sep-2026 quality ratio</x:v>
      </x:c>
      <x:c r="K825" s="67" t="str">
        <x:v>https://www.stonealgo.com/diamond-prices/</x:v>
      </x:c>
      <x:c r="L825" s="67" t="str">
        <x:v>https://www.pricescope.com/blog/natural-diamond-prices-september-2026</x:v>
      </x:c>
    </x:row>
    <x:row r="826">
      <x:c r="A826" t="n">
        <x:v>2</x:v>
      </x:c>
      <x:c r="B826" t="str">
        <x:v>Princess</x:v>
      </x:c>
      <x:c r="C826" t="str">
        <x:v>K</x:v>
      </x:c>
      <x:c r="D826" t="str">
        <x:v>FL</x:v>
      </x:c>
      <x:c r="E826" s="36" t="n">
        <x:v>13000</x:v>
      </x:c>
      <x:c r="F826" s="36" t="n">
        <x:v>2858</x:v>
      </x:c>
      <x:c r="G826" s="42" t="n">
        <x:v>0.6130416130416131</x:v>
      </x:c>
      <x:c r="H826" s="36" t="n">
        <x:f>E826*G826</x:f>
        <x:v>7969.54096954097</x:v>
      </x:c>
      <x:c r="I826" s="36" t="n">
        <x:f>IFERROR(H826/A826,0)</x:f>
        <x:v>3984.770484770485</x:v>
      </x:c>
      <x:c r="J826" s="67" t="str">
        <x:v>Modeled from live base + Sep-2026 quality ratio; K/FL quality cell modeled</x:v>
      </x:c>
      <x:c r="K826" s="67" t="str">
        <x:v>https://www.stonealgo.com/diamond-prices/</x:v>
      </x:c>
      <x:c r="L826" s="67" t="str">
        <x:v>https://www.pricescope.com/blog/natural-diamond-prices-september-2026</x:v>
      </x:c>
    </x:row>
    <x:row r="827">
      <x:c r="A827" t="n">
        <x:v>2</x:v>
      </x:c>
      <x:c r="B827" t="str">
        <x:v>Princess</x:v>
      </x:c>
      <x:c r="C827" t="str">
        <x:v>K</x:v>
      </x:c>
      <x:c r="D827" t="str">
        <x:v>IF</x:v>
      </x:c>
      <x:c r="E827" s="36" t="n">
        <x:v>13000</x:v>
      </x:c>
      <x:c r="F827" s="36" t="n">
        <x:v>2743</x:v>
      </x:c>
      <x:c r="G827" s="42" t="n">
        <x:v>0.5883740883740883</x:v>
      </x:c>
      <x:c r="H827" s="36" t="n">
        <x:f>E827*G827</x:f>
        <x:v>7648.863148863148</x:v>
      </x:c>
      <x:c r="I827" s="36" t="n">
        <x:f>IFERROR(H827/A827,0)</x:f>
        <x:v>3824.431574431574</x:v>
      </x:c>
      <x:c r="J827" s="67" t="str">
        <x:v>Modeled from live base + Sep-2026 quality ratio</x:v>
      </x:c>
      <x:c r="K827" s="67" t="str">
        <x:v>https://www.stonealgo.com/diamond-prices/</x:v>
      </x:c>
      <x:c r="L827" s="67" t="str">
        <x:v>https://www.pricescope.com/blog/natural-diamond-prices-september-2026</x:v>
      </x:c>
    </x:row>
    <x:row r="828">
      <x:c r="A828" t="n">
        <x:v>2</x:v>
      </x:c>
      <x:c r="B828" t="str">
        <x:v>Princess</x:v>
      </x:c>
      <x:c r="C828" t="str">
        <x:v>K</x:v>
      </x:c>
      <x:c r="D828" t="str">
        <x:v>VVS1</x:v>
      </x:c>
      <x:c r="E828" s="36" t="n">
        <x:v>13000</x:v>
      </x:c>
      <x:c r="F828" s="36" t="n">
        <x:v>2529</x:v>
      </x:c>
      <x:c r="G828" s="42" t="n">
        <x:v>0.5424710424710425</x:v>
      </x:c>
      <x:c r="H828" s="36" t="n">
        <x:f>E828*G828</x:f>
        <x:v>7052.123552123552</x:v>
      </x:c>
      <x:c r="I828" s="36" t="n">
        <x:f>IFERROR(H828/A828,0)</x:f>
        <x:v>3526.061776061776</x:v>
      </x:c>
      <x:c r="J828" s="67" t="str">
        <x:v>Modeled from live base + Sep-2026 quality ratio</x:v>
      </x:c>
      <x:c r="K828" s="67" t="str">
        <x:v>https://www.stonealgo.com/diamond-prices/</x:v>
      </x:c>
      <x:c r="L828" s="67" t="str">
        <x:v>https://www.pricescope.com/blog/natural-diamond-prices-september-2026</x:v>
      </x:c>
    </x:row>
    <x:row r="829">
      <x:c r="A829" t="n">
        <x:v>2</x:v>
      </x:c>
      <x:c r="B829" t="str">
        <x:v>Princess</x:v>
      </x:c>
      <x:c r="C829" t="str">
        <x:v>K</x:v>
      </x:c>
      <x:c r="D829" t="str">
        <x:v>VVS2</x:v>
      </x:c>
      <x:c r="E829" s="36" t="n">
        <x:v>13000</x:v>
      </x:c>
      <x:c r="F829" s="36" t="n">
        <x:v>2374</x:v>
      </x:c>
      <x:c r="G829" s="42" t="n">
        <x:v>0.5092235092235092</x:v>
      </x:c>
      <x:c r="H829" s="36" t="n">
        <x:f>E829*G829</x:f>
        <x:v>6619.90561990562</x:v>
      </x:c>
      <x:c r="I829" s="36" t="n">
        <x:f>IFERROR(H829/A829,0)</x:f>
        <x:v>3309.95280995281</x:v>
      </x:c>
      <x:c r="J829" s="67" t="str">
        <x:v>Modeled from live base + Sep-2026 quality ratio</x:v>
      </x:c>
      <x:c r="K829" s="67" t="str">
        <x:v>https://www.stonealgo.com/diamond-prices/</x:v>
      </x:c>
      <x:c r="L829" s="67" t="str">
        <x:v>https://www.pricescope.com/blog/natural-diamond-prices-september-2026</x:v>
      </x:c>
    </x:row>
    <x:row r="830">
      <x:c r="A830" t="n">
        <x:v>2</x:v>
      </x:c>
      <x:c r="B830" t="str">
        <x:v>Princess</x:v>
      </x:c>
      <x:c r="C830" t="str">
        <x:v>K</x:v>
      </x:c>
      <x:c r="D830" t="str">
        <x:v>VS1</x:v>
      </x:c>
      <x:c r="E830" s="36" t="n">
        <x:v>13000</x:v>
      </x:c>
      <x:c r="F830" s="36" t="n">
        <x:v>2223</x:v>
      </x:c>
      <x:c r="G830" s="42" t="n">
        <x:v>0.4768339768339768</x:v>
      </x:c>
      <x:c r="H830" s="36" t="n">
        <x:f>E830*G830</x:f>
        <x:v>6198.841698841698</x:v>
      </x:c>
      <x:c r="I830" s="36" t="n">
        <x:f>IFERROR(H830/A830,0)</x:f>
        <x:v>3099.420849420849</x:v>
      </x:c>
      <x:c r="J830" s="67" t="str">
        <x:v>Modeled from live base + Sep-2026 quality ratio</x:v>
      </x:c>
      <x:c r="K830" s="67" t="str">
        <x:v>https://www.stonealgo.com/diamond-prices/</x:v>
      </x:c>
      <x:c r="L830" s="67" t="str">
        <x:v>https://www.pricescope.com/blog/natural-diamond-prices-september-2026</x:v>
      </x:c>
    </x:row>
    <x:row r="831">
      <x:c r="A831" t="n">
        <x:v>2</x:v>
      </x:c>
      <x:c r="B831" t="str">
        <x:v>Princess</x:v>
      </x:c>
      <x:c r="C831" t="str">
        <x:v>K</x:v>
      </x:c>
      <x:c r="D831" t="str">
        <x:v>VS2</x:v>
      </x:c>
      <x:c r="E831" s="36" t="n">
        <x:v>13000</x:v>
      </x:c>
      <x:c r="F831" s="36" t="n">
        <x:v>2098</x:v>
      </x:c>
      <x:c r="G831" s="42" t="n">
        <x:v>0.45002145002145</x:v>
      </x:c>
      <x:c r="H831" s="36" t="n">
        <x:f>E831*G831</x:f>
        <x:v>5850.27885027885</x:v>
      </x:c>
      <x:c r="I831" s="36" t="n">
        <x:f>IFERROR(H831/A831,0)</x:f>
        <x:v>2925.139425139425</x:v>
      </x:c>
      <x:c r="J831" s="67" t="str">
        <x:v>Modeled from live base + Sep-2026 quality ratio</x:v>
      </x:c>
      <x:c r="K831" s="67" t="str">
        <x:v>https://www.stonealgo.com/diamond-prices/</x:v>
      </x:c>
      <x:c r="L831" s="67" t="str">
        <x:v>https://www.pricescope.com/blog/natural-diamond-prices-september-2026</x:v>
      </x:c>
    </x:row>
    <x:row r="832">
      <x:c r="A832" t="n">
        <x:v>2</x:v>
      </x:c>
      <x:c r="B832" t="str">
        <x:v>Princess</x:v>
      </x:c>
      <x:c r="C832" t="str">
        <x:v>K</x:v>
      </x:c>
      <x:c r="D832" t="str">
        <x:v>SI1</x:v>
      </x:c>
      <x:c r="E832" s="36" t="n">
        <x:v>13000</x:v>
      </x:c>
      <x:c r="F832" s="36" t="n">
        <x:v>1922</x:v>
      </x:c>
      <x:c r="G832" s="42" t="n">
        <x:v>0.41226941226941227</x:v>
      </x:c>
      <x:c r="H832" s="36" t="n">
        <x:f>E832*G832</x:f>
        <x:v>5359.5023595023595</x:v>
      </x:c>
      <x:c r="I832" s="36" t="n">
        <x:f>IFERROR(H832/A832,0)</x:f>
        <x:v>2679.7511797511797</x:v>
      </x:c>
      <x:c r="J832" s="67" t="str">
        <x:v>Modeled from live base + Sep-2026 quality ratio</x:v>
      </x:c>
      <x:c r="K832" s="67" t="str">
        <x:v>https://www.stonealgo.com/diamond-prices/</x:v>
      </x:c>
      <x:c r="L832" s="67" t="str">
        <x:v>https://www.pricescope.com/blog/natural-diamond-prices-september-2026</x:v>
      </x:c>
    </x:row>
    <x:row r="833">
      <x:c r="A833" t="n">
        <x:v>2</x:v>
      </x:c>
      <x:c r="B833" t="str">
        <x:v>Princess</x:v>
      </x:c>
      <x:c r="C833" t="str">
        <x:v>K</x:v>
      </x:c>
      <x:c r="D833" t="str">
        <x:v>SI2</x:v>
      </x:c>
      <x:c r="E833" s="36" t="n">
        <x:v>13000</x:v>
      </x:c>
      <x:c r="F833" s="36" t="n">
        <x:v>1764</x:v>
      </x:c>
      <x:c r="G833" s="42" t="n">
        <x:v>0.3783783783783784</x:v>
      </x:c>
      <x:c r="H833" s="36" t="n">
        <x:f>E833*G833</x:f>
        <x:v>4918.918918918919</x:v>
      </x:c>
      <x:c r="I833" s="36" t="n">
        <x:f>IFERROR(H833/A833,0)</x:f>
        <x:v>2459.4594594594596</x:v>
      </x:c>
      <x:c r="J833" s="67" t="str">
        <x:v>Modeled from live base + Sep-2026 quality ratio</x:v>
      </x:c>
      <x:c r="K833" s="67" t="str">
        <x:v>https://www.stonealgo.com/diamond-prices/</x:v>
      </x:c>
      <x:c r="L833" s="67" t="str">
        <x:v>https://www.pricescope.com/blog/natural-diamond-prices-september-2026</x:v>
      </x:c>
    </x:row>
    <x:row r="834">
      <x:c r="A834" t="n">
        <x:v>2</x:v>
      </x:c>
      <x:c r="B834" t="str">
        <x:v>Emerald</x:v>
      </x:c>
      <x:c r="C834" t="str">
        <x:v>D</x:v>
      </x:c>
      <x:c r="D834" t="str">
        <x:v>FL</x:v>
      </x:c>
      <x:c r="E834" s="36" t="n">
        <x:v>14900</x:v>
      </x:c>
      <x:c r="F834" s="36" t="n">
        <x:v>12665</x:v>
      </x:c>
      <x:c r="G834" s="42" t="n">
        <x:v>2.7166452166452166</x:v>
      </x:c>
      <x:c r="H834" s="36" t="n">
        <x:f>E834*G834</x:f>
        <x:v>40478.01372801373</x:v>
      </x:c>
      <x:c r="I834" s="36" t="n">
        <x:f>IFERROR(H834/A834,0)</x:f>
        <x:v>20239.006864006864</x:v>
      </x:c>
      <x:c r="J834" s="67" t="str">
        <x:v>Modeled from live base + Sep-2026 quality ratio</x:v>
      </x:c>
      <x:c r="K834" s="67" t="str">
        <x:v>https://www.stonealgo.com/diamond-prices/</x:v>
      </x:c>
      <x:c r="L834" s="67" t="str">
        <x:v>https://www.pricescope.com/blog/natural-diamond-prices-september-2026</x:v>
      </x:c>
    </x:row>
    <x:row r="835">
      <x:c r="A835" t="n">
        <x:v>2</x:v>
      </x:c>
      <x:c r="B835" t="str">
        <x:v>Emerald</x:v>
      </x:c>
      <x:c r="C835" t="str">
        <x:v>D</x:v>
      </x:c>
      <x:c r="D835" t="str">
        <x:v>IF</x:v>
      </x:c>
      <x:c r="E835" s="36" t="n">
        <x:v>14900</x:v>
      </x:c>
      <x:c r="F835" s="36" t="n">
        <x:v>13240</x:v>
      </x:c>
      <x:c r="G835" s="42" t="n">
        <x:v>2.83998283998284</x:v>
      </x:c>
      <x:c r="H835" s="36" t="n">
        <x:f>E835*G835</x:f>
        <x:v>42315.74431574432</x:v>
      </x:c>
      <x:c r="I835" s="36" t="n">
        <x:f>IFERROR(H835/A835,0)</x:f>
        <x:v>21157.87215787216</x:v>
      </x:c>
      <x:c r="J835" s="67" t="str">
        <x:v>Modeled from live base + Sep-2026 quality ratio</x:v>
      </x:c>
      <x:c r="K835" s="67" t="str">
        <x:v>https://www.stonealgo.com/diamond-prices/</x:v>
      </x:c>
      <x:c r="L835" s="67" t="str">
        <x:v>https://www.pricescope.com/blog/natural-diamond-prices-september-2026</x:v>
      </x:c>
    </x:row>
    <x:row r="836">
      <x:c r="A836" t="n">
        <x:v>2</x:v>
      </x:c>
      <x:c r="B836" t="str">
        <x:v>Emerald</x:v>
      </x:c>
      <x:c r="C836" t="str">
        <x:v>D</x:v>
      </x:c>
      <x:c r="D836" t="str">
        <x:v>VVS1</x:v>
      </x:c>
      <x:c r="E836" s="36" t="n">
        <x:v>14900</x:v>
      </x:c>
      <x:c r="F836" s="36" t="n">
        <x:v>9555</x:v>
      </x:c>
      <x:c r="G836" s="42" t="n">
        <x:v>2.0495495495495497</x:v>
      </x:c>
      <x:c r="H836" s="36" t="n">
        <x:f>E836*G836</x:f>
        <x:v>30538.28828828829</x:v>
      </x:c>
      <x:c r="I836" s="36" t="n">
        <x:f>IFERROR(H836/A836,0)</x:f>
        <x:v>15269.144144144146</x:v>
      </x:c>
      <x:c r="J836" s="67" t="str">
        <x:v>Modeled from live base + Sep-2026 quality ratio</x:v>
      </x:c>
      <x:c r="K836" s="67" t="str">
        <x:v>https://www.stonealgo.com/diamond-prices/</x:v>
      </x:c>
      <x:c r="L836" s="67" t="str">
        <x:v>https://www.pricescope.com/blog/natural-diamond-prices-september-2026</x:v>
      </x:c>
    </x:row>
    <x:row r="837">
      <x:c r="A837" t="n">
        <x:v>2</x:v>
      </x:c>
      <x:c r="B837" t="str">
        <x:v>Emerald</x:v>
      </x:c>
      <x:c r="C837" t="str">
        <x:v>D</x:v>
      </x:c>
      <x:c r="D837" t="str">
        <x:v>VVS2</x:v>
      </x:c>
      <x:c r="E837" s="36" t="n">
        <x:v>14900</x:v>
      </x:c>
      <x:c r="F837" s="36" t="n">
        <x:v>6660</x:v>
      </x:c>
      <x:c r="G837" s="42" t="n">
        <x:v>1.4285714285714286</x:v>
      </x:c>
      <x:c r="H837" s="36" t="n">
        <x:f>E837*G837</x:f>
        <x:v>21285.714285714286</x:v>
      </x:c>
      <x:c r="I837" s="36" t="n">
        <x:f>IFERROR(H837/A837,0)</x:f>
        <x:v>10642.857142857143</x:v>
      </x:c>
      <x:c r="J837" s="67" t="str">
        <x:v>Modeled from live base + Sep-2026 quality ratio</x:v>
      </x:c>
      <x:c r="K837" s="67" t="str">
        <x:v>https://www.stonealgo.com/diamond-prices/</x:v>
      </x:c>
      <x:c r="L837" s="67" t="str">
        <x:v>https://www.pricescope.com/blog/natural-diamond-prices-september-2026</x:v>
      </x:c>
    </x:row>
    <x:row r="838">
      <x:c r="A838" t="n">
        <x:v>2</x:v>
      </x:c>
      <x:c r="B838" t="str">
        <x:v>Emerald</x:v>
      </x:c>
      <x:c r="C838" t="str">
        <x:v>D</x:v>
      </x:c>
      <x:c r="D838" t="str">
        <x:v>VS1</x:v>
      </x:c>
      <x:c r="E838" s="36" t="n">
        <x:v>14900</x:v>
      </x:c>
      <x:c r="F838" s="36" t="n">
        <x:v>6247</x:v>
      </x:c>
      <x:c r="G838" s="42" t="n">
        <x:v>1.33998283998284</x:v>
      </x:c>
      <x:c r="H838" s="36" t="n">
        <x:f>E838*G838</x:f>
        <x:v>19965.744315744316</x:v>
      </x:c>
      <x:c r="I838" s="36" t="n">
        <x:f>IFERROR(H838/A838,0)</x:f>
        <x:v>9982.872157872158</x:v>
      </x:c>
      <x:c r="J838" s="67" t="str">
        <x:v>Modeled from live base + Sep-2026 quality ratio</x:v>
      </x:c>
      <x:c r="K838" s="67" t="str">
        <x:v>https://www.stonealgo.com/diamond-prices/</x:v>
      </x:c>
      <x:c r="L838" s="67" t="str">
        <x:v>https://www.pricescope.com/blog/natural-diamond-prices-september-2026</x:v>
      </x:c>
    </x:row>
    <x:row r="839">
      <x:c r="A839" t="n">
        <x:v>2</x:v>
      </x:c>
      <x:c r="B839" t="str">
        <x:v>Emerald</x:v>
      </x:c>
      <x:c r="C839" t="str">
        <x:v>D</x:v>
      </x:c>
      <x:c r="D839" t="str">
        <x:v>VS2</x:v>
      </x:c>
      <x:c r="E839" s="36" t="n">
        <x:v>14900</x:v>
      </x:c>
      <x:c r="F839" s="36" t="n">
        <x:v>5841</x:v>
      </x:c>
      <x:c r="G839" s="42" t="n">
        <x:v>1.252895752895753</x:v>
      </x:c>
      <x:c r="H839" s="36" t="n">
        <x:f>E839*G839</x:f>
        <x:v>18668.14671814672</x:v>
      </x:c>
      <x:c r="I839" s="36" t="n">
        <x:f>IFERROR(H839/A839,0)</x:f>
        <x:v>9334.07335907336</x:v>
      </x:c>
      <x:c r="J839" s="67" t="str">
        <x:v>Modeled from live base + Sep-2026 quality ratio</x:v>
      </x:c>
      <x:c r="K839" s="67" t="str">
        <x:v>https://www.stonealgo.com/diamond-prices/</x:v>
      </x:c>
      <x:c r="L839" s="67" t="str">
        <x:v>https://www.pricescope.com/blog/natural-diamond-prices-september-2026</x:v>
      </x:c>
    </x:row>
    <x:row r="840">
      <x:c r="A840" t="n">
        <x:v>2</x:v>
      </x:c>
      <x:c r="B840" t="str">
        <x:v>Emerald</x:v>
      </x:c>
      <x:c r="C840" t="str">
        <x:v>D</x:v>
      </x:c>
      <x:c r="D840" t="str">
        <x:v>SI1</x:v>
      </x:c>
      <x:c r="E840" s="36" t="n">
        <x:v>14900</x:v>
      </x:c>
      <x:c r="F840" s="36" t="n">
        <x:v>3762</x:v>
      </x:c>
      <x:c r="G840" s="42" t="n">
        <x:v>0.806949806949807</x:v>
      </x:c>
      <x:c r="H840" s="36" t="n">
        <x:f>E840*G840</x:f>
        <x:v>12023.552123552125</x:v>
      </x:c>
      <x:c r="I840" s="36" t="n">
        <x:f>IFERROR(H840/A840,0)</x:f>
        <x:v>6011.776061776062</x:v>
      </x:c>
      <x:c r="J840" s="67" t="str">
        <x:v>Modeled from live base + Sep-2026 quality ratio</x:v>
      </x:c>
      <x:c r="K840" s="67" t="str">
        <x:v>https://www.stonealgo.com/diamond-prices/</x:v>
      </x:c>
      <x:c r="L840" s="67" t="str">
        <x:v>https://www.pricescope.com/blog/natural-diamond-prices-september-2026</x:v>
      </x:c>
    </x:row>
    <x:row r="841">
      <x:c r="A841" t="n">
        <x:v>2</x:v>
      </x:c>
      <x:c r="B841" t="str">
        <x:v>Emerald</x:v>
      </x:c>
      <x:c r="C841" t="str">
        <x:v>D</x:v>
      </x:c>
      <x:c r="D841" t="str">
        <x:v>SI2</x:v>
      </x:c>
      <x:c r="E841" s="36" t="n">
        <x:v>14900</x:v>
      </x:c>
      <x:c r="F841" s="36" t="n">
        <x:v>3026</x:v>
      </x:c>
      <x:c r="G841" s="42" t="n">
        <x:v>0.6490776490776491</x:v>
      </x:c>
      <x:c r="H841" s="36" t="n">
        <x:f>E841*G841</x:f>
        <x:v>9671.256971256971</x:v>
      </x:c>
      <x:c r="I841" s="36" t="n">
        <x:f>IFERROR(H841/A841,0)</x:f>
        <x:v>4835.628485628486</x:v>
      </x:c>
      <x:c r="J841" s="67" t="str">
        <x:v>Modeled from live base + Sep-2026 quality ratio</x:v>
      </x:c>
      <x:c r="K841" s="67" t="str">
        <x:v>https://www.stonealgo.com/diamond-prices/</x:v>
      </x:c>
      <x:c r="L841" s="67" t="str">
        <x:v>https://www.pricescope.com/blog/natural-diamond-prices-september-2026</x:v>
      </x:c>
    </x:row>
    <x:row r="842">
      <x:c r="A842" t="n">
        <x:v>2</x:v>
      </x:c>
      <x:c r="B842" t="str">
        <x:v>Emerald</x:v>
      </x:c>
      <x:c r="C842" t="str">
        <x:v>E</x:v>
      </x:c>
      <x:c r="D842" t="str">
        <x:v>FL</x:v>
      </x:c>
      <x:c r="E842" s="36" t="n">
        <x:v>14900</x:v>
      </x:c>
      <x:c r="F842" s="36" t="n">
        <x:v>10072</x:v>
      </x:c>
      <x:c r="G842" s="42" t="n">
        <x:v>2.1604461604461602</x:v>
      </x:c>
      <x:c r="H842" s="36" t="n">
        <x:f>E842*G842</x:f>
        <x:v>32190.64779064779</x:v>
      </x:c>
      <x:c r="I842" s="36" t="n">
        <x:f>IFERROR(H842/A842,0)</x:f>
        <x:v>16095.323895323894</x:v>
      </x:c>
      <x:c r="J842" s="67" t="str">
        <x:v>Modeled from live base + Sep-2026 quality ratio</x:v>
      </x:c>
      <x:c r="K842" s="67" t="str">
        <x:v>https://www.stonealgo.com/diamond-prices/</x:v>
      </x:c>
      <x:c r="L842" s="67" t="str">
        <x:v>https://www.pricescope.com/blog/natural-diamond-prices-september-2026</x:v>
      </x:c>
    </x:row>
    <x:row r="843">
      <x:c r="A843" t="n">
        <x:v>2</x:v>
      </x:c>
      <x:c r="B843" t="str">
        <x:v>Emerald</x:v>
      </x:c>
      <x:c r="C843" t="str">
        <x:v>E</x:v>
      </x:c>
      <x:c r="D843" t="str">
        <x:v>IF</x:v>
      </x:c>
      <x:c r="E843" s="36" t="n">
        <x:v>14900</x:v>
      </x:c>
      <x:c r="F843" s="36" t="n">
        <x:v>8672</x:v>
      </x:c>
      <x:c r="G843" s="42" t="n">
        <x:v>1.8601458601458603</x:v>
      </x:c>
      <x:c r="H843" s="36" t="n">
        <x:f>E843*G843</x:f>
        <x:v>27716.173316173317</x:v>
      </x:c>
      <x:c r="I843" s="36" t="n">
        <x:f>IFERROR(H843/A843,0)</x:f>
        <x:v>13858.086658086659</x:v>
      </x:c>
      <x:c r="J843" s="67" t="str">
        <x:v>Modeled from live base + Sep-2026 quality ratio</x:v>
      </x:c>
      <x:c r="K843" s="67" t="str">
        <x:v>https://www.stonealgo.com/diamond-prices/</x:v>
      </x:c>
      <x:c r="L843" s="67" t="str">
        <x:v>https://www.pricescope.com/blog/natural-diamond-prices-september-2026</x:v>
      </x:c>
    </x:row>
    <x:row r="844">
      <x:c r="A844" t="n">
        <x:v>2</x:v>
      </x:c>
      <x:c r="B844" t="str">
        <x:v>Emerald</x:v>
      </x:c>
      <x:c r="C844" t="str">
        <x:v>E</x:v>
      </x:c>
      <x:c r="D844" t="str">
        <x:v>VVS1</x:v>
      </x:c>
      <x:c r="E844" s="36" t="n">
        <x:v>14900</x:v>
      </x:c>
      <x:c r="F844" s="36" t="n">
        <x:v>7842</x:v>
      </x:c>
      <x:c r="G844" s="42" t="n">
        <x:v>1.6821106821106822</x:v>
      </x:c>
      <x:c r="H844" s="36" t="n">
        <x:f>E844*G844</x:f>
        <x:v>25063.449163449164</x:v>
      </x:c>
      <x:c r="I844" s="36" t="n">
        <x:f>IFERROR(H844/A844,0)</x:f>
        <x:v>12531.724581724582</x:v>
      </x:c>
      <x:c r="J844" s="67" t="str">
        <x:v>Modeled from live base + Sep-2026 quality ratio</x:v>
      </x:c>
      <x:c r="K844" s="67" t="str">
        <x:v>https://www.stonealgo.com/diamond-prices/</x:v>
      </x:c>
      <x:c r="L844" s="67" t="str">
        <x:v>https://www.pricescope.com/blog/natural-diamond-prices-september-2026</x:v>
      </x:c>
    </x:row>
    <x:row r="845">
      <x:c r="A845" t="n">
        <x:v>2</x:v>
      </x:c>
      <x:c r="B845" t="str">
        <x:v>Emerald</x:v>
      </x:c>
      <x:c r="C845" t="str">
        <x:v>E</x:v>
      </x:c>
      <x:c r="D845" t="str">
        <x:v>VVS2</x:v>
      </x:c>
      <x:c r="E845" s="36" t="n">
        <x:v>14900</x:v>
      </x:c>
      <x:c r="F845" s="36" t="n">
        <x:v>6880</x:v>
      </x:c>
      <x:c r="G845" s="42" t="n">
        <x:v>1.4757614757614759</x:v>
      </x:c>
      <x:c r="H845" s="36" t="n">
        <x:f>E845*G845</x:f>
        <x:v>21988.84598884599</x:v>
      </x:c>
      <x:c r="I845" s="36" t="n">
        <x:f>IFERROR(H845/A845,0)</x:f>
        <x:v>10994.422994422996</x:v>
      </x:c>
      <x:c r="J845" s="67" t="str">
        <x:v>Modeled from live base + Sep-2026 quality ratio</x:v>
      </x:c>
      <x:c r="K845" s="67" t="str">
        <x:v>https://www.stonealgo.com/diamond-prices/</x:v>
      </x:c>
      <x:c r="L845" s="67" t="str">
        <x:v>https://www.pricescope.com/blog/natural-diamond-prices-september-2026</x:v>
      </x:c>
    </x:row>
    <x:row r="846">
      <x:c r="A846" t="n">
        <x:v>2</x:v>
      </x:c>
      <x:c r="B846" t="str">
        <x:v>Emerald</x:v>
      </x:c>
      <x:c r="C846" t="str">
        <x:v>E</x:v>
      </x:c>
      <x:c r="D846" t="str">
        <x:v>VS1</x:v>
      </x:c>
      <x:c r="E846" s="36" t="n">
        <x:v>14900</x:v>
      </x:c>
      <x:c r="F846" s="36" t="n">
        <x:v>6307</x:v>
      </x:c>
      <x:c r="G846" s="42" t="n">
        <x:v>1.352852852852853</x:v>
      </x:c>
      <x:c r="H846" s="36" t="n">
        <x:f>E846*G846</x:f>
        <x:v>20157.507507507507</x:v>
      </x:c>
      <x:c r="I846" s="36" t="n">
        <x:f>IFERROR(H846/A846,0)</x:f>
        <x:v>10078.753753753754</x:v>
      </x:c>
      <x:c r="J846" s="67" t="str">
        <x:v>Modeled from live base + Sep-2026 quality ratio</x:v>
      </x:c>
      <x:c r="K846" s="67" t="str">
        <x:v>https://www.stonealgo.com/diamond-prices/</x:v>
      </x:c>
      <x:c r="L846" s="67" t="str">
        <x:v>https://www.pricescope.com/blog/natural-diamond-prices-september-2026</x:v>
      </x:c>
    </x:row>
    <x:row r="847">
      <x:c r="A847" t="n">
        <x:v>2</x:v>
      </x:c>
      <x:c r="B847" t="str">
        <x:v>Emerald</x:v>
      </x:c>
      <x:c r="C847" t="str">
        <x:v>E</x:v>
      </x:c>
      <x:c r="D847" t="str">
        <x:v>VS2</x:v>
      </x:c>
      <x:c r="E847" s="36" t="n">
        <x:v>14900</x:v>
      </x:c>
      <x:c r="F847" s="36" t="n">
        <x:v>5249</x:v>
      </x:c>
      <x:c r="G847" s="42" t="n">
        <x:v>1.125911625911626</x:v>
      </x:c>
      <x:c r="H847" s="36" t="n">
        <x:f>E847*G847</x:f>
        <x:v>16776.08322608323</x:v>
      </x:c>
      <x:c r="I847" s="36" t="n">
        <x:f>IFERROR(H847/A847,0)</x:f>
        <x:v>8388.041613041614</x:v>
      </x:c>
      <x:c r="J847" s="67" t="str">
        <x:v>Modeled from live base + Sep-2026 quality ratio</x:v>
      </x:c>
      <x:c r="K847" s="67" t="str">
        <x:v>https://www.stonealgo.com/diamond-prices/</x:v>
      </x:c>
      <x:c r="L847" s="67" t="str">
        <x:v>https://www.pricescope.com/blog/natural-diamond-prices-september-2026</x:v>
      </x:c>
    </x:row>
    <x:row r="848">
      <x:c r="A848" t="n">
        <x:v>2</x:v>
      </x:c>
      <x:c r="B848" t="str">
        <x:v>Emerald</x:v>
      </x:c>
      <x:c r="C848" t="str">
        <x:v>E</x:v>
      </x:c>
      <x:c r="D848" t="str">
        <x:v>SI1</x:v>
      </x:c>
      <x:c r="E848" s="36" t="n">
        <x:v>14900</x:v>
      </x:c>
      <x:c r="F848" s="36" t="n">
        <x:v>3551</x:v>
      </x:c>
      <x:c r="G848" s="42" t="n">
        <x:v>0.7616902616902617</x:v>
      </x:c>
      <x:c r="H848" s="36" t="n">
        <x:f>E848*G848</x:f>
        <x:v>11349.184899184898</x:v>
      </x:c>
      <x:c r="I848" s="36" t="n">
        <x:f>IFERROR(H848/A848,0)</x:f>
        <x:v>5674.592449592449</x:v>
      </x:c>
      <x:c r="J848" s="67" t="str">
        <x:v>Modeled from live base + Sep-2026 quality ratio</x:v>
      </x:c>
      <x:c r="K848" s="67" t="str">
        <x:v>https://www.stonealgo.com/diamond-prices/</x:v>
      </x:c>
      <x:c r="L848" s="67" t="str">
        <x:v>https://www.pricescope.com/blog/natural-diamond-prices-september-2026</x:v>
      </x:c>
    </x:row>
    <x:row r="849">
      <x:c r="A849" t="n">
        <x:v>2</x:v>
      </x:c>
      <x:c r="B849" t="str">
        <x:v>Emerald</x:v>
      </x:c>
      <x:c r="C849" t="str">
        <x:v>E</x:v>
      </x:c>
      <x:c r="D849" t="str">
        <x:v>SI2</x:v>
      </x:c>
      <x:c r="E849" s="36" t="n">
        <x:v>14900</x:v>
      </x:c>
      <x:c r="F849" s="36" t="n">
        <x:v>2993</x:v>
      </x:c>
      <x:c r="G849" s="42" t="n">
        <x:v>0.641999141999142</x:v>
      </x:c>
      <x:c r="H849" s="36" t="n">
        <x:f>E849*G849</x:f>
        <x:v>9565.787215787215</x:v>
      </x:c>
      <x:c r="I849" s="36" t="n">
        <x:f>IFERROR(H849/A849,0)</x:f>
        <x:v>4782.893607893608</x:v>
      </x:c>
      <x:c r="J849" s="67" t="str">
        <x:v>Modeled from live base + Sep-2026 quality ratio</x:v>
      </x:c>
      <x:c r="K849" s="67" t="str">
        <x:v>https://www.stonealgo.com/diamond-prices/</x:v>
      </x:c>
      <x:c r="L849" s="67" t="str">
        <x:v>https://www.pricescope.com/blog/natural-diamond-prices-september-2026</x:v>
      </x:c>
    </x:row>
    <x:row r="850">
      <x:c r="A850" t="n">
        <x:v>2</x:v>
      </x:c>
      <x:c r="B850" t="str">
        <x:v>Emerald</x:v>
      </x:c>
      <x:c r="C850" t="str">
        <x:v>F</x:v>
      </x:c>
      <x:c r="D850" t="str">
        <x:v>FL</x:v>
      </x:c>
      <x:c r="E850" s="36" t="n">
        <x:v>14900</x:v>
      </x:c>
      <x:c r="F850" s="36" t="n">
        <x:v>6830</x:v>
      </x:c>
      <x:c r="G850" s="42" t="n">
        <x:v>1.4650364650364651</x:v>
      </x:c>
      <x:c r="H850" s="36" t="n">
        <x:f>E850*G850</x:f>
        <x:v>21829.043329043332</x:v>
      </x:c>
      <x:c r="I850" s="36" t="n">
        <x:f>IFERROR(H850/A850,0)</x:f>
        <x:v>10914.521664521666</x:v>
      </x:c>
      <x:c r="J850" s="67" t="str">
        <x:v>Modeled from live base + Sep-2026 quality ratio</x:v>
      </x:c>
      <x:c r="K850" s="67" t="str">
        <x:v>https://www.stonealgo.com/diamond-prices/</x:v>
      </x:c>
      <x:c r="L850" s="67" t="str">
        <x:v>https://www.pricescope.com/blog/natural-diamond-prices-september-2026</x:v>
      </x:c>
    </x:row>
    <x:row r="851">
      <x:c r="A851" t="n">
        <x:v>2</x:v>
      </x:c>
      <x:c r="B851" t="str">
        <x:v>Emerald</x:v>
      </x:c>
      <x:c r="C851" t="str">
        <x:v>F</x:v>
      </x:c>
      <x:c r="D851" t="str">
        <x:v>IF</x:v>
      </x:c>
      <x:c r="E851" s="36" t="n">
        <x:v>14900</x:v>
      </x:c>
      <x:c r="F851" s="36" t="n">
        <x:v>7302</x:v>
      </x:c>
      <x:c r="G851" s="42" t="n">
        <x:v>1.5662805662805663</x:v>
      </x:c>
      <x:c r="H851" s="36" t="n">
        <x:f>E851*G851</x:f>
        <x:v>23337.58043758044</x:v>
      </x:c>
      <x:c r="I851" s="36" t="n">
        <x:f>IFERROR(H851/A851,0)</x:f>
        <x:v>11668.79021879022</x:v>
      </x:c>
      <x:c r="J851" s="67" t="str">
        <x:v>Modeled from live base + Sep-2026 quality ratio</x:v>
      </x:c>
      <x:c r="K851" s="67" t="str">
        <x:v>https://www.stonealgo.com/diamond-prices/</x:v>
      </x:c>
      <x:c r="L851" s="67" t="str">
        <x:v>https://www.pricescope.com/blog/natural-diamond-prices-september-2026</x:v>
      </x:c>
    </x:row>
    <x:row r="852">
      <x:c r="A852" t="n">
        <x:v>2</x:v>
      </x:c>
      <x:c r="B852" t="str">
        <x:v>Emerald</x:v>
      </x:c>
      <x:c r="C852" t="str">
        <x:v>F</x:v>
      </x:c>
      <x:c r="D852" t="str">
        <x:v>VVS1</x:v>
      </x:c>
      <x:c r="E852" s="36" t="n">
        <x:v>14900</x:v>
      </x:c>
      <x:c r="F852" s="36" t="n">
        <x:v>7542</x:v>
      </x:c>
      <x:c r="G852" s="42" t="n">
        <x:v>1.6177606177606179</x:v>
      </x:c>
      <x:c r="H852" s="36" t="n">
        <x:f>E852*G852</x:f>
        <x:v>24104.633204633206</x:v>
      </x:c>
      <x:c r="I852" s="36" t="n">
        <x:f>IFERROR(H852/A852,0)</x:f>
        <x:v>12052.316602316603</x:v>
      </x:c>
      <x:c r="J852" s="67" t="str">
        <x:v>Modeled from live base + Sep-2026 quality ratio</x:v>
      </x:c>
      <x:c r="K852" s="67" t="str">
        <x:v>https://www.stonealgo.com/diamond-prices/</x:v>
      </x:c>
      <x:c r="L852" s="67" t="str">
        <x:v>https://www.pricescope.com/blog/natural-diamond-prices-september-2026</x:v>
      </x:c>
    </x:row>
    <x:row r="853">
      <x:c r="A853" t="n">
        <x:v>2</x:v>
      </x:c>
      <x:c r="B853" t="str">
        <x:v>Emerald</x:v>
      </x:c>
      <x:c r="C853" t="str">
        <x:v>F</x:v>
      </x:c>
      <x:c r="D853" t="str">
        <x:v>VVS2</x:v>
      </x:c>
      <x:c r="E853" s="36" t="n">
        <x:v>14900</x:v>
      </x:c>
      <x:c r="F853" s="36" t="n">
        <x:v>6352</x:v>
      </x:c>
      <x:c r="G853" s="42" t="n">
        <x:v>1.3625053625053625</x:v>
      </x:c>
      <x:c r="H853" s="36" t="n">
        <x:f>E853*G853</x:f>
        <x:v>20301.3299013299</x:v>
      </x:c>
      <x:c r="I853" s="36" t="n">
        <x:f>IFERROR(H853/A853,0)</x:f>
        <x:v>10150.66495066495</x:v>
      </x:c>
      <x:c r="J853" s="67" t="str">
        <x:v>Modeled from live base + Sep-2026 quality ratio</x:v>
      </x:c>
      <x:c r="K853" s="67" t="str">
        <x:v>https://www.stonealgo.com/diamond-prices/</x:v>
      </x:c>
      <x:c r="L853" s="67" t="str">
        <x:v>https://www.pricescope.com/blog/natural-diamond-prices-september-2026</x:v>
      </x:c>
    </x:row>
    <x:row r="854">
      <x:c r="A854" t="n">
        <x:v>2</x:v>
      </x:c>
      <x:c r="B854" t="str">
        <x:v>Emerald</x:v>
      </x:c>
      <x:c r="C854" t="str">
        <x:v>F</x:v>
      </x:c>
      <x:c r="D854" t="str">
        <x:v>VS1</x:v>
      </x:c>
      <x:c r="E854" s="36" t="n">
        <x:v>14900</x:v>
      </x:c>
      <x:c r="F854" s="36" t="n">
        <x:v>5647</x:v>
      </x:c>
      <x:c r="G854" s="42" t="n">
        <x:v>1.2112827112827114</x:v>
      </x:c>
      <x:c r="H854" s="36" t="n">
        <x:f>E854*G854</x:f>
        <x:v>18048.1123981124</x:v>
      </x:c>
      <x:c r="I854" s="36" t="n">
        <x:f>IFERROR(H854/A854,0)</x:f>
        <x:v>9024.0561990562</x:v>
      </x:c>
      <x:c r="J854" s="67" t="str">
        <x:v>Modeled from live base + Sep-2026 quality ratio</x:v>
      </x:c>
      <x:c r="K854" s="67" t="str">
        <x:v>https://www.stonealgo.com/diamond-prices/</x:v>
      </x:c>
      <x:c r="L854" s="67" t="str">
        <x:v>https://www.pricescope.com/blog/natural-diamond-prices-september-2026</x:v>
      </x:c>
    </x:row>
    <x:row r="855">
      <x:c r="A855" t="n">
        <x:v>2</x:v>
      </x:c>
      <x:c r="B855" t="str">
        <x:v>Emerald</x:v>
      </x:c>
      <x:c r="C855" t="str">
        <x:v>F</x:v>
      </x:c>
      <x:c r="D855" t="str">
        <x:v>VS2</x:v>
      </x:c>
      <x:c r="E855" s="36" t="n">
        <x:v>14900</x:v>
      </x:c>
      <x:c r="F855" s="36" t="n">
        <x:v>4730</x:v>
      </x:c>
      <x:c r="G855" s="42" t="n">
        <x:v>1.0145860145860146</x:v>
      </x:c>
      <x:c r="H855" s="36" t="n">
        <x:f>E855*G855</x:f>
        <x:v>15117.331617331618</x:v>
      </x:c>
      <x:c r="I855" s="36" t="n">
        <x:f>IFERROR(H855/A855,0)</x:f>
        <x:v>7558.665808665809</x:v>
      </x:c>
      <x:c r="J855" s="67" t="str">
        <x:v>Modeled from live base + Sep-2026 quality ratio</x:v>
      </x:c>
      <x:c r="K855" s="67" t="str">
        <x:v>https://www.stonealgo.com/diamond-prices/</x:v>
      </x:c>
      <x:c r="L855" s="67" t="str">
        <x:v>https://www.pricescope.com/blog/natural-diamond-prices-september-2026</x:v>
      </x:c>
    </x:row>
    <x:row r="856">
      <x:c r="A856" t="n">
        <x:v>2</x:v>
      </x:c>
      <x:c r="B856" t="str">
        <x:v>Emerald</x:v>
      </x:c>
      <x:c r="C856" t="str">
        <x:v>F</x:v>
      </x:c>
      <x:c r="D856" t="str">
        <x:v>SI1</x:v>
      </x:c>
      <x:c r="E856" s="36" t="n">
        <x:v>14900</x:v>
      </x:c>
      <x:c r="F856" s="36" t="n">
        <x:v>3331</x:v>
      </x:c>
      <x:c r="G856" s="42" t="n">
        <x:v>0.7145002145002145</x:v>
      </x:c>
      <x:c r="H856" s="36" t="n">
        <x:f>E856*G856</x:f>
        <x:v>10646.053196053195</x:v>
      </x:c>
      <x:c r="I856" s="36" t="n">
        <x:f>IFERROR(H856/A856,0)</x:f>
        <x:v>5323.026598026598</x:v>
      </x:c>
      <x:c r="J856" s="67" t="str">
        <x:v>Modeled from live base + Sep-2026 quality ratio</x:v>
      </x:c>
      <x:c r="K856" s="67" t="str">
        <x:v>https://www.stonealgo.com/diamond-prices/</x:v>
      </x:c>
      <x:c r="L856" s="67" t="str">
        <x:v>https://www.pricescope.com/blog/natural-diamond-prices-september-2026</x:v>
      </x:c>
    </x:row>
    <x:row r="857">
      <x:c r="A857" t="n">
        <x:v>2</x:v>
      </x:c>
      <x:c r="B857" t="str">
        <x:v>Emerald</x:v>
      </x:c>
      <x:c r="C857" t="str">
        <x:v>F</x:v>
      </x:c>
      <x:c r="D857" t="str">
        <x:v>SI2</x:v>
      </x:c>
      <x:c r="E857" s="36" t="n">
        <x:v>14900</x:v>
      </x:c>
      <x:c r="F857" s="36" t="n">
        <x:v>2733</x:v>
      </x:c>
      <x:c r="G857" s="42" t="n">
        <x:v>0.5862290862290862</x:v>
      </x:c>
      <x:c r="H857" s="36" t="n">
        <x:f>E857*G857</x:f>
        <x:v>8734.813384813384</x:v>
      </x:c>
      <x:c r="I857" s="36" t="n">
        <x:f>IFERROR(H857/A857,0)</x:f>
        <x:v>4367.406692406692</x:v>
      </x:c>
      <x:c r="J857" s="67" t="str">
        <x:v>Modeled from live base + Sep-2026 quality ratio</x:v>
      </x:c>
      <x:c r="K857" s="67" t="str">
        <x:v>https://www.stonealgo.com/diamond-prices/</x:v>
      </x:c>
      <x:c r="L857" s="67" t="str">
        <x:v>https://www.pricescope.com/blog/natural-diamond-prices-september-2026</x:v>
      </x:c>
    </x:row>
    <x:row r="858">
      <x:c r="A858" t="n">
        <x:v>2</x:v>
      </x:c>
      <x:c r="B858" t="str">
        <x:v>Emerald</x:v>
      </x:c>
      <x:c r="C858" t="str">
        <x:v>G</x:v>
      </x:c>
      <x:c r="D858" t="str">
        <x:v>FL</x:v>
      </x:c>
      <x:c r="E858" s="36" t="n">
        <x:v>14900</x:v>
      </x:c>
      <x:c r="F858" s="36" t="n">
        <x:v>5905</x:v>
      </x:c>
      <x:c r="G858" s="42" t="n">
        <x:v>1.2666237666237665</x:v>
      </x:c>
      <x:c r="H858" s="36" t="n">
        <x:f>E858*G858</x:f>
        <x:v>18872.69412269412</x:v>
      </x:c>
      <x:c r="I858" s="36" t="n">
        <x:f>IFERROR(H858/A858,0)</x:f>
        <x:v>9436.34706134706</x:v>
      </x:c>
      <x:c r="J858" s="67" t="str">
        <x:v>Modeled from live base + Sep-2026 quality ratio</x:v>
      </x:c>
      <x:c r="K858" s="67" t="str">
        <x:v>https://www.stonealgo.com/diamond-prices/</x:v>
      </x:c>
      <x:c r="L858" s="67" t="str">
        <x:v>https://www.pricescope.com/blog/natural-diamond-prices-september-2026</x:v>
      </x:c>
    </x:row>
    <x:row r="859">
      <x:c r="A859" t="n">
        <x:v>2</x:v>
      </x:c>
      <x:c r="B859" t="str">
        <x:v>Emerald</x:v>
      </x:c>
      <x:c r="C859" t="str">
        <x:v>G</x:v>
      </x:c>
      <x:c r="D859" t="str">
        <x:v>IF</x:v>
      </x:c>
      <x:c r="E859" s="36" t="n">
        <x:v>14900</x:v>
      </x:c>
      <x:c r="F859" s="36" t="n">
        <x:v>5601</x:v>
      </x:c>
      <x:c r="G859" s="42" t="n">
        <x:v>1.2014157014157014</x:v>
      </x:c>
      <x:c r="H859" s="36" t="n">
        <x:f>E859*G859</x:f>
        <x:v>17901.09395109395</x:v>
      </x:c>
      <x:c r="I859" s="36" t="n">
        <x:f>IFERROR(H859/A859,0)</x:f>
        <x:v>8950.546975546975</x:v>
      </x:c>
      <x:c r="J859" s="67" t="str">
        <x:v>Modeled from live base + Sep-2026 quality ratio</x:v>
      </x:c>
      <x:c r="K859" s="67" t="str">
        <x:v>https://www.stonealgo.com/diamond-prices/</x:v>
      </x:c>
      <x:c r="L859" s="67" t="str">
        <x:v>https://www.pricescope.com/blog/natural-diamond-prices-september-2026</x:v>
      </x:c>
    </x:row>
    <x:row r="860">
      <x:c r="A860" t="n">
        <x:v>2</x:v>
      </x:c>
      <x:c r="B860" t="str">
        <x:v>Emerald</x:v>
      </x:c>
      <x:c r="C860" t="str">
        <x:v>G</x:v>
      </x:c>
      <x:c r="D860" t="str">
        <x:v>VVS1</x:v>
      </x:c>
      <x:c r="E860" s="36" t="n">
        <x:v>14900</x:v>
      </x:c>
      <x:c r="F860" s="36" t="n">
        <x:v>5124</x:v>
      </x:c>
      <x:c r="G860" s="42" t="n">
        <x:v>1.0990990990990992</x:v>
      </x:c>
      <x:c r="H860" s="36" t="n">
        <x:f>E860*G860</x:f>
        <x:v>16376.576576576577</x:v>
      </x:c>
      <x:c r="I860" s="36" t="n">
        <x:f>IFERROR(H860/A860,0)</x:f>
        <x:v>8188.288288288289</x:v>
      </x:c>
      <x:c r="J860" s="67" t="str">
        <x:v>Modeled from live base + Sep-2026 quality ratio</x:v>
      </x:c>
      <x:c r="K860" s="67" t="str">
        <x:v>https://www.stonealgo.com/diamond-prices/</x:v>
      </x:c>
      <x:c r="L860" s="67" t="str">
        <x:v>https://www.pricescope.com/blog/natural-diamond-prices-september-2026</x:v>
      </x:c>
    </x:row>
    <x:row r="861">
      <x:c r="A861" t="n">
        <x:v>2</x:v>
      </x:c>
      <x:c r="B861" t="str">
        <x:v>Emerald</x:v>
      </x:c>
      <x:c r="C861" t="str">
        <x:v>G</x:v>
      </x:c>
      <x:c r="D861" t="str">
        <x:v>VVS2</x:v>
      </x:c>
      <x:c r="E861" s="36" t="n">
        <x:v>14900</x:v>
      </x:c>
      <x:c r="F861" s="36" t="n">
        <x:v>4962</x:v>
      </x:c>
      <x:c r="G861" s="42" t="n">
        <x:v>1.0643500643500643</x:v>
      </x:c>
      <x:c r="H861" s="36" t="n">
        <x:f>E861*G861</x:f>
        <x:v>15858.815958815958</x:v>
      </x:c>
      <x:c r="I861" s="36" t="n">
        <x:f>IFERROR(H861/A861,0)</x:f>
        <x:v>7929.407979407979</x:v>
      </x:c>
      <x:c r="J861" s="67" t="str">
        <x:v>Modeled from live base + Sep-2026 quality ratio</x:v>
      </x:c>
      <x:c r="K861" s="67" t="str">
        <x:v>https://www.stonealgo.com/diamond-prices/</x:v>
      </x:c>
      <x:c r="L861" s="67" t="str">
        <x:v>https://www.pricescope.com/blog/natural-diamond-prices-september-2026</x:v>
      </x:c>
    </x:row>
    <x:row r="862">
      <x:c r="A862" t="n">
        <x:v>2</x:v>
      </x:c>
      <x:c r="B862" t="str">
        <x:v>Emerald</x:v>
      </x:c>
      <x:c r="C862" t="str">
        <x:v>G</x:v>
      </x:c>
      <x:c r="D862" t="str">
        <x:v>VS1</x:v>
      </x:c>
      <x:c r="E862" s="36" t="n">
        <x:v>14900</x:v>
      </x:c>
      <x:c r="F862" s="36" t="n">
        <x:v>4615</x:v>
      </x:c>
      <x:c r="G862" s="42" t="n">
        <x:v>0.98991848991849</x:v>
      </x:c>
      <x:c r="H862" s="36" t="n">
        <x:f>E862*G862</x:f>
        <x:v>14749.785499785501</x:v>
      </x:c>
      <x:c r="I862" s="36" t="n">
        <x:f>IFERROR(H862/A862,0)</x:f>
        <x:v>7374.8927498927505</x:v>
      </x:c>
      <x:c r="J862" s="67" t="str">
        <x:v>Modeled from live base + Sep-2026 quality ratio</x:v>
      </x:c>
      <x:c r="K862" s="67" t="str">
        <x:v>https://www.stonealgo.com/diamond-prices/</x:v>
      </x:c>
      <x:c r="L862" s="67" t="str">
        <x:v>https://www.pricescope.com/blog/natural-diamond-prices-september-2026</x:v>
      </x:c>
    </x:row>
    <x:row r="863">
      <x:c r="A863" t="n">
        <x:v>2</x:v>
      </x:c>
      <x:c r="B863" t="str">
        <x:v>Emerald</x:v>
      </x:c>
      <x:c r="C863" t="str">
        <x:v>G</x:v>
      </x:c>
      <x:c r="D863" t="str">
        <x:v>VS2</x:v>
      </x:c>
      <x:c r="E863" s="36" t="n">
        <x:v>14900</x:v>
      </x:c>
      <x:c r="F863" s="36" t="n">
        <x:v>4585</x:v>
      </x:c>
      <x:c r="G863" s="42" t="n">
        <x:v>0.9834834834834835</x:v>
      </x:c>
      <x:c r="H863" s="36" t="n">
        <x:f>E863*G863</x:f>
        <x:v>14653.903903903903</x:v>
      </x:c>
      <x:c r="I863" s="36" t="n">
        <x:f>IFERROR(H863/A863,0)</x:f>
        <x:v>7326.951951951952</x:v>
      </x:c>
      <x:c r="J863" s="67" t="str">
        <x:v>Modeled from live base + Sep-2026 quality ratio</x:v>
      </x:c>
      <x:c r="K863" s="67" t="str">
        <x:v>https://www.stonealgo.com/diamond-prices/</x:v>
      </x:c>
      <x:c r="L863" s="67" t="str">
        <x:v>https://www.pricescope.com/blog/natural-diamond-prices-september-2026</x:v>
      </x:c>
    </x:row>
    <x:row r="864">
      <x:c r="A864" t="n">
        <x:v>2</x:v>
      </x:c>
      <x:c r="B864" t="str">
        <x:v>Emerald</x:v>
      </x:c>
      <x:c r="C864" t="str">
        <x:v>G</x:v>
      </x:c>
      <x:c r="D864" t="str">
        <x:v>SI1</x:v>
      </x:c>
      <x:c r="E864" s="36" t="n">
        <x:v>14900</x:v>
      </x:c>
      <x:c r="F864" s="36" t="n">
        <x:v>3664</x:v>
      </x:c>
      <x:c r="G864" s="42" t="n">
        <x:v>0.7859287859287859</x:v>
      </x:c>
      <x:c r="H864" s="36" t="n">
        <x:f>E864*G864</x:f>
        <x:v>11710.338910338909</x:v>
      </x:c>
      <x:c r="I864" s="36" t="n">
        <x:f>IFERROR(H864/A864,0)</x:f>
        <x:v>5855.1694551694545</x:v>
      </x:c>
      <x:c r="J864" s="67" t="str">
        <x:v>Modeled from live base + Sep-2026 quality ratio</x:v>
      </x:c>
      <x:c r="K864" s="67" t="str">
        <x:v>https://www.stonealgo.com/diamond-prices/</x:v>
      </x:c>
      <x:c r="L864" s="67" t="str">
        <x:v>https://www.pricescope.com/blog/natural-diamond-prices-september-2026</x:v>
      </x:c>
    </x:row>
    <x:row r="865">
      <x:c r="A865" t="n">
        <x:v>2</x:v>
      </x:c>
      <x:c r="B865" t="str">
        <x:v>Emerald</x:v>
      </x:c>
      <x:c r="C865" t="str">
        <x:v>G</x:v>
      </x:c>
      <x:c r="D865" t="str">
        <x:v>SI2</x:v>
      </x:c>
      <x:c r="E865" s="36" t="n">
        <x:v>14900</x:v>
      </x:c>
      <x:c r="F865" s="36" t="n">
        <x:v>2537</x:v>
      </x:c>
      <x:c r="G865" s="42" t="n">
        <x:v>0.5441870441870442</x:v>
      </x:c>
      <x:c r="H865" s="36" t="n">
        <x:f>E865*G865</x:f>
        <x:v>8108.386958386959</x:v>
      </x:c>
      <x:c r="I865" s="36" t="n">
        <x:f>IFERROR(H865/A865,0)</x:f>
        <x:v>4054.1934791934796</x:v>
      </x:c>
      <x:c r="J865" s="67" t="str">
        <x:v>Modeled from live base + Sep-2026 quality ratio</x:v>
      </x:c>
      <x:c r="K865" s="67" t="str">
        <x:v>https://www.stonealgo.com/diamond-prices/</x:v>
      </x:c>
      <x:c r="L865" s="67" t="str">
        <x:v>https://www.pricescope.com/blog/natural-diamond-prices-september-2026</x:v>
      </x:c>
    </x:row>
    <x:row r="866">
      <x:c r="A866" t="n">
        <x:v>2</x:v>
      </x:c>
      <x:c r="B866" t="str">
        <x:v>Emerald</x:v>
      </x:c>
      <x:c r="C866" t="str">
        <x:v>H</x:v>
      </x:c>
      <x:c r="D866" t="str">
        <x:v>FL</x:v>
      </x:c>
      <x:c r="E866" s="36" t="n">
        <x:v>14900</x:v>
      </x:c>
      <x:c r="F866" s="36" t="n">
        <x:v>4563</x:v>
      </x:c>
      <x:c r="G866" s="42" t="n">
        <x:v>0.9787644787644788</x:v>
      </x:c>
      <x:c r="H866" s="36" t="n">
        <x:f>E866*G866</x:f>
        <x:v>14583.590733590734</x:v>
      </x:c>
      <x:c r="I866" s="36" t="n">
        <x:f>IFERROR(H866/A866,0)</x:f>
        <x:v>7291.795366795367</x:v>
      </x:c>
      <x:c r="J866" s="67" t="str">
        <x:v>Modeled from live base + Sep-2026 quality ratio</x:v>
      </x:c>
      <x:c r="K866" s="67" t="str">
        <x:v>https://www.stonealgo.com/diamond-prices/</x:v>
      </x:c>
      <x:c r="L866" s="67" t="str">
        <x:v>https://www.pricescope.com/blog/natural-diamond-prices-september-2026</x:v>
      </x:c>
    </x:row>
    <x:row r="867">
      <x:c r="A867" t="n">
        <x:v>2</x:v>
      </x:c>
      <x:c r="B867" t="str">
        <x:v>Emerald</x:v>
      </x:c>
      <x:c r="C867" t="str">
        <x:v>H</x:v>
      </x:c>
      <x:c r="D867" t="str">
        <x:v>IF</x:v>
      </x:c>
      <x:c r="E867" s="36" t="n">
        <x:v>14900</x:v>
      </x:c>
      <x:c r="F867" s="36" t="n">
        <x:v>4809</x:v>
      </x:c>
      <x:c r="G867" s="42" t="n">
        <x:v>1.0315315315315314</x:v>
      </x:c>
      <x:c r="H867" s="36" t="n">
        <x:f>E867*G867</x:f>
        <x:v>15369.819819819819</x:v>
      </x:c>
      <x:c r="I867" s="36" t="n">
        <x:f>IFERROR(H867/A867,0)</x:f>
        <x:v>7684.909909909909</x:v>
      </x:c>
      <x:c r="J867" s="67" t="str">
        <x:v>Modeled from live base + Sep-2026 quality ratio</x:v>
      </x:c>
      <x:c r="K867" s="67" t="str">
        <x:v>https://www.stonealgo.com/diamond-prices/</x:v>
      </x:c>
      <x:c r="L867" s="67" t="str">
        <x:v>https://www.pricescope.com/blog/natural-diamond-prices-september-2026</x:v>
      </x:c>
    </x:row>
    <x:row r="868">
      <x:c r="A868" t="n">
        <x:v>2</x:v>
      </x:c>
      <x:c r="B868" t="str">
        <x:v>Emerald</x:v>
      </x:c>
      <x:c r="C868" t="str">
        <x:v>H</x:v>
      </x:c>
      <x:c r="D868" t="str">
        <x:v>VVS1</x:v>
      </x:c>
      <x:c r="E868" s="36" t="n">
        <x:v>14900</x:v>
      </x:c>
      <x:c r="F868" s="36" t="n">
        <x:v>4911</x:v>
      </x:c>
      <x:c r="G868" s="42" t="n">
        <x:v>1.0534105534105533</x:v>
      </x:c>
      <x:c r="H868" s="36" t="n">
        <x:f>E868*G868</x:f>
        <x:v>15695.817245817245</x:v>
      </x:c>
      <x:c r="I868" s="36" t="n">
        <x:f>IFERROR(H868/A868,0)</x:f>
        <x:v>7847.908622908622</x:v>
      </x:c>
      <x:c r="J868" s="67" t="str">
        <x:v>Modeled from live base + Sep-2026 quality ratio</x:v>
      </x:c>
      <x:c r="K868" s="67" t="str">
        <x:v>https://www.stonealgo.com/diamond-prices/</x:v>
      </x:c>
      <x:c r="L868" s="67" t="str">
        <x:v>https://www.pricescope.com/blog/natural-diamond-prices-september-2026</x:v>
      </x:c>
    </x:row>
    <x:row r="869">
      <x:c r="A869" t="n">
        <x:v>2</x:v>
      </x:c>
      <x:c r="B869" t="str">
        <x:v>Emerald</x:v>
      </x:c>
      <x:c r="C869" t="str">
        <x:v>H</x:v>
      </x:c>
      <x:c r="D869" t="str">
        <x:v>VVS2</x:v>
      </x:c>
      <x:c r="E869" s="36" t="n">
        <x:v>14900</x:v>
      </x:c>
      <x:c r="F869" s="36" t="n">
        <x:v>4046</x:v>
      </x:c>
      <x:c r="G869" s="42" t="n">
        <x:v>0.8678678678678678</x:v>
      </x:c>
      <x:c r="H869" s="36" t="n">
        <x:f>E869*G869</x:f>
        <x:v>12931.231231231232</x:v>
      </x:c>
      <x:c r="I869" s="36" t="n">
        <x:f>IFERROR(H869/A869,0)</x:f>
        <x:v>6465.615615615616</x:v>
      </x:c>
      <x:c r="J869" s="67" t="str">
        <x:v>Modeled from live base + Sep-2026 quality ratio</x:v>
      </x:c>
      <x:c r="K869" s="67" t="str">
        <x:v>https://www.stonealgo.com/diamond-prices/</x:v>
      </x:c>
      <x:c r="L869" s="67" t="str">
        <x:v>https://www.pricescope.com/blog/natural-diamond-prices-september-2026</x:v>
      </x:c>
    </x:row>
    <x:row r="870">
      <x:c r="A870" t="n">
        <x:v>2</x:v>
      </x:c>
      <x:c r="B870" t="str">
        <x:v>Emerald</x:v>
      </x:c>
      <x:c r="C870" t="str">
        <x:v>H</x:v>
      </x:c>
      <x:c r="D870" t="str">
        <x:v>VS1</x:v>
      </x:c>
      <x:c r="E870" s="36" t="n">
        <x:v>14900</x:v>
      </x:c>
      <x:c r="F870" s="36" t="n">
        <x:v>3893</x:v>
      </x:c>
      <x:c r="G870" s="42" t="n">
        <x:v>0.8350493350493351</x:v>
      </x:c>
      <x:c r="H870" s="36" t="n">
        <x:f>E870*G870</x:f>
        <x:v>12442.235092235092</x:v>
      </x:c>
      <x:c r="I870" s="36" t="n">
        <x:f>IFERROR(H870/A870,0)</x:f>
        <x:v>6221.117546117546</x:v>
      </x:c>
      <x:c r="J870" s="67" t="str">
        <x:v>Modeled from live base + Sep-2026 quality ratio</x:v>
      </x:c>
      <x:c r="K870" s="67" t="str">
        <x:v>https://www.stonealgo.com/diamond-prices/</x:v>
      </x:c>
      <x:c r="L870" s="67" t="str">
        <x:v>https://www.pricescope.com/blog/natural-diamond-prices-september-2026</x:v>
      </x:c>
    </x:row>
    <x:row r="871">
      <x:c r="A871" t="n">
        <x:v>2</x:v>
      </x:c>
      <x:c r="B871" t="str">
        <x:v>Emerald</x:v>
      </x:c>
      <x:c r="C871" t="str">
        <x:v>H</x:v>
      </x:c>
      <x:c r="D871" t="str">
        <x:v>VS2</x:v>
      </x:c>
      <x:c r="E871" s="36" t="n">
        <x:v>14900</x:v>
      </x:c>
      <x:c r="F871" s="36" t="n">
        <x:v>3989</x:v>
      </x:c>
      <x:c r="G871" s="42" t="n">
        <x:v>0.8556413556413557</x:v>
      </x:c>
      <x:c r="H871" s="36" t="n">
        <x:f>E871*G871</x:f>
        <x:v>12749.0561990562</x:v>
      </x:c>
      <x:c r="I871" s="36" t="n">
        <x:f>IFERROR(H871/A871,0)</x:f>
        <x:v>6374.5280995281</x:v>
      </x:c>
      <x:c r="J871" s="67" t="str">
        <x:v>Modeled from live base + Sep-2026 quality ratio</x:v>
      </x:c>
      <x:c r="K871" s="67" t="str">
        <x:v>https://www.stonealgo.com/diamond-prices/</x:v>
      </x:c>
      <x:c r="L871" s="67" t="str">
        <x:v>https://www.pricescope.com/blog/natural-diamond-prices-september-2026</x:v>
      </x:c>
    </x:row>
    <x:row r="872">
      <x:c r="A872" t="n">
        <x:v>2</x:v>
      </x:c>
      <x:c r="B872" t="str">
        <x:v>Emerald</x:v>
      </x:c>
      <x:c r="C872" t="str">
        <x:v>H</x:v>
      </x:c>
      <x:c r="D872" t="str">
        <x:v>SI1</x:v>
      </x:c>
      <x:c r="E872" s="36" t="n">
        <x:v>14900</x:v>
      </x:c>
      <x:c r="F872" s="36" t="n">
        <x:v>2828</x:v>
      </x:c>
      <x:c r="G872" s="42" t="n">
        <x:v>0.6066066066066066</x:v>
      </x:c>
      <x:c r="H872" s="36" t="n">
        <x:f>E872*G872</x:f>
        <x:v>9038.438438438438</x:v>
      </x:c>
      <x:c r="I872" s="36" t="n">
        <x:f>IFERROR(H872/A872,0)</x:f>
        <x:v>4519.219219219219</x:v>
      </x:c>
      <x:c r="J872" s="67" t="str">
        <x:v>Modeled from live base + Sep-2026 quality ratio</x:v>
      </x:c>
      <x:c r="K872" s="67" t="str">
        <x:v>https://www.stonealgo.com/diamond-prices/</x:v>
      </x:c>
      <x:c r="L872" s="67" t="str">
        <x:v>https://www.pricescope.com/blog/natural-diamond-prices-september-2026</x:v>
      </x:c>
    </x:row>
    <x:row r="873">
      <x:c r="A873" t="n">
        <x:v>2</x:v>
      </x:c>
      <x:c r="B873" t="str">
        <x:v>Emerald</x:v>
      </x:c>
      <x:c r="C873" t="str">
        <x:v>H</x:v>
      </x:c>
      <x:c r="D873" t="str">
        <x:v>SI2</x:v>
      </x:c>
      <x:c r="E873" s="36" t="n">
        <x:v>14900</x:v>
      </x:c>
      <x:c r="F873" s="36" t="n">
        <x:v>2328</x:v>
      </x:c>
      <x:c r="G873" s="42" t="n">
        <x:v>0.49935649935649934</x:v>
      </x:c>
      <x:c r="H873" s="36" t="n">
        <x:f>E873*G873</x:f>
        <x:v>7440.41184041184</x:v>
      </x:c>
      <x:c r="I873" s="36" t="n">
        <x:f>IFERROR(H873/A873,0)</x:f>
        <x:v>3720.20592020592</x:v>
      </x:c>
      <x:c r="J873" s="67" t="str">
        <x:v>Modeled from live base + Sep-2026 quality ratio</x:v>
      </x:c>
      <x:c r="K873" s="67" t="str">
        <x:v>https://www.stonealgo.com/diamond-prices/</x:v>
      </x:c>
      <x:c r="L873" s="67" t="str">
        <x:v>https://www.pricescope.com/blog/natural-diamond-prices-september-2026</x:v>
      </x:c>
    </x:row>
    <x:row r="874">
      <x:c r="A874" t="n">
        <x:v>2</x:v>
      </x:c>
      <x:c r="B874" t="str">
        <x:v>Emerald</x:v>
      </x:c>
      <x:c r="C874" t="str">
        <x:v>I</x:v>
      </x:c>
      <x:c r="D874" t="str">
        <x:v>FL</x:v>
      </x:c>
      <x:c r="E874" s="36" t="n">
        <x:v>14900</x:v>
      </x:c>
      <x:c r="F874" s="36" t="n">
        <x:v>4623</x:v>
      </x:c>
      <x:c r="G874" s="42" t="n">
        <x:v>0.9916344916344917</x:v>
      </x:c>
      <x:c r="H874" s="36" t="n">
        <x:f>E874*G874</x:f>
        <x:v>14775.353925353926</x:v>
      </x:c>
      <x:c r="I874" s="36" t="n">
        <x:f>IFERROR(H874/A874,0)</x:f>
        <x:v>7387.676962676963</x:v>
      </x:c>
      <x:c r="J874" s="67" t="str">
        <x:v>Modeled from live base + Sep-2026 quality ratio</x:v>
      </x:c>
      <x:c r="K874" s="67" t="str">
        <x:v>https://www.stonealgo.com/diamond-prices/</x:v>
      </x:c>
      <x:c r="L874" s="67" t="str">
        <x:v>https://www.pricescope.com/blog/natural-diamond-prices-september-2026</x:v>
      </x:c>
    </x:row>
    <x:row r="875">
      <x:c r="A875" t="n">
        <x:v>2</x:v>
      </x:c>
      <x:c r="B875" t="str">
        <x:v>Emerald</x:v>
      </x:c>
      <x:c r="C875" t="str">
        <x:v>I</x:v>
      </x:c>
      <x:c r="D875" t="str">
        <x:v>IF</x:v>
      </x:c>
      <x:c r="E875" s="36" t="n">
        <x:v>14900</x:v>
      </x:c>
      <x:c r="F875" s="36" t="n">
        <x:v>4005</x:v>
      </x:c>
      <x:c r="G875" s="42" t="n">
        <x:v>0.859073359073359</x:v>
      </x:c>
      <x:c r="H875" s="36" t="n">
        <x:f>E875*G875</x:f>
        <x:v>12800.19305019305</x:v>
      </x:c>
      <x:c r="I875" s="36" t="n">
        <x:f>IFERROR(H875/A875,0)</x:f>
        <x:v>6400.096525096525</x:v>
      </x:c>
      <x:c r="J875" s="67" t="str">
        <x:v>Modeled from live base + Sep-2026 quality ratio</x:v>
      </x:c>
      <x:c r="K875" s="67" t="str">
        <x:v>https://www.stonealgo.com/diamond-prices/</x:v>
      </x:c>
      <x:c r="L875" s="67" t="str">
        <x:v>https://www.pricescope.com/blog/natural-diamond-prices-september-2026</x:v>
      </x:c>
    </x:row>
    <x:row r="876">
      <x:c r="A876" t="n">
        <x:v>2</x:v>
      </x:c>
      <x:c r="B876" t="str">
        <x:v>Emerald</x:v>
      </x:c>
      <x:c r="C876" t="str">
        <x:v>I</x:v>
      </x:c>
      <x:c r="D876" t="str">
        <x:v>VVS1</x:v>
      </x:c>
      <x:c r="E876" s="36" t="n">
        <x:v>14900</x:v>
      </x:c>
      <x:c r="F876" s="36" t="n">
        <x:v>3670</x:v>
      </x:c>
      <x:c r="G876" s="42" t="n">
        <x:v>0.7872157872157872</x:v>
      </x:c>
      <x:c r="H876" s="36" t="n">
        <x:f>E876*G876</x:f>
        <x:v>11729.51522951523</x:v>
      </x:c>
      <x:c r="I876" s="36" t="n">
        <x:f>IFERROR(H876/A876,0)</x:f>
        <x:v>5864.757614757615</x:v>
      </x:c>
      <x:c r="J876" s="67" t="str">
        <x:v>Modeled from live base + Sep-2026 quality ratio</x:v>
      </x:c>
      <x:c r="K876" s="67" t="str">
        <x:v>https://www.stonealgo.com/diamond-prices/</x:v>
      </x:c>
      <x:c r="L876" s="67" t="str">
        <x:v>https://www.pricescope.com/blog/natural-diamond-prices-september-2026</x:v>
      </x:c>
    </x:row>
    <x:row r="877">
      <x:c r="A877" t="n">
        <x:v>2</x:v>
      </x:c>
      <x:c r="B877" t="str">
        <x:v>Emerald</x:v>
      </x:c>
      <x:c r="C877" t="str">
        <x:v>I</x:v>
      </x:c>
      <x:c r="D877" t="str">
        <x:v>VVS2</x:v>
      </x:c>
      <x:c r="E877" s="36" t="n">
        <x:v>14900</x:v>
      </x:c>
      <x:c r="F877" s="36" t="n">
        <x:v>3447</x:v>
      </x:c>
      <x:c r="G877" s="42" t="n">
        <x:v>0.7393822393822393</x:v>
      </x:c>
      <x:c r="H877" s="36" t="n">
        <x:f>E877*G877</x:f>
        <x:v>11016.795366795366</x:v>
      </x:c>
      <x:c r="I877" s="36" t="n">
        <x:f>IFERROR(H877/A877,0)</x:f>
        <x:v>5508.397683397683</x:v>
      </x:c>
      <x:c r="J877" s="67" t="str">
        <x:v>Modeled from live base + Sep-2026 quality ratio</x:v>
      </x:c>
      <x:c r="K877" s="67" t="str">
        <x:v>https://www.stonealgo.com/diamond-prices/</x:v>
      </x:c>
      <x:c r="L877" s="67" t="str">
        <x:v>https://www.pricescope.com/blog/natural-diamond-prices-september-2026</x:v>
      </x:c>
    </x:row>
    <x:row r="878">
      <x:c r="A878" t="n">
        <x:v>2</x:v>
      </x:c>
      <x:c r="B878" t="str">
        <x:v>Emerald</x:v>
      </x:c>
      <x:c r="C878" t="str">
        <x:v>I</x:v>
      </x:c>
      <x:c r="D878" t="str">
        <x:v>VS1</x:v>
      </x:c>
      <x:c r="E878" s="36" t="n">
        <x:v>14900</x:v>
      </x:c>
      <x:c r="F878" s="36" t="n">
        <x:v>3313</x:v>
      </x:c>
      <x:c r="G878" s="42" t="n">
        <x:v>0.7106392106392107</x:v>
      </x:c>
      <x:c r="H878" s="36" t="n">
        <x:f>E878*G878</x:f>
        <x:v>10588.524238524238</x:v>
      </x:c>
      <x:c r="I878" s="36" t="n">
        <x:f>IFERROR(H878/A878,0)</x:f>
        <x:v>5294.262119262119</x:v>
      </x:c>
      <x:c r="J878" s="67" t="str">
        <x:v>Modeled from live base + Sep-2026 quality ratio</x:v>
      </x:c>
      <x:c r="K878" s="67" t="str">
        <x:v>https://www.stonealgo.com/diamond-prices/</x:v>
      </x:c>
      <x:c r="L878" s="67" t="str">
        <x:v>https://www.pricescope.com/blog/natural-diamond-prices-september-2026</x:v>
      </x:c>
    </x:row>
    <x:row r="879">
      <x:c r="A879" t="n">
        <x:v>2</x:v>
      </x:c>
      <x:c r="B879" t="str">
        <x:v>Emerald</x:v>
      </x:c>
      <x:c r="C879" t="str">
        <x:v>I</x:v>
      </x:c>
      <x:c r="D879" t="str">
        <x:v>VS2</x:v>
      </x:c>
      <x:c r="E879" s="36" t="n">
        <x:v>14900</x:v>
      </x:c>
      <x:c r="F879" s="36" t="n">
        <x:v>3240</x:v>
      </x:c>
      <x:c r="G879" s="42" t="n">
        <x:v>0.694980694980695</x:v>
      </x:c>
      <x:c r="H879" s="36" t="n">
        <x:f>E879*G879</x:f>
        <x:v>10355.212355212356</x:v>
      </x:c>
      <x:c r="I879" s="36" t="n">
        <x:f>IFERROR(H879/A879,0)</x:f>
        <x:v>5177.606177606178</x:v>
      </x:c>
      <x:c r="J879" s="67" t="str">
        <x:v>Modeled from live base + Sep-2026 quality ratio</x:v>
      </x:c>
      <x:c r="K879" s="67" t="str">
        <x:v>https://www.stonealgo.com/diamond-prices/</x:v>
      </x:c>
      <x:c r="L879" s="67" t="str">
        <x:v>https://www.pricescope.com/blog/natural-diamond-prices-september-2026</x:v>
      </x:c>
    </x:row>
    <x:row r="880">
      <x:c r="A880" t="n">
        <x:v>2</x:v>
      </x:c>
      <x:c r="B880" t="str">
        <x:v>Emerald</x:v>
      </x:c>
      <x:c r="C880" t="str">
        <x:v>I</x:v>
      </x:c>
      <x:c r="D880" t="str">
        <x:v>SI1</x:v>
      </x:c>
      <x:c r="E880" s="36" t="n">
        <x:v>14900</x:v>
      </x:c>
      <x:c r="F880" s="36" t="n">
        <x:v>3199</x:v>
      </x:c>
      <x:c r="G880" s="42" t="n">
        <x:v>0.6861861861861862</x:v>
      </x:c>
      <x:c r="H880" s="36" t="n">
        <x:f>E880*G880</x:f>
        <x:v>10224.174174174175</x:v>
      </x:c>
      <x:c r="I880" s="36" t="n">
        <x:f>IFERROR(H880/A880,0)</x:f>
        <x:v>5112.087087087088</x:v>
      </x:c>
      <x:c r="J880" s="67" t="str">
        <x:v>Modeled from live base + Sep-2026 quality ratio</x:v>
      </x:c>
      <x:c r="K880" s="67" t="str">
        <x:v>https://www.stonealgo.com/diamond-prices/</x:v>
      </x:c>
      <x:c r="L880" s="67" t="str">
        <x:v>https://www.pricescope.com/blog/natural-diamond-prices-september-2026</x:v>
      </x:c>
    </x:row>
    <x:row r="881">
      <x:c r="A881" t="n">
        <x:v>2</x:v>
      </x:c>
      <x:c r="B881" t="str">
        <x:v>Emerald</x:v>
      </x:c>
      <x:c r="C881" t="str">
        <x:v>I</x:v>
      </x:c>
      <x:c r="D881" t="str">
        <x:v>SI2</x:v>
      </x:c>
      <x:c r="E881" s="36" t="n">
        <x:v>14900</x:v>
      </x:c>
      <x:c r="F881" s="36" t="n">
        <x:v>2874</x:v>
      </x:c>
      <x:c r="G881" s="42" t="n">
        <x:v>0.6164736164736164</x:v>
      </x:c>
      <x:c r="H881" s="36" t="n">
        <x:f>E881*G881</x:f>
        <x:v>9185.456885456884</x:v>
      </x:c>
      <x:c r="I881" s="36" t="n">
        <x:f>IFERROR(H881/A881,0)</x:f>
        <x:v>4592.728442728442</x:v>
      </x:c>
      <x:c r="J881" s="67" t="str">
        <x:v>Modeled from live base + Sep-2026 quality ratio</x:v>
      </x:c>
      <x:c r="K881" s="67" t="str">
        <x:v>https://www.stonealgo.com/diamond-prices/</x:v>
      </x:c>
      <x:c r="L881" s="67" t="str">
        <x:v>https://www.pricescope.com/blog/natural-diamond-prices-september-2026</x:v>
      </x:c>
    </x:row>
    <x:row r="882">
      <x:c r="A882" t="n">
        <x:v>2</x:v>
      </x:c>
      <x:c r="B882" t="str">
        <x:v>Emerald</x:v>
      </x:c>
      <x:c r="C882" t="str">
        <x:v>J</x:v>
      </x:c>
      <x:c r="D882" t="str">
        <x:v>FL</x:v>
      </x:c>
      <x:c r="E882" s="36" t="n">
        <x:v>14900</x:v>
      </x:c>
      <x:c r="F882" s="36" t="n">
        <x:v>3646</x:v>
      </x:c>
      <x:c r="G882" s="42" t="n">
        <x:v>0.782067782067782</x:v>
      </x:c>
      <x:c r="H882" s="36" t="n">
        <x:f>E882*G882</x:f>
        <x:v>11652.809952809952</x:v>
      </x:c>
      <x:c r="I882" s="36" t="n">
        <x:f>IFERROR(H882/A882,0)</x:f>
        <x:v>5826.404976404976</x:v>
      </x:c>
      <x:c r="J882" s="67" t="str">
        <x:v>Modeled from live base + Sep-2026 quality ratio</x:v>
      </x:c>
      <x:c r="K882" s="67" t="str">
        <x:v>https://www.stonealgo.com/diamond-prices/</x:v>
      </x:c>
      <x:c r="L882" s="67" t="str">
        <x:v>https://www.pricescope.com/blog/natural-diamond-prices-september-2026</x:v>
      </x:c>
    </x:row>
    <x:row r="883">
      <x:c r="A883" t="n">
        <x:v>2</x:v>
      </x:c>
      <x:c r="B883" t="str">
        <x:v>Emerald</x:v>
      </x:c>
      <x:c r="C883" t="str">
        <x:v>J</x:v>
      </x:c>
      <x:c r="D883" t="str">
        <x:v>IF</x:v>
      </x:c>
      <x:c r="E883" s="36" t="n">
        <x:v>14900</x:v>
      </x:c>
      <x:c r="F883" s="36" t="n">
        <x:v>3368</x:v>
      </x:c>
      <x:c r="G883" s="42" t="n">
        <x:v>0.7224367224367224</x:v>
      </x:c>
      <x:c r="H883" s="36" t="n">
        <x:f>E883*G883</x:f>
        <x:v>10764.307164307163</x:v>
      </x:c>
      <x:c r="I883" s="36" t="n">
        <x:f>IFERROR(H883/A883,0)</x:f>
        <x:v>5382.153582153582</x:v>
      </x:c>
      <x:c r="J883" s="67" t="str">
        <x:v>Modeled from live base + Sep-2026 quality ratio</x:v>
      </x:c>
      <x:c r="K883" s="67" t="str">
        <x:v>https://www.stonealgo.com/diamond-prices/</x:v>
      </x:c>
      <x:c r="L883" s="67" t="str">
        <x:v>https://www.pricescope.com/blog/natural-diamond-prices-september-2026</x:v>
      </x:c>
    </x:row>
    <x:row r="884">
      <x:c r="A884" t="n">
        <x:v>2</x:v>
      </x:c>
      <x:c r="B884" t="str">
        <x:v>Emerald</x:v>
      </x:c>
      <x:c r="C884" t="str">
        <x:v>J</x:v>
      </x:c>
      <x:c r="D884" t="str">
        <x:v>VVS1</x:v>
      </x:c>
      <x:c r="E884" s="36" t="n">
        <x:v>14900</x:v>
      </x:c>
      <x:c r="F884" s="36" t="n">
        <x:v>2956</x:v>
      </x:c>
      <x:c r="G884" s="42" t="n">
        <x:v>0.6340626340626341</x:v>
      </x:c>
      <x:c r="H884" s="36" t="n">
        <x:f>E884*G884</x:f>
        <x:v>9447.533247533247</x:v>
      </x:c>
      <x:c r="I884" s="36" t="n">
        <x:f>IFERROR(H884/A884,0)</x:f>
        <x:v>4723.7666237666235</x:v>
      </x:c>
      <x:c r="J884" s="67" t="str">
        <x:v>Modeled from live base + Sep-2026 quality ratio</x:v>
      </x:c>
      <x:c r="K884" s="67" t="str">
        <x:v>https://www.stonealgo.com/diamond-prices/</x:v>
      </x:c>
      <x:c r="L884" s="67" t="str">
        <x:v>https://www.pricescope.com/blog/natural-diamond-prices-september-2026</x:v>
      </x:c>
    </x:row>
    <x:row r="885">
      <x:c r="A885" t="n">
        <x:v>2</x:v>
      </x:c>
      <x:c r="B885" t="str">
        <x:v>Emerald</x:v>
      </x:c>
      <x:c r="C885" t="str">
        <x:v>J</x:v>
      </x:c>
      <x:c r="D885" t="str">
        <x:v>VVS2</x:v>
      </x:c>
      <x:c r="E885" s="36" t="n">
        <x:v>14900</x:v>
      </x:c>
      <x:c r="F885" s="36" t="n">
        <x:v>2612</x:v>
      </x:c>
      <x:c r="G885" s="42" t="n">
        <x:v>0.5602745602745602</x:v>
      </x:c>
      <x:c r="H885" s="36" t="n">
        <x:f>E885*G885</x:f>
        <x:v>8348.090948090947</x:v>
      </x:c>
      <x:c r="I885" s="36" t="n">
        <x:f>IFERROR(H885/A885,0)</x:f>
        <x:v>4174.045474045473</x:v>
      </x:c>
      <x:c r="J885" s="67" t="str">
        <x:v>Modeled from live base + Sep-2026 quality ratio</x:v>
      </x:c>
      <x:c r="K885" s="67" t="str">
        <x:v>https://www.stonealgo.com/diamond-prices/</x:v>
      </x:c>
      <x:c r="L885" s="67" t="str">
        <x:v>https://www.pricescope.com/blog/natural-diamond-prices-september-2026</x:v>
      </x:c>
    </x:row>
    <x:row r="886">
      <x:c r="A886" t="n">
        <x:v>2</x:v>
      </x:c>
      <x:c r="B886" t="str">
        <x:v>Emerald</x:v>
      </x:c>
      <x:c r="C886" t="str">
        <x:v>J</x:v>
      </x:c>
      <x:c r="D886" t="str">
        <x:v>VS1</x:v>
      </x:c>
      <x:c r="E886" s="36" t="n">
        <x:v>14900</x:v>
      </x:c>
      <x:c r="F886" s="36" t="n">
        <x:v>3002</x:v>
      </x:c>
      <x:c r="G886" s="42" t="n">
        <x:v>0.6439296439296439</x:v>
      </x:c>
      <x:c r="H886" s="36" t="n">
        <x:f>E886*G886</x:f>
        <x:v>9594.551694551694</x:v>
      </x:c>
      <x:c r="I886" s="36" t="n">
        <x:f>IFERROR(H886/A886,0)</x:f>
        <x:v>4797.275847275847</x:v>
      </x:c>
      <x:c r="J886" s="67" t="str">
        <x:v>Modeled from live base + Sep-2026 quality ratio</x:v>
      </x:c>
      <x:c r="K886" s="67" t="str">
        <x:v>https://www.stonealgo.com/diamond-prices/</x:v>
      </x:c>
      <x:c r="L886" s="67" t="str">
        <x:v>https://www.pricescope.com/blog/natural-diamond-prices-september-2026</x:v>
      </x:c>
    </x:row>
    <x:row r="887">
      <x:c r="A887" t="n">
        <x:v>2</x:v>
      </x:c>
      <x:c r="B887" t="str">
        <x:v>Emerald</x:v>
      </x:c>
      <x:c r="C887" t="str">
        <x:v>J</x:v>
      </x:c>
      <x:c r="D887" t="str">
        <x:v>VS2</x:v>
      </x:c>
      <x:c r="E887" s="36" t="n">
        <x:v>14900</x:v>
      </x:c>
      <x:c r="F887" s="36" t="n">
        <x:v>2559</x:v>
      </x:c>
      <x:c r="G887" s="42" t="n">
        <x:v>0.5489060489060489</x:v>
      </x:c>
      <x:c r="H887" s="36" t="n">
        <x:f>E887*G887</x:f>
        <x:v>8178.7001287001285</x:v>
      </x:c>
      <x:c r="I887" s="36" t="n">
        <x:f>IFERROR(H887/A887,0)</x:f>
        <x:v>4089.3500643500643</x:v>
      </x:c>
      <x:c r="J887" s="67" t="str">
        <x:v>Modeled from live base + Sep-2026 quality ratio</x:v>
      </x:c>
      <x:c r="K887" s="67" t="str">
        <x:v>https://www.stonealgo.com/diamond-prices/</x:v>
      </x:c>
      <x:c r="L887" s="67" t="str">
        <x:v>https://www.pricescope.com/blog/natural-diamond-prices-september-2026</x:v>
      </x:c>
    </x:row>
    <x:row r="888">
      <x:c r="A888" t="n">
        <x:v>2</x:v>
      </x:c>
      <x:c r="B888" t="str">
        <x:v>Emerald</x:v>
      </x:c>
      <x:c r="C888" t="str">
        <x:v>J</x:v>
      </x:c>
      <x:c r="D888" t="str">
        <x:v>SI1</x:v>
      </x:c>
      <x:c r="E888" s="36" t="n">
        <x:v>14900</x:v>
      </x:c>
      <x:c r="F888" s="36" t="n">
        <x:v>2195</x:v>
      </x:c>
      <x:c r="G888" s="42" t="n">
        <x:v>0.47082797082797084</x:v>
      </x:c>
      <x:c r="H888" s="36" t="n">
        <x:f>E888*G888</x:f>
        <x:v>7015.336765336766</x:v>
      </x:c>
      <x:c r="I888" s="36" t="n">
        <x:f>IFERROR(H888/A888,0)</x:f>
        <x:v>3507.668382668383</x:v>
      </x:c>
      <x:c r="J888" s="67" t="str">
        <x:v>Modeled from live base + Sep-2026 quality ratio</x:v>
      </x:c>
      <x:c r="K888" s="67" t="str">
        <x:v>https://www.stonealgo.com/diamond-prices/</x:v>
      </x:c>
      <x:c r="L888" s="67" t="str">
        <x:v>https://www.pricescope.com/blog/natural-diamond-prices-september-2026</x:v>
      </x:c>
    </x:row>
    <x:row r="889">
      <x:c r="A889" t="n">
        <x:v>2</x:v>
      </x:c>
      <x:c r="B889" t="str">
        <x:v>Emerald</x:v>
      </x:c>
      <x:c r="C889" t="str">
        <x:v>J</x:v>
      </x:c>
      <x:c r="D889" t="str">
        <x:v>SI2</x:v>
      </x:c>
      <x:c r="E889" s="36" t="n">
        <x:v>14900</x:v>
      </x:c>
      <x:c r="F889" s="36" t="n">
        <x:v>2079</x:v>
      </x:c>
      <x:c r="G889" s="42" t="n">
        <x:v>0.44594594594594594</x:v>
      </x:c>
      <x:c r="H889" s="36" t="n">
        <x:f>E889*G889</x:f>
        <x:v>6644.594594594594</x:v>
      </x:c>
      <x:c r="I889" s="36" t="n">
        <x:f>IFERROR(H889/A889,0)</x:f>
        <x:v>3322.297297297297</x:v>
      </x:c>
      <x:c r="J889" s="67" t="str">
        <x:v>Modeled from live base + Sep-2026 quality ratio</x:v>
      </x:c>
      <x:c r="K889" s="67" t="str">
        <x:v>https://www.stonealgo.com/diamond-prices/</x:v>
      </x:c>
      <x:c r="L889" s="67" t="str">
        <x:v>https://www.pricescope.com/blog/natural-diamond-prices-september-2026</x:v>
      </x:c>
    </x:row>
    <x:row r="890">
      <x:c r="A890" t="n">
        <x:v>2</x:v>
      </x:c>
      <x:c r="B890" t="str">
        <x:v>Emerald</x:v>
      </x:c>
      <x:c r="C890" t="str">
        <x:v>K</x:v>
      </x:c>
      <x:c r="D890" t="str">
        <x:v>FL</x:v>
      </x:c>
      <x:c r="E890" s="36" t="n">
        <x:v>14900</x:v>
      </x:c>
      <x:c r="F890" s="36" t="n">
        <x:v>2858</x:v>
      </x:c>
      <x:c r="G890" s="42" t="n">
        <x:v>0.6130416130416131</x:v>
      </x:c>
      <x:c r="H890" s="36" t="n">
        <x:f>E890*G890</x:f>
        <x:v>9134.320034320035</x:v>
      </x:c>
      <x:c r="I890" s="36" t="n">
        <x:f>IFERROR(H890/A890,0)</x:f>
        <x:v>4567.160017160018</x:v>
      </x:c>
      <x:c r="J890" s="67" t="str">
        <x:v>Modeled from live base + Sep-2026 quality ratio; K/FL quality cell modeled</x:v>
      </x:c>
      <x:c r="K890" s="67" t="str">
        <x:v>https://www.stonealgo.com/diamond-prices/</x:v>
      </x:c>
      <x:c r="L890" s="67" t="str">
        <x:v>https://www.pricescope.com/blog/natural-diamond-prices-september-2026</x:v>
      </x:c>
    </x:row>
    <x:row r="891">
      <x:c r="A891" t="n">
        <x:v>2</x:v>
      </x:c>
      <x:c r="B891" t="str">
        <x:v>Emerald</x:v>
      </x:c>
      <x:c r="C891" t="str">
        <x:v>K</x:v>
      </x:c>
      <x:c r="D891" t="str">
        <x:v>IF</x:v>
      </x:c>
      <x:c r="E891" s="36" t="n">
        <x:v>14900</x:v>
      </x:c>
      <x:c r="F891" s="36" t="n">
        <x:v>2743</x:v>
      </x:c>
      <x:c r="G891" s="42" t="n">
        <x:v>0.5883740883740883</x:v>
      </x:c>
      <x:c r="H891" s="36" t="n">
        <x:f>E891*G891</x:f>
        <x:v>8766.773916773916</x:v>
      </x:c>
      <x:c r="I891" s="36" t="n">
        <x:f>IFERROR(H891/A891,0)</x:f>
        <x:v>4383.386958386958</x:v>
      </x:c>
      <x:c r="J891" s="67" t="str">
        <x:v>Modeled from live base + Sep-2026 quality ratio</x:v>
      </x:c>
      <x:c r="K891" s="67" t="str">
        <x:v>https://www.stonealgo.com/diamond-prices/</x:v>
      </x:c>
      <x:c r="L891" s="67" t="str">
        <x:v>https://www.pricescope.com/blog/natural-diamond-prices-september-2026</x:v>
      </x:c>
    </x:row>
    <x:row r="892">
      <x:c r="A892" t="n">
        <x:v>2</x:v>
      </x:c>
      <x:c r="B892" t="str">
        <x:v>Emerald</x:v>
      </x:c>
      <x:c r="C892" t="str">
        <x:v>K</x:v>
      </x:c>
      <x:c r="D892" t="str">
        <x:v>VVS1</x:v>
      </x:c>
      <x:c r="E892" s="36" t="n">
        <x:v>14900</x:v>
      </x:c>
      <x:c r="F892" s="36" t="n">
        <x:v>2529</x:v>
      </x:c>
      <x:c r="G892" s="42" t="n">
        <x:v>0.5424710424710425</x:v>
      </x:c>
      <x:c r="H892" s="36" t="n">
        <x:f>E892*G892</x:f>
        <x:v>8082.818532818534</x:v>
      </x:c>
      <x:c r="I892" s="36" t="n">
        <x:f>IFERROR(H892/A892,0)</x:f>
        <x:v>4041.409266409267</x:v>
      </x:c>
      <x:c r="J892" s="67" t="str">
        <x:v>Modeled from live base + Sep-2026 quality ratio</x:v>
      </x:c>
      <x:c r="K892" s="67" t="str">
        <x:v>https://www.stonealgo.com/diamond-prices/</x:v>
      </x:c>
      <x:c r="L892" s="67" t="str">
        <x:v>https://www.pricescope.com/blog/natural-diamond-prices-september-2026</x:v>
      </x:c>
    </x:row>
    <x:row r="893">
      <x:c r="A893" t="n">
        <x:v>2</x:v>
      </x:c>
      <x:c r="B893" t="str">
        <x:v>Emerald</x:v>
      </x:c>
      <x:c r="C893" t="str">
        <x:v>K</x:v>
      </x:c>
      <x:c r="D893" t="str">
        <x:v>VVS2</x:v>
      </x:c>
      <x:c r="E893" s="36" t="n">
        <x:v>14900</x:v>
      </x:c>
      <x:c r="F893" s="36" t="n">
        <x:v>2374</x:v>
      </x:c>
      <x:c r="G893" s="42" t="n">
        <x:v>0.5092235092235092</x:v>
      </x:c>
      <x:c r="H893" s="36" t="n">
        <x:f>E893*G893</x:f>
        <x:v>7587.4302874302875</x:v>
      </x:c>
      <x:c r="I893" s="36" t="n">
        <x:f>IFERROR(H893/A893,0)</x:f>
        <x:v>3793.7151437151438</x:v>
      </x:c>
      <x:c r="J893" s="67" t="str">
        <x:v>Modeled from live base + Sep-2026 quality ratio</x:v>
      </x:c>
      <x:c r="K893" s="67" t="str">
        <x:v>https://www.stonealgo.com/diamond-prices/</x:v>
      </x:c>
      <x:c r="L893" s="67" t="str">
        <x:v>https://www.pricescope.com/blog/natural-diamond-prices-september-2026</x:v>
      </x:c>
    </x:row>
    <x:row r="894">
      <x:c r="A894" t="n">
        <x:v>2</x:v>
      </x:c>
      <x:c r="B894" t="str">
        <x:v>Emerald</x:v>
      </x:c>
      <x:c r="C894" t="str">
        <x:v>K</x:v>
      </x:c>
      <x:c r="D894" t="str">
        <x:v>VS1</x:v>
      </x:c>
      <x:c r="E894" s="36" t="n">
        <x:v>14900</x:v>
      </x:c>
      <x:c r="F894" s="36" t="n">
        <x:v>2223</x:v>
      </x:c>
      <x:c r="G894" s="42" t="n">
        <x:v>0.4768339768339768</x:v>
      </x:c>
      <x:c r="H894" s="36" t="n">
        <x:f>E894*G894</x:f>
        <x:v>7104.826254826255</x:v>
      </x:c>
      <x:c r="I894" s="36" t="n">
        <x:f>IFERROR(H894/A894,0)</x:f>
        <x:v>3552.4131274131273</x:v>
      </x:c>
      <x:c r="J894" s="67" t="str">
        <x:v>Modeled from live base + Sep-2026 quality ratio</x:v>
      </x:c>
      <x:c r="K894" s="67" t="str">
        <x:v>https://www.stonealgo.com/diamond-prices/</x:v>
      </x:c>
      <x:c r="L894" s="67" t="str">
        <x:v>https://www.pricescope.com/blog/natural-diamond-prices-september-2026</x:v>
      </x:c>
    </x:row>
    <x:row r="895">
      <x:c r="A895" t="n">
        <x:v>2</x:v>
      </x:c>
      <x:c r="B895" t="str">
        <x:v>Emerald</x:v>
      </x:c>
      <x:c r="C895" t="str">
        <x:v>K</x:v>
      </x:c>
      <x:c r="D895" t="str">
        <x:v>VS2</x:v>
      </x:c>
      <x:c r="E895" s="36" t="n">
        <x:v>14900</x:v>
      </x:c>
      <x:c r="F895" s="36" t="n">
        <x:v>2098</x:v>
      </x:c>
      <x:c r="G895" s="42" t="n">
        <x:v>0.45002145002145</x:v>
      </x:c>
      <x:c r="H895" s="36" t="n">
        <x:f>E895*G895</x:f>
        <x:v>6705.319605319605</x:v>
      </x:c>
      <x:c r="I895" s="36" t="n">
        <x:f>IFERROR(H895/A895,0)</x:f>
        <x:v>3352.6598026598026</x:v>
      </x:c>
      <x:c r="J895" s="67" t="str">
        <x:v>Modeled from live base + Sep-2026 quality ratio</x:v>
      </x:c>
      <x:c r="K895" s="67" t="str">
        <x:v>https://www.stonealgo.com/diamond-prices/</x:v>
      </x:c>
      <x:c r="L895" s="67" t="str">
        <x:v>https://www.pricescope.com/blog/natural-diamond-prices-september-2026</x:v>
      </x:c>
    </x:row>
    <x:row r="896">
      <x:c r="A896" t="n">
        <x:v>2</x:v>
      </x:c>
      <x:c r="B896" t="str">
        <x:v>Emerald</x:v>
      </x:c>
      <x:c r="C896" t="str">
        <x:v>K</x:v>
      </x:c>
      <x:c r="D896" t="str">
        <x:v>SI1</x:v>
      </x:c>
      <x:c r="E896" s="36" t="n">
        <x:v>14900</x:v>
      </x:c>
      <x:c r="F896" s="36" t="n">
        <x:v>1922</x:v>
      </x:c>
      <x:c r="G896" s="42" t="n">
        <x:v>0.41226941226941227</x:v>
      </x:c>
      <x:c r="H896" s="36" t="n">
        <x:f>E896*G896</x:f>
        <x:v>6142.814242814243</x:v>
      </x:c>
      <x:c r="I896" s="36" t="n">
        <x:f>IFERROR(H896/A896,0)</x:f>
        <x:v>3071.4071214071214</x:v>
      </x:c>
      <x:c r="J896" s="67" t="str">
        <x:v>Modeled from live base + Sep-2026 quality ratio</x:v>
      </x:c>
      <x:c r="K896" s="67" t="str">
        <x:v>https://www.stonealgo.com/diamond-prices/</x:v>
      </x:c>
      <x:c r="L896" s="67" t="str">
        <x:v>https://www.pricescope.com/blog/natural-diamond-prices-september-2026</x:v>
      </x:c>
    </x:row>
    <x:row r="897">
      <x:c r="A897" t="n">
        <x:v>2</x:v>
      </x:c>
      <x:c r="B897" t="str">
        <x:v>Emerald</x:v>
      </x:c>
      <x:c r="C897" t="str">
        <x:v>K</x:v>
      </x:c>
      <x:c r="D897" t="str">
        <x:v>SI2</x:v>
      </x:c>
      <x:c r="E897" s="36" t="n">
        <x:v>14900</x:v>
      </x:c>
      <x:c r="F897" s="36" t="n">
        <x:v>1764</x:v>
      </x:c>
      <x:c r="G897" s="42" t="n">
        <x:v>0.3783783783783784</x:v>
      </x:c>
      <x:c r="H897" s="36" t="n">
        <x:f>E897*G897</x:f>
        <x:v>5637.837837837838</x:v>
      </x:c>
      <x:c r="I897" s="36" t="n">
        <x:f>IFERROR(H897/A897,0)</x:f>
        <x:v>2818.918918918919</x:v>
      </x:c>
      <x:c r="J897" s="67" t="str">
        <x:v>Modeled from live base + Sep-2026 quality ratio</x:v>
      </x:c>
      <x:c r="K897" s="67" t="str">
        <x:v>https://www.stonealgo.com/diamond-prices/</x:v>
      </x:c>
      <x:c r="L897" s="67" t="str">
        <x:v>https://www.pricescope.com/blog/natural-diamond-prices-september-2026</x:v>
      </x:c>
    </x:row>
    <x:row r="898">
      <x:c r="A898" t="n">
        <x:v>2</x:v>
      </x:c>
      <x:c r="B898" t="str">
        <x:v>Cushion</x:v>
      </x:c>
      <x:c r="C898" t="str">
        <x:v>D</x:v>
      </x:c>
      <x:c r="D898" t="str">
        <x:v>FL</x:v>
      </x:c>
      <x:c r="E898" s="36" t="n">
        <x:v>13500</x:v>
      </x:c>
      <x:c r="F898" s="36" t="n">
        <x:v>12665</x:v>
      </x:c>
      <x:c r="G898" s="42" t="n">
        <x:v>2.7166452166452166</x:v>
      </x:c>
      <x:c r="H898" s="36" t="n">
        <x:f>E898*G898</x:f>
        <x:v>36674.71042471042</x:v>
      </x:c>
      <x:c r="I898" s="36" t="n">
        <x:f>IFERROR(H898/A898,0)</x:f>
        <x:v>18337.35521235521</x:v>
      </x:c>
      <x:c r="J898" s="67" t="str">
        <x:v>Modeled from live base + Sep-2026 quality ratio</x:v>
      </x:c>
      <x:c r="K898" s="67" t="str">
        <x:v>https://www.stonealgo.com/diamond-prices/</x:v>
      </x:c>
      <x:c r="L898" s="67" t="str">
        <x:v>https://www.pricescope.com/blog/natural-diamond-prices-september-2026</x:v>
      </x:c>
    </x:row>
    <x:row r="899">
      <x:c r="A899" t="n">
        <x:v>2</x:v>
      </x:c>
      <x:c r="B899" t="str">
        <x:v>Cushion</x:v>
      </x:c>
      <x:c r="C899" t="str">
        <x:v>D</x:v>
      </x:c>
      <x:c r="D899" t="str">
        <x:v>IF</x:v>
      </x:c>
      <x:c r="E899" s="36" t="n">
        <x:v>13500</x:v>
      </x:c>
      <x:c r="F899" s="36" t="n">
        <x:v>13240</x:v>
      </x:c>
      <x:c r="G899" s="42" t="n">
        <x:v>2.83998283998284</x:v>
      </x:c>
      <x:c r="H899" s="36" t="n">
        <x:f>E899*G899</x:f>
        <x:v>38339.76833976834</x:v>
      </x:c>
      <x:c r="I899" s="36" t="n">
        <x:f>IFERROR(H899/A899,0)</x:f>
        <x:v>19169.88416988417</x:v>
      </x:c>
      <x:c r="J899" s="67" t="str">
        <x:v>Modeled from live base + Sep-2026 quality ratio</x:v>
      </x:c>
      <x:c r="K899" s="67" t="str">
        <x:v>https://www.stonealgo.com/diamond-prices/</x:v>
      </x:c>
      <x:c r="L899" s="67" t="str">
        <x:v>https://www.pricescope.com/blog/natural-diamond-prices-september-2026</x:v>
      </x:c>
    </x:row>
    <x:row r="900">
      <x:c r="A900" t="n">
        <x:v>2</x:v>
      </x:c>
      <x:c r="B900" t="str">
        <x:v>Cushion</x:v>
      </x:c>
      <x:c r="C900" t="str">
        <x:v>D</x:v>
      </x:c>
      <x:c r="D900" t="str">
        <x:v>VVS1</x:v>
      </x:c>
      <x:c r="E900" s="36" t="n">
        <x:v>13500</x:v>
      </x:c>
      <x:c r="F900" s="36" t="n">
        <x:v>9555</x:v>
      </x:c>
      <x:c r="G900" s="42" t="n">
        <x:v>2.0495495495495497</x:v>
      </x:c>
      <x:c r="H900" s="36" t="n">
        <x:f>E900*G900</x:f>
        <x:v>27668.91891891892</x:v>
      </x:c>
      <x:c r="I900" s="36" t="n">
        <x:f>IFERROR(H900/A900,0)</x:f>
        <x:v>13834.45945945946</x:v>
      </x:c>
      <x:c r="J900" s="67" t="str">
        <x:v>Modeled from live base + Sep-2026 quality ratio</x:v>
      </x:c>
      <x:c r="K900" s="67" t="str">
        <x:v>https://www.stonealgo.com/diamond-prices/</x:v>
      </x:c>
      <x:c r="L900" s="67" t="str">
        <x:v>https://www.pricescope.com/blog/natural-diamond-prices-september-2026</x:v>
      </x:c>
    </x:row>
    <x:row r="901">
      <x:c r="A901" t="n">
        <x:v>2</x:v>
      </x:c>
      <x:c r="B901" t="str">
        <x:v>Cushion</x:v>
      </x:c>
      <x:c r="C901" t="str">
        <x:v>D</x:v>
      </x:c>
      <x:c r="D901" t="str">
        <x:v>VVS2</x:v>
      </x:c>
      <x:c r="E901" s="36" t="n">
        <x:v>13500</x:v>
      </x:c>
      <x:c r="F901" s="36" t="n">
        <x:v>6660</x:v>
      </x:c>
      <x:c r="G901" s="42" t="n">
        <x:v>1.4285714285714286</x:v>
      </x:c>
      <x:c r="H901" s="36" t="n">
        <x:f>E901*G901</x:f>
        <x:v>19285.714285714286</x:v>
      </x:c>
      <x:c r="I901" s="36" t="n">
        <x:f>IFERROR(H901/A901,0)</x:f>
        <x:v>9642.857142857143</x:v>
      </x:c>
      <x:c r="J901" s="67" t="str">
        <x:v>Modeled from live base + Sep-2026 quality ratio</x:v>
      </x:c>
      <x:c r="K901" s="67" t="str">
        <x:v>https://www.stonealgo.com/diamond-prices/</x:v>
      </x:c>
      <x:c r="L901" s="67" t="str">
        <x:v>https://www.pricescope.com/blog/natural-diamond-prices-september-2026</x:v>
      </x:c>
    </x:row>
    <x:row r="902">
      <x:c r="A902" t="n">
        <x:v>2</x:v>
      </x:c>
      <x:c r="B902" t="str">
        <x:v>Cushion</x:v>
      </x:c>
      <x:c r="C902" t="str">
        <x:v>D</x:v>
      </x:c>
      <x:c r="D902" t="str">
        <x:v>VS1</x:v>
      </x:c>
      <x:c r="E902" s="36" t="n">
        <x:v>13500</x:v>
      </x:c>
      <x:c r="F902" s="36" t="n">
        <x:v>6247</x:v>
      </x:c>
      <x:c r="G902" s="42" t="n">
        <x:v>1.33998283998284</x:v>
      </x:c>
      <x:c r="H902" s="36" t="n">
        <x:f>E902*G902</x:f>
        <x:v>18089.76833976834</x:v>
      </x:c>
      <x:c r="I902" s="36" t="n">
        <x:f>IFERROR(H902/A902,0)</x:f>
        <x:v>9044.88416988417</x:v>
      </x:c>
      <x:c r="J902" s="67" t="str">
        <x:v>Modeled from live base + Sep-2026 quality ratio</x:v>
      </x:c>
      <x:c r="K902" s="67" t="str">
        <x:v>https://www.stonealgo.com/diamond-prices/</x:v>
      </x:c>
      <x:c r="L902" s="67" t="str">
        <x:v>https://www.pricescope.com/blog/natural-diamond-prices-september-2026</x:v>
      </x:c>
    </x:row>
    <x:row r="903">
      <x:c r="A903" t="n">
        <x:v>2</x:v>
      </x:c>
      <x:c r="B903" t="str">
        <x:v>Cushion</x:v>
      </x:c>
      <x:c r="C903" t="str">
        <x:v>D</x:v>
      </x:c>
      <x:c r="D903" t="str">
        <x:v>VS2</x:v>
      </x:c>
      <x:c r="E903" s="36" t="n">
        <x:v>13500</x:v>
      </x:c>
      <x:c r="F903" s="36" t="n">
        <x:v>5841</x:v>
      </x:c>
      <x:c r="G903" s="42" t="n">
        <x:v>1.252895752895753</x:v>
      </x:c>
      <x:c r="H903" s="36" t="n">
        <x:f>E903*G903</x:f>
        <x:v>16914.092664092666</x:v>
      </x:c>
      <x:c r="I903" s="36" t="n">
        <x:f>IFERROR(H903/A903,0)</x:f>
        <x:v>8457.046332046333</x:v>
      </x:c>
      <x:c r="J903" s="67" t="str">
        <x:v>Modeled from live base + Sep-2026 quality ratio</x:v>
      </x:c>
      <x:c r="K903" s="67" t="str">
        <x:v>https://www.stonealgo.com/diamond-prices/</x:v>
      </x:c>
      <x:c r="L903" s="67" t="str">
        <x:v>https://www.pricescope.com/blog/natural-diamond-prices-september-2026</x:v>
      </x:c>
    </x:row>
    <x:row r="904">
      <x:c r="A904" t="n">
        <x:v>2</x:v>
      </x:c>
      <x:c r="B904" t="str">
        <x:v>Cushion</x:v>
      </x:c>
      <x:c r="C904" t="str">
        <x:v>D</x:v>
      </x:c>
      <x:c r="D904" t="str">
        <x:v>SI1</x:v>
      </x:c>
      <x:c r="E904" s="36" t="n">
        <x:v>13500</x:v>
      </x:c>
      <x:c r="F904" s="36" t="n">
        <x:v>3762</x:v>
      </x:c>
      <x:c r="G904" s="42" t="n">
        <x:v>0.806949806949807</x:v>
      </x:c>
      <x:c r="H904" s="36" t="n">
        <x:f>E904*G904</x:f>
        <x:v>10893.822393822395</x:v>
      </x:c>
      <x:c r="I904" s="36" t="n">
        <x:f>IFERROR(H904/A904,0)</x:f>
        <x:v>5446.911196911197</x:v>
      </x:c>
      <x:c r="J904" s="67" t="str">
        <x:v>Modeled from live base + Sep-2026 quality ratio</x:v>
      </x:c>
      <x:c r="K904" s="67" t="str">
        <x:v>https://www.stonealgo.com/diamond-prices/</x:v>
      </x:c>
      <x:c r="L904" s="67" t="str">
        <x:v>https://www.pricescope.com/blog/natural-diamond-prices-september-2026</x:v>
      </x:c>
    </x:row>
    <x:row r="905">
      <x:c r="A905" t="n">
        <x:v>2</x:v>
      </x:c>
      <x:c r="B905" t="str">
        <x:v>Cushion</x:v>
      </x:c>
      <x:c r="C905" t="str">
        <x:v>D</x:v>
      </x:c>
      <x:c r="D905" t="str">
        <x:v>SI2</x:v>
      </x:c>
      <x:c r="E905" s="36" t="n">
        <x:v>13500</x:v>
      </x:c>
      <x:c r="F905" s="36" t="n">
        <x:v>3026</x:v>
      </x:c>
      <x:c r="G905" s="42" t="n">
        <x:v>0.6490776490776491</x:v>
      </x:c>
      <x:c r="H905" s="36" t="n">
        <x:f>E905*G905</x:f>
        <x:v>8762.548262548262</x:v>
      </x:c>
      <x:c r="I905" s="36" t="n">
        <x:f>IFERROR(H905/A905,0)</x:f>
        <x:v>4381.274131274131</x:v>
      </x:c>
      <x:c r="J905" s="67" t="str">
        <x:v>Modeled from live base + Sep-2026 quality ratio</x:v>
      </x:c>
      <x:c r="K905" s="67" t="str">
        <x:v>https://www.stonealgo.com/diamond-prices/</x:v>
      </x:c>
      <x:c r="L905" s="67" t="str">
        <x:v>https://www.pricescope.com/blog/natural-diamond-prices-september-2026</x:v>
      </x:c>
    </x:row>
    <x:row r="906">
      <x:c r="A906" t="n">
        <x:v>2</x:v>
      </x:c>
      <x:c r="B906" t="str">
        <x:v>Cushion</x:v>
      </x:c>
      <x:c r="C906" t="str">
        <x:v>E</x:v>
      </x:c>
      <x:c r="D906" t="str">
        <x:v>FL</x:v>
      </x:c>
      <x:c r="E906" s="36" t="n">
        <x:v>13500</x:v>
      </x:c>
      <x:c r="F906" s="36" t="n">
        <x:v>10072</x:v>
      </x:c>
      <x:c r="G906" s="42" t="n">
        <x:v>2.1604461604461602</x:v>
      </x:c>
      <x:c r="H906" s="36" t="n">
        <x:f>E906*G906</x:f>
        <x:v>29166.023166023162</x:v>
      </x:c>
      <x:c r="I906" s="36" t="n">
        <x:f>IFERROR(H906/A906,0)</x:f>
        <x:v>14583.011583011581</x:v>
      </x:c>
      <x:c r="J906" s="67" t="str">
        <x:v>Modeled from live base + Sep-2026 quality ratio</x:v>
      </x:c>
      <x:c r="K906" s="67" t="str">
        <x:v>https://www.stonealgo.com/diamond-prices/</x:v>
      </x:c>
      <x:c r="L906" s="67" t="str">
        <x:v>https://www.pricescope.com/blog/natural-diamond-prices-september-2026</x:v>
      </x:c>
    </x:row>
    <x:row r="907">
      <x:c r="A907" t="n">
        <x:v>2</x:v>
      </x:c>
      <x:c r="B907" t="str">
        <x:v>Cushion</x:v>
      </x:c>
      <x:c r="C907" t="str">
        <x:v>E</x:v>
      </x:c>
      <x:c r="D907" t="str">
        <x:v>IF</x:v>
      </x:c>
      <x:c r="E907" s="36" t="n">
        <x:v>13500</x:v>
      </x:c>
      <x:c r="F907" s="36" t="n">
        <x:v>8672</x:v>
      </x:c>
      <x:c r="G907" s="42" t="n">
        <x:v>1.8601458601458603</x:v>
      </x:c>
      <x:c r="H907" s="36" t="n">
        <x:f>E907*G907</x:f>
        <x:v>25111.969111969112</x:v>
      </x:c>
      <x:c r="I907" s="36" t="n">
        <x:f>IFERROR(H907/A907,0)</x:f>
        <x:v>12555.984555984556</x:v>
      </x:c>
      <x:c r="J907" s="67" t="str">
        <x:v>Modeled from live base + Sep-2026 quality ratio</x:v>
      </x:c>
      <x:c r="K907" s="67" t="str">
        <x:v>https://www.stonealgo.com/diamond-prices/</x:v>
      </x:c>
      <x:c r="L907" s="67" t="str">
        <x:v>https://www.pricescope.com/blog/natural-diamond-prices-september-2026</x:v>
      </x:c>
    </x:row>
    <x:row r="908">
      <x:c r="A908" t="n">
        <x:v>2</x:v>
      </x:c>
      <x:c r="B908" t="str">
        <x:v>Cushion</x:v>
      </x:c>
      <x:c r="C908" t="str">
        <x:v>E</x:v>
      </x:c>
      <x:c r="D908" t="str">
        <x:v>VVS1</x:v>
      </x:c>
      <x:c r="E908" s="36" t="n">
        <x:v>13500</x:v>
      </x:c>
      <x:c r="F908" s="36" t="n">
        <x:v>7842</x:v>
      </x:c>
      <x:c r="G908" s="42" t="n">
        <x:v>1.6821106821106822</x:v>
      </x:c>
      <x:c r="H908" s="36" t="n">
        <x:f>E908*G908</x:f>
        <x:v>22708.49420849421</x:v>
      </x:c>
      <x:c r="I908" s="36" t="n">
        <x:f>IFERROR(H908/A908,0)</x:f>
        <x:v>11354.247104247104</x:v>
      </x:c>
      <x:c r="J908" s="67" t="str">
        <x:v>Modeled from live base + Sep-2026 quality ratio</x:v>
      </x:c>
      <x:c r="K908" s="67" t="str">
        <x:v>https://www.stonealgo.com/diamond-prices/</x:v>
      </x:c>
      <x:c r="L908" s="67" t="str">
        <x:v>https://www.pricescope.com/blog/natural-diamond-prices-september-2026</x:v>
      </x:c>
    </x:row>
    <x:row r="909">
      <x:c r="A909" t="n">
        <x:v>2</x:v>
      </x:c>
      <x:c r="B909" t="str">
        <x:v>Cushion</x:v>
      </x:c>
      <x:c r="C909" t="str">
        <x:v>E</x:v>
      </x:c>
      <x:c r="D909" t="str">
        <x:v>VVS2</x:v>
      </x:c>
      <x:c r="E909" s="36" t="n">
        <x:v>13500</x:v>
      </x:c>
      <x:c r="F909" s="36" t="n">
        <x:v>6880</x:v>
      </x:c>
      <x:c r="G909" s="42" t="n">
        <x:v>1.4757614757614759</x:v>
      </x:c>
      <x:c r="H909" s="36" t="n">
        <x:f>E909*G909</x:f>
        <x:v>19922.779922779926</x:v>
      </x:c>
      <x:c r="I909" s="36" t="n">
        <x:f>IFERROR(H909/A909,0)</x:f>
        <x:v>9961.389961389963</x:v>
      </x:c>
      <x:c r="J909" s="67" t="str">
        <x:v>Modeled from live base + Sep-2026 quality ratio</x:v>
      </x:c>
      <x:c r="K909" s="67" t="str">
        <x:v>https://www.stonealgo.com/diamond-prices/</x:v>
      </x:c>
      <x:c r="L909" s="67" t="str">
        <x:v>https://www.pricescope.com/blog/natural-diamond-prices-september-2026</x:v>
      </x:c>
    </x:row>
    <x:row r="910">
      <x:c r="A910" t="n">
        <x:v>2</x:v>
      </x:c>
      <x:c r="B910" t="str">
        <x:v>Cushion</x:v>
      </x:c>
      <x:c r="C910" t="str">
        <x:v>E</x:v>
      </x:c>
      <x:c r="D910" t="str">
        <x:v>VS1</x:v>
      </x:c>
      <x:c r="E910" s="36" t="n">
        <x:v>13500</x:v>
      </x:c>
      <x:c r="F910" s="36" t="n">
        <x:v>6307</x:v>
      </x:c>
      <x:c r="G910" s="42" t="n">
        <x:v>1.352852852852853</x:v>
      </x:c>
      <x:c r="H910" s="36" t="n">
        <x:f>E910*G910</x:f>
        <x:v>18263.513513513513</x:v>
      </x:c>
      <x:c r="I910" s="36" t="n">
        <x:f>IFERROR(H910/A910,0)</x:f>
        <x:v>9131.756756756757</x:v>
      </x:c>
      <x:c r="J910" s="67" t="str">
        <x:v>Modeled from live base + Sep-2026 quality ratio</x:v>
      </x:c>
      <x:c r="K910" s="67" t="str">
        <x:v>https://www.stonealgo.com/diamond-prices/</x:v>
      </x:c>
      <x:c r="L910" s="67" t="str">
        <x:v>https://www.pricescope.com/blog/natural-diamond-prices-september-2026</x:v>
      </x:c>
    </x:row>
    <x:row r="911">
      <x:c r="A911" t="n">
        <x:v>2</x:v>
      </x:c>
      <x:c r="B911" t="str">
        <x:v>Cushion</x:v>
      </x:c>
      <x:c r="C911" t="str">
        <x:v>E</x:v>
      </x:c>
      <x:c r="D911" t="str">
        <x:v>VS2</x:v>
      </x:c>
      <x:c r="E911" s="36" t="n">
        <x:v>13500</x:v>
      </x:c>
      <x:c r="F911" s="36" t="n">
        <x:v>5249</x:v>
      </x:c>
      <x:c r="G911" s="42" t="n">
        <x:v>1.125911625911626</x:v>
      </x:c>
      <x:c r="H911" s="36" t="n">
        <x:f>E911*G911</x:f>
        <x:v>15199.80694980695</x:v>
      </x:c>
      <x:c r="I911" s="36" t="n">
        <x:f>IFERROR(H911/A911,0)</x:f>
        <x:v>7599.903474903475</x:v>
      </x:c>
      <x:c r="J911" s="67" t="str">
        <x:v>Modeled from live base + Sep-2026 quality ratio</x:v>
      </x:c>
      <x:c r="K911" s="67" t="str">
        <x:v>https://www.stonealgo.com/diamond-prices/</x:v>
      </x:c>
      <x:c r="L911" s="67" t="str">
        <x:v>https://www.pricescope.com/blog/natural-diamond-prices-september-2026</x:v>
      </x:c>
    </x:row>
    <x:row r="912">
      <x:c r="A912" t="n">
        <x:v>2</x:v>
      </x:c>
      <x:c r="B912" t="str">
        <x:v>Cushion</x:v>
      </x:c>
      <x:c r="C912" t="str">
        <x:v>E</x:v>
      </x:c>
      <x:c r="D912" t="str">
        <x:v>SI1</x:v>
      </x:c>
      <x:c r="E912" s="36" t="n">
        <x:v>13500</x:v>
      </x:c>
      <x:c r="F912" s="36" t="n">
        <x:v>3551</x:v>
      </x:c>
      <x:c r="G912" s="42" t="n">
        <x:v>0.7616902616902617</x:v>
      </x:c>
      <x:c r="H912" s="36" t="n">
        <x:f>E912*G912</x:f>
        <x:v>10282.818532818532</x:v>
      </x:c>
      <x:c r="I912" s="36" t="n">
        <x:f>IFERROR(H912/A912,0)</x:f>
        <x:v>5141.409266409266</x:v>
      </x:c>
      <x:c r="J912" s="67" t="str">
        <x:v>Modeled from live base + Sep-2026 quality ratio</x:v>
      </x:c>
      <x:c r="K912" s="67" t="str">
        <x:v>https://www.stonealgo.com/diamond-prices/</x:v>
      </x:c>
      <x:c r="L912" s="67" t="str">
        <x:v>https://www.pricescope.com/blog/natural-diamond-prices-september-2026</x:v>
      </x:c>
    </x:row>
    <x:row r="913">
      <x:c r="A913" t="n">
        <x:v>2</x:v>
      </x:c>
      <x:c r="B913" t="str">
        <x:v>Cushion</x:v>
      </x:c>
      <x:c r="C913" t="str">
        <x:v>E</x:v>
      </x:c>
      <x:c r="D913" t="str">
        <x:v>SI2</x:v>
      </x:c>
      <x:c r="E913" s="36" t="n">
        <x:v>13500</x:v>
      </x:c>
      <x:c r="F913" s="36" t="n">
        <x:v>2993</x:v>
      </x:c>
      <x:c r="G913" s="42" t="n">
        <x:v>0.641999141999142</x:v>
      </x:c>
      <x:c r="H913" s="36" t="n">
        <x:f>E913*G913</x:f>
        <x:v>8666.988416988417</x:v>
      </x:c>
      <x:c r="I913" s="36" t="n">
        <x:f>IFERROR(H913/A913,0)</x:f>
        <x:v>4333.494208494209</x:v>
      </x:c>
      <x:c r="J913" s="67" t="str">
        <x:v>Modeled from live base + Sep-2026 quality ratio</x:v>
      </x:c>
      <x:c r="K913" s="67" t="str">
        <x:v>https://www.stonealgo.com/diamond-prices/</x:v>
      </x:c>
      <x:c r="L913" s="67" t="str">
        <x:v>https://www.pricescope.com/blog/natural-diamond-prices-september-2026</x:v>
      </x:c>
    </x:row>
    <x:row r="914">
      <x:c r="A914" t="n">
        <x:v>2</x:v>
      </x:c>
      <x:c r="B914" t="str">
        <x:v>Cushion</x:v>
      </x:c>
      <x:c r="C914" t="str">
        <x:v>F</x:v>
      </x:c>
      <x:c r="D914" t="str">
        <x:v>FL</x:v>
      </x:c>
      <x:c r="E914" s="36" t="n">
        <x:v>13500</x:v>
      </x:c>
      <x:c r="F914" s="36" t="n">
        <x:v>6830</x:v>
      </x:c>
      <x:c r="G914" s="42" t="n">
        <x:v>1.4650364650364651</x:v>
      </x:c>
      <x:c r="H914" s="36" t="n">
        <x:f>E914*G914</x:f>
        <x:v>19777.992277992278</x:v>
      </x:c>
      <x:c r="I914" s="36" t="n">
        <x:f>IFERROR(H914/A914,0)</x:f>
        <x:v>9888.996138996139</x:v>
      </x:c>
      <x:c r="J914" s="67" t="str">
        <x:v>Modeled from live base + Sep-2026 quality ratio</x:v>
      </x:c>
      <x:c r="K914" s="67" t="str">
        <x:v>https://www.stonealgo.com/diamond-prices/</x:v>
      </x:c>
      <x:c r="L914" s="67" t="str">
        <x:v>https://www.pricescope.com/blog/natural-diamond-prices-september-2026</x:v>
      </x:c>
    </x:row>
    <x:row r="915">
      <x:c r="A915" t="n">
        <x:v>2</x:v>
      </x:c>
      <x:c r="B915" t="str">
        <x:v>Cushion</x:v>
      </x:c>
      <x:c r="C915" t="str">
        <x:v>F</x:v>
      </x:c>
      <x:c r="D915" t="str">
        <x:v>IF</x:v>
      </x:c>
      <x:c r="E915" s="36" t="n">
        <x:v>13500</x:v>
      </x:c>
      <x:c r="F915" s="36" t="n">
        <x:v>7302</x:v>
      </x:c>
      <x:c r="G915" s="42" t="n">
        <x:v>1.5662805662805663</x:v>
      </x:c>
      <x:c r="H915" s="36" t="n">
        <x:f>E915*G915</x:f>
        <x:v>21144.787644787644</x:v>
      </x:c>
      <x:c r="I915" s="36" t="n">
        <x:f>IFERROR(H915/A915,0)</x:f>
        <x:v>10572.393822393822</x:v>
      </x:c>
      <x:c r="J915" s="67" t="str">
        <x:v>Modeled from live base + Sep-2026 quality ratio</x:v>
      </x:c>
      <x:c r="K915" s="67" t="str">
        <x:v>https://www.stonealgo.com/diamond-prices/</x:v>
      </x:c>
      <x:c r="L915" s="67" t="str">
        <x:v>https://www.pricescope.com/blog/natural-diamond-prices-september-2026</x:v>
      </x:c>
    </x:row>
    <x:row r="916">
      <x:c r="A916" t="n">
        <x:v>2</x:v>
      </x:c>
      <x:c r="B916" t="str">
        <x:v>Cushion</x:v>
      </x:c>
      <x:c r="C916" t="str">
        <x:v>F</x:v>
      </x:c>
      <x:c r="D916" t="str">
        <x:v>VVS1</x:v>
      </x:c>
      <x:c r="E916" s="36" t="n">
        <x:v>13500</x:v>
      </x:c>
      <x:c r="F916" s="36" t="n">
        <x:v>7542</x:v>
      </x:c>
      <x:c r="G916" s="42" t="n">
        <x:v>1.6177606177606179</x:v>
      </x:c>
      <x:c r="H916" s="36" t="n">
        <x:f>E916*G916</x:f>
        <x:v>21839.76833976834</x:v>
      </x:c>
      <x:c r="I916" s="36" t="n">
        <x:f>IFERROR(H916/A916,0)</x:f>
        <x:v>10919.88416988417</x:v>
      </x:c>
      <x:c r="J916" s="67" t="str">
        <x:v>Modeled from live base + Sep-2026 quality ratio</x:v>
      </x:c>
      <x:c r="K916" s="67" t="str">
        <x:v>https://www.stonealgo.com/diamond-prices/</x:v>
      </x:c>
      <x:c r="L916" s="67" t="str">
        <x:v>https://www.pricescope.com/blog/natural-diamond-prices-september-2026</x:v>
      </x:c>
    </x:row>
    <x:row r="917">
      <x:c r="A917" t="n">
        <x:v>2</x:v>
      </x:c>
      <x:c r="B917" t="str">
        <x:v>Cushion</x:v>
      </x:c>
      <x:c r="C917" t="str">
        <x:v>F</x:v>
      </x:c>
      <x:c r="D917" t="str">
        <x:v>VVS2</x:v>
      </x:c>
      <x:c r="E917" s="36" t="n">
        <x:v>13500</x:v>
      </x:c>
      <x:c r="F917" s="36" t="n">
        <x:v>6352</x:v>
      </x:c>
      <x:c r="G917" s="42" t="n">
        <x:v>1.3625053625053625</x:v>
      </x:c>
      <x:c r="H917" s="36" t="n">
        <x:f>E917*G917</x:f>
        <x:v>18393.822393822393</x:v>
      </x:c>
      <x:c r="I917" s="36" t="n">
        <x:f>IFERROR(H917/A917,0)</x:f>
        <x:v>9196.911196911196</x:v>
      </x:c>
      <x:c r="J917" s="67" t="str">
        <x:v>Modeled from live base + Sep-2026 quality ratio</x:v>
      </x:c>
      <x:c r="K917" s="67" t="str">
        <x:v>https://www.stonealgo.com/diamond-prices/</x:v>
      </x:c>
      <x:c r="L917" s="67" t="str">
        <x:v>https://www.pricescope.com/blog/natural-diamond-prices-september-2026</x:v>
      </x:c>
    </x:row>
    <x:row r="918">
      <x:c r="A918" t="n">
        <x:v>2</x:v>
      </x:c>
      <x:c r="B918" t="str">
        <x:v>Cushion</x:v>
      </x:c>
      <x:c r="C918" t="str">
        <x:v>F</x:v>
      </x:c>
      <x:c r="D918" t="str">
        <x:v>VS1</x:v>
      </x:c>
      <x:c r="E918" s="36" t="n">
        <x:v>13500</x:v>
      </x:c>
      <x:c r="F918" s="36" t="n">
        <x:v>5647</x:v>
      </x:c>
      <x:c r="G918" s="42" t="n">
        <x:v>1.2112827112827114</x:v>
      </x:c>
      <x:c r="H918" s="36" t="n">
        <x:f>E918*G918</x:f>
        <x:v>16352.316602316603</x:v>
      </x:c>
      <x:c r="I918" s="36" t="n">
        <x:f>IFERROR(H918/A918,0)</x:f>
        <x:v>8176.158301158302</x:v>
      </x:c>
      <x:c r="J918" s="67" t="str">
        <x:v>Modeled from live base + Sep-2026 quality ratio</x:v>
      </x:c>
      <x:c r="K918" s="67" t="str">
        <x:v>https://www.stonealgo.com/diamond-prices/</x:v>
      </x:c>
      <x:c r="L918" s="67" t="str">
        <x:v>https://www.pricescope.com/blog/natural-diamond-prices-september-2026</x:v>
      </x:c>
    </x:row>
    <x:row r="919">
      <x:c r="A919" t="n">
        <x:v>2</x:v>
      </x:c>
      <x:c r="B919" t="str">
        <x:v>Cushion</x:v>
      </x:c>
      <x:c r="C919" t="str">
        <x:v>F</x:v>
      </x:c>
      <x:c r="D919" t="str">
        <x:v>VS2</x:v>
      </x:c>
      <x:c r="E919" s="36" t="n">
        <x:v>13500</x:v>
      </x:c>
      <x:c r="F919" s="36" t="n">
        <x:v>4730</x:v>
      </x:c>
      <x:c r="G919" s="42" t="n">
        <x:v>1.0145860145860146</x:v>
      </x:c>
      <x:c r="H919" s="36" t="n">
        <x:f>E919*G919</x:f>
        <x:v>13696.911196911196</x:v>
      </x:c>
      <x:c r="I919" s="36" t="n">
        <x:f>IFERROR(H919/A919,0)</x:f>
        <x:v>6848.455598455598</x:v>
      </x:c>
      <x:c r="J919" s="67" t="str">
        <x:v>Modeled from live base + Sep-2026 quality ratio</x:v>
      </x:c>
      <x:c r="K919" s="67" t="str">
        <x:v>https://www.stonealgo.com/diamond-prices/</x:v>
      </x:c>
      <x:c r="L919" s="67" t="str">
        <x:v>https://www.pricescope.com/blog/natural-diamond-prices-september-2026</x:v>
      </x:c>
    </x:row>
    <x:row r="920">
      <x:c r="A920" t="n">
        <x:v>2</x:v>
      </x:c>
      <x:c r="B920" t="str">
        <x:v>Cushion</x:v>
      </x:c>
      <x:c r="C920" t="str">
        <x:v>F</x:v>
      </x:c>
      <x:c r="D920" t="str">
        <x:v>SI1</x:v>
      </x:c>
      <x:c r="E920" s="36" t="n">
        <x:v>13500</x:v>
      </x:c>
      <x:c r="F920" s="36" t="n">
        <x:v>3331</x:v>
      </x:c>
      <x:c r="G920" s="42" t="n">
        <x:v>0.7145002145002145</x:v>
      </x:c>
      <x:c r="H920" s="36" t="n">
        <x:f>E920*G920</x:f>
        <x:v>9645.752895752896</x:v>
      </x:c>
      <x:c r="I920" s="36" t="n">
        <x:f>IFERROR(H920/A920,0)</x:f>
        <x:v>4822.876447876448</x:v>
      </x:c>
      <x:c r="J920" s="67" t="str">
        <x:v>Modeled from live base + Sep-2026 quality ratio</x:v>
      </x:c>
      <x:c r="K920" s="67" t="str">
        <x:v>https://www.stonealgo.com/diamond-prices/</x:v>
      </x:c>
      <x:c r="L920" s="67" t="str">
        <x:v>https://www.pricescope.com/blog/natural-diamond-prices-september-2026</x:v>
      </x:c>
    </x:row>
    <x:row r="921">
      <x:c r="A921" t="n">
        <x:v>2</x:v>
      </x:c>
      <x:c r="B921" t="str">
        <x:v>Cushion</x:v>
      </x:c>
      <x:c r="C921" t="str">
        <x:v>F</x:v>
      </x:c>
      <x:c r="D921" t="str">
        <x:v>SI2</x:v>
      </x:c>
      <x:c r="E921" s="36" t="n">
        <x:v>13500</x:v>
      </x:c>
      <x:c r="F921" s="36" t="n">
        <x:v>2733</x:v>
      </x:c>
      <x:c r="G921" s="42" t="n">
        <x:v>0.5862290862290862</x:v>
      </x:c>
      <x:c r="H921" s="36" t="n">
        <x:f>E921*G921</x:f>
        <x:v>7914.092664092664</x:v>
      </x:c>
      <x:c r="I921" s="36" t="n">
        <x:f>IFERROR(H921/A921,0)</x:f>
        <x:v>3957.046332046332</x:v>
      </x:c>
      <x:c r="J921" s="67" t="str">
        <x:v>Modeled from live base + Sep-2026 quality ratio</x:v>
      </x:c>
      <x:c r="K921" s="67" t="str">
        <x:v>https://www.stonealgo.com/diamond-prices/</x:v>
      </x:c>
      <x:c r="L921" s="67" t="str">
        <x:v>https://www.pricescope.com/blog/natural-diamond-prices-september-2026</x:v>
      </x:c>
    </x:row>
    <x:row r="922">
      <x:c r="A922" t="n">
        <x:v>2</x:v>
      </x:c>
      <x:c r="B922" t="str">
        <x:v>Cushion</x:v>
      </x:c>
      <x:c r="C922" t="str">
        <x:v>G</x:v>
      </x:c>
      <x:c r="D922" t="str">
        <x:v>FL</x:v>
      </x:c>
      <x:c r="E922" s="36" t="n">
        <x:v>13500</x:v>
      </x:c>
      <x:c r="F922" s="36" t="n">
        <x:v>5905</x:v>
      </x:c>
      <x:c r="G922" s="42" t="n">
        <x:v>1.2666237666237665</x:v>
      </x:c>
      <x:c r="H922" s="36" t="n">
        <x:f>E922*G922</x:f>
        <x:v>17099.420849420847</x:v>
      </x:c>
      <x:c r="I922" s="36" t="n">
        <x:f>IFERROR(H922/A922,0)</x:f>
        <x:v>8549.710424710423</x:v>
      </x:c>
      <x:c r="J922" s="67" t="str">
        <x:v>Modeled from live base + Sep-2026 quality ratio</x:v>
      </x:c>
      <x:c r="K922" s="67" t="str">
        <x:v>https://www.stonealgo.com/diamond-prices/</x:v>
      </x:c>
      <x:c r="L922" s="67" t="str">
        <x:v>https://www.pricescope.com/blog/natural-diamond-prices-september-2026</x:v>
      </x:c>
    </x:row>
    <x:row r="923">
      <x:c r="A923" t="n">
        <x:v>2</x:v>
      </x:c>
      <x:c r="B923" t="str">
        <x:v>Cushion</x:v>
      </x:c>
      <x:c r="C923" t="str">
        <x:v>G</x:v>
      </x:c>
      <x:c r="D923" t="str">
        <x:v>IF</x:v>
      </x:c>
      <x:c r="E923" s="36" t="n">
        <x:v>13500</x:v>
      </x:c>
      <x:c r="F923" s="36" t="n">
        <x:v>5601</x:v>
      </x:c>
      <x:c r="G923" s="42" t="n">
        <x:v>1.2014157014157014</x:v>
      </x:c>
      <x:c r="H923" s="36" t="n">
        <x:f>E923*G923</x:f>
        <x:v>16219.11196911197</x:v>
      </x:c>
      <x:c r="I923" s="36" t="n">
        <x:f>IFERROR(H923/A923,0)</x:f>
        <x:v>8109.555984555985</x:v>
      </x:c>
      <x:c r="J923" s="67" t="str">
        <x:v>Modeled from live base + Sep-2026 quality ratio</x:v>
      </x:c>
      <x:c r="K923" s="67" t="str">
        <x:v>https://www.stonealgo.com/diamond-prices/</x:v>
      </x:c>
      <x:c r="L923" s="67" t="str">
        <x:v>https://www.pricescope.com/blog/natural-diamond-prices-september-2026</x:v>
      </x:c>
    </x:row>
    <x:row r="924">
      <x:c r="A924" t="n">
        <x:v>2</x:v>
      </x:c>
      <x:c r="B924" t="str">
        <x:v>Cushion</x:v>
      </x:c>
      <x:c r="C924" t="str">
        <x:v>G</x:v>
      </x:c>
      <x:c r="D924" t="str">
        <x:v>VVS1</x:v>
      </x:c>
      <x:c r="E924" s="36" t="n">
        <x:v>13500</x:v>
      </x:c>
      <x:c r="F924" s="36" t="n">
        <x:v>5124</x:v>
      </x:c>
      <x:c r="G924" s="42" t="n">
        <x:v>1.0990990990990992</x:v>
      </x:c>
      <x:c r="H924" s="36" t="n">
        <x:f>E924*G924</x:f>
        <x:v>14837.837837837838</x:v>
      </x:c>
      <x:c r="I924" s="36" t="n">
        <x:f>IFERROR(H924/A924,0)</x:f>
        <x:v>7418.918918918919</x:v>
      </x:c>
      <x:c r="J924" s="67" t="str">
        <x:v>Modeled from live base + Sep-2026 quality ratio</x:v>
      </x:c>
      <x:c r="K924" s="67" t="str">
        <x:v>https://www.stonealgo.com/diamond-prices/</x:v>
      </x:c>
      <x:c r="L924" s="67" t="str">
        <x:v>https://www.pricescope.com/blog/natural-diamond-prices-september-2026</x:v>
      </x:c>
    </x:row>
    <x:row r="925">
      <x:c r="A925" t="n">
        <x:v>2</x:v>
      </x:c>
      <x:c r="B925" t="str">
        <x:v>Cushion</x:v>
      </x:c>
      <x:c r="C925" t="str">
        <x:v>G</x:v>
      </x:c>
      <x:c r="D925" t="str">
        <x:v>VVS2</x:v>
      </x:c>
      <x:c r="E925" s="36" t="n">
        <x:v>13500</x:v>
      </x:c>
      <x:c r="F925" s="36" t="n">
        <x:v>4962</x:v>
      </x:c>
      <x:c r="G925" s="42" t="n">
        <x:v>1.0643500643500643</x:v>
      </x:c>
      <x:c r="H925" s="36" t="n">
        <x:f>E925*G925</x:f>
        <x:v>14368.725868725867</x:v>
      </x:c>
      <x:c r="I925" s="36" t="n">
        <x:f>IFERROR(H925/A925,0)</x:f>
        <x:v>7184.362934362934</x:v>
      </x:c>
      <x:c r="J925" s="67" t="str">
        <x:v>Modeled from live base + Sep-2026 quality ratio</x:v>
      </x:c>
      <x:c r="K925" s="67" t="str">
        <x:v>https://www.stonealgo.com/diamond-prices/</x:v>
      </x:c>
      <x:c r="L925" s="67" t="str">
        <x:v>https://www.pricescope.com/blog/natural-diamond-prices-september-2026</x:v>
      </x:c>
    </x:row>
    <x:row r="926">
      <x:c r="A926" t="n">
        <x:v>2</x:v>
      </x:c>
      <x:c r="B926" t="str">
        <x:v>Cushion</x:v>
      </x:c>
      <x:c r="C926" t="str">
        <x:v>G</x:v>
      </x:c>
      <x:c r="D926" t="str">
        <x:v>VS1</x:v>
      </x:c>
      <x:c r="E926" s="36" t="n">
        <x:v>13500</x:v>
      </x:c>
      <x:c r="F926" s="36" t="n">
        <x:v>4615</x:v>
      </x:c>
      <x:c r="G926" s="42" t="n">
        <x:v>0.98991848991849</x:v>
      </x:c>
      <x:c r="H926" s="36" t="n">
        <x:f>E926*G926</x:f>
        <x:v>13363.899613899615</x:v>
      </x:c>
      <x:c r="I926" s="36" t="n">
        <x:f>IFERROR(H926/A926,0)</x:f>
        <x:v>6681.949806949808</x:v>
      </x:c>
      <x:c r="J926" s="67" t="str">
        <x:v>Modeled from live base + Sep-2026 quality ratio</x:v>
      </x:c>
      <x:c r="K926" s="67" t="str">
        <x:v>https://www.stonealgo.com/diamond-prices/</x:v>
      </x:c>
      <x:c r="L926" s="67" t="str">
        <x:v>https://www.pricescope.com/blog/natural-diamond-prices-september-2026</x:v>
      </x:c>
    </x:row>
    <x:row r="927">
      <x:c r="A927" t="n">
        <x:v>2</x:v>
      </x:c>
      <x:c r="B927" t="str">
        <x:v>Cushion</x:v>
      </x:c>
      <x:c r="C927" t="str">
        <x:v>G</x:v>
      </x:c>
      <x:c r="D927" t="str">
        <x:v>VS2</x:v>
      </x:c>
      <x:c r="E927" s="36" t="n">
        <x:v>13500</x:v>
      </x:c>
      <x:c r="F927" s="36" t="n">
        <x:v>4585</x:v>
      </x:c>
      <x:c r="G927" s="42" t="n">
        <x:v>0.9834834834834835</x:v>
      </x:c>
      <x:c r="H927" s="36" t="n">
        <x:f>E927*G927</x:f>
        <x:v>13277.027027027027</x:v>
      </x:c>
      <x:c r="I927" s="36" t="n">
        <x:f>IFERROR(H927/A927,0)</x:f>
        <x:v>6638.513513513513</x:v>
      </x:c>
      <x:c r="J927" s="67" t="str">
        <x:v>Modeled from live base + Sep-2026 quality ratio</x:v>
      </x:c>
      <x:c r="K927" s="67" t="str">
        <x:v>https://www.stonealgo.com/diamond-prices/</x:v>
      </x:c>
      <x:c r="L927" s="67" t="str">
        <x:v>https://www.pricescope.com/blog/natural-diamond-prices-september-2026</x:v>
      </x:c>
    </x:row>
    <x:row r="928">
      <x:c r="A928" t="n">
        <x:v>2</x:v>
      </x:c>
      <x:c r="B928" t="str">
        <x:v>Cushion</x:v>
      </x:c>
      <x:c r="C928" t="str">
        <x:v>G</x:v>
      </x:c>
      <x:c r="D928" t="str">
        <x:v>SI1</x:v>
      </x:c>
      <x:c r="E928" s="36" t="n">
        <x:v>13500</x:v>
      </x:c>
      <x:c r="F928" s="36" t="n">
        <x:v>3664</x:v>
      </x:c>
      <x:c r="G928" s="42" t="n">
        <x:v>0.7859287859287859</x:v>
      </x:c>
      <x:c r="H928" s="36" t="n">
        <x:f>E928*G928</x:f>
        <x:v>10610.03861003861</x:v>
      </x:c>
      <x:c r="I928" s="36" t="n">
        <x:f>IFERROR(H928/A928,0)</x:f>
        <x:v>5305.019305019305</x:v>
      </x:c>
      <x:c r="J928" s="67" t="str">
        <x:v>Modeled from live base + Sep-2026 quality ratio</x:v>
      </x:c>
      <x:c r="K928" s="67" t="str">
        <x:v>https://www.stonealgo.com/diamond-prices/</x:v>
      </x:c>
      <x:c r="L928" s="67" t="str">
        <x:v>https://www.pricescope.com/blog/natural-diamond-prices-september-2026</x:v>
      </x:c>
    </x:row>
    <x:row r="929">
      <x:c r="A929" t="n">
        <x:v>2</x:v>
      </x:c>
      <x:c r="B929" t="str">
        <x:v>Cushion</x:v>
      </x:c>
      <x:c r="C929" t="str">
        <x:v>G</x:v>
      </x:c>
      <x:c r="D929" t="str">
        <x:v>SI2</x:v>
      </x:c>
      <x:c r="E929" s="36" t="n">
        <x:v>13500</x:v>
      </x:c>
      <x:c r="F929" s="36" t="n">
        <x:v>2537</x:v>
      </x:c>
      <x:c r="G929" s="42" t="n">
        <x:v>0.5441870441870442</x:v>
      </x:c>
      <x:c r="H929" s="36" t="n">
        <x:f>E929*G929</x:f>
        <x:v>7346.525096525097</x:v>
      </x:c>
      <x:c r="I929" s="36" t="n">
        <x:f>IFERROR(H929/A929,0)</x:f>
        <x:v>3673.2625482625485</x:v>
      </x:c>
      <x:c r="J929" s="67" t="str">
        <x:v>Modeled from live base + Sep-2026 quality ratio</x:v>
      </x:c>
      <x:c r="K929" s="67" t="str">
        <x:v>https://www.stonealgo.com/diamond-prices/</x:v>
      </x:c>
      <x:c r="L929" s="67" t="str">
        <x:v>https://www.pricescope.com/blog/natural-diamond-prices-september-2026</x:v>
      </x:c>
    </x:row>
    <x:row r="930">
      <x:c r="A930" t="n">
        <x:v>2</x:v>
      </x:c>
      <x:c r="B930" t="str">
        <x:v>Cushion</x:v>
      </x:c>
      <x:c r="C930" t="str">
        <x:v>H</x:v>
      </x:c>
      <x:c r="D930" t="str">
        <x:v>FL</x:v>
      </x:c>
      <x:c r="E930" s="36" t="n">
        <x:v>13500</x:v>
      </x:c>
      <x:c r="F930" s="36" t="n">
        <x:v>4563</x:v>
      </x:c>
      <x:c r="G930" s="42" t="n">
        <x:v>0.9787644787644788</x:v>
      </x:c>
      <x:c r="H930" s="36" t="n">
        <x:f>E930*G930</x:f>
        <x:v>13213.320463320464</x:v>
      </x:c>
      <x:c r="I930" s="36" t="n">
        <x:f>IFERROR(H930/A930,0)</x:f>
        <x:v>6606.660231660232</x:v>
      </x:c>
      <x:c r="J930" s="67" t="str">
        <x:v>Modeled from live base + Sep-2026 quality ratio</x:v>
      </x:c>
      <x:c r="K930" s="67" t="str">
        <x:v>https://www.stonealgo.com/diamond-prices/</x:v>
      </x:c>
      <x:c r="L930" s="67" t="str">
        <x:v>https://www.pricescope.com/blog/natural-diamond-prices-september-2026</x:v>
      </x:c>
    </x:row>
    <x:row r="931">
      <x:c r="A931" t="n">
        <x:v>2</x:v>
      </x:c>
      <x:c r="B931" t="str">
        <x:v>Cushion</x:v>
      </x:c>
      <x:c r="C931" t="str">
        <x:v>H</x:v>
      </x:c>
      <x:c r="D931" t="str">
        <x:v>IF</x:v>
      </x:c>
      <x:c r="E931" s="36" t="n">
        <x:v>13500</x:v>
      </x:c>
      <x:c r="F931" s="36" t="n">
        <x:v>4809</x:v>
      </x:c>
      <x:c r="G931" s="42" t="n">
        <x:v>1.0315315315315314</x:v>
      </x:c>
      <x:c r="H931" s="36" t="n">
        <x:f>E931*G931</x:f>
        <x:v>13925.675675675675</x:v>
      </x:c>
      <x:c r="I931" s="36" t="n">
        <x:f>IFERROR(H931/A931,0)</x:f>
        <x:v>6962.8378378378375</x:v>
      </x:c>
      <x:c r="J931" s="67" t="str">
        <x:v>Modeled from live base + Sep-2026 quality ratio</x:v>
      </x:c>
      <x:c r="K931" s="67" t="str">
        <x:v>https://www.stonealgo.com/diamond-prices/</x:v>
      </x:c>
      <x:c r="L931" s="67" t="str">
        <x:v>https://www.pricescope.com/blog/natural-diamond-prices-september-2026</x:v>
      </x:c>
    </x:row>
    <x:row r="932">
      <x:c r="A932" t="n">
        <x:v>2</x:v>
      </x:c>
      <x:c r="B932" t="str">
        <x:v>Cushion</x:v>
      </x:c>
      <x:c r="C932" t="str">
        <x:v>H</x:v>
      </x:c>
      <x:c r="D932" t="str">
        <x:v>VVS1</x:v>
      </x:c>
      <x:c r="E932" s="36" t="n">
        <x:v>13500</x:v>
      </x:c>
      <x:c r="F932" s="36" t="n">
        <x:v>4911</x:v>
      </x:c>
      <x:c r="G932" s="42" t="n">
        <x:v>1.0534105534105533</x:v>
      </x:c>
      <x:c r="H932" s="36" t="n">
        <x:f>E932*G932</x:f>
        <x:v>14221.04247104247</x:v>
      </x:c>
      <x:c r="I932" s="36" t="n">
        <x:f>IFERROR(H932/A932,0)</x:f>
        <x:v>7110.521235521235</x:v>
      </x:c>
      <x:c r="J932" s="67" t="str">
        <x:v>Modeled from live base + Sep-2026 quality ratio</x:v>
      </x:c>
      <x:c r="K932" s="67" t="str">
        <x:v>https://www.stonealgo.com/diamond-prices/</x:v>
      </x:c>
      <x:c r="L932" s="67" t="str">
        <x:v>https://www.pricescope.com/blog/natural-diamond-prices-september-2026</x:v>
      </x:c>
    </x:row>
    <x:row r="933">
      <x:c r="A933" t="n">
        <x:v>2</x:v>
      </x:c>
      <x:c r="B933" t="str">
        <x:v>Cushion</x:v>
      </x:c>
      <x:c r="C933" t="str">
        <x:v>H</x:v>
      </x:c>
      <x:c r="D933" t="str">
        <x:v>VVS2</x:v>
      </x:c>
      <x:c r="E933" s="36" t="n">
        <x:v>13500</x:v>
      </x:c>
      <x:c r="F933" s="36" t="n">
        <x:v>4046</x:v>
      </x:c>
      <x:c r="G933" s="42" t="n">
        <x:v>0.8678678678678678</x:v>
      </x:c>
      <x:c r="H933" s="36" t="n">
        <x:f>E933*G933</x:f>
        <x:v>11716.216216216217</x:v>
      </x:c>
      <x:c r="I933" s="36" t="n">
        <x:f>IFERROR(H933/A933,0)</x:f>
        <x:v>5858.108108108108</x:v>
      </x:c>
      <x:c r="J933" s="67" t="str">
        <x:v>Modeled from live base + Sep-2026 quality ratio</x:v>
      </x:c>
      <x:c r="K933" s="67" t="str">
        <x:v>https://www.stonealgo.com/diamond-prices/</x:v>
      </x:c>
      <x:c r="L933" s="67" t="str">
        <x:v>https://www.pricescope.com/blog/natural-diamond-prices-september-2026</x:v>
      </x:c>
    </x:row>
    <x:row r="934">
      <x:c r="A934" t="n">
        <x:v>2</x:v>
      </x:c>
      <x:c r="B934" t="str">
        <x:v>Cushion</x:v>
      </x:c>
      <x:c r="C934" t="str">
        <x:v>H</x:v>
      </x:c>
      <x:c r="D934" t="str">
        <x:v>VS1</x:v>
      </x:c>
      <x:c r="E934" s="36" t="n">
        <x:v>13500</x:v>
      </x:c>
      <x:c r="F934" s="36" t="n">
        <x:v>3893</x:v>
      </x:c>
      <x:c r="G934" s="42" t="n">
        <x:v>0.8350493350493351</x:v>
      </x:c>
      <x:c r="H934" s="36" t="n">
        <x:f>E934*G934</x:f>
        <x:v>11273.166023166024</x:v>
      </x:c>
      <x:c r="I934" s="36" t="n">
        <x:f>IFERROR(H934/A934,0)</x:f>
        <x:v>5636.583011583012</x:v>
      </x:c>
      <x:c r="J934" s="67" t="str">
        <x:v>Modeled from live base + Sep-2026 quality ratio</x:v>
      </x:c>
      <x:c r="K934" s="67" t="str">
        <x:v>https://www.stonealgo.com/diamond-prices/</x:v>
      </x:c>
      <x:c r="L934" s="67" t="str">
        <x:v>https://www.pricescope.com/blog/natural-diamond-prices-september-2026</x:v>
      </x:c>
    </x:row>
    <x:row r="935">
      <x:c r="A935" t="n">
        <x:v>2</x:v>
      </x:c>
      <x:c r="B935" t="str">
        <x:v>Cushion</x:v>
      </x:c>
      <x:c r="C935" t="str">
        <x:v>H</x:v>
      </x:c>
      <x:c r="D935" t="str">
        <x:v>VS2</x:v>
      </x:c>
      <x:c r="E935" s="36" t="n">
        <x:v>13500</x:v>
      </x:c>
      <x:c r="F935" s="36" t="n">
        <x:v>3989</x:v>
      </x:c>
      <x:c r="G935" s="42" t="n">
        <x:v>0.8556413556413557</x:v>
      </x:c>
      <x:c r="H935" s="36" t="n">
        <x:f>E935*G935</x:f>
        <x:v>11551.158301158302</x:v>
      </x:c>
      <x:c r="I935" s="36" t="n">
        <x:f>IFERROR(H935/A935,0)</x:f>
        <x:v>5775.579150579151</x:v>
      </x:c>
      <x:c r="J935" s="67" t="str">
        <x:v>Modeled from live base + Sep-2026 quality ratio</x:v>
      </x:c>
      <x:c r="K935" s="67" t="str">
        <x:v>https://www.stonealgo.com/diamond-prices/</x:v>
      </x:c>
      <x:c r="L935" s="67" t="str">
        <x:v>https://www.pricescope.com/blog/natural-diamond-prices-september-2026</x:v>
      </x:c>
    </x:row>
    <x:row r="936">
      <x:c r="A936" t="n">
        <x:v>2</x:v>
      </x:c>
      <x:c r="B936" t="str">
        <x:v>Cushion</x:v>
      </x:c>
      <x:c r="C936" t="str">
        <x:v>H</x:v>
      </x:c>
      <x:c r="D936" t="str">
        <x:v>SI1</x:v>
      </x:c>
      <x:c r="E936" s="36" t="n">
        <x:v>13500</x:v>
      </x:c>
      <x:c r="F936" s="36" t="n">
        <x:v>2828</x:v>
      </x:c>
      <x:c r="G936" s="42" t="n">
        <x:v>0.6066066066066066</x:v>
      </x:c>
      <x:c r="H936" s="36" t="n">
        <x:f>E936*G936</x:f>
        <x:v>8189.189189189189</x:v>
      </x:c>
      <x:c r="I936" s="36" t="n">
        <x:f>IFERROR(H936/A936,0)</x:f>
        <x:v>4094.5945945945946</x:v>
      </x:c>
      <x:c r="J936" s="67" t="str">
        <x:v>Modeled from live base + Sep-2026 quality ratio</x:v>
      </x:c>
      <x:c r="K936" s="67" t="str">
        <x:v>https://www.stonealgo.com/diamond-prices/</x:v>
      </x:c>
      <x:c r="L936" s="67" t="str">
        <x:v>https://www.pricescope.com/blog/natural-diamond-prices-september-2026</x:v>
      </x:c>
    </x:row>
    <x:row r="937">
      <x:c r="A937" t="n">
        <x:v>2</x:v>
      </x:c>
      <x:c r="B937" t="str">
        <x:v>Cushion</x:v>
      </x:c>
      <x:c r="C937" t="str">
        <x:v>H</x:v>
      </x:c>
      <x:c r="D937" t="str">
        <x:v>SI2</x:v>
      </x:c>
      <x:c r="E937" s="36" t="n">
        <x:v>13500</x:v>
      </x:c>
      <x:c r="F937" s="36" t="n">
        <x:v>2328</x:v>
      </x:c>
      <x:c r="G937" s="42" t="n">
        <x:v>0.49935649935649934</x:v>
      </x:c>
      <x:c r="H937" s="36" t="n">
        <x:f>E937*G937</x:f>
        <x:v>6741.312741312741</x:v>
      </x:c>
      <x:c r="I937" s="36" t="n">
        <x:f>IFERROR(H937/A937,0)</x:f>
        <x:v>3370.6563706563707</x:v>
      </x:c>
      <x:c r="J937" s="67" t="str">
        <x:v>Modeled from live base + Sep-2026 quality ratio</x:v>
      </x:c>
      <x:c r="K937" s="67" t="str">
        <x:v>https://www.stonealgo.com/diamond-prices/</x:v>
      </x:c>
      <x:c r="L937" s="67" t="str">
        <x:v>https://www.pricescope.com/blog/natural-diamond-prices-september-2026</x:v>
      </x:c>
    </x:row>
    <x:row r="938">
      <x:c r="A938" t="n">
        <x:v>2</x:v>
      </x:c>
      <x:c r="B938" t="str">
        <x:v>Cushion</x:v>
      </x:c>
      <x:c r="C938" t="str">
        <x:v>I</x:v>
      </x:c>
      <x:c r="D938" t="str">
        <x:v>FL</x:v>
      </x:c>
      <x:c r="E938" s="36" t="n">
        <x:v>13500</x:v>
      </x:c>
      <x:c r="F938" s="36" t="n">
        <x:v>4623</x:v>
      </x:c>
      <x:c r="G938" s="42" t="n">
        <x:v>0.9916344916344917</x:v>
      </x:c>
      <x:c r="H938" s="36" t="n">
        <x:f>E938*G938</x:f>
        <x:v>13387.065637065638</x:v>
      </x:c>
      <x:c r="I938" s="36" t="n">
        <x:f>IFERROR(H938/A938,0)</x:f>
        <x:v>6693.532818532819</x:v>
      </x:c>
      <x:c r="J938" s="67" t="str">
        <x:v>Modeled from live base + Sep-2026 quality ratio</x:v>
      </x:c>
      <x:c r="K938" s="67" t="str">
        <x:v>https://www.stonealgo.com/diamond-prices/</x:v>
      </x:c>
      <x:c r="L938" s="67" t="str">
        <x:v>https://www.pricescope.com/blog/natural-diamond-prices-september-2026</x:v>
      </x:c>
    </x:row>
    <x:row r="939">
      <x:c r="A939" t="n">
        <x:v>2</x:v>
      </x:c>
      <x:c r="B939" t="str">
        <x:v>Cushion</x:v>
      </x:c>
      <x:c r="C939" t="str">
        <x:v>I</x:v>
      </x:c>
      <x:c r="D939" t="str">
        <x:v>IF</x:v>
      </x:c>
      <x:c r="E939" s="36" t="n">
        <x:v>13500</x:v>
      </x:c>
      <x:c r="F939" s="36" t="n">
        <x:v>4005</x:v>
      </x:c>
      <x:c r="G939" s="42" t="n">
        <x:v>0.859073359073359</x:v>
      </x:c>
      <x:c r="H939" s="36" t="n">
        <x:f>E939*G939</x:f>
        <x:v>11597.490347490348</x:v>
      </x:c>
      <x:c r="I939" s="36" t="n">
        <x:f>IFERROR(H939/A939,0)</x:f>
        <x:v>5798.745173745174</x:v>
      </x:c>
      <x:c r="J939" s="67" t="str">
        <x:v>Modeled from live base + Sep-2026 quality ratio</x:v>
      </x:c>
      <x:c r="K939" s="67" t="str">
        <x:v>https://www.stonealgo.com/diamond-prices/</x:v>
      </x:c>
      <x:c r="L939" s="67" t="str">
        <x:v>https://www.pricescope.com/blog/natural-diamond-prices-september-2026</x:v>
      </x:c>
    </x:row>
    <x:row r="940">
      <x:c r="A940" t="n">
        <x:v>2</x:v>
      </x:c>
      <x:c r="B940" t="str">
        <x:v>Cushion</x:v>
      </x:c>
      <x:c r="C940" t="str">
        <x:v>I</x:v>
      </x:c>
      <x:c r="D940" t="str">
        <x:v>VVS1</x:v>
      </x:c>
      <x:c r="E940" s="36" t="n">
        <x:v>13500</x:v>
      </x:c>
      <x:c r="F940" s="36" t="n">
        <x:v>3670</x:v>
      </x:c>
      <x:c r="G940" s="42" t="n">
        <x:v>0.7872157872157872</x:v>
      </x:c>
      <x:c r="H940" s="36" t="n">
        <x:f>E940*G940</x:f>
        <x:v>10627.413127413127</x:v>
      </x:c>
      <x:c r="I940" s="36" t="n">
        <x:f>IFERROR(H940/A940,0)</x:f>
        <x:v>5313.706563706563</x:v>
      </x:c>
      <x:c r="J940" s="67" t="str">
        <x:v>Modeled from live base + Sep-2026 quality ratio</x:v>
      </x:c>
      <x:c r="K940" s="67" t="str">
        <x:v>https://www.stonealgo.com/diamond-prices/</x:v>
      </x:c>
      <x:c r="L940" s="67" t="str">
        <x:v>https://www.pricescope.com/blog/natural-diamond-prices-september-2026</x:v>
      </x:c>
    </x:row>
    <x:row r="941">
      <x:c r="A941" t="n">
        <x:v>2</x:v>
      </x:c>
      <x:c r="B941" t="str">
        <x:v>Cushion</x:v>
      </x:c>
      <x:c r="C941" t="str">
        <x:v>I</x:v>
      </x:c>
      <x:c r="D941" t="str">
        <x:v>VVS2</x:v>
      </x:c>
      <x:c r="E941" s="36" t="n">
        <x:v>13500</x:v>
      </x:c>
      <x:c r="F941" s="36" t="n">
        <x:v>3447</x:v>
      </x:c>
      <x:c r="G941" s="42" t="n">
        <x:v>0.7393822393822393</x:v>
      </x:c>
      <x:c r="H941" s="36" t="n">
        <x:f>E941*G941</x:f>
        <x:v>9981.660231660231</x:v>
      </x:c>
      <x:c r="I941" s="36" t="n">
        <x:f>IFERROR(H941/A941,0)</x:f>
        <x:v>4990.830115830116</x:v>
      </x:c>
      <x:c r="J941" s="67" t="str">
        <x:v>Modeled from live base + Sep-2026 quality ratio</x:v>
      </x:c>
      <x:c r="K941" s="67" t="str">
        <x:v>https://www.stonealgo.com/diamond-prices/</x:v>
      </x:c>
      <x:c r="L941" s="67" t="str">
        <x:v>https://www.pricescope.com/blog/natural-diamond-prices-september-2026</x:v>
      </x:c>
    </x:row>
    <x:row r="942">
      <x:c r="A942" t="n">
        <x:v>2</x:v>
      </x:c>
      <x:c r="B942" t="str">
        <x:v>Cushion</x:v>
      </x:c>
      <x:c r="C942" t="str">
        <x:v>I</x:v>
      </x:c>
      <x:c r="D942" t="str">
        <x:v>VS1</x:v>
      </x:c>
      <x:c r="E942" s="36" t="n">
        <x:v>13500</x:v>
      </x:c>
      <x:c r="F942" s="36" t="n">
        <x:v>3313</x:v>
      </x:c>
      <x:c r="G942" s="42" t="n">
        <x:v>0.7106392106392107</x:v>
      </x:c>
      <x:c r="H942" s="36" t="n">
        <x:f>E942*G942</x:f>
        <x:v>9593.629343629344</x:v>
      </x:c>
      <x:c r="I942" s="36" t="n">
        <x:f>IFERROR(H942/A942,0)</x:f>
        <x:v>4796.814671814672</x:v>
      </x:c>
      <x:c r="J942" s="67" t="str">
        <x:v>Modeled from live base + Sep-2026 quality ratio</x:v>
      </x:c>
      <x:c r="K942" s="67" t="str">
        <x:v>https://www.stonealgo.com/diamond-prices/</x:v>
      </x:c>
      <x:c r="L942" s="67" t="str">
        <x:v>https://www.pricescope.com/blog/natural-diamond-prices-september-2026</x:v>
      </x:c>
    </x:row>
    <x:row r="943">
      <x:c r="A943" t="n">
        <x:v>2</x:v>
      </x:c>
      <x:c r="B943" t="str">
        <x:v>Cushion</x:v>
      </x:c>
      <x:c r="C943" t="str">
        <x:v>I</x:v>
      </x:c>
      <x:c r="D943" t="str">
        <x:v>VS2</x:v>
      </x:c>
      <x:c r="E943" s="36" t="n">
        <x:v>13500</x:v>
      </x:c>
      <x:c r="F943" s="36" t="n">
        <x:v>3240</x:v>
      </x:c>
      <x:c r="G943" s="42" t="n">
        <x:v>0.694980694980695</x:v>
      </x:c>
      <x:c r="H943" s="36" t="n">
        <x:f>E943*G943</x:f>
        <x:v>9382.239382239382</x:v>
      </x:c>
      <x:c r="I943" s="36" t="n">
        <x:f>IFERROR(H943/A943,0)</x:f>
        <x:v>4691.119691119691</x:v>
      </x:c>
      <x:c r="J943" s="67" t="str">
        <x:v>Modeled from live base + Sep-2026 quality ratio</x:v>
      </x:c>
      <x:c r="K943" s="67" t="str">
        <x:v>https://www.stonealgo.com/diamond-prices/</x:v>
      </x:c>
      <x:c r="L943" s="67" t="str">
        <x:v>https://www.pricescope.com/blog/natural-diamond-prices-september-2026</x:v>
      </x:c>
    </x:row>
    <x:row r="944">
      <x:c r="A944" t="n">
        <x:v>2</x:v>
      </x:c>
      <x:c r="B944" t="str">
        <x:v>Cushion</x:v>
      </x:c>
      <x:c r="C944" t="str">
        <x:v>I</x:v>
      </x:c>
      <x:c r="D944" t="str">
        <x:v>SI1</x:v>
      </x:c>
      <x:c r="E944" s="36" t="n">
        <x:v>13500</x:v>
      </x:c>
      <x:c r="F944" s="36" t="n">
        <x:v>3199</x:v>
      </x:c>
      <x:c r="G944" s="42" t="n">
        <x:v>0.6861861861861862</x:v>
      </x:c>
      <x:c r="H944" s="36" t="n">
        <x:f>E944*G944</x:f>
        <x:v>9263.513513513513</x:v>
      </x:c>
      <x:c r="I944" s="36" t="n">
        <x:f>IFERROR(H944/A944,0)</x:f>
        <x:v>4631.756756756757</x:v>
      </x:c>
      <x:c r="J944" s="67" t="str">
        <x:v>Modeled from live base + Sep-2026 quality ratio</x:v>
      </x:c>
      <x:c r="K944" s="67" t="str">
        <x:v>https://www.stonealgo.com/diamond-prices/</x:v>
      </x:c>
      <x:c r="L944" s="67" t="str">
        <x:v>https://www.pricescope.com/blog/natural-diamond-prices-september-2026</x:v>
      </x:c>
    </x:row>
    <x:row r="945">
      <x:c r="A945" t="n">
        <x:v>2</x:v>
      </x:c>
      <x:c r="B945" t="str">
        <x:v>Cushion</x:v>
      </x:c>
      <x:c r="C945" t="str">
        <x:v>I</x:v>
      </x:c>
      <x:c r="D945" t="str">
        <x:v>SI2</x:v>
      </x:c>
      <x:c r="E945" s="36" t="n">
        <x:v>13500</x:v>
      </x:c>
      <x:c r="F945" s="36" t="n">
        <x:v>2874</x:v>
      </x:c>
      <x:c r="G945" s="42" t="n">
        <x:v>0.6164736164736164</x:v>
      </x:c>
      <x:c r="H945" s="36" t="n">
        <x:f>E945*G945</x:f>
        <x:v>8322.393822393822</x:v>
      </x:c>
      <x:c r="I945" s="36" t="n">
        <x:f>IFERROR(H945/A945,0)</x:f>
        <x:v>4161.196911196911</x:v>
      </x:c>
      <x:c r="J945" s="67" t="str">
        <x:v>Modeled from live base + Sep-2026 quality ratio</x:v>
      </x:c>
      <x:c r="K945" s="67" t="str">
        <x:v>https://www.stonealgo.com/diamond-prices/</x:v>
      </x:c>
      <x:c r="L945" s="67" t="str">
        <x:v>https://www.pricescope.com/blog/natural-diamond-prices-september-2026</x:v>
      </x:c>
    </x:row>
    <x:row r="946">
      <x:c r="A946" t="n">
        <x:v>2</x:v>
      </x:c>
      <x:c r="B946" t="str">
        <x:v>Cushion</x:v>
      </x:c>
      <x:c r="C946" t="str">
        <x:v>J</x:v>
      </x:c>
      <x:c r="D946" t="str">
        <x:v>FL</x:v>
      </x:c>
      <x:c r="E946" s="36" t="n">
        <x:v>13500</x:v>
      </x:c>
      <x:c r="F946" s="36" t="n">
        <x:v>3646</x:v>
      </x:c>
      <x:c r="G946" s="42" t="n">
        <x:v>0.782067782067782</x:v>
      </x:c>
      <x:c r="H946" s="36" t="n">
        <x:f>E946*G946</x:f>
        <x:v>10557.915057915057</x:v>
      </x:c>
      <x:c r="I946" s="36" t="n">
        <x:f>IFERROR(H946/A946,0)</x:f>
        <x:v>5278.957528957529</x:v>
      </x:c>
      <x:c r="J946" s="67" t="str">
        <x:v>Modeled from live base + Sep-2026 quality ratio</x:v>
      </x:c>
      <x:c r="K946" s="67" t="str">
        <x:v>https://www.stonealgo.com/diamond-prices/</x:v>
      </x:c>
      <x:c r="L946" s="67" t="str">
        <x:v>https://www.pricescope.com/blog/natural-diamond-prices-september-2026</x:v>
      </x:c>
    </x:row>
    <x:row r="947">
      <x:c r="A947" t="n">
        <x:v>2</x:v>
      </x:c>
      <x:c r="B947" t="str">
        <x:v>Cushion</x:v>
      </x:c>
      <x:c r="C947" t="str">
        <x:v>J</x:v>
      </x:c>
      <x:c r="D947" t="str">
        <x:v>IF</x:v>
      </x:c>
      <x:c r="E947" s="36" t="n">
        <x:v>13500</x:v>
      </x:c>
      <x:c r="F947" s="36" t="n">
        <x:v>3368</x:v>
      </x:c>
      <x:c r="G947" s="42" t="n">
        <x:v>0.7224367224367224</x:v>
      </x:c>
      <x:c r="H947" s="36" t="n">
        <x:f>E947*G947</x:f>
        <x:v>9752.895752895753</x:v>
      </x:c>
      <x:c r="I947" s="36" t="n">
        <x:f>IFERROR(H947/A947,0)</x:f>
        <x:v>4876.447876447876</x:v>
      </x:c>
      <x:c r="J947" s="67" t="str">
        <x:v>Modeled from live base + Sep-2026 quality ratio</x:v>
      </x:c>
      <x:c r="K947" s="67" t="str">
        <x:v>https://www.stonealgo.com/diamond-prices/</x:v>
      </x:c>
      <x:c r="L947" s="67" t="str">
        <x:v>https://www.pricescope.com/blog/natural-diamond-prices-september-2026</x:v>
      </x:c>
    </x:row>
    <x:row r="948">
      <x:c r="A948" t="n">
        <x:v>2</x:v>
      </x:c>
      <x:c r="B948" t="str">
        <x:v>Cushion</x:v>
      </x:c>
      <x:c r="C948" t="str">
        <x:v>J</x:v>
      </x:c>
      <x:c r="D948" t="str">
        <x:v>VVS1</x:v>
      </x:c>
      <x:c r="E948" s="36" t="n">
        <x:v>13500</x:v>
      </x:c>
      <x:c r="F948" s="36" t="n">
        <x:v>2956</x:v>
      </x:c>
      <x:c r="G948" s="42" t="n">
        <x:v>0.6340626340626341</x:v>
      </x:c>
      <x:c r="H948" s="36" t="n">
        <x:f>E948*G948</x:f>
        <x:v>8559.84555984556</x:v>
      </x:c>
      <x:c r="I948" s="36" t="n">
        <x:f>IFERROR(H948/A948,0)</x:f>
        <x:v>4279.92277992278</x:v>
      </x:c>
      <x:c r="J948" s="67" t="str">
        <x:v>Modeled from live base + Sep-2026 quality ratio</x:v>
      </x:c>
      <x:c r="K948" s="67" t="str">
        <x:v>https://www.stonealgo.com/diamond-prices/</x:v>
      </x:c>
      <x:c r="L948" s="67" t="str">
        <x:v>https://www.pricescope.com/blog/natural-diamond-prices-september-2026</x:v>
      </x:c>
    </x:row>
    <x:row r="949">
      <x:c r="A949" t="n">
        <x:v>2</x:v>
      </x:c>
      <x:c r="B949" t="str">
        <x:v>Cushion</x:v>
      </x:c>
      <x:c r="C949" t="str">
        <x:v>J</x:v>
      </x:c>
      <x:c r="D949" t="str">
        <x:v>VVS2</x:v>
      </x:c>
      <x:c r="E949" s="36" t="n">
        <x:v>13500</x:v>
      </x:c>
      <x:c r="F949" s="36" t="n">
        <x:v>2612</x:v>
      </x:c>
      <x:c r="G949" s="42" t="n">
        <x:v>0.5602745602745602</x:v>
      </x:c>
      <x:c r="H949" s="36" t="n">
        <x:f>E949*G949</x:f>
        <x:v>7563.706563706563</x:v>
      </x:c>
      <x:c r="I949" s="36" t="n">
        <x:f>IFERROR(H949/A949,0)</x:f>
        <x:v>3781.8532818532817</x:v>
      </x:c>
      <x:c r="J949" s="67" t="str">
        <x:v>Modeled from live base + Sep-2026 quality ratio</x:v>
      </x:c>
      <x:c r="K949" s="67" t="str">
        <x:v>https://www.stonealgo.com/diamond-prices/</x:v>
      </x:c>
      <x:c r="L949" s="67" t="str">
        <x:v>https://www.pricescope.com/blog/natural-diamond-prices-september-2026</x:v>
      </x:c>
    </x:row>
    <x:row r="950">
      <x:c r="A950" t="n">
        <x:v>2</x:v>
      </x:c>
      <x:c r="B950" t="str">
        <x:v>Cushion</x:v>
      </x:c>
      <x:c r="C950" t="str">
        <x:v>J</x:v>
      </x:c>
      <x:c r="D950" t="str">
        <x:v>VS1</x:v>
      </x:c>
      <x:c r="E950" s="36" t="n">
        <x:v>13500</x:v>
      </x:c>
      <x:c r="F950" s="36" t="n">
        <x:v>3002</x:v>
      </x:c>
      <x:c r="G950" s="42" t="n">
        <x:v>0.6439296439296439</x:v>
      </x:c>
      <x:c r="H950" s="36" t="n">
        <x:f>E950*G950</x:f>
        <x:v>8693.050193050192</x:v>
      </x:c>
      <x:c r="I950" s="36" t="n">
        <x:f>IFERROR(H950/A950,0)</x:f>
        <x:v>4346.525096525096</x:v>
      </x:c>
      <x:c r="J950" s="67" t="str">
        <x:v>Modeled from live base + Sep-2026 quality ratio</x:v>
      </x:c>
      <x:c r="K950" s="67" t="str">
        <x:v>https://www.stonealgo.com/diamond-prices/</x:v>
      </x:c>
      <x:c r="L950" s="67" t="str">
        <x:v>https://www.pricescope.com/blog/natural-diamond-prices-september-2026</x:v>
      </x:c>
    </x:row>
    <x:row r="951">
      <x:c r="A951" t="n">
        <x:v>2</x:v>
      </x:c>
      <x:c r="B951" t="str">
        <x:v>Cushion</x:v>
      </x:c>
      <x:c r="C951" t="str">
        <x:v>J</x:v>
      </x:c>
      <x:c r="D951" t="str">
        <x:v>VS2</x:v>
      </x:c>
      <x:c r="E951" s="36" t="n">
        <x:v>13500</x:v>
      </x:c>
      <x:c r="F951" s="36" t="n">
        <x:v>2559</x:v>
      </x:c>
      <x:c r="G951" s="42" t="n">
        <x:v>0.5489060489060489</x:v>
      </x:c>
      <x:c r="H951" s="36" t="n">
        <x:f>E951*G951</x:f>
        <x:v>7410.23166023166</x:v>
      </x:c>
      <x:c r="I951" s="36" t="n">
        <x:f>IFERROR(H951/A951,0)</x:f>
        <x:v>3705.11583011583</x:v>
      </x:c>
      <x:c r="J951" s="67" t="str">
        <x:v>Modeled from live base + Sep-2026 quality ratio</x:v>
      </x:c>
      <x:c r="K951" s="67" t="str">
        <x:v>https://www.stonealgo.com/diamond-prices/</x:v>
      </x:c>
      <x:c r="L951" s="67" t="str">
        <x:v>https://www.pricescope.com/blog/natural-diamond-prices-september-2026</x:v>
      </x:c>
    </x:row>
    <x:row r="952">
      <x:c r="A952" t="n">
        <x:v>2</x:v>
      </x:c>
      <x:c r="B952" t="str">
        <x:v>Cushion</x:v>
      </x:c>
      <x:c r="C952" t="str">
        <x:v>J</x:v>
      </x:c>
      <x:c r="D952" t="str">
        <x:v>SI1</x:v>
      </x:c>
      <x:c r="E952" s="36" t="n">
        <x:v>13500</x:v>
      </x:c>
      <x:c r="F952" s="36" t="n">
        <x:v>2195</x:v>
      </x:c>
      <x:c r="G952" s="42" t="n">
        <x:v>0.47082797082797084</x:v>
      </x:c>
      <x:c r="H952" s="36" t="n">
        <x:f>E952*G952</x:f>
        <x:v>6356.177606177606</x:v>
      </x:c>
      <x:c r="I952" s="36" t="n">
        <x:f>IFERROR(H952/A952,0)</x:f>
        <x:v>3178.088803088803</x:v>
      </x:c>
      <x:c r="J952" s="67" t="str">
        <x:v>Modeled from live base + Sep-2026 quality ratio</x:v>
      </x:c>
      <x:c r="K952" s="67" t="str">
        <x:v>https://www.stonealgo.com/diamond-prices/</x:v>
      </x:c>
      <x:c r="L952" s="67" t="str">
        <x:v>https://www.pricescope.com/blog/natural-diamond-prices-september-2026</x:v>
      </x:c>
    </x:row>
    <x:row r="953">
      <x:c r="A953" t="n">
        <x:v>2</x:v>
      </x:c>
      <x:c r="B953" t="str">
        <x:v>Cushion</x:v>
      </x:c>
      <x:c r="C953" t="str">
        <x:v>J</x:v>
      </x:c>
      <x:c r="D953" t="str">
        <x:v>SI2</x:v>
      </x:c>
      <x:c r="E953" s="36" t="n">
        <x:v>13500</x:v>
      </x:c>
      <x:c r="F953" s="36" t="n">
        <x:v>2079</x:v>
      </x:c>
      <x:c r="G953" s="42" t="n">
        <x:v>0.44594594594594594</x:v>
      </x:c>
      <x:c r="H953" s="36" t="n">
        <x:f>E953*G953</x:f>
        <x:v>6020.27027027027</x:v>
      </x:c>
      <x:c r="I953" s="36" t="n">
        <x:f>IFERROR(H953/A953,0)</x:f>
        <x:v>3010.135135135135</x:v>
      </x:c>
      <x:c r="J953" s="67" t="str">
        <x:v>Modeled from live base + Sep-2026 quality ratio</x:v>
      </x:c>
      <x:c r="K953" s="67" t="str">
        <x:v>https://www.stonealgo.com/diamond-prices/</x:v>
      </x:c>
      <x:c r="L953" s="67" t="str">
        <x:v>https://www.pricescope.com/blog/natural-diamond-prices-september-2026</x:v>
      </x:c>
    </x:row>
    <x:row r="954">
      <x:c r="A954" t="n">
        <x:v>2</x:v>
      </x:c>
      <x:c r="B954" t="str">
        <x:v>Cushion</x:v>
      </x:c>
      <x:c r="C954" t="str">
        <x:v>K</x:v>
      </x:c>
      <x:c r="D954" t="str">
        <x:v>FL</x:v>
      </x:c>
      <x:c r="E954" s="36" t="n">
        <x:v>13500</x:v>
      </x:c>
      <x:c r="F954" s="36" t="n">
        <x:v>2858</x:v>
      </x:c>
      <x:c r="G954" s="42" t="n">
        <x:v>0.6130416130416131</x:v>
      </x:c>
      <x:c r="H954" s="36" t="n">
        <x:f>E954*G954</x:f>
        <x:v>8276.061776061777</x:v>
      </x:c>
      <x:c r="I954" s="36" t="n">
        <x:f>IFERROR(H954/A954,0)</x:f>
        <x:v>4138.0308880308885</x:v>
      </x:c>
      <x:c r="J954" s="67" t="str">
        <x:v>Modeled from live base + Sep-2026 quality ratio; K/FL quality cell modeled</x:v>
      </x:c>
      <x:c r="K954" s="67" t="str">
        <x:v>https://www.stonealgo.com/diamond-prices/</x:v>
      </x:c>
      <x:c r="L954" s="67" t="str">
        <x:v>https://www.pricescope.com/blog/natural-diamond-prices-september-2026</x:v>
      </x:c>
    </x:row>
    <x:row r="955">
      <x:c r="A955" t="n">
        <x:v>2</x:v>
      </x:c>
      <x:c r="B955" t="str">
        <x:v>Cushion</x:v>
      </x:c>
      <x:c r="C955" t="str">
        <x:v>K</x:v>
      </x:c>
      <x:c r="D955" t="str">
        <x:v>IF</x:v>
      </x:c>
      <x:c r="E955" s="36" t="n">
        <x:v>13500</x:v>
      </x:c>
      <x:c r="F955" s="36" t="n">
        <x:v>2743</x:v>
      </x:c>
      <x:c r="G955" s="42" t="n">
        <x:v>0.5883740883740883</x:v>
      </x:c>
      <x:c r="H955" s="36" t="n">
        <x:f>E955*G955</x:f>
        <x:v>7943.050193050192</x:v>
      </x:c>
      <x:c r="I955" s="36" t="n">
        <x:f>IFERROR(H955/A955,0)</x:f>
        <x:v>3971.525096525096</x:v>
      </x:c>
      <x:c r="J955" s="67" t="str">
        <x:v>Modeled from live base + Sep-2026 quality ratio</x:v>
      </x:c>
      <x:c r="K955" s="67" t="str">
        <x:v>https://www.stonealgo.com/diamond-prices/</x:v>
      </x:c>
      <x:c r="L955" s="67" t="str">
        <x:v>https://www.pricescope.com/blog/natural-diamond-prices-september-2026</x:v>
      </x:c>
    </x:row>
    <x:row r="956">
      <x:c r="A956" t="n">
        <x:v>2</x:v>
      </x:c>
      <x:c r="B956" t="str">
        <x:v>Cushion</x:v>
      </x:c>
      <x:c r="C956" t="str">
        <x:v>K</x:v>
      </x:c>
      <x:c r="D956" t="str">
        <x:v>VVS1</x:v>
      </x:c>
      <x:c r="E956" s="36" t="n">
        <x:v>13500</x:v>
      </x:c>
      <x:c r="F956" s="36" t="n">
        <x:v>2529</x:v>
      </x:c>
      <x:c r="G956" s="42" t="n">
        <x:v>0.5424710424710425</x:v>
      </x:c>
      <x:c r="H956" s="36" t="n">
        <x:f>E956*G956</x:f>
        <x:v>7323.359073359074</x:v>
      </x:c>
      <x:c r="I956" s="36" t="n">
        <x:f>IFERROR(H956/A956,0)</x:f>
        <x:v>3661.679536679537</x:v>
      </x:c>
      <x:c r="J956" s="67" t="str">
        <x:v>Modeled from live base + Sep-2026 quality ratio</x:v>
      </x:c>
      <x:c r="K956" s="67" t="str">
        <x:v>https://www.stonealgo.com/diamond-prices/</x:v>
      </x:c>
      <x:c r="L956" s="67" t="str">
        <x:v>https://www.pricescope.com/blog/natural-diamond-prices-september-2026</x:v>
      </x:c>
    </x:row>
    <x:row r="957">
      <x:c r="A957" t="n">
        <x:v>2</x:v>
      </x:c>
      <x:c r="B957" t="str">
        <x:v>Cushion</x:v>
      </x:c>
      <x:c r="C957" t="str">
        <x:v>K</x:v>
      </x:c>
      <x:c r="D957" t="str">
        <x:v>VVS2</x:v>
      </x:c>
      <x:c r="E957" s="36" t="n">
        <x:v>13500</x:v>
      </x:c>
      <x:c r="F957" s="36" t="n">
        <x:v>2374</x:v>
      </x:c>
      <x:c r="G957" s="42" t="n">
        <x:v>0.5092235092235092</x:v>
      </x:c>
      <x:c r="H957" s="36" t="n">
        <x:f>E957*G957</x:f>
        <x:v>6874.517374517374</x:v>
      </x:c>
      <x:c r="I957" s="36" t="n">
        <x:f>IFERROR(H957/A957,0)</x:f>
        <x:v>3437.258687258687</x:v>
      </x:c>
      <x:c r="J957" s="67" t="str">
        <x:v>Modeled from live base + Sep-2026 quality ratio</x:v>
      </x:c>
      <x:c r="K957" s="67" t="str">
        <x:v>https://www.stonealgo.com/diamond-prices/</x:v>
      </x:c>
      <x:c r="L957" s="67" t="str">
        <x:v>https://www.pricescope.com/blog/natural-diamond-prices-september-2026</x:v>
      </x:c>
    </x:row>
    <x:row r="958">
      <x:c r="A958" t="n">
        <x:v>2</x:v>
      </x:c>
      <x:c r="B958" t="str">
        <x:v>Cushion</x:v>
      </x:c>
      <x:c r="C958" t="str">
        <x:v>K</x:v>
      </x:c>
      <x:c r="D958" t="str">
        <x:v>VS1</x:v>
      </x:c>
      <x:c r="E958" s="36" t="n">
        <x:v>13500</x:v>
      </x:c>
      <x:c r="F958" s="36" t="n">
        <x:v>2223</x:v>
      </x:c>
      <x:c r="G958" s="42" t="n">
        <x:v>0.4768339768339768</x:v>
      </x:c>
      <x:c r="H958" s="36" t="n">
        <x:f>E958*G958</x:f>
        <x:v>6437.258687258687</x:v>
      </x:c>
      <x:c r="I958" s="36" t="n">
        <x:f>IFERROR(H958/A958,0)</x:f>
        <x:v>3218.6293436293436</x:v>
      </x:c>
      <x:c r="J958" s="67" t="str">
        <x:v>Modeled from live base + Sep-2026 quality ratio</x:v>
      </x:c>
      <x:c r="K958" s="67" t="str">
        <x:v>https://www.stonealgo.com/diamond-prices/</x:v>
      </x:c>
      <x:c r="L958" s="67" t="str">
        <x:v>https://www.pricescope.com/blog/natural-diamond-prices-september-2026</x:v>
      </x:c>
    </x:row>
    <x:row r="959">
      <x:c r="A959" t="n">
        <x:v>2</x:v>
      </x:c>
      <x:c r="B959" t="str">
        <x:v>Cushion</x:v>
      </x:c>
      <x:c r="C959" t="str">
        <x:v>K</x:v>
      </x:c>
      <x:c r="D959" t="str">
        <x:v>VS2</x:v>
      </x:c>
      <x:c r="E959" s="36" t="n">
        <x:v>13500</x:v>
      </x:c>
      <x:c r="F959" s="36" t="n">
        <x:v>2098</x:v>
      </x:c>
      <x:c r="G959" s="42" t="n">
        <x:v>0.45002145002145</x:v>
      </x:c>
      <x:c r="H959" s="36" t="n">
        <x:f>E959*G959</x:f>
        <x:v>6075.289575289575</x:v>
      </x:c>
      <x:c r="I959" s="36" t="n">
        <x:f>IFERROR(H959/A959,0)</x:f>
        <x:v>3037.6447876447874</x:v>
      </x:c>
      <x:c r="J959" s="67" t="str">
        <x:v>Modeled from live base + Sep-2026 quality ratio</x:v>
      </x:c>
      <x:c r="K959" s="67" t="str">
        <x:v>https://www.stonealgo.com/diamond-prices/</x:v>
      </x:c>
      <x:c r="L959" s="67" t="str">
        <x:v>https://www.pricescope.com/blog/natural-diamond-prices-september-2026</x:v>
      </x:c>
    </x:row>
    <x:row r="960">
      <x:c r="A960" t="n">
        <x:v>2</x:v>
      </x:c>
      <x:c r="B960" t="str">
        <x:v>Cushion</x:v>
      </x:c>
      <x:c r="C960" t="str">
        <x:v>K</x:v>
      </x:c>
      <x:c r="D960" t="str">
        <x:v>SI1</x:v>
      </x:c>
      <x:c r="E960" s="36" t="n">
        <x:v>13500</x:v>
      </x:c>
      <x:c r="F960" s="36" t="n">
        <x:v>1922</x:v>
      </x:c>
      <x:c r="G960" s="42" t="n">
        <x:v>0.41226941226941227</x:v>
      </x:c>
      <x:c r="H960" s="36" t="n">
        <x:f>E960*G960</x:f>
        <x:v>5565.6370656370655</x:v>
      </x:c>
      <x:c r="I960" s="36" t="n">
        <x:f>IFERROR(H960/A960,0)</x:f>
        <x:v>2782.8185328185327</x:v>
      </x:c>
      <x:c r="J960" s="67" t="str">
        <x:v>Modeled from live base + Sep-2026 quality ratio</x:v>
      </x:c>
      <x:c r="K960" s="67" t="str">
        <x:v>https://www.stonealgo.com/diamond-prices/</x:v>
      </x:c>
      <x:c r="L960" s="67" t="str">
        <x:v>https://www.pricescope.com/blog/natural-diamond-prices-september-2026</x:v>
      </x:c>
    </x:row>
    <x:row r="961">
      <x:c r="A961" t="n">
        <x:v>2</x:v>
      </x:c>
      <x:c r="B961" t="str">
        <x:v>Cushion</x:v>
      </x:c>
      <x:c r="C961" t="str">
        <x:v>K</x:v>
      </x:c>
      <x:c r="D961" t="str">
        <x:v>SI2</x:v>
      </x:c>
      <x:c r="E961" s="36" t="n">
        <x:v>13500</x:v>
      </x:c>
      <x:c r="F961" s="36" t="n">
        <x:v>1764</x:v>
      </x:c>
      <x:c r="G961" s="42" t="n">
        <x:v>0.3783783783783784</x:v>
      </x:c>
      <x:c r="H961" s="36" t="n">
        <x:f>E961*G961</x:f>
        <x:v>5108.108108108108</x:v>
      </x:c>
      <x:c r="I961" s="36" t="n">
        <x:f>IFERROR(H961/A961,0)</x:f>
        <x:v>2554.054054054054</x:v>
      </x:c>
      <x:c r="J961" s="67" t="str">
        <x:v>Modeled from live base + Sep-2026 quality ratio</x:v>
      </x:c>
      <x:c r="K961" s="67" t="str">
        <x:v>https://www.stonealgo.com/diamond-prices/</x:v>
      </x:c>
      <x:c r="L961" s="67" t="str">
        <x:v>https://www.pricescope.com/blog/natural-diamond-prices-september-2026</x:v>
      </x:c>
    </x:row>
    <x:row r="962">
      <x:c r="A962" t="n">
        <x:v>2</x:v>
      </x:c>
      <x:c r="B962" t="str">
        <x:v>Radiant</x:v>
      </x:c>
      <x:c r="C962" t="str">
        <x:v>D</x:v>
      </x:c>
      <x:c r="D962" t="str">
        <x:v>FL</x:v>
      </x:c>
      <x:c r="E962" s="36" t="n">
        <x:v>14300</x:v>
      </x:c>
      <x:c r="F962" s="36" t="n">
        <x:v>12665</x:v>
      </x:c>
      <x:c r="G962" s="42" t="n">
        <x:v>2.7166452166452166</x:v>
      </x:c>
      <x:c r="H962" s="36" t="n">
        <x:f>E962*G962</x:f>
        <x:v>38848.0265980266</x:v>
      </x:c>
      <x:c r="I962" s="36" t="n">
        <x:f>IFERROR(H962/A962,0)</x:f>
        <x:v>19424.0132990133</x:v>
      </x:c>
      <x:c r="J962" s="67" t="str">
        <x:v>Modeled from live base + Sep-2026 quality ratio</x:v>
      </x:c>
      <x:c r="K962" s="67" t="str">
        <x:v>https://www.stonealgo.com/diamond-prices/</x:v>
      </x:c>
      <x:c r="L962" s="67" t="str">
        <x:v>https://www.pricescope.com/blog/natural-diamond-prices-september-2026</x:v>
      </x:c>
    </x:row>
    <x:row r="963">
      <x:c r="A963" t="n">
        <x:v>2</x:v>
      </x:c>
      <x:c r="B963" t="str">
        <x:v>Radiant</x:v>
      </x:c>
      <x:c r="C963" t="str">
        <x:v>D</x:v>
      </x:c>
      <x:c r="D963" t="str">
        <x:v>IF</x:v>
      </x:c>
      <x:c r="E963" s="36" t="n">
        <x:v>14300</x:v>
      </x:c>
      <x:c r="F963" s="36" t="n">
        <x:v>13240</x:v>
      </x:c>
      <x:c r="G963" s="42" t="n">
        <x:v>2.83998283998284</x:v>
      </x:c>
      <x:c r="H963" s="36" t="n">
        <x:f>E963*G963</x:f>
        <x:v>40611.754611754615</x:v>
      </x:c>
      <x:c r="I963" s="36" t="n">
        <x:f>IFERROR(H963/A963,0)</x:f>
        <x:v>20305.877305877308</x:v>
      </x:c>
      <x:c r="J963" s="67" t="str">
        <x:v>Modeled from live base + Sep-2026 quality ratio</x:v>
      </x:c>
      <x:c r="K963" s="67" t="str">
        <x:v>https://www.stonealgo.com/diamond-prices/</x:v>
      </x:c>
      <x:c r="L963" s="67" t="str">
        <x:v>https://www.pricescope.com/blog/natural-diamond-prices-september-2026</x:v>
      </x:c>
    </x:row>
    <x:row r="964">
      <x:c r="A964" t="n">
        <x:v>2</x:v>
      </x:c>
      <x:c r="B964" t="str">
        <x:v>Radiant</x:v>
      </x:c>
      <x:c r="C964" t="str">
        <x:v>D</x:v>
      </x:c>
      <x:c r="D964" t="str">
        <x:v>VVS1</x:v>
      </x:c>
      <x:c r="E964" s="36" t="n">
        <x:v>14300</x:v>
      </x:c>
      <x:c r="F964" s="36" t="n">
        <x:v>9555</x:v>
      </x:c>
      <x:c r="G964" s="42" t="n">
        <x:v>2.0495495495495497</x:v>
      </x:c>
      <x:c r="H964" s="36" t="n">
        <x:f>E964*G964</x:f>
        <x:v>29308.55855855856</x:v>
      </x:c>
      <x:c r="I964" s="36" t="n">
        <x:f>IFERROR(H964/A964,0)</x:f>
        <x:v>14654.27927927928</x:v>
      </x:c>
      <x:c r="J964" s="67" t="str">
        <x:v>Modeled from live base + Sep-2026 quality ratio</x:v>
      </x:c>
      <x:c r="K964" s="67" t="str">
        <x:v>https://www.stonealgo.com/diamond-prices/</x:v>
      </x:c>
      <x:c r="L964" s="67" t="str">
        <x:v>https://www.pricescope.com/blog/natural-diamond-prices-september-2026</x:v>
      </x:c>
    </x:row>
    <x:row r="965">
      <x:c r="A965" t="n">
        <x:v>2</x:v>
      </x:c>
      <x:c r="B965" t="str">
        <x:v>Radiant</x:v>
      </x:c>
      <x:c r="C965" t="str">
        <x:v>D</x:v>
      </x:c>
      <x:c r="D965" t="str">
        <x:v>VVS2</x:v>
      </x:c>
      <x:c r="E965" s="36" t="n">
        <x:v>14300</x:v>
      </x:c>
      <x:c r="F965" s="36" t="n">
        <x:v>6660</x:v>
      </x:c>
      <x:c r="G965" s="42" t="n">
        <x:v>1.4285714285714286</x:v>
      </x:c>
      <x:c r="H965" s="36" t="n">
        <x:f>E965*G965</x:f>
        <x:v>20428.571428571428</x:v>
      </x:c>
      <x:c r="I965" s="36" t="n">
        <x:f>IFERROR(H965/A965,0)</x:f>
        <x:v>10214.285714285714</x:v>
      </x:c>
      <x:c r="J965" s="67" t="str">
        <x:v>Modeled from live base + Sep-2026 quality ratio</x:v>
      </x:c>
      <x:c r="K965" s="67" t="str">
        <x:v>https://www.stonealgo.com/diamond-prices/</x:v>
      </x:c>
      <x:c r="L965" s="67" t="str">
        <x:v>https://www.pricescope.com/blog/natural-diamond-prices-september-2026</x:v>
      </x:c>
    </x:row>
    <x:row r="966">
      <x:c r="A966" t="n">
        <x:v>2</x:v>
      </x:c>
      <x:c r="B966" t="str">
        <x:v>Radiant</x:v>
      </x:c>
      <x:c r="C966" t="str">
        <x:v>D</x:v>
      </x:c>
      <x:c r="D966" t="str">
        <x:v>VS1</x:v>
      </x:c>
      <x:c r="E966" s="36" t="n">
        <x:v>14300</x:v>
      </x:c>
      <x:c r="F966" s="36" t="n">
        <x:v>6247</x:v>
      </x:c>
      <x:c r="G966" s="42" t="n">
        <x:v>1.33998283998284</x:v>
      </x:c>
      <x:c r="H966" s="36" t="n">
        <x:f>E966*G966</x:f>
        <x:v>19161.75461175461</x:v>
      </x:c>
      <x:c r="I966" s="36" t="n">
        <x:f>IFERROR(H966/A966,0)</x:f>
        <x:v>9580.877305877306</x:v>
      </x:c>
      <x:c r="J966" s="67" t="str">
        <x:v>Modeled from live base + Sep-2026 quality ratio</x:v>
      </x:c>
      <x:c r="K966" s="67" t="str">
        <x:v>https://www.stonealgo.com/diamond-prices/</x:v>
      </x:c>
      <x:c r="L966" s="67" t="str">
        <x:v>https://www.pricescope.com/blog/natural-diamond-prices-september-2026</x:v>
      </x:c>
    </x:row>
    <x:row r="967">
      <x:c r="A967" t="n">
        <x:v>2</x:v>
      </x:c>
      <x:c r="B967" t="str">
        <x:v>Radiant</x:v>
      </x:c>
      <x:c r="C967" t="str">
        <x:v>D</x:v>
      </x:c>
      <x:c r="D967" t="str">
        <x:v>VS2</x:v>
      </x:c>
      <x:c r="E967" s="36" t="n">
        <x:v>14300</x:v>
      </x:c>
      <x:c r="F967" s="36" t="n">
        <x:v>5841</x:v>
      </x:c>
      <x:c r="G967" s="42" t="n">
        <x:v>1.252895752895753</x:v>
      </x:c>
      <x:c r="H967" s="36" t="n">
        <x:f>E967*G967</x:f>
        <x:v>17916.409266409268</x:v>
      </x:c>
      <x:c r="I967" s="36" t="n">
        <x:f>IFERROR(H967/A967,0)</x:f>
        <x:v>8958.204633204634</x:v>
      </x:c>
      <x:c r="J967" s="67" t="str">
        <x:v>Modeled from live base + Sep-2026 quality ratio</x:v>
      </x:c>
      <x:c r="K967" s="67" t="str">
        <x:v>https://www.stonealgo.com/diamond-prices/</x:v>
      </x:c>
      <x:c r="L967" s="67" t="str">
        <x:v>https://www.pricescope.com/blog/natural-diamond-prices-september-2026</x:v>
      </x:c>
    </x:row>
    <x:row r="968">
      <x:c r="A968" t="n">
        <x:v>2</x:v>
      </x:c>
      <x:c r="B968" t="str">
        <x:v>Radiant</x:v>
      </x:c>
      <x:c r="C968" t="str">
        <x:v>D</x:v>
      </x:c>
      <x:c r="D968" t="str">
        <x:v>SI1</x:v>
      </x:c>
      <x:c r="E968" s="36" t="n">
        <x:v>14300</x:v>
      </x:c>
      <x:c r="F968" s="36" t="n">
        <x:v>3762</x:v>
      </x:c>
      <x:c r="G968" s="42" t="n">
        <x:v>0.806949806949807</x:v>
      </x:c>
      <x:c r="H968" s="36" t="n">
        <x:f>E968*G968</x:f>
        <x:v>11539.38223938224</x:v>
      </x:c>
      <x:c r="I968" s="36" t="n">
        <x:f>IFERROR(H968/A968,0)</x:f>
        <x:v>5769.69111969112</x:v>
      </x:c>
      <x:c r="J968" s="67" t="str">
        <x:v>Modeled from live base + Sep-2026 quality ratio</x:v>
      </x:c>
      <x:c r="K968" s="67" t="str">
        <x:v>https://www.stonealgo.com/diamond-prices/</x:v>
      </x:c>
      <x:c r="L968" s="67" t="str">
        <x:v>https://www.pricescope.com/blog/natural-diamond-prices-september-2026</x:v>
      </x:c>
    </x:row>
    <x:row r="969">
      <x:c r="A969" t="n">
        <x:v>2</x:v>
      </x:c>
      <x:c r="B969" t="str">
        <x:v>Radiant</x:v>
      </x:c>
      <x:c r="C969" t="str">
        <x:v>D</x:v>
      </x:c>
      <x:c r="D969" t="str">
        <x:v>SI2</x:v>
      </x:c>
      <x:c r="E969" s="36" t="n">
        <x:v>14300</x:v>
      </x:c>
      <x:c r="F969" s="36" t="n">
        <x:v>3026</x:v>
      </x:c>
      <x:c r="G969" s="42" t="n">
        <x:v>0.6490776490776491</x:v>
      </x:c>
      <x:c r="H969" s="36" t="n">
        <x:f>E969*G969</x:f>
        <x:v>9281.810381810383</x:v>
      </x:c>
      <x:c r="I969" s="36" t="n">
        <x:f>IFERROR(H969/A969,0)</x:f>
        <x:v>4640.905190905191</x:v>
      </x:c>
      <x:c r="J969" s="67" t="str">
        <x:v>Modeled from live base + Sep-2026 quality ratio</x:v>
      </x:c>
      <x:c r="K969" s="67" t="str">
        <x:v>https://www.stonealgo.com/diamond-prices/</x:v>
      </x:c>
      <x:c r="L969" s="67" t="str">
        <x:v>https://www.pricescope.com/blog/natural-diamond-prices-september-2026</x:v>
      </x:c>
    </x:row>
    <x:row r="970">
      <x:c r="A970" t="n">
        <x:v>2</x:v>
      </x:c>
      <x:c r="B970" t="str">
        <x:v>Radiant</x:v>
      </x:c>
      <x:c r="C970" t="str">
        <x:v>E</x:v>
      </x:c>
      <x:c r="D970" t="str">
        <x:v>FL</x:v>
      </x:c>
      <x:c r="E970" s="36" t="n">
        <x:v>14300</x:v>
      </x:c>
      <x:c r="F970" s="36" t="n">
        <x:v>10072</x:v>
      </x:c>
      <x:c r="G970" s="42" t="n">
        <x:v>2.1604461604461602</x:v>
      </x:c>
      <x:c r="H970" s="36" t="n">
        <x:f>E970*G970</x:f>
        <x:v>30894.380094380092</x:v>
      </x:c>
      <x:c r="I970" s="36" t="n">
        <x:f>IFERROR(H970/A970,0)</x:f>
        <x:v>15447.190047190046</x:v>
      </x:c>
      <x:c r="J970" s="67" t="str">
        <x:v>Modeled from live base + Sep-2026 quality ratio</x:v>
      </x:c>
      <x:c r="K970" s="67" t="str">
        <x:v>https://www.stonealgo.com/diamond-prices/</x:v>
      </x:c>
      <x:c r="L970" s="67" t="str">
        <x:v>https://www.pricescope.com/blog/natural-diamond-prices-september-2026</x:v>
      </x:c>
    </x:row>
    <x:row r="971">
      <x:c r="A971" t="n">
        <x:v>2</x:v>
      </x:c>
      <x:c r="B971" t="str">
        <x:v>Radiant</x:v>
      </x:c>
      <x:c r="C971" t="str">
        <x:v>E</x:v>
      </x:c>
      <x:c r="D971" t="str">
        <x:v>IF</x:v>
      </x:c>
      <x:c r="E971" s="36" t="n">
        <x:v>14300</x:v>
      </x:c>
      <x:c r="F971" s="36" t="n">
        <x:v>8672</x:v>
      </x:c>
      <x:c r="G971" s="42" t="n">
        <x:v>1.8601458601458603</x:v>
      </x:c>
      <x:c r="H971" s="36" t="n">
        <x:f>E971*G971</x:f>
        <x:v>26600.085800085802</x:v>
      </x:c>
      <x:c r="I971" s="36" t="n">
        <x:f>IFERROR(H971/A971,0)</x:f>
        <x:v>13300.042900042901</x:v>
      </x:c>
      <x:c r="J971" s="67" t="str">
        <x:v>Modeled from live base + Sep-2026 quality ratio</x:v>
      </x:c>
      <x:c r="K971" s="67" t="str">
        <x:v>https://www.stonealgo.com/diamond-prices/</x:v>
      </x:c>
      <x:c r="L971" s="67" t="str">
        <x:v>https://www.pricescope.com/blog/natural-diamond-prices-september-2026</x:v>
      </x:c>
    </x:row>
    <x:row r="972">
      <x:c r="A972" t="n">
        <x:v>2</x:v>
      </x:c>
      <x:c r="B972" t="str">
        <x:v>Radiant</x:v>
      </x:c>
      <x:c r="C972" t="str">
        <x:v>E</x:v>
      </x:c>
      <x:c r="D972" t="str">
        <x:v>VVS1</x:v>
      </x:c>
      <x:c r="E972" s="36" t="n">
        <x:v>14300</x:v>
      </x:c>
      <x:c r="F972" s="36" t="n">
        <x:v>7842</x:v>
      </x:c>
      <x:c r="G972" s="42" t="n">
        <x:v>1.6821106821106822</x:v>
      </x:c>
      <x:c r="H972" s="36" t="n">
        <x:f>E972*G972</x:f>
        <x:v>24054.182754182755</x:v>
      </x:c>
      <x:c r="I972" s="36" t="n">
        <x:f>IFERROR(H972/A972,0)</x:f>
        <x:v>12027.091377091378</x:v>
      </x:c>
      <x:c r="J972" s="67" t="str">
        <x:v>Modeled from live base + Sep-2026 quality ratio</x:v>
      </x:c>
      <x:c r="K972" s="67" t="str">
        <x:v>https://www.stonealgo.com/diamond-prices/</x:v>
      </x:c>
      <x:c r="L972" s="67" t="str">
        <x:v>https://www.pricescope.com/blog/natural-diamond-prices-september-2026</x:v>
      </x:c>
    </x:row>
    <x:row r="973">
      <x:c r="A973" t="n">
        <x:v>2</x:v>
      </x:c>
      <x:c r="B973" t="str">
        <x:v>Radiant</x:v>
      </x:c>
      <x:c r="C973" t="str">
        <x:v>E</x:v>
      </x:c>
      <x:c r="D973" t="str">
        <x:v>VVS2</x:v>
      </x:c>
      <x:c r="E973" s="36" t="n">
        <x:v>14300</x:v>
      </x:c>
      <x:c r="F973" s="36" t="n">
        <x:v>6880</x:v>
      </x:c>
      <x:c r="G973" s="42" t="n">
        <x:v>1.4757614757614759</x:v>
      </x:c>
      <x:c r="H973" s="36" t="n">
        <x:f>E973*G973</x:f>
        <x:v>21103.389103389105</x:v>
      </x:c>
      <x:c r="I973" s="36" t="n">
        <x:f>IFERROR(H973/A973,0)</x:f>
        <x:v>10551.694551694553</x:v>
      </x:c>
      <x:c r="J973" s="67" t="str">
        <x:v>Modeled from live base + Sep-2026 quality ratio</x:v>
      </x:c>
      <x:c r="K973" s="67" t="str">
        <x:v>https://www.stonealgo.com/diamond-prices/</x:v>
      </x:c>
      <x:c r="L973" s="67" t="str">
        <x:v>https://www.pricescope.com/blog/natural-diamond-prices-september-2026</x:v>
      </x:c>
    </x:row>
    <x:row r="974">
      <x:c r="A974" t="n">
        <x:v>2</x:v>
      </x:c>
      <x:c r="B974" t="str">
        <x:v>Radiant</x:v>
      </x:c>
      <x:c r="C974" t="str">
        <x:v>E</x:v>
      </x:c>
      <x:c r="D974" t="str">
        <x:v>VS1</x:v>
      </x:c>
      <x:c r="E974" s="36" t="n">
        <x:v>14300</x:v>
      </x:c>
      <x:c r="F974" s="36" t="n">
        <x:v>6307</x:v>
      </x:c>
      <x:c r="G974" s="42" t="n">
        <x:v>1.352852852852853</x:v>
      </x:c>
      <x:c r="H974" s="36" t="n">
        <x:f>E974*G974</x:f>
        <x:v>19345.7957957958</x:v>
      </x:c>
      <x:c r="I974" s="36" t="n">
        <x:f>IFERROR(H974/A974,0)</x:f>
        <x:v>9672.8978978979</x:v>
      </x:c>
      <x:c r="J974" s="67" t="str">
        <x:v>Modeled from live base + Sep-2026 quality ratio</x:v>
      </x:c>
      <x:c r="K974" s="67" t="str">
        <x:v>https://www.stonealgo.com/diamond-prices/</x:v>
      </x:c>
      <x:c r="L974" s="67" t="str">
        <x:v>https://www.pricescope.com/blog/natural-diamond-prices-september-2026</x:v>
      </x:c>
    </x:row>
    <x:row r="975">
      <x:c r="A975" t="n">
        <x:v>2</x:v>
      </x:c>
      <x:c r="B975" t="str">
        <x:v>Radiant</x:v>
      </x:c>
      <x:c r="C975" t="str">
        <x:v>E</x:v>
      </x:c>
      <x:c r="D975" t="str">
        <x:v>VS2</x:v>
      </x:c>
      <x:c r="E975" s="36" t="n">
        <x:v>14300</x:v>
      </x:c>
      <x:c r="F975" s="36" t="n">
        <x:v>5249</x:v>
      </x:c>
      <x:c r="G975" s="42" t="n">
        <x:v>1.125911625911626</x:v>
      </x:c>
      <x:c r="H975" s="36" t="n">
        <x:f>E975*G975</x:f>
        <x:v>16100.536250536252</x:v>
      </x:c>
      <x:c r="I975" s="36" t="n">
        <x:f>IFERROR(H975/A975,0)</x:f>
        <x:v>8050.268125268126</x:v>
      </x:c>
      <x:c r="J975" s="67" t="str">
        <x:v>Modeled from live base + Sep-2026 quality ratio</x:v>
      </x:c>
      <x:c r="K975" s="67" t="str">
        <x:v>https://www.stonealgo.com/diamond-prices/</x:v>
      </x:c>
      <x:c r="L975" s="67" t="str">
        <x:v>https://www.pricescope.com/blog/natural-diamond-prices-september-2026</x:v>
      </x:c>
    </x:row>
    <x:row r="976">
      <x:c r="A976" t="n">
        <x:v>2</x:v>
      </x:c>
      <x:c r="B976" t="str">
        <x:v>Radiant</x:v>
      </x:c>
      <x:c r="C976" t="str">
        <x:v>E</x:v>
      </x:c>
      <x:c r="D976" t="str">
        <x:v>SI1</x:v>
      </x:c>
      <x:c r="E976" s="36" t="n">
        <x:v>14300</x:v>
      </x:c>
      <x:c r="F976" s="36" t="n">
        <x:v>3551</x:v>
      </x:c>
      <x:c r="G976" s="42" t="n">
        <x:v>0.7616902616902617</x:v>
      </x:c>
      <x:c r="H976" s="36" t="n">
        <x:f>E976*G976</x:f>
        <x:v>10892.170742170742</x:v>
      </x:c>
      <x:c r="I976" s="36" t="n">
        <x:f>IFERROR(H976/A976,0)</x:f>
        <x:v>5446.085371085371</x:v>
      </x:c>
      <x:c r="J976" s="67" t="str">
        <x:v>Modeled from live base + Sep-2026 quality ratio</x:v>
      </x:c>
      <x:c r="K976" s="67" t="str">
        <x:v>https://www.stonealgo.com/diamond-prices/</x:v>
      </x:c>
      <x:c r="L976" s="67" t="str">
        <x:v>https://www.pricescope.com/blog/natural-diamond-prices-september-2026</x:v>
      </x:c>
    </x:row>
    <x:row r="977">
      <x:c r="A977" t="n">
        <x:v>2</x:v>
      </x:c>
      <x:c r="B977" t="str">
        <x:v>Radiant</x:v>
      </x:c>
      <x:c r="C977" t="str">
        <x:v>E</x:v>
      </x:c>
      <x:c r="D977" t="str">
        <x:v>SI2</x:v>
      </x:c>
      <x:c r="E977" s="36" t="n">
        <x:v>14300</x:v>
      </x:c>
      <x:c r="F977" s="36" t="n">
        <x:v>2993</x:v>
      </x:c>
      <x:c r="G977" s="42" t="n">
        <x:v>0.641999141999142</x:v>
      </x:c>
      <x:c r="H977" s="36" t="n">
        <x:f>E977*G977</x:f>
        <x:v>9180.587730587731</x:v>
      </x:c>
      <x:c r="I977" s="36" t="n">
        <x:f>IFERROR(H977/A977,0)</x:f>
        <x:v>4590.293865293866</x:v>
      </x:c>
      <x:c r="J977" s="67" t="str">
        <x:v>Modeled from live base + Sep-2026 quality ratio</x:v>
      </x:c>
      <x:c r="K977" s="67" t="str">
        <x:v>https://www.stonealgo.com/diamond-prices/</x:v>
      </x:c>
      <x:c r="L977" s="67" t="str">
        <x:v>https://www.pricescope.com/blog/natural-diamond-prices-september-2026</x:v>
      </x:c>
    </x:row>
    <x:row r="978">
      <x:c r="A978" t="n">
        <x:v>2</x:v>
      </x:c>
      <x:c r="B978" t="str">
        <x:v>Radiant</x:v>
      </x:c>
      <x:c r="C978" t="str">
        <x:v>F</x:v>
      </x:c>
      <x:c r="D978" t="str">
        <x:v>FL</x:v>
      </x:c>
      <x:c r="E978" s="36" t="n">
        <x:v>14300</x:v>
      </x:c>
      <x:c r="F978" s="36" t="n">
        <x:v>6830</x:v>
      </x:c>
      <x:c r="G978" s="42" t="n">
        <x:v>1.4650364650364651</x:v>
      </x:c>
      <x:c r="H978" s="36" t="n">
        <x:f>E978*G978</x:f>
        <x:v>20950.02145002145</x:v>
      </x:c>
      <x:c r="I978" s="36" t="n">
        <x:f>IFERROR(H978/A978,0)</x:f>
        <x:v>10475.010725010725</x:v>
      </x:c>
      <x:c r="J978" s="67" t="str">
        <x:v>Modeled from live base + Sep-2026 quality ratio</x:v>
      </x:c>
      <x:c r="K978" s="67" t="str">
        <x:v>https://www.stonealgo.com/diamond-prices/</x:v>
      </x:c>
      <x:c r="L978" s="67" t="str">
        <x:v>https://www.pricescope.com/blog/natural-diamond-prices-september-2026</x:v>
      </x:c>
    </x:row>
    <x:row r="979">
      <x:c r="A979" t="n">
        <x:v>2</x:v>
      </x:c>
      <x:c r="B979" t="str">
        <x:v>Radiant</x:v>
      </x:c>
      <x:c r="C979" t="str">
        <x:v>F</x:v>
      </x:c>
      <x:c r="D979" t="str">
        <x:v>IF</x:v>
      </x:c>
      <x:c r="E979" s="36" t="n">
        <x:v>14300</x:v>
      </x:c>
      <x:c r="F979" s="36" t="n">
        <x:v>7302</x:v>
      </x:c>
      <x:c r="G979" s="42" t="n">
        <x:v>1.5662805662805663</x:v>
      </x:c>
      <x:c r="H979" s="36" t="n">
        <x:f>E979*G979</x:f>
        <x:v>22397.812097812097</x:v>
      </x:c>
      <x:c r="I979" s="36" t="n">
        <x:f>IFERROR(H979/A979,0)</x:f>
        <x:v>11198.906048906048</x:v>
      </x:c>
      <x:c r="J979" s="67" t="str">
        <x:v>Modeled from live base + Sep-2026 quality ratio</x:v>
      </x:c>
      <x:c r="K979" s="67" t="str">
        <x:v>https://www.stonealgo.com/diamond-prices/</x:v>
      </x:c>
      <x:c r="L979" s="67" t="str">
        <x:v>https://www.pricescope.com/blog/natural-diamond-prices-september-2026</x:v>
      </x:c>
    </x:row>
    <x:row r="980">
      <x:c r="A980" t="n">
        <x:v>2</x:v>
      </x:c>
      <x:c r="B980" t="str">
        <x:v>Radiant</x:v>
      </x:c>
      <x:c r="C980" t="str">
        <x:v>F</x:v>
      </x:c>
      <x:c r="D980" t="str">
        <x:v>VVS1</x:v>
      </x:c>
      <x:c r="E980" s="36" t="n">
        <x:v>14300</x:v>
      </x:c>
      <x:c r="F980" s="36" t="n">
        <x:v>7542</x:v>
      </x:c>
      <x:c r="G980" s="42" t="n">
        <x:v>1.6177606177606179</x:v>
      </x:c>
      <x:c r="H980" s="36" t="n">
        <x:f>E980*G980</x:f>
        <x:v>23133.976833976834</x:v>
      </x:c>
      <x:c r="I980" s="36" t="n">
        <x:f>IFERROR(H980/A980,0)</x:f>
        <x:v>11566.988416988417</x:v>
      </x:c>
      <x:c r="J980" s="67" t="str">
        <x:v>Modeled from live base + Sep-2026 quality ratio</x:v>
      </x:c>
      <x:c r="K980" s="67" t="str">
        <x:v>https://www.stonealgo.com/diamond-prices/</x:v>
      </x:c>
      <x:c r="L980" s="67" t="str">
        <x:v>https://www.pricescope.com/blog/natural-diamond-prices-september-2026</x:v>
      </x:c>
    </x:row>
    <x:row r="981">
      <x:c r="A981" t="n">
        <x:v>2</x:v>
      </x:c>
      <x:c r="B981" t="str">
        <x:v>Radiant</x:v>
      </x:c>
      <x:c r="C981" t="str">
        <x:v>F</x:v>
      </x:c>
      <x:c r="D981" t="str">
        <x:v>VVS2</x:v>
      </x:c>
      <x:c r="E981" s="36" t="n">
        <x:v>14300</x:v>
      </x:c>
      <x:c r="F981" s="36" t="n">
        <x:v>6352</x:v>
      </x:c>
      <x:c r="G981" s="42" t="n">
        <x:v>1.3625053625053625</x:v>
      </x:c>
      <x:c r="H981" s="36" t="n">
        <x:f>E981*G981</x:f>
        <x:v>19483.826683826683</x:v>
      </x:c>
      <x:c r="I981" s="36" t="n">
        <x:f>IFERROR(H981/A981,0)</x:f>
        <x:v>9741.913341913341</x:v>
      </x:c>
      <x:c r="J981" s="67" t="str">
        <x:v>Modeled from live base + Sep-2026 quality ratio</x:v>
      </x:c>
      <x:c r="K981" s="67" t="str">
        <x:v>https://www.stonealgo.com/diamond-prices/</x:v>
      </x:c>
      <x:c r="L981" s="67" t="str">
        <x:v>https://www.pricescope.com/blog/natural-diamond-prices-september-2026</x:v>
      </x:c>
    </x:row>
    <x:row r="982">
      <x:c r="A982" t="n">
        <x:v>2</x:v>
      </x:c>
      <x:c r="B982" t="str">
        <x:v>Radiant</x:v>
      </x:c>
      <x:c r="C982" t="str">
        <x:v>F</x:v>
      </x:c>
      <x:c r="D982" t="str">
        <x:v>VS1</x:v>
      </x:c>
      <x:c r="E982" s="36" t="n">
        <x:v>14300</x:v>
      </x:c>
      <x:c r="F982" s="36" t="n">
        <x:v>5647</x:v>
      </x:c>
      <x:c r="G982" s="42" t="n">
        <x:v>1.2112827112827114</x:v>
      </x:c>
      <x:c r="H982" s="36" t="n">
        <x:f>E982*G982</x:f>
        <x:v>17321.342771342774</x:v>
      </x:c>
      <x:c r="I982" s="36" t="n">
        <x:f>IFERROR(H982/A982,0)</x:f>
        <x:v>8660.671385671387</x:v>
      </x:c>
      <x:c r="J982" s="67" t="str">
        <x:v>Modeled from live base + Sep-2026 quality ratio</x:v>
      </x:c>
      <x:c r="K982" s="67" t="str">
        <x:v>https://www.stonealgo.com/diamond-prices/</x:v>
      </x:c>
      <x:c r="L982" s="67" t="str">
        <x:v>https://www.pricescope.com/blog/natural-diamond-prices-september-2026</x:v>
      </x:c>
    </x:row>
    <x:row r="983">
      <x:c r="A983" t="n">
        <x:v>2</x:v>
      </x:c>
      <x:c r="B983" t="str">
        <x:v>Radiant</x:v>
      </x:c>
      <x:c r="C983" t="str">
        <x:v>F</x:v>
      </x:c>
      <x:c r="D983" t="str">
        <x:v>VS2</x:v>
      </x:c>
      <x:c r="E983" s="36" t="n">
        <x:v>14300</x:v>
      </x:c>
      <x:c r="F983" s="36" t="n">
        <x:v>4730</x:v>
      </x:c>
      <x:c r="G983" s="42" t="n">
        <x:v>1.0145860145860146</x:v>
      </x:c>
      <x:c r="H983" s="36" t="n">
        <x:f>E983*G983</x:f>
        <x:v>14508.58000858001</x:v>
      </x:c>
      <x:c r="I983" s="36" t="n">
        <x:f>IFERROR(H983/A983,0)</x:f>
        <x:v>7254.290004290005</x:v>
      </x:c>
      <x:c r="J983" s="67" t="str">
        <x:v>Modeled from live base + Sep-2026 quality ratio</x:v>
      </x:c>
      <x:c r="K983" s="67" t="str">
        <x:v>https://www.stonealgo.com/diamond-prices/</x:v>
      </x:c>
      <x:c r="L983" s="67" t="str">
        <x:v>https://www.pricescope.com/blog/natural-diamond-prices-september-2026</x:v>
      </x:c>
    </x:row>
    <x:row r="984">
      <x:c r="A984" t="n">
        <x:v>2</x:v>
      </x:c>
      <x:c r="B984" t="str">
        <x:v>Radiant</x:v>
      </x:c>
      <x:c r="C984" t="str">
        <x:v>F</x:v>
      </x:c>
      <x:c r="D984" t="str">
        <x:v>SI1</x:v>
      </x:c>
      <x:c r="E984" s="36" t="n">
        <x:v>14300</x:v>
      </x:c>
      <x:c r="F984" s="36" t="n">
        <x:v>3331</x:v>
      </x:c>
      <x:c r="G984" s="42" t="n">
        <x:v>0.7145002145002145</x:v>
      </x:c>
      <x:c r="H984" s="36" t="n">
        <x:f>E984*G984</x:f>
        <x:v>10217.353067353068</x:v>
      </x:c>
      <x:c r="I984" s="36" t="n">
        <x:f>IFERROR(H984/A984,0)</x:f>
        <x:v>5108.676533676534</x:v>
      </x:c>
      <x:c r="J984" s="67" t="str">
        <x:v>Modeled from live base + Sep-2026 quality ratio</x:v>
      </x:c>
      <x:c r="K984" s="67" t="str">
        <x:v>https://www.stonealgo.com/diamond-prices/</x:v>
      </x:c>
      <x:c r="L984" s="67" t="str">
        <x:v>https://www.pricescope.com/blog/natural-diamond-prices-september-2026</x:v>
      </x:c>
    </x:row>
    <x:row r="985">
      <x:c r="A985" t="n">
        <x:v>2</x:v>
      </x:c>
      <x:c r="B985" t="str">
        <x:v>Radiant</x:v>
      </x:c>
      <x:c r="C985" t="str">
        <x:v>F</x:v>
      </x:c>
      <x:c r="D985" t="str">
        <x:v>SI2</x:v>
      </x:c>
      <x:c r="E985" s="36" t="n">
        <x:v>14300</x:v>
      </x:c>
      <x:c r="F985" s="36" t="n">
        <x:v>2733</x:v>
      </x:c>
      <x:c r="G985" s="42" t="n">
        <x:v>0.5862290862290862</x:v>
      </x:c>
      <x:c r="H985" s="36" t="n">
        <x:f>E985*G985</x:f>
        <x:v>8383.075933075932</x:v>
      </x:c>
      <x:c r="I985" s="36" t="n">
        <x:f>IFERROR(H985/A985,0)</x:f>
        <x:v>4191.537966537966</x:v>
      </x:c>
      <x:c r="J985" s="67" t="str">
        <x:v>Modeled from live base + Sep-2026 quality ratio</x:v>
      </x:c>
      <x:c r="K985" s="67" t="str">
        <x:v>https://www.stonealgo.com/diamond-prices/</x:v>
      </x:c>
      <x:c r="L985" s="67" t="str">
        <x:v>https://www.pricescope.com/blog/natural-diamond-prices-september-2026</x:v>
      </x:c>
    </x:row>
    <x:row r="986">
      <x:c r="A986" t="n">
        <x:v>2</x:v>
      </x:c>
      <x:c r="B986" t="str">
        <x:v>Radiant</x:v>
      </x:c>
      <x:c r="C986" t="str">
        <x:v>G</x:v>
      </x:c>
      <x:c r="D986" t="str">
        <x:v>FL</x:v>
      </x:c>
      <x:c r="E986" s="36" t="n">
        <x:v>14300</x:v>
      </x:c>
      <x:c r="F986" s="36" t="n">
        <x:v>5905</x:v>
      </x:c>
      <x:c r="G986" s="42" t="n">
        <x:v>1.2666237666237665</x:v>
      </x:c>
      <x:c r="H986" s="36" t="n">
        <x:f>E986*G986</x:f>
        <x:v>18112.71986271986</x:v>
      </x:c>
      <x:c r="I986" s="36" t="n">
        <x:f>IFERROR(H986/A986,0)</x:f>
        <x:v>9056.35993135993</x:v>
      </x:c>
      <x:c r="J986" s="67" t="str">
        <x:v>Modeled from live base + Sep-2026 quality ratio</x:v>
      </x:c>
      <x:c r="K986" s="67" t="str">
        <x:v>https://www.stonealgo.com/diamond-prices/</x:v>
      </x:c>
      <x:c r="L986" s="67" t="str">
        <x:v>https://www.pricescope.com/blog/natural-diamond-prices-september-2026</x:v>
      </x:c>
    </x:row>
    <x:row r="987">
      <x:c r="A987" t="n">
        <x:v>2</x:v>
      </x:c>
      <x:c r="B987" t="str">
        <x:v>Radiant</x:v>
      </x:c>
      <x:c r="C987" t="str">
        <x:v>G</x:v>
      </x:c>
      <x:c r="D987" t="str">
        <x:v>IF</x:v>
      </x:c>
      <x:c r="E987" s="36" t="n">
        <x:v>14300</x:v>
      </x:c>
      <x:c r="F987" s="36" t="n">
        <x:v>5601</x:v>
      </x:c>
      <x:c r="G987" s="42" t="n">
        <x:v>1.2014157014157014</x:v>
      </x:c>
      <x:c r="H987" s="36" t="n">
        <x:f>E987*G987</x:f>
        <x:v>17180.24453024453</x:v>
      </x:c>
      <x:c r="I987" s="36" t="n">
        <x:f>IFERROR(H987/A987,0)</x:f>
        <x:v>8590.122265122265</x:v>
      </x:c>
      <x:c r="J987" s="67" t="str">
        <x:v>Modeled from live base + Sep-2026 quality ratio</x:v>
      </x:c>
      <x:c r="K987" s="67" t="str">
        <x:v>https://www.stonealgo.com/diamond-prices/</x:v>
      </x:c>
      <x:c r="L987" s="67" t="str">
        <x:v>https://www.pricescope.com/blog/natural-diamond-prices-september-2026</x:v>
      </x:c>
    </x:row>
    <x:row r="988">
      <x:c r="A988" t="n">
        <x:v>2</x:v>
      </x:c>
      <x:c r="B988" t="str">
        <x:v>Radiant</x:v>
      </x:c>
      <x:c r="C988" t="str">
        <x:v>G</x:v>
      </x:c>
      <x:c r="D988" t="str">
        <x:v>VVS1</x:v>
      </x:c>
      <x:c r="E988" s="36" t="n">
        <x:v>14300</x:v>
      </x:c>
      <x:c r="F988" s="36" t="n">
        <x:v>5124</x:v>
      </x:c>
      <x:c r="G988" s="42" t="n">
        <x:v>1.0990990990990992</x:v>
      </x:c>
      <x:c r="H988" s="36" t="n">
        <x:f>E988*G988</x:f>
        <x:v>15717.117117117119</x:v>
      </x:c>
      <x:c r="I988" s="36" t="n">
        <x:f>IFERROR(H988/A988,0)</x:f>
        <x:v>7858.5585585585595</x:v>
      </x:c>
      <x:c r="J988" s="67" t="str">
        <x:v>Modeled from live base + Sep-2026 quality ratio</x:v>
      </x:c>
      <x:c r="K988" s="67" t="str">
        <x:v>https://www.stonealgo.com/diamond-prices/</x:v>
      </x:c>
      <x:c r="L988" s="67" t="str">
        <x:v>https://www.pricescope.com/blog/natural-diamond-prices-september-2026</x:v>
      </x:c>
    </x:row>
    <x:row r="989">
      <x:c r="A989" t="n">
        <x:v>2</x:v>
      </x:c>
      <x:c r="B989" t="str">
        <x:v>Radiant</x:v>
      </x:c>
      <x:c r="C989" t="str">
        <x:v>G</x:v>
      </x:c>
      <x:c r="D989" t="str">
        <x:v>VVS2</x:v>
      </x:c>
      <x:c r="E989" s="36" t="n">
        <x:v>14300</x:v>
      </x:c>
      <x:c r="F989" s="36" t="n">
        <x:v>4962</x:v>
      </x:c>
      <x:c r="G989" s="42" t="n">
        <x:v>1.0643500643500643</x:v>
      </x:c>
      <x:c r="H989" s="36" t="n">
        <x:f>E989*G989</x:f>
        <x:v>15220.205920205919</x:v>
      </x:c>
      <x:c r="I989" s="36" t="n">
        <x:f>IFERROR(H989/A989,0)</x:f>
        <x:v>7610.1029601029595</x:v>
      </x:c>
      <x:c r="J989" s="67" t="str">
        <x:v>Modeled from live base + Sep-2026 quality ratio</x:v>
      </x:c>
      <x:c r="K989" s="67" t="str">
        <x:v>https://www.stonealgo.com/diamond-prices/</x:v>
      </x:c>
      <x:c r="L989" s="67" t="str">
        <x:v>https://www.pricescope.com/blog/natural-diamond-prices-september-2026</x:v>
      </x:c>
    </x:row>
    <x:row r="990">
      <x:c r="A990" t="n">
        <x:v>2</x:v>
      </x:c>
      <x:c r="B990" t="str">
        <x:v>Radiant</x:v>
      </x:c>
      <x:c r="C990" t="str">
        <x:v>G</x:v>
      </x:c>
      <x:c r="D990" t="str">
        <x:v>VS1</x:v>
      </x:c>
      <x:c r="E990" s="36" t="n">
        <x:v>14300</x:v>
      </x:c>
      <x:c r="F990" s="36" t="n">
        <x:v>4615</x:v>
      </x:c>
      <x:c r="G990" s="42" t="n">
        <x:v>0.98991848991849</x:v>
      </x:c>
      <x:c r="H990" s="36" t="n">
        <x:f>E990*G990</x:f>
        <x:v>14155.834405834406</x:v>
      </x:c>
      <x:c r="I990" s="36" t="n">
        <x:f>IFERROR(H990/A990,0)</x:f>
        <x:v>7077.917202917203</x:v>
      </x:c>
      <x:c r="J990" s="67" t="str">
        <x:v>Modeled from live base + Sep-2026 quality ratio</x:v>
      </x:c>
      <x:c r="K990" s="67" t="str">
        <x:v>https://www.stonealgo.com/diamond-prices/</x:v>
      </x:c>
      <x:c r="L990" s="67" t="str">
        <x:v>https://www.pricescope.com/blog/natural-diamond-prices-september-2026</x:v>
      </x:c>
    </x:row>
    <x:row r="991">
      <x:c r="A991" t="n">
        <x:v>2</x:v>
      </x:c>
      <x:c r="B991" t="str">
        <x:v>Radiant</x:v>
      </x:c>
      <x:c r="C991" t="str">
        <x:v>G</x:v>
      </x:c>
      <x:c r="D991" t="str">
        <x:v>VS2</x:v>
      </x:c>
      <x:c r="E991" s="36" t="n">
        <x:v>14300</x:v>
      </x:c>
      <x:c r="F991" s="36" t="n">
        <x:v>4585</x:v>
      </x:c>
      <x:c r="G991" s="42" t="n">
        <x:v>0.9834834834834835</x:v>
      </x:c>
      <x:c r="H991" s="36" t="n">
        <x:f>E991*G991</x:f>
        <x:v>14063.813813813813</x:v>
      </x:c>
      <x:c r="I991" s="36" t="n">
        <x:f>IFERROR(H991/A991,0)</x:f>
        <x:v>7031.906906906906</x:v>
      </x:c>
      <x:c r="J991" s="67" t="str">
        <x:v>Modeled from live base + Sep-2026 quality ratio</x:v>
      </x:c>
      <x:c r="K991" s="67" t="str">
        <x:v>https://www.stonealgo.com/diamond-prices/</x:v>
      </x:c>
      <x:c r="L991" s="67" t="str">
        <x:v>https://www.pricescope.com/blog/natural-diamond-prices-september-2026</x:v>
      </x:c>
    </x:row>
    <x:row r="992">
      <x:c r="A992" t="n">
        <x:v>2</x:v>
      </x:c>
      <x:c r="B992" t="str">
        <x:v>Radiant</x:v>
      </x:c>
      <x:c r="C992" t="str">
        <x:v>G</x:v>
      </x:c>
      <x:c r="D992" t="str">
        <x:v>SI1</x:v>
      </x:c>
      <x:c r="E992" s="36" t="n">
        <x:v>14300</x:v>
      </x:c>
      <x:c r="F992" s="36" t="n">
        <x:v>3664</x:v>
      </x:c>
      <x:c r="G992" s="42" t="n">
        <x:v>0.7859287859287859</x:v>
      </x:c>
      <x:c r="H992" s="36" t="n">
        <x:f>E992*G992</x:f>
        <x:v>11238.781638781638</x:v>
      </x:c>
      <x:c r="I992" s="36" t="n">
        <x:f>IFERROR(H992/A992,0)</x:f>
        <x:v>5619.390819390819</x:v>
      </x:c>
      <x:c r="J992" s="67" t="str">
        <x:v>Modeled from live base + Sep-2026 quality ratio</x:v>
      </x:c>
      <x:c r="K992" s="67" t="str">
        <x:v>https://www.stonealgo.com/diamond-prices/</x:v>
      </x:c>
      <x:c r="L992" s="67" t="str">
        <x:v>https://www.pricescope.com/blog/natural-diamond-prices-september-2026</x:v>
      </x:c>
    </x:row>
    <x:row r="993">
      <x:c r="A993" t="n">
        <x:v>2</x:v>
      </x:c>
      <x:c r="B993" t="str">
        <x:v>Radiant</x:v>
      </x:c>
      <x:c r="C993" t="str">
        <x:v>G</x:v>
      </x:c>
      <x:c r="D993" t="str">
        <x:v>SI2</x:v>
      </x:c>
      <x:c r="E993" s="36" t="n">
        <x:v>14300</x:v>
      </x:c>
      <x:c r="F993" s="36" t="n">
        <x:v>2537</x:v>
      </x:c>
      <x:c r="G993" s="42" t="n">
        <x:v>0.5441870441870442</x:v>
      </x:c>
      <x:c r="H993" s="36" t="n">
        <x:f>E993*G993</x:f>
        <x:v>7781.874731874733</x:v>
      </x:c>
      <x:c r="I993" s="36" t="n">
        <x:f>IFERROR(H993/A993,0)</x:f>
        <x:v>3890.9373659373664</x:v>
      </x:c>
      <x:c r="J993" s="67" t="str">
        <x:v>Modeled from live base + Sep-2026 quality ratio</x:v>
      </x:c>
      <x:c r="K993" s="67" t="str">
        <x:v>https://www.stonealgo.com/diamond-prices/</x:v>
      </x:c>
      <x:c r="L993" s="67" t="str">
        <x:v>https://www.pricescope.com/blog/natural-diamond-prices-september-2026</x:v>
      </x:c>
    </x:row>
    <x:row r="994">
      <x:c r="A994" t="n">
        <x:v>2</x:v>
      </x:c>
      <x:c r="B994" t="str">
        <x:v>Radiant</x:v>
      </x:c>
      <x:c r="C994" t="str">
        <x:v>H</x:v>
      </x:c>
      <x:c r="D994" t="str">
        <x:v>FL</x:v>
      </x:c>
      <x:c r="E994" s="36" t="n">
        <x:v>14300</x:v>
      </x:c>
      <x:c r="F994" s="36" t="n">
        <x:v>4563</x:v>
      </x:c>
      <x:c r="G994" s="42" t="n">
        <x:v>0.9787644787644788</x:v>
      </x:c>
      <x:c r="H994" s="36" t="n">
        <x:f>E994*G994</x:f>
        <x:v>13996.332046332047</x:v>
      </x:c>
      <x:c r="I994" s="36" t="n">
        <x:f>IFERROR(H994/A994,0)</x:f>
        <x:v>6998.1660231660235</x:v>
      </x:c>
      <x:c r="J994" s="67" t="str">
        <x:v>Modeled from live base + Sep-2026 quality ratio</x:v>
      </x:c>
      <x:c r="K994" s="67" t="str">
        <x:v>https://www.stonealgo.com/diamond-prices/</x:v>
      </x:c>
      <x:c r="L994" s="67" t="str">
        <x:v>https://www.pricescope.com/blog/natural-diamond-prices-september-2026</x:v>
      </x:c>
    </x:row>
    <x:row r="995">
      <x:c r="A995" t="n">
        <x:v>2</x:v>
      </x:c>
      <x:c r="B995" t="str">
        <x:v>Radiant</x:v>
      </x:c>
      <x:c r="C995" t="str">
        <x:v>H</x:v>
      </x:c>
      <x:c r="D995" t="str">
        <x:v>IF</x:v>
      </x:c>
      <x:c r="E995" s="36" t="n">
        <x:v>14300</x:v>
      </x:c>
      <x:c r="F995" s="36" t="n">
        <x:v>4809</x:v>
      </x:c>
      <x:c r="G995" s="42" t="n">
        <x:v>1.0315315315315314</x:v>
      </x:c>
      <x:c r="H995" s="36" t="n">
        <x:f>E995*G995</x:f>
        <x:v>14750.900900900899</x:v>
      </x:c>
      <x:c r="I995" s="36" t="n">
        <x:f>IFERROR(H995/A995,0)</x:f>
        <x:v>7375.450450450449</x:v>
      </x:c>
      <x:c r="J995" s="67" t="str">
        <x:v>Modeled from live base + Sep-2026 quality ratio</x:v>
      </x:c>
      <x:c r="K995" s="67" t="str">
        <x:v>https://www.stonealgo.com/diamond-prices/</x:v>
      </x:c>
      <x:c r="L995" s="67" t="str">
        <x:v>https://www.pricescope.com/blog/natural-diamond-prices-september-2026</x:v>
      </x:c>
    </x:row>
    <x:row r="996">
      <x:c r="A996" t="n">
        <x:v>2</x:v>
      </x:c>
      <x:c r="B996" t="str">
        <x:v>Radiant</x:v>
      </x:c>
      <x:c r="C996" t="str">
        <x:v>H</x:v>
      </x:c>
      <x:c r="D996" t="str">
        <x:v>VVS1</x:v>
      </x:c>
      <x:c r="E996" s="36" t="n">
        <x:v>14300</x:v>
      </x:c>
      <x:c r="F996" s="36" t="n">
        <x:v>4911</x:v>
      </x:c>
      <x:c r="G996" s="42" t="n">
        <x:v>1.0534105534105533</x:v>
      </x:c>
      <x:c r="H996" s="36" t="n">
        <x:f>E996*G996</x:f>
        <x:v>15063.770913770913</x:v>
      </x:c>
      <x:c r="I996" s="36" t="n">
        <x:f>IFERROR(H996/A996,0)</x:f>
        <x:v>7531.885456885457</x:v>
      </x:c>
      <x:c r="J996" s="67" t="str">
        <x:v>Modeled from live base + Sep-2026 quality ratio</x:v>
      </x:c>
      <x:c r="K996" s="67" t="str">
        <x:v>https://www.stonealgo.com/diamond-prices/</x:v>
      </x:c>
      <x:c r="L996" s="67" t="str">
        <x:v>https://www.pricescope.com/blog/natural-diamond-prices-september-2026</x:v>
      </x:c>
    </x:row>
    <x:row r="997">
      <x:c r="A997" t="n">
        <x:v>2</x:v>
      </x:c>
      <x:c r="B997" t="str">
        <x:v>Radiant</x:v>
      </x:c>
      <x:c r="C997" t="str">
        <x:v>H</x:v>
      </x:c>
      <x:c r="D997" t="str">
        <x:v>VVS2</x:v>
      </x:c>
      <x:c r="E997" s="36" t="n">
        <x:v>14300</x:v>
      </x:c>
      <x:c r="F997" s="36" t="n">
        <x:v>4046</x:v>
      </x:c>
      <x:c r="G997" s="42" t="n">
        <x:v>0.8678678678678678</x:v>
      </x:c>
      <x:c r="H997" s="36" t="n">
        <x:f>E997*G997</x:f>
        <x:v>12410.51051051051</x:v>
      </x:c>
      <x:c r="I997" s="36" t="n">
        <x:f>IFERROR(H997/A997,0)</x:f>
        <x:v>6205.255255255255</x:v>
      </x:c>
      <x:c r="J997" s="67" t="str">
        <x:v>Modeled from live base + Sep-2026 quality ratio</x:v>
      </x:c>
      <x:c r="K997" s="67" t="str">
        <x:v>https://www.stonealgo.com/diamond-prices/</x:v>
      </x:c>
      <x:c r="L997" s="67" t="str">
        <x:v>https://www.pricescope.com/blog/natural-diamond-prices-september-2026</x:v>
      </x:c>
    </x:row>
    <x:row r="998">
      <x:c r="A998" t="n">
        <x:v>2</x:v>
      </x:c>
      <x:c r="B998" t="str">
        <x:v>Radiant</x:v>
      </x:c>
      <x:c r="C998" t="str">
        <x:v>H</x:v>
      </x:c>
      <x:c r="D998" t="str">
        <x:v>VS1</x:v>
      </x:c>
      <x:c r="E998" s="36" t="n">
        <x:v>14300</x:v>
      </x:c>
      <x:c r="F998" s="36" t="n">
        <x:v>3893</x:v>
      </x:c>
      <x:c r="G998" s="42" t="n">
        <x:v>0.8350493350493351</x:v>
      </x:c>
      <x:c r="H998" s="36" t="n">
        <x:f>E998*G998</x:f>
        <x:v>11941.205491205492</x:v>
      </x:c>
      <x:c r="I998" s="36" t="n">
        <x:f>IFERROR(H998/A998,0)</x:f>
        <x:v>5970.602745602746</x:v>
      </x:c>
      <x:c r="J998" s="67" t="str">
        <x:v>Modeled from live base + Sep-2026 quality ratio</x:v>
      </x:c>
      <x:c r="K998" s="67" t="str">
        <x:v>https://www.stonealgo.com/diamond-prices/</x:v>
      </x:c>
      <x:c r="L998" s="67" t="str">
        <x:v>https://www.pricescope.com/blog/natural-diamond-prices-september-2026</x:v>
      </x:c>
    </x:row>
    <x:row r="999">
      <x:c r="A999" t="n">
        <x:v>2</x:v>
      </x:c>
      <x:c r="B999" t="str">
        <x:v>Radiant</x:v>
      </x:c>
      <x:c r="C999" t="str">
        <x:v>H</x:v>
      </x:c>
      <x:c r="D999" t="str">
        <x:v>VS2</x:v>
      </x:c>
      <x:c r="E999" s="36" t="n">
        <x:v>14300</x:v>
      </x:c>
      <x:c r="F999" s="36" t="n">
        <x:v>3989</x:v>
      </x:c>
      <x:c r="G999" s="42" t="n">
        <x:v>0.8556413556413557</x:v>
      </x:c>
      <x:c r="H999" s="36" t="n">
        <x:f>E999*G999</x:f>
        <x:v>12235.671385671387</x:v>
      </x:c>
      <x:c r="I999" s="36" t="n">
        <x:f>IFERROR(H999/A999,0)</x:f>
        <x:v>6117.835692835693</x:v>
      </x:c>
      <x:c r="J999" s="67" t="str">
        <x:v>Modeled from live base + Sep-2026 quality ratio</x:v>
      </x:c>
      <x:c r="K999" s="67" t="str">
        <x:v>https://www.stonealgo.com/diamond-prices/</x:v>
      </x:c>
      <x:c r="L999" s="67" t="str">
        <x:v>https://www.pricescope.com/blog/natural-diamond-prices-september-2026</x:v>
      </x:c>
    </x:row>
    <x:row r="1000">
      <x:c r="A1000" t="n">
        <x:v>2</x:v>
      </x:c>
      <x:c r="B1000" t="str">
        <x:v>Radiant</x:v>
      </x:c>
      <x:c r="C1000" t="str">
        <x:v>H</x:v>
      </x:c>
      <x:c r="D1000" t="str">
        <x:v>SI1</x:v>
      </x:c>
      <x:c r="E1000" s="36" t="n">
        <x:v>14300</x:v>
      </x:c>
      <x:c r="F1000" s="36" t="n">
        <x:v>2828</x:v>
      </x:c>
      <x:c r="G1000" s="42" t="n">
        <x:v>0.6066066066066066</x:v>
      </x:c>
      <x:c r="H1000" s="36" t="n">
        <x:f>E1000*G1000</x:f>
        <x:v>8674.474474474475</x:v>
      </x:c>
      <x:c r="I1000" s="36" t="n">
        <x:f>IFERROR(H1000/A1000,0)</x:f>
        <x:v>4337.237237237237</x:v>
      </x:c>
      <x:c r="J1000" s="67" t="str">
        <x:v>Modeled from live base + Sep-2026 quality ratio</x:v>
      </x:c>
      <x:c r="K1000" s="67" t="str">
        <x:v>https://www.stonealgo.com/diamond-prices/</x:v>
      </x:c>
      <x:c r="L1000" s="67" t="str">
        <x:v>https://www.pricescope.com/blog/natural-diamond-prices-september-2026</x:v>
      </x:c>
    </x:row>
    <x:row r="1001">
      <x:c r="A1001" t="n">
        <x:v>2</x:v>
      </x:c>
      <x:c r="B1001" t="str">
        <x:v>Radiant</x:v>
      </x:c>
      <x:c r="C1001" t="str">
        <x:v>H</x:v>
      </x:c>
      <x:c r="D1001" t="str">
        <x:v>SI2</x:v>
      </x:c>
      <x:c r="E1001" s="36" t="n">
        <x:v>14300</x:v>
      </x:c>
      <x:c r="F1001" s="36" t="n">
        <x:v>2328</x:v>
      </x:c>
      <x:c r="G1001" s="42" t="n">
        <x:v>0.49935649935649934</x:v>
      </x:c>
      <x:c r="H1001" s="36" t="n">
        <x:f>E1001*G1001</x:f>
        <x:v>7140.79794079794</x:v>
      </x:c>
      <x:c r="I1001" s="36" t="n">
        <x:f>IFERROR(H1001/A1001,0)</x:f>
        <x:v>3570.39897039897</x:v>
      </x:c>
      <x:c r="J1001" s="67" t="str">
        <x:v>Modeled from live base + Sep-2026 quality ratio</x:v>
      </x:c>
      <x:c r="K1001" s="67" t="str">
        <x:v>https://www.stonealgo.com/diamond-prices/</x:v>
      </x:c>
      <x:c r="L1001" s="67" t="str">
        <x:v>https://www.pricescope.com/blog/natural-diamond-prices-september-2026</x:v>
      </x:c>
    </x:row>
    <x:row r="1002">
      <x:c r="A1002" t="n">
        <x:v>2</x:v>
      </x:c>
      <x:c r="B1002" t="str">
        <x:v>Radiant</x:v>
      </x:c>
      <x:c r="C1002" t="str">
        <x:v>I</x:v>
      </x:c>
      <x:c r="D1002" t="str">
        <x:v>FL</x:v>
      </x:c>
      <x:c r="E1002" s="36" t="n">
        <x:v>14300</x:v>
      </x:c>
      <x:c r="F1002" s="36" t="n">
        <x:v>4623</x:v>
      </x:c>
      <x:c r="G1002" s="42" t="n">
        <x:v>0.9916344916344917</x:v>
      </x:c>
      <x:c r="H1002" s="36" t="n">
        <x:f>E1002*G1002</x:f>
        <x:v>14180.37323037323</x:v>
      </x:c>
      <x:c r="I1002" s="36" t="n">
        <x:f>IFERROR(H1002/A1002,0)</x:f>
        <x:v>7090.186615186615</x:v>
      </x:c>
      <x:c r="J1002" s="67" t="str">
        <x:v>Modeled from live base + Sep-2026 quality ratio</x:v>
      </x:c>
      <x:c r="K1002" s="67" t="str">
        <x:v>https://www.stonealgo.com/diamond-prices/</x:v>
      </x:c>
      <x:c r="L1002" s="67" t="str">
        <x:v>https://www.pricescope.com/blog/natural-diamond-prices-september-2026</x:v>
      </x:c>
    </x:row>
    <x:row r="1003">
      <x:c r="A1003" t="n">
        <x:v>2</x:v>
      </x:c>
      <x:c r="B1003" t="str">
        <x:v>Radiant</x:v>
      </x:c>
      <x:c r="C1003" t="str">
        <x:v>I</x:v>
      </x:c>
      <x:c r="D1003" t="str">
        <x:v>IF</x:v>
      </x:c>
      <x:c r="E1003" s="36" t="n">
        <x:v>14300</x:v>
      </x:c>
      <x:c r="F1003" s="36" t="n">
        <x:v>4005</x:v>
      </x:c>
      <x:c r="G1003" s="42" t="n">
        <x:v>0.859073359073359</x:v>
      </x:c>
      <x:c r="H1003" s="36" t="n">
        <x:f>E1003*G1003</x:f>
        <x:v>12284.749034749035</x:v>
      </x:c>
      <x:c r="I1003" s="36" t="n">
        <x:f>IFERROR(H1003/A1003,0)</x:f>
        <x:v>6142.374517374517</x:v>
      </x:c>
      <x:c r="J1003" s="67" t="str">
        <x:v>Modeled from live base + Sep-2026 quality ratio</x:v>
      </x:c>
      <x:c r="K1003" s="67" t="str">
        <x:v>https://www.stonealgo.com/diamond-prices/</x:v>
      </x:c>
      <x:c r="L1003" s="67" t="str">
        <x:v>https://www.pricescope.com/blog/natural-diamond-prices-september-2026</x:v>
      </x:c>
    </x:row>
    <x:row r="1004">
      <x:c r="A1004" t="n">
        <x:v>2</x:v>
      </x:c>
      <x:c r="B1004" t="str">
        <x:v>Radiant</x:v>
      </x:c>
      <x:c r="C1004" t="str">
        <x:v>I</x:v>
      </x:c>
      <x:c r="D1004" t="str">
        <x:v>VVS1</x:v>
      </x:c>
      <x:c r="E1004" s="36" t="n">
        <x:v>14300</x:v>
      </x:c>
      <x:c r="F1004" s="36" t="n">
        <x:v>3670</x:v>
      </x:c>
      <x:c r="G1004" s="42" t="n">
        <x:v>0.7872157872157872</x:v>
      </x:c>
      <x:c r="H1004" s="36" t="n">
        <x:f>E1004*G1004</x:f>
        <x:v>11257.185757185758</x:v>
      </x:c>
      <x:c r="I1004" s="36" t="n">
        <x:f>IFERROR(H1004/A1004,0)</x:f>
        <x:v>5628.592878592879</x:v>
      </x:c>
      <x:c r="J1004" s="67" t="str">
        <x:v>Modeled from live base + Sep-2026 quality ratio</x:v>
      </x:c>
      <x:c r="K1004" s="67" t="str">
        <x:v>https://www.stonealgo.com/diamond-prices/</x:v>
      </x:c>
      <x:c r="L1004" s="67" t="str">
        <x:v>https://www.pricescope.com/blog/natural-diamond-prices-september-2026</x:v>
      </x:c>
    </x:row>
    <x:row r="1005">
      <x:c r="A1005" t="n">
        <x:v>2</x:v>
      </x:c>
      <x:c r="B1005" t="str">
        <x:v>Radiant</x:v>
      </x:c>
      <x:c r="C1005" t="str">
        <x:v>I</x:v>
      </x:c>
      <x:c r="D1005" t="str">
        <x:v>VVS2</x:v>
      </x:c>
      <x:c r="E1005" s="36" t="n">
        <x:v>14300</x:v>
      </x:c>
      <x:c r="F1005" s="36" t="n">
        <x:v>3447</x:v>
      </x:c>
      <x:c r="G1005" s="42" t="n">
        <x:v>0.7393822393822393</x:v>
      </x:c>
      <x:c r="H1005" s="36" t="n">
        <x:f>E1005*G1005</x:f>
        <x:v>10573.166023166023</x:v>
      </x:c>
      <x:c r="I1005" s="36" t="n">
        <x:f>IFERROR(H1005/A1005,0)</x:f>
        <x:v>5286.583011583011</x:v>
      </x:c>
      <x:c r="J1005" s="67" t="str">
        <x:v>Modeled from live base + Sep-2026 quality ratio</x:v>
      </x:c>
      <x:c r="K1005" s="67" t="str">
        <x:v>https://www.stonealgo.com/diamond-prices/</x:v>
      </x:c>
      <x:c r="L1005" s="67" t="str">
        <x:v>https://www.pricescope.com/blog/natural-diamond-prices-september-2026</x:v>
      </x:c>
    </x:row>
    <x:row r="1006">
      <x:c r="A1006" t="n">
        <x:v>2</x:v>
      </x:c>
      <x:c r="B1006" t="str">
        <x:v>Radiant</x:v>
      </x:c>
      <x:c r="C1006" t="str">
        <x:v>I</x:v>
      </x:c>
      <x:c r="D1006" t="str">
        <x:v>VS1</x:v>
      </x:c>
      <x:c r="E1006" s="36" t="n">
        <x:v>14300</x:v>
      </x:c>
      <x:c r="F1006" s="36" t="n">
        <x:v>3313</x:v>
      </x:c>
      <x:c r="G1006" s="42" t="n">
        <x:v>0.7106392106392107</x:v>
      </x:c>
      <x:c r="H1006" s="36" t="n">
        <x:f>E1006*G1006</x:f>
        <x:v>10162.140712140712</x:v>
      </x:c>
      <x:c r="I1006" s="36" t="n">
        <x:f>IFERROR(H1006/A1006,0)</x:f>
        <x:v>5081.070356070356</x:v>
      </x:c>
      <x:c r="J1006" s="67" t="str">
        <x:v>Modeled from live base + Sep-2026 quality ratio</x:v>
      </x:c>
      <x:c r="K1006" s="67" t="str">
        <x:v>https://www.stonealgo.com/diamond-prices/</x:v>
      </x:c>
      <x:c r="L1006" s="67" t="str">
        <x:v>https://www.pricescope.com/blog/natural-diamond-prices-september-2026</x:v>
      </x:c>
    </x:row>
    <x:row r="1007">
      <x:c r="A1007" t="n">
        <x:v>2</x:v>
      </x:c>
      <x:c r="B1007" t="str">
        <x:v>Radiant</x:v>
      </x:c>
      <x:c r="C1007" t="str">
        <x:v>I</x:v>
      </x:c>
      <x:c r="D1007" t="str">
        <x:v>VS2</x:v>
      </x:c>
      <x:c r="E1007" s="36" t="n">
        <x:v>14300</x:v>
      </x:c>
      <x:c r="F1007" s="36" t="n">
        <x:v>3240</x:v>
      </x:c>
      <x:c r="G1007" s="42" t="n">
        <x:v>0.694980694980695</x:v>
      </x:c>
      <x:c r="H1007" s="36" t="n">
        <x:f>E1007*G1007</x:f>
        <x:v>9938.223938223939</x:v>
      </x:c>
      <x:c r="I1007" s="36" t="n">
        <x:f>IFERROR(H1007/A1007,0)</x:f>
        <x:v>4969.111969111969</x:v>
      </x:c>
      <x:c r="J1007" s="67" t="str">
        <x:v>Modeled from live base + Sep-2026 quality ratio</x:v>
      </x:c>
      <x:c r="K1007" s="67" t="str">
        <x:v>https://www.stonealgo.com/diamond-prices/</x:v>
      </x:c>
      <x:c r="L1007" s="67" t="str">
        <x:v>https://www.pricescope.com/blog/natural-diamond-prices-september-2026</x:v>
      </x:c>
    </x:row>
    <x:row r="1008">
      <x:c r="A1008" t="n">
        <x:v>2</x:v>
      </x:c>
      <x:c r="B1008" t="str">
        <x:v>Radiant</x:v>
      </x:c>
      <x:c r="C1008" t="str">
        <x:v>I</x:v>
      </x:c>
      <x:c r="D1008" t="str">
        <x:v>SI1</x:v>
      </x:c>
      <x:c r="E1008" s="36" t="n">
        <x:v>14300</x:v>
      </x:c>
      <x:c r="F1008" s="36" t="n">
        <x:v>3199</x:v>
      </x:c>
      <x:c r="G1008" s="42" t="n">
        <x:v>0.6861861861861862</x:v>
      </x:c>
      <x:c r="H1008" s="36" t="n">
        <x:f>E1008*G1008</x:f>
        <x:v>9812.462462462463</x:v>
      </x:c>
      <x:c r="I1008" s="36" t="n">
        <x:f>IFERROR(H1008/A1008,0)</x:f>
        <x:v>4906.2312312312315</x:v>
      </x:c>
      <x:c r="J1008" s="67" t="str">
        <x:v>Modeled from live base + Sep-2026 quality ratio</x:v>
      </x:c>
      <x:c r="K1008" s="67" t="str">
        <x:v>https://www.stonealgo.com/diamond-prices/</x:v>
      </x:c>
      <x:c r="L1008" s="67" t="str">
        <x:v>https://www.pricescope.com/blog/natural-diamond-prices-september-2026</x:v>
      </x:c>
    </x:row>
    <x:row r="1009">
      <x:c r="A1009" t="n">
        <x:v>2</x:v>
      </x:c>
      <x:c r="B1009" t="str">
        <x:v>Radiant</x:v>
      </x:c>
      <x:c r="C1009" t="str">
        <x:v>I</x:v>
      </x:c>
      <x:c r="D1009" t="str">
        <x:v>SI2</x:v>
      </x:c>
      <x:c r="E1009" s="36" t="n">
        <x:v>14300</x:v>
      </x:c>
      <x:c r="F1009" s="36" t="n">
        <x:v>2874</x:v>
      </x:c>
      <x:c r="G1009" s="42" t="n">
        <x:v>0.6164736164736164</x:v>
      </x:c>
      <x:c r="H1009" s="36" t="n">
        <x:f>E1009*G1009</x:f>
        <x:v>8815.572715572715</x:v>
      </x:c>
      <x:c r="I1009" s="36" t="n">
        <x:f>IFERROR(H1009/A1009,0)</x:f>
        <x:v>4407.786357786357</x:v>
      </x:c>
      <x:c r="J1009" s="67" t="str">
        <x:v>Modeled from live base + Sep-2026 quality ratio</x:v>
      </x:c>
      <x:c r="K1009" s="67" t="str">
        <x:v>https://www.stonealgo.com/diamond-prices/</x:v>
      </x:c>
      <x:c r="L1009" s="67" t="str">
        <x:v>https://www.pricescope.com/blog/natural-diamond-prices-september-2026</x:v>
      </x:c>
    </x:row>
    <x:row r="1010">
      <x:c r="A1010" t="n">
        <x:v>2</x:v>
      </x:c>
      <x:c r="B1010" t="str">
        <x:v>Radiant</x:v>
      </x:c>
      <x:c r="C1010" t="str">
        <x:v>J</x:v>
      </x:c>
      <x:c r="D1010" t="str">
        <x:v>FL</x:v>
      </x:c>
      <x:c r="E1010" s="36" t="n">
        <x:v>14300</x:v>
      </x:c>
      <x:c r="F1010" s="36" t="n">
        <x:v>3646</x:v>
      </x:c>
      <x:c r="G1010" s="42" t="n">
        <x:v>0.782067782067782</x:v>
      </x:c>
      <x:c r="H1010" s="36" t="n">
        <x:f>E1010*G1010</x:f>
        <x:v>11183.569283569283</x:v>
      </x:c>
      <x:c r="I1010" s="36" t="n">
        <x:f>IFERROR(H1010/A1010,0)</x:f>
        <x:v>5591.784641784641</x:v>
      </x:c>
      <x:c r="J1010" s="67" t="str">
        <x:v>Modeled from live base + Sep-2026 quality ratio</x:v>
      </x:c>
      <x:c r="K1010" s="67" t="str">
        <x:v>https://www.stonealgo.com/diamond-prices/</x:v>
      </x:c>
      <x:c r="L1010" s="67" t="str">
        <x:v>https://www.pricescope.com/blog/natural-diamond-prices-september-2026</x:v>
      </x:c>
    </x:row>
    <x:row r="1011">
      <x:c r="A1011" t="n">
        <x:v>2</x:v>
      </x:c>
      <x:c r="B1011" t="str">
        <x:v>Radiant</x:v>
      </x:c>
      <x:c r="C1011" t="str">
        <x:v>J</x:v>
      </x:c>
      <x:c r="D1011" t="str">
        <x:v>IF</x:v>
      </x:c>
      <x:c r="E1011" s="36" t="n">
        <x:v>14300</x:v>
      </x:c>
      <x:c r="F1011" s="36" t="n">
        <x:v>3368</x:v>
      </x:c>
      <x:c r="G1011" s="42" t="n">
        <x:v>0.7224367224367224</x:v>
      </x:c>
      <x:c r="H1011" s="36" t="n">
        <x:f>E1011*G1011</x:f>
        <x:v>10330.845130845131</x:v>
      </x:c>
      <x:c r="I1011" s="36" t="n">
        <x:f>IFERROR(H1011/A1011,0)</x:f>
        <x:v>5165.422565422566</x:v>
      </x:c>
      <x:c r="J1011" s="67" t="str">
        <x:v>Modeled from live base + Sep-2026 quality ratio</x:v>
      </x:c>
      <x:c r="K1011" s="67" t="str">
        <x:v>https://www.stonealgo.com/diamond-prices/</x:v>
      </x:c>
      <x:c r="L1011" s="67" t="str">
        <x:v>https://www.pricescope.com/blog/natural-diamond-prices-september-2026</x:v>
      </x:c>
    </x:row>
    <x:row r="1012">
      <x:c r="A1012" t="n">
        <x:v>2</x:v>
      </x:c>
      <x:c r="B1012" t="str">
        <x:v>Radiant</x:v>
      </x:c>
      <x:c r="C1012" t="str">
        <x:v>J</x:v>
      </x:c>
      <x:c r="D1012" t="str">
        <x:v>VVS1</x:v>
      </x:c>
      <x:c r="E1012" s="36" t="n">
        <x:v>14300</x:v>
      </x:c>
      <x:c r="F1012" s="36" t="n">
        <x:v>2956</x:v>
      </x:c>
      <x:c r="G1012" s="42" t="n">
        <x:v>0.6340626340626341</x:v>
      </x:c>
      <x:c r="H1012" s="36" t="n">
        <x:f>E1012*G1012</x:f>
        <x:v>9067.095667095668</x:v>
      </x:c>
      <x:c r="I1012" s="36" t="n">
        <x:f>IFERROR(H1012/A1012,0)</x:f>
        <x:v>4533.547833547834</x:v>
      </x:c>
      <x:c r="J1012" s="67" t="str">
        <x:v>Modeled from live base + Sep-2026 quality ratio</x:v>
      </x:c>
      <x:c r="K1012" s="67" t="str">
        <x:v>https://www.stonealgo.com/diamond-prices/</x:v>
      </x:c>
      <x:c r="L1012" s="67" t="str">
        <x:v>https://www.pricescope.com/blog/natural-diamond-prices-september-2026</x:v>
      </x:c>
    </x:row>
    <x:row r="1013">
      <x:c r="A1013" t="n">
        <x:v>2</x:v>
      </x:c>
      <x:c r="B1013" t="str">
        <x:v>Radiant</x:v>
      </x:c>
      <x:c r="C1013" t="str">
        <x:v>J</x:v>
      </x:c>
      <x:c r="D1013" t="str">
        <x:v>VVS2</x:v>
      </x:c>
      <x:c r="E1013" s="36" t="n">
        <x:v>14300</x:v>
      </x:c>
      <x:c r="F1013" s="36" t="n">
        <x:v>2612</x:v>
      </x:c>
      <x:c r="G1013" s="42" t="n">
        <x:v>0.5602745602745602</x:v>
      </x:c>
      <x:c r="H1013" s="36" t="n">
        <x:f>E1013*G1013</x:f>
        <x:v>8011.926211926211</x:v>
      </x:c>
      <x:c r="I1013" s="36" t="n">
        <x:f>IFERROR(H1013/A1013,0)</x:f>
        <x:v>4005.9631059631056</x:v>
      </x:c>
      <x:c r="J1013" s="67" t="str">
        <x:v>Modeled from live base + Sep-2026 quality ratio</x:v>
      </x:c>
      <x:c r="K1013" s="67" t="str">
        <x:v>https://www.stonealgo.com/diamond-prices/</x:v>
      </x:c>
      <x:c r="L1013" s="67" t="str">
        <x:v>https://www.pricescope.com/blog/natural-diamond-prices-september-2026</x:v>
      </x:c>
    </x:row>
    <x:row r="1014">
      <x:c r="A1014" t="n">
        <x:v>2</x:v>
      </x:c>
      <x:c r="B1014" t="str">
        <x:v>Radiant</x:v>
      </x:c>
      <x:c r="C1014" t="str">
        <x:v>J</x:v>
      </x:c>
      <x:c r="D1014" t="str">
        <x:v>VS1</x:v>
      </x:c>
      <x:c r="E1014" s="36" t="n">
        <x:v>14300</x:v>
      </x:c>
      <x:c r="F1014" s="36" t="n">
        <x:v>3002</x:v>
      </x:c>
      <x:c r="G1014" s="42" t="n">
        <x:v>0.6439296439296439</x:v>
      </x:c>
      <x:c r="H1014" s="36" t="n">
        <x:f>E1014*G1014</x:f>
        <x:v>9208.193908193907</x:v>
      </x:c>
      <x:c r="I1014" s="36" t="n">
        <x:f>IFERROR(H1014/A1014,0)</x:f>
        <x:v>4604.096954096954</x:v>
      </x:c>
      <x:c r="J1014" s="67" t="str">
        <x:v>Modeled from live base + Sep-2026 quality ratio</x:v>
      </x:c>
      <x:c r="K1014" s="67" t="str">
        <x:v>https://www.stonealgo.com/diamond-prices/</x:v>
      </x:c>
      <x:c r="L1014" s="67" t="str">
        <x:v>https://www.pricescope.com/blog/natural-diamond-prices-september-2026</x:v>
      </x:c>
    </x:row>
    <x:row r="1015">
      <x:c r="A1015" t="n">
        <x:v>2</x:v>
      </x:c>
      <x:c r="B1015" t="str">
        <x:v>Radiant</x:v>
      </x:c>
      <x:c r="C1015" t="str">
        <x:v>J</x:v>
      </x:c>
      <x:c r="D1015" t="str">
        <x:v>VS2</x:v>
      </x:c>
      <x:c r="E1015" s="36" t="n">
        <x:v>14300</x:v>
      </x:c>
      <x:c r="F1015" s="36" t="n">
        <x:v>2559</x:v>
      </x:c>
      <x:c r="G1015" s="42" t="n">
        <x:v>0.5489060489060489</x:v>
      </x:c>
      <x:c r="H1015" s="36" t="n">
        <x:f>E1015*G1015</x:f>
        <x:v>7849.356499356499</x:v>
      </x:c>
      <x:c r="I1015" s="36" t="n">
        <x:f>IFERROR(H1015/A1015,0)</x:f>
        <x:v>3924.6782496782494</x:v>
      </x:c>
      <x:c r="J1015" s="67" t="str">
        <x:v>Modeled from live base + Sep-2026 quality ratio</x:v>
      </x:c>
      <x:c r="K1015" s="67" t="str">
        <x:v>https://www.stonealgo.com/diamond-prices/</x:v>
      </x:c>
      <x:c r="L1015" s="67" t="str">
        <x:v>https://www.pricescope.com/blog/natural-diamond-prices-september-2026</x:v>
      </x:c>
    </x:row>
    <x:row r="1016">
      <x:c r="A1016" t="n">
        <x:v>2</x:v>
      </x:c>
      <x:c r="B1016" t="str">
        <x:v>Radiant</x:v>
      </x:c>
      <x:c r="C1016" t="str">
        <x:v>J</x:v>
      </x:c>
      <x:c r="D1016" t="str">
        <x:v>SI1</x:v>
      </x:c>
      <x:c r="E1016" s="36" t="n">
        <x:v>14300</x:v>
      </x:c>
      <x:c r="F1016" s="36" t="n">
        <x:v>2195</x:v>
      </x:c>
      <x:c r="G1016" s="42" t="n">
        <x:v>0.47082797082797084</x:v>
      </x:c>
      <x:c r="H1016" s="36" t="n">
        <x:f>E1016*G1016</x:f>
        <x:v>6732.839982839983</x:v>
      </x:c>
      <x:c r="I1016" s="36" t="n">
        <x:f>IFERROR(H1016/A1016,0)</x:f>
        <x:v>3366.4199914199917</x:v>
      </x:c>
      <x:c r="J1016" s="67" t="str">
        <x:v>Modeled from live base + Sep-2026 quality ratio</x:v>
      </x:c>
      <x:c r="K1016" s="67" t="str">
        <x:v>https://www.stonealgo.com/diamond-prices/</x:v>
      </x:c>
      <x:c r="L1016" s="67" t="str">
        <x:v>https://www.pricescope.com/blog/natural-diamond-prices-september-2026</x:v>
      </x:c>
    </x:row>
    <x:row r="1017">
      <x:c r="A1017" t="n">
        <x:v>2</x:v>
      </x:c>
      <x:c r="B1017" t="str">
        <x:v>Radiant</x:v>
      </x:c>
      <x:c r="C1017" t="str">
        <x:v>J</x:v>
      </x:c>
      <x:c r="D1017" t="str">
        <x:v>SI2</x:v>
      </x:c>
      <x:c r="E1017" s="36" t="n">
        <x:v>14300</x:v>
      </x:c>
      <x:c r="F1017" s="36" t="n">
        <x:v>2079</x:v>
      </x:c>
      <x:c r="G1017" s="42" t="n">
        <x:v>0.44594594594594594</x:v>
      </x:c>
      <x:c r="H1017" s="36" t="n">
        <x:f>E1017*G1017</x:f>
        <x:v>6377.027027027027</x:v>
      </x:c>
      <x:c r="I1017" s="36" t="n">
        <x:f>IFERROR(H1017/A1017,0)</x:f>
        <x:v>3188.5135135135133</x:v>
      </x:c>
      <x:c r="J1017" s="67" t="str">
        <x:v>Modeled from live base + Sep-2026 quality ratio</x:v>
      </x:c>
      <x:c r="K1017" s="67" t="str">
        <x:v>https://www.stonealgo.com/diamond-prices/</x:v>
      </x:c>
      <x:c r="L1017" s="67" t="str">
        <x:v>https://www.pricescope.com/blog/natural-diamond-prices-september-2026</x:v>
      </x:c>
    </x:row>
    <x:row r="1018">
      <x:c r="A1018" t="n">
        <x:v>2</x:v>
      </x:c>
      <x:c r="B1018" t="str">
        <x:v>Radiant</x:v>
      </x:c>
      <x:c r="C1018" t="str">
        <x:v>K</x:v>
      </x:c>
      <x:c r="D1018" t="str">
        <x:v>FL</x:v>
      </x:c>
      <x:c r="E1018" s="36" t="n">
        <x:v>14300</x:v>
      </x:c>
      <x:c r="F1018" s="36" t="n">
        <x:v>2858</x:v>
      </x:c>
      <x:c r="G1018" s="42" t="n">
        <x:v>0.6130416130416131</x:v>
      </x:c>
      <x:c r="H1018" s="36" t="n">
        <x:f>E1018*G1018</x:f>
        <x:v>8766.495066495067</x:v>
      </x:c>
      <x:c r="I1018" s="36" t="n">
        <x:f>IFERROR(H1018/A1018,0)</x:f>
        <x:v>4383.247533247533</x:v>
      </x:c>
      <x:c r="J1018" s="67" t="str">
        <x:v>Modeled from live base + Sep-2026 quality ratio; K/FL quality cell modeled</x:v>
      </x:c>
      <x:c r="K1018" s="67" t="str">
        <x:v>https://www.stonealgo.com/diamond-prices/</x:v>
      </x:c>
      <x:c r="L1018" s="67" t="str">
        <x:v>https://www.pricescope.com/blog/natural-diamond-prices-september-2026</x:v>
      </x:c>
    </x:row>
    <x:row r="1019">
      <x:c r="A1019" t="n">
        <x:v>2</x:v>
      </x:c>
      <x:c r="B1019" t="str">
        <x:v>Radiant</x:v>
      </x:c>
      <x:c r="C1019" t="str">
        <x:v>K</x:v>
      </x:c>
      <x:c r="D1019" t="str">
        <x:v>IF</x:v>
      </x:c>
      <x:c r="E1019" s="36" t="n">
        <x:v>14300</x:v>
      </x:c>
      <x:c r="F1019" s="36" t="n">
        <x:v>2743</x:v>
      </x:c>
      <x:c r="G1019" s="42" t="n">
        <x:v>0.5883740883740883</x:v>
      </x:c>
      <x:c r="H1019" s="36" t="n">
        <x:f>E1019*G1019</x:f>
        <x:v>8413.749463749464</x:v>
      </x:c>
      <x:c r="I1019" s="36" t="n">
        <x:f>IFERROR(H1019/A1019,0)</x:f>
        <x:v>4206.874731874732</x:v>
      </x:c>
      <x:c r="J1019" s="67" t="str">
        <x:v>Modeled from live base + Sep-2026 quality ratio</x:v>
      </x:c>
      <x:c r="K1019" s="67" t="str">
        <x:v>https://www.stonealgo.com/diamond-prices/</x:v>
      </x:c>
      <x:c r="L1019" s="67" t="str">
        <x:v>https://www.pricescope.com/blog/natural-diamond-prices-september-2026</x:v>
      </x:c>
    </x:row>
    <x:row r="1020">
      <x:c r="A1020" t="n">
        <x:v>2</x:v>
      </x:c>
      <x:c r="B1020" t="str">
        <x:v>Radiant</x:v>
      </x:c>
      <x:c r="C1020" t="str">
        <x:v>K</x:v>
      </x:c>
      <x:c r="D1020" t="str">
        <x:v>VVS1</x:v>
      </x:c>
      <x:c r="E1020" s="36" t="n">
        <x:v>14300</x:v>
      </x:c>
      <x:c r="F1020" s="36" t="n">
        <x:v>2529</x:v>
      </x:c>
      <x:c r="G1020" s="42" t="n">
        <x:v>0.5424710424710425</x:v>
      </x:c>
      <x:c r="H1020" s="36" t="n">
        <x:f>E1020*G1020</x:f>
        <x:v>7757.335907335908</x:v>
      </x:c>
      <x:c r="I1020" s="36" t="n">
        <x:f>IFERROR(H1020/A1020,0)</x:f>
        <x:v>3878.667953667954</x:v>
      </x:c>
      <x:c r="J1020" s="67" t="str">
        <x:v>Modeled from live base + Sep-2026 quality ratio</x:v>
      </x:c>
      <x:c r="K1020" s="67" t="str">
        <x:v>https://www.stonealgo.com/diamond-prices/</x:v>
      </x:c>
      <x:c r="L1020" s="67" t="str">
        <x:v>https://www.pricescope.com/blog/natural-diamond-prices-september-2026</x:v>
      </x:c>
    </x:row>
    <x:row r="1021">
      <x:c r="A1021" t="n">
        <x:v>2</x:v>
      </x:c>
      <x:c r="B1021" t="str">
        <x:v>Radiant</x:v>
      </x:c>
      <x:c r="C1021" t="str">
        <x:v>K</x:v>
      </x:c>
      <x:c r="D1021" t="str">
        <x:v>VVS2</x:v>
      </x:c>
      <x:c r="E1021" s="36" t="n">
        <x:v>14300</x:v>
      </x:c>
      <x:c r="F1021" s="36" t="n">
        <x:v>2374</x:v>
      </x:c>
      <x:c r="G1021" s="42" t="n">
        <x:v>0.5092235092235092</x:v>
      </x:c>
      <x:c r="H1021" s="36" t="n">
        <x:f>E1021*G1021</x:f>
        <x:v>7281.896181896182</x:v>
      </x:c>
      <x:c r="I1021" s="36" t="n">
        <x:f>IFERROR(H1021/A1021,0)</x:f>
        <x:v>3640.948090948091</x:v>
      </x:c>
      <x:c r="J1021" s="67" t="str">
        <x:v>Modeled from live base + Sep-2026 quality ratio</x:v>
      </x:c>
      <x:c r="K1021" s="67" t="str">
        <x:v>https://www.stonealgo.com/diamond-prices/</x:v>
      </x:c>
      <x:c r="L1021" s="67" t="str">
        <x:v>https://www.pricescope.com/blog/natural-diamond-prices-september-2026</x:v>
      </x:c>
    </x:row>
    <x:row r="1022">
      <x:c r="A1022" t="n">
        <x:v>2</x:v>
      </x:c>
      <x:c r="B1022" t="str">
        <x:v>Radiant</x:v>
      </x:c>
      <x:c r="C1022" t="str">
        <x:v>K</x:v>
      </x:c>
      <x:c r="D1022" t="str">
        <x:v>VS1</x:v>
      </x:c>
      <x:c r="E1022" s="36" t="n">
        <x:v>14300</x:v>
      </x:c>
      <x:c r="F1022" s="36" t="n">
        <x:v>2223</x:v>
      </x:c>
      <x:c r="G1022" s="42" t="n">
        <x:v>0.4768339768339768</x:v>
      </x:c>
      <x:c r="H1022" s="36" t="n">
        <x:f>E1022*G1022</x:f>
        <x:v>6818.725868725868</x:v>
      </x:c>
      <x:c r="I1022" s="36" t="n">
        <x:f>IFERROR(H1022/A1022,0)</x:f>
        <x:v>3409.362934362934</x:v>
      </x:c>
      <x:c r="J1022" s="67" t="str">
        <x:v>Modeled from live base + Sep-2026 quality ratio</x:v>
      </x:c>
      <x:c r="K1022" s="67" t="str">
        <x:v>https://www.stonealgo.com/diamond-prices/</x:v>
      </x:c>
      <x:c r="L1022" s="67" t="str">
        <x:v>https://www.pricescope.com/blog/natural-diamond-prices-september-2026</x:v>
      </x:c>
    </x:row>
    <x:row r="1023">
      <x:c r="A1023" t="n">
        <x:v>2</x:v>
      </x:c>
      <x:c r="B1023" t="str">
        <x:v>Radiant</x:v>
      </x:c>
      <x:c r="C1023" t="str">
        <x:v>K</x:v>
      </x:c>
      <x:c r="D1023" t="str">
        <x:v>VS2</x:v>
      </x:c>
      <x:c r="E1023" s="36" t="n">
        <x:v>14300</x:v>
      </x:c>
      <x:c r="F1023" s="36" t="n">
        <x:v>2098</x:v>
      </x:c>
      <x:c r="G1023" s="42" t="n">
        <x:v>0.45002145002145</x:v>
      </x:c>
      <x:c r="H1023" s="36" t="n">
        <x:f>E1023*G1023</x:f>
        <x:v>6435.306735306735</x:v>
      </x:c>
      <x:c r="I1023" s="36" t="n">
        <x:f>IFERROR(H1023/A1023,0)</x:f>
        <x:v>3217.6533676533677</x:v>
      </x:c>
      <x:c r="J1023" s="67" t="str">
        <x:v>Modeled from live base + Sep-2026 quality ratio</x:v>
      </x:c>
      <x:c r="K1023" s="67" t="str">
        <x:v>https://www.stonealgo.com/diamond-prices/</x:v>
      </x:c>
      <x:c r="L1023" s="67" t="str">
        <x:v>https://www.pricescope.com/blog/natural-diamond-prices-september-2026</x:v>
      </x:c>
    </x:row>
    <x:row r="1024">
      <x:c r="A1024" t="n">
        <x:v>2</x:v>
      </x:c>
      <x:c r="B1024" t="str">
        <x:v>Radiant</x:v>
      </x:c>
      <x:c r="C1024" t="str">
        <x:v>K</x:v>
      </x:c>
      <x:c r="D1024" t="str">
        <x:v>SI1</x:v>
      </x:c>
      <x:c r="E1024" s="36" t="n">
        <x:v>14300</x:v>
      </x:c>
      <x:c r="F1024" s="36" t="n">
        <x:v>1922</x:v>
      </x:c>
      <x:c r="G1024" s="42" t="n">
        <x:v>0.41226941226941227</x:v>
      </x:c>
      <x:c r="H1024" s="36" t="n">
        <x:f>E1024*G1024</x:f>
        <x:v>5895.452595452595</x:v>
      </x:c>
      <x:c r="I1024" s="36" t="n">
        <x:f>IFERROR(H1024/A1024,0)</x:f>
        <x:v>2947.7262977262976</x:v>
      </x:c>
      <x:c r="J1024" s="67" t="str">
        <x:v>Modeled from live base + Sep-2026 quality ratio</x:v>
      </x:c>
      <x:c r="K1024" s="67" t="str">
        <x:v>https://www.stonealgo.com/diamond-prices/</x:v>
      </x:c>
      <x:c r="L1024" s="67" t="str">
        <x:v>https://www.pricescope.com/blog/natural-diamond-prices-september-2026</x:v>
      </x:c>
    </x:row>
    <x:row r="1025">
      <x:c r="A1025" t="n">
        <x:v>2</x:v>
      </x:c>
      <x:c r="B1025" t="str">
        <x:v>Radiant</x:v>
      </x:c>
      <x:c r="C1025" t="str">
        <x:v>K</x:v>
      </x:c>
      <x:c r="D1025" t="str">
        <x:v>SI2</x:v>
      </x:c>
      <x:c r="E1025" s="36" t="n">
        <x:v>14300</x:v>
      </x:c>
      <x:c r="F1025" s="36" t="n">
        <x:v>1764</x:v>
      </x:c>
      <x:c r="G1025" s="42" t="n">
        <x:v>0.3783783783783784</x:v>
      </x:c>
      <x:c r="H1025" s="36" t="n">
        <x:f>E1025*G1025</x:f>
        <x:v>5410.810810810811</x:v>
      </x:c>
      <x:c r="I1025" s="36" t="n">
        <x:f>IFERROR(H1025/A1025,0)</x:f>
        <x:v>2705.4054054054054</x:v>
      </x:c>
      <x:c r="J1025" s="67" t="str">
        <x:v>Modeled from live base + Sep-2026 quality ratio</x:v>
      </x:c>
      <x:c r="K1025" s="67" t="str">
        <x:v>https://www.stonealgo.com/diamond-prices/</x:v>
      </x:c>
      <x:c r="L1025" s="67" t="str">
        <x:v>https://www.pricescope.com/blog/natural-diamond-prices-september-2026</x:v>
      </x:c>
    </x:row>
    <x:row r="1026">
      <x:c r="A1026" t="n">
        <x:v>2</x:v>
      </x:c>
      <x:c r="B1026" t="str">
        <x:v>Pear</x:v>
      </x:c>
      <x:c r="C1026" t="str">
        <x:v>D</x:v>
      </x:c>
      <x:c r="D1026" t="str">
        <x:v>FL</x:v>
      </x:c>
      <x:c r="E1026" s="36" t="n">
        <x:v>19520</x:v>
      </x:c>
      <x:c r="F1026" s="36" t="n">
        <x:v>12665</x:v>
      </x:c>
      <x:c r="G1026" s="42" t="n">
        <x:v>2.7166452166452166</x:v>
      </x:c>
      <x:c r="H1026" s="36" t="n">
        <x:f>E1026*G1026</x:f>
        <x:v>53028.91462891463</x:v>
      </x:c>
      <x:c r="I1026" s="36" t="n">
        <x:f>IFERROR(H1026/A1026,0)</x:f>
        <x:v>26514.457314457315</x:v>
      </x:c>
      <x:c r="J1026" s="67" t="str">
        <x:v>Modeled from live base + Sep-2026 quality ratio</x:v>
      </x:c>
      <x:c r="K1026" s="67" t="str">
        <x:v>https://www.stonealgo.com/diamond-prices/</x:v>
      </x:c>
      <x:c r="L1026" s="67" t="str">
        <x:v>https://www.pricescope.com/blog/natural-diamond-prices-september-2026</x:v>
      </x:c>
    </x:row>
    <x:row r="1027">
      <x:c r="A1027" t="n">
        <x:v>2</x:v>
      </x:c>
      <x:c r="B1027" t="str">
        <x:v>Pear</x:v>
      </x:c>
      <x:c r="C1027" t="str">
        <x:v>D</x:v>
      </x:c>
      <x:c r="D1027" t="str">
        <x:v>IF</x:v>
      </x:c>
      <x:c r="E1027" s="36" t="n">
        <x:v>19520</x:v>
      </x:c>
      <x:c r="F1027" s="36" t="n">
        <x:v>13240</x:v>
      </x:c>
      <x:c r="G1027" s="42" t="n">
        <x:v>2.83998283998284</x:v>
      </x:c>
      <x:c r="H1027" s="36" t="n">
        <x:f>E1027*G1027</x:f>
        <x:v>55436.46503646504</x:v>
      </x:c>
      <x:c r="I1027" s="36" t="n">
        <x:f>IFERROR(H1027/A1027,0)</x:f>
        <x:v>27718.23251823252</x:v>
      </x:c>
      <x:c r="J1027" s="67" t="str">
        <x:v>Modeled from live base + Sep-2026 quality ratio</x:v>
      </x:c>
      <x:c r="K1027" s="67" t="str">
        <x:v>https://www.stonealgo.com/diamond-prices/</x:v>
      </x:c>
      <x:c r="L1027" s="67" t="str">
        <x:v>https://www.pricescope.com/blog/natural-diamond-prices-september-2026</x:v>
      </x:c>
    </x:row>
    <x:row r="1028">
      <x:c r="A1028" t="n">
        <x:v>2</x:v>
      </x:c>
      <x:c r="B1028" t="str">
        <x:v>Pear</x:v>
      </x:c>
      <x:c r="C1028" t="str">
        <x:v>D</x:v>
      </x:c>
      <x:c r="D1028" t="str">
        <x:v>VVS1</x:v>
      </x:c>
      <x:c r="E1028" s="36" t="n">
        <x:v>19520</x:v>
      </x:c>
      <x:c r="F1028" s="36" t="n">
        <x:v>9555</x:v>
      </x:c>
      <x:c r="G1028" s="42" t="n">
        <x:v>2.0495495495495497</x:v>
      </x:c>
      <x:c r="H1028" s="36" t="n">
        <x:f>E1028*G1028</x:f>
        <x:v>40007.20720720721</x:v>
      </x:c>
      <x:c r="I1028" s="36" t="n">
        <x:f>IFERROR(H1028/A1028,0)</x:f>
        <x:v>20003.603603603606</x:v>
      </x:c>
      <x:c r="J1028" s="67" t="str">
        <x:v>Modeled from live base + Sep-2026 quality ratio</x:v>
      </x:c>
      <x:c r="K1028" s="67" t="str">
        <x:v>https://www.stonealgo.com/diamond-prices/</x:v>
      </x:c>
      <x:c r="L1028" s="67" t="str">
        <x:v>https://www.pricescope.com/blog/natural-diamond-prices-september-2026</x:v>
      </x:c>
    </x:row>
    <x:row r="1029">
      <x:c r="A1029" t="n">
        <x:v>2</x:v>
      </x:c>
      <x:c r="B1029" t="str">
        <x:v>Pear</x:v>
      </x:c>
      <x:c r="C1029" t="str">
        <x:v>D</x:v>
      </x:c>
      <x:c r="D1029" t="str">
        <x:v>VVS2</x:v>
      </x:c>
      <x:c r="E1029" s="36" t="n">
        <x:v>19520</x:v>
      </x:c>
      <x:c r="F1029" s="36" t="n">
        <x:v>6660</x:v>
      </x:c>
      <x:c r="G1029" s="42" t="n">
        <x:v>1.4285714285714286</x:v>
      </x:c>
      <x:c r="H1029" s="36" t="n">
        <x:f>E1029*G1029</x:f>
        <x:v>27885.714285714286</x:v>
      </x:c>
      <x:c r="I1029" s="36" t="n">
        <x:f>IFERROR(H1029/A1029,0)</x:f>
        <x:v>13942.857142857143</x:v>
      </x:c>
      <x:c r="J1029" s="67" t="str">
        <x:v>Modeled from live base + Sep-2026 quality ratio</x:v>
      </x:c>
      <x:c r="K1029" s="67" t="str">
        <x:v>https://www.stonealgo.com/diamond-prices/</x:v>
      </x:c>
      <x:c r="L1029" s="67" t="str">
        <x:v>https://www.pricescope.com/blog/natural-diamond-prices-september-2026</x:v>
      </x:c>
    </x:row>
    <x:row r="1030">
      <x:c r="A1030" t="n">
        <x:v>2</x:v>
      </x:c>
      <x:c r="B1030" t="str">
        <x:v>Pear</x:v>
      </x:c>
      <x:c r="C1030" t="str">
        <x:v>D</x:v>
      </x:c>
      <x:c r="D1030" t="str">
        <x:v>VS1</x:v>
      </x:c>
      <x:c r="E1030" s="36" t="n">
        <x:v>19520</x:v>
      </x:c>
      <x:c r="F1030" s="36" t="n">
        <x:v>6247</x:v>
      </x:c>
      <x:c r="G1030" s="42" t="n">
        <x:v>1.33998283998284</x:v>
      </x:c>
      <x:c r="H1030" s="36" t="n">
        <x:f>E1030*G1030</x:f>
        <x:v>26156.465036465037</x:v>
      </x:c>
      <x:c r="I1030" s="36" t="n">
        <x:f>IFERROR(H1030/A1030,0)</x:f>
        <x:v>13078.232518232518</x:v>
      </x:c>
      <x:c r="J1030" s="67" t="str">
        <x:v>Modeled from live base + Sep-2026 quality ratio</x:v>
      </x:c>
      <x:c r="K1030" s="67" t="str">
        <x:v>https://www.stonealgo.com/diamond-prices/</x:v>
      </x:c>
      <x:c r="L1030" s="67" t="str">
        <x:v>https://www.pricescope.com/blog/natural-diamond-prices-september-2026</x:v>
      </x:c>
    </x:row>
    <x:row r="1031">
      <x:c r="A1031" t="n">
        <x:v>2</x:v>
      </x:c>
      <x:c r="B1031" t="str">
        <x:v>Pear</x:v>
      </x:c>
      <x:c r="C1031" t="str">
        <x:v>D</x:v>
      </x:c>
      <x:c r="D1031" t="str">
        <x:v>VS2</x:v>
      </x:c>
      <x:c r="E1031" s="36" t="n">
        <x:v>19520</x:v>
      </x:c>
      <x:c r="F1031" s="36" t="n">
        <x:v>5841</x:v>
      </x:c>
      <x:c r="G1031" s="42" t="n">
        <x:v>1.252895752895753</x:v>
      </x:c>
      <x:c r="H1031" s="36" t="n">
        <x:f>E1031*G1031</x:f>
        <x:v>24456.525096525096</x:v>
      </x:c>
      <x:c r="I1031" s="36" t="n">
        <x:f>IFERROR(H1031/A1031,0)</x:f>
        <x:v>12228.262548262548</x:v>
      </x:c>
      <x:c r="J1031" s="67" t="str">
        <x:v>Modeled from live base + Sep-2026 quality ratio</x:v>
      </x:c>
      <x:c r="K1031" s="67" t="str">
        <x:v>https://www.stonealgo.com/diamond-prices/</x:v>
      </x:c>
      <x:c r="L1031" s="67" t="str">
        <x:v>https://www.pricescope.com/blog/natural-diamond-prices-september-2026</x:v>
      </x:c>
    </x:row>
    <x:row r="1032">
      <x:c r="A1032" t="n">
        <x:v>2</x:v>
      </x:c>
      <x:c r="B1032" t="str">
        <x:v>Pear</x:v>
      </x:c>
      <x:c r="C1032" t="str">
        <x:v>D</x:v>
      </x:c>
      <x:c r="D1032" t="str">
        <x:v>SI1</x:v>
      </x:c>
      <x:c r="E1032" s="36" t="n">
        <x:v>19520</x:v>
      </x:c>
      <x:c r="F1032" s="36" t="n">
        <x:v>3762</x:v>
      </x:c>
      <x:c r="G1032" s="42" t="n">
        <x:v>0.806949806949807</x:v>
      </x:c>
      <x:c r="H1032" s="36" t="n">
        <x:f>E1032*G1032</x:f>
        <x:v>15751.660231660233</x:v>
      </x:c>
      <x:c r="I1032" s="36" t="n">
        <x:f>IFERROR(H1032/A1032,0)</x:f>
        <x:v>7875.8301158301165</x:v>
      </x:c>
      <x:c r="J1032" s="67" t="str">
        <x:v>Modeled from live base + Sep-2026 quality ratio</x:v>
      </x:c>
      <x:c r="K1032" s="67" t="str">
        <x:v>https://www.stonealgo.com/diamond-prices/</x:v>
      </x:c>
      <x:c r="L1032" s="67" t="str">
        <x:v>https://www.pricescope.com/blog/natural-diamond-prices-september-2026</x:v>
      </x:c>
    </x:row>
    <x:row r="1033">
      <x:c r="A1033" t="n">
        <x:v>2</x:v>
      </x:c>
      <x:c r="B1033" t="str">
        <x:v>Pear</x:v>
      </x:c>
      <x:c r="C1033" t="str">
        <x:v>D</x:v>
      </x:c>
      <x:c r="D1033" t="str">
        <x:v>SI2</x:v>
      </x:c>
      <x:c r="E1033" s="36" t="n">
        <x:v>19520</x:v>
      </x:c>
      <x:c r="F1033" s="36" t="n">
        <x:v>3026</x:v>
      </x:c>
      <x:c r="G1033" s="42" t="n">
        <x:v>0.6490776490776491</x:v>
      </x:c>
      <x:c r="H1033" s="36" t="n">
        <x:f>E1033*G1033</x:f>
        <x:v>12669.99570999571</x:v>
      </x:c>
      <x:c r="I1033" s="36" t="n">
        <x:f>IFERROR(H1033/A1033,0)</x:f>
        <x:v>6334.997854997855</x:v>
      </x:c>
      <x:c r="J1033" s="67" t="str">
        <x:v>Modeled from live base + Sep-2026 quality ratio</x:v>
      </x:c>
      <x:c r="K1033" s="67" t="str">
        <x:v>https://www.stonealgo.com/diamond-prices/</x:v>
      </x:c>
      <x:c r="L1033" s="67" t="str">
        <x:v>https://www.pricescope.com/blog/natural-diamond-prices-september-2026</x:v>
      </x:c>
    </x:row>
    <x:row r="1034">
      <x:c r="A1034" t="n">
        <x:v>2</x:v>
      </x:c>
      <x:c r="B1034" t="str">
        <x:v>Pear</x:v>
      </x:c>
      <x:c r="C1034" t="str">
        <x:v>E</x:v>
      </x:c>
      <x:c r="D1034" t="str">
        <x:v>FL</x:v>
      </x:c>
      <x:c r="E1034" s="36" t="n">
        <x:v>19520</x:v>
      </x:c>
      <x:c r="F1034" s="36" t="n">
        <x:v>10072</x:v>
      </x:c>
      <x:c r="G1034" s="42" t="n">
        <x:v>2.1604461604461602</x:v>
      </x:c>
      <x:c r="H1034" s="36" t="n">
        <x:f>E1034*G1034</x:f>
        <x:v>42171.909051909046</x:v>
      </x:c>
      <x:c r="I1034" s="36" t="n">
        <x:f>IFERROR(H1034/A1034,0)</x:f>
        <x:v>21085.954525954523</x:v>
      </x:c>
      <x:c r="J1034" s="67" t="str">
        <x:v>Modeled from live base + Sep-2026 quality ratio</x:v>
      </x:c>
      <x:c r="K1034" s="67" t="str">
        <x:v>https://www.stonealgo.com/diamond-prices/</x:v>
      </x:c>
      <x:c r="L1034" s="67" t="str">
        <x:v>https://www.pricescope.com/blog/natural-diamond-prices-september-2026</x:v>
      </x:c>
    </x:row>
    <x:row r="1035">
      <x:c r="A1035" t="n">
        <x:v>2</x:v>
      </x:c>
      <x:c r="B1035" t="str">
        <x:v>Pear</x:v>
      </x:c>
      <x:c r="C1035" t="str">
        <x:v>E</x:v>
      </x:c>
      <x:c r="D1035" t="str">
        <x:v>IF</x:v>
      </x:c>
      <x:c r="E1035" s="36" t="n">
        <x:v>19520</x:v>
      </x:c>
      <x:c r="F1035" s="36" t="n">
        <x:v>8672</x:v>
      </x:c>
      <x:c r="G1035" s="42" t="n">
        <x:v>1.8601458601458603</x:v>
      </x:c>
      <x:c r="H1035" s="36" t="n">
        <x:f>E1035*G1035</x:f>
        <x:v>36310.04719004719</x:v>
      </x:c>
      <x:c r="I1035" s="36" t="n">
        <x:f>IFERROR(H1035/A1035,0)</x:f>
        <x:v>18155.023595023595</x:v>
      </x:c>
      <x:c r="J1035" s="67" t="str">
        <x:v>Modeled from live base + Sep-2026 quality ratio</x:v>
      </x:c>
      <x:c r="K1035" s="67" t="str">
        <x:v>https://www.stonealgo.com/diamond-prices/</x:v>
      </x:c>
      <x:c r="L1035" s="67" t="str">
        <x:v>https://www.pricescope.com/blog/natural-diamond-prices-september-2026</x:v>
      </x:c>
    </x:row>
    <x:row r="1036">
      <x:c r="A1036" t="n">
        <x:v>2</x:v>
      </x:c>
      <x:c r="B1036" t="str">
        <x:v>Pear</x:v>
      </x:c>
      <x:c r="C1036" t="str">
        <x:v>E</x:v>
      </x:c>
      <x:c r="D1036" t="str">
        <x:v>VVS1</x:v>
      </x:c>
      <x:c r="E1036" s="36" t="n">
        <x:v>19520</x:v>
      </x:c>
      <x:c r="F1036" s="36" t="n">
        <x:v>7842</x:v>
      </x:c>
      <x:c r="G1036" s="42" t="n">
        <x:v>1.6821106821106822</x:v>
      </x:c>
      <x:c r="H1036" s="36" t="n">
        <x:f>E1036*G1036</x:f>
        <x:v>32834.80051480052</x:v>
      </x:c>
      <x:c r="I1036" s="36" t="n">
        <x:f>IFERROR(H1036/A1036,0)</x:f>
        <x:v>16417.40025740026</x:v>
      </x:c>
      <x:c r="J1036" s="67" t="str">
        <x:v>Modeled from live base + Sep-2026 quality ratio</x:v>
      </x:c>
      <x:c r="K1036" s="67" t="str">
        <x:v>https://www.stonealgo.com/diamond-prices/</x:v>
      </x:c>
      <x:c r="L1036" s="67" t="str">
        <x:v>https://www.pricescope.com/blog/natural-diamond-prices-september-2026</x:v>
      </x:c>
    </x:row>
    <x:row r="1037">
      <x:c r="A1037" t="n">
        <x:v>2</x:v>
      </x:c>
      <x:c r="B1037" t="str">
        <x:v>Pear</x:v>
      </x:c>
      <x:c r="C1037" t="str">
        <x:v>E</x:v>
      </x:c>
      <x:c r="D1037" t="str">
        <x:v>VVS2</x:v>
      </x:c>
      <x:c r="E1037" s="36" t="n">
        <x:v>19520</x:v>
      </x:c>
      <x:c r="F1037" s="36" t="n">
        <x:v>6880</x:v>
      </x:c>
      <x:c r="G1037" s="42" t="n">
        <x:v>1.4757614757614759</x:v>
      </x:c>
      <x:c r="H1037" s="36" t="n">
        <x:f>E1037*G1037</x:f>
        <x:v>28806.86400686401</x:v>
      </x:c>
      <x:c r="I1037" s="36" t="n">
        <x:f>IFERROR(H1037/A1037,0)</x:f>
        <x:v>14403.432003432004</x:v>
      </x:c>
      <x:c r="J1037" s="67" t="str">
        <x:v>Modeled from live base + Sep-2026 quality ratio</x:v>
      </x:c>
      <x:c r="K1037" s="67" t="str">
        <x:v>https://www.stonealgo.com/diamond-prices/</x:v>
      </x:c>
      <x:c r="L1037" s="67" t="str">
        <x:v>https://www.pricescope.com/blog/natural-diamond-prices-september-2026</x:v>
      </x:c>
    </x:row>
    <x:row r="1038">
      <x:c r="A1038" t="n">
        <x:v>2</x:v>
      </x:c>
      <x:c r="B1038" t="str">
        <x:v>Pear</x:v>
      </x:c>
      <x:c r="C1038" t="str">
        <x:v>E</x:v>
      </x:c>
      <x:c r="D1038" t="str">
        <x:v>VS1</x:v>
      </x:c>
      <x:c r="E1038" s="36" t="n">
        <x:v>19520</x:v>
      </x:c>
      <x:c r="F1038" s="36" t="n">
        <x:v>6307</x:v>
      </x:c>
      <x:c r="G1038" s="42" t="n">
        <x:v>1.352852852852853</x:v>
      </x:c>
      <x:c r="H1038" s="36" t="n">
        <x:f>E1038*G1038</x:f>
        <x:v>26407.68768768769</x:v>
      </x:c>
      <x:c r="I1038" s="36" t="n">
        <x:f>IFERROR(H1038/A1038,0)</x:f>
        <x:v>13203.843843843844</x:v>
      </x:c>
      <x:c r="J1038" s="67" t="str">
        <x:v>Modeled from live base + Sep-2026 quality ratio</x:v>
      </x:c>
      <x:c r="K1038" s="67" t="str">
        <x:v>https://www.stonealgo.com/diamond-prices/</x:v>
      </x:c>
      <x:c r="L1038" s="67" t="str">
        <x:v>https://www.pricescope.com/blog/natural-diamond-prices-september-2026</x:v>
      </x:c>
    </x:row>
    <x:row r="1039">
      <x:c r="A1039" t="n">
        <x:v>2</x:v>
      </x:c>
      <x:c r="B1039" t="str">
        <x:v>Pear</x:v>
      </x:c>
      <x:c r="C1039" t="str">
        <x:v>E</x:v>
      </x:c>
      <x:c r="D1039" t="str">
        <x:v>VS2</x:v>
      </x:c>
      <x:c r="E1039" s="36" t="n">
        <x:v>19520</x:v>
      </x:c>
      <x:c r="F1039" s="36" t="n">
        <x:v>5249</x:v>
      </x:c>
      <x:c r="G1039" s="42" t="n">
        <x:v>1.125911625911626</x:v>
      </x:c>
      <x:c r="H1039" s="36" t="n">
        <x:f>E1039*G1039</x:f>
        <x:v>21977.794937794937</x:v>
      </x:c>
      <x:c r="I1039" s="36" t="n">
        <x:f>IFERROR(H1039/A1039,0)</x:f>
        <x:v>10988.897468897469</x:v>
      </x:c>
      <x:c r="J1039" s="67" t="str">
        <x:v>Modeled from live base + Sep-2026 quality ratio</x:v>
      </x:c>
      <x:c r="K1039" s="67" t="str">
        <x:v>https://www.stonealgo.com/diamond-prices/</x:v>
      </x:c>
      <x:c r="L1039" s="67" t="str">
        <x:v>https://www.pricescope.com/blog/natural-diamond-prices-september-2026</x:v>
      </x:c>
    </x:row>
    <x:row r="1040">
      <x:c r="A1040" t="n">
        <x:v>2</x:v>
      </x:c>
      <x:c r="B1040" t="str">
        <x:v>Pear</x:v>
      </x:c>
      <x:c r="C1040" t="str">
        <x:v>E</x:v>
      </x:c>
      <x:c r="D1040" t="str">
        <x:v>SI1</x:v>
      </x:c>
      <x:c r="E1040" s="36" t="n">
        <x:v>19520</x:v>
      </x:c>
      <x:c r="F1040" s="36" t="n">
        <x:v>3551</x:v>
      </x:c>
      <x:c r="G1040" s="42" t="n">
        <x:v>0.7616902616902617</x:v>
      </x:c>
      <x:c r="H1040" s="36" t="n">
        <x:f>E1040*G1040</x:f>
        <x:v>14868.193908193907</x:v>
      </x:c>
      <x:c r="I1040" s="36" t="n">
        <x:f>IFERROR(H1040/A1040,0)</x:f>
        <x:v>7434.096954096954</x:v>
      </x:c>
      <x:c r="J1040" s="67" t="str">
        <x:v>Modeled from live base + Sep-2026 quality ratio</x:v>
      </x:c>
      <x:c r="K1040" s="67" t="str">
        <x:v>https://www.stonealgo.com/diamond-prices/</x:v>
      </x:c>
      <x:c r="L1040" s="67" t="str">
        <x:v>https://www.pricescope.com/blog/natural-diamond-prices-september-2026</x:v>
      </x:c>
    </x:row>
    <x:row r="1041">
      <x:c r="A1041" t="n">
        <x:v>2</x:v>
      </x:c>
      <x:c r="B1041" t="str">
        <x:v>Pear</x:v>
      </x:c>
      <x:c r="C1041" t="str">
        <x:v>E</x:v>
      </x:c>
      <x:c r="D1041" t="str">
        <x:v>SI2</x:v>
      </x:c>
      <x:c r="E1041" s="36" t="n">
        <x:v>19520</x:v>
      </x:c>
      <x:c r="F1041" s="36" t="n">
        <x:v>2993</x:v>
      </x:c>
      <x:c r="G1041" s="42" t="n">
        <x:v>0.641999141999142</x:v>
      </x:c>
      <x:c r="H1041" s="36" t="n">
        <x:f>E1041*G1041</x:f>
        <x:v>12531.82325182325</x:v>
      </x:c>
      <x:c r="I1041" s="36" t="n">
        <x:f>IFERROR(H1041/A1041,0)</x:f>
        <x:v>6265.911625911625</x:v>
      </x:c>
      <x:c r="J1041" s="67" t="str">
        <x:v>Modeled from live base + Sep-2026 quality ratio</x:v>
      </x:c>
      <x:c r="K1041" s="67" t="str">
        <x:v>https://www.stonealgo.com/diamond-prices/</x:v>
      </x:c>
      <x:c r="L1041" s="67" t="str">
        <x:v>https://www.pricescope.com/blog/natural-diamond-prices-september-2026</x:v>
      </x:c>
    </x:row>
    <x:row r="1042">
      <x:c r="A1042" t="n">
        <x:v>2</x:v>
      </x:c>
      <x:c r="B1042" t="str">
        <x:v>Pear</x:v>
      </x:c>
      <x:c r="C1042" t="str">
        <x:v>F</x:v>
      </x:c>
      <x:c r="D1042" t="str">
        <x:v>FL</x:v>
      </x:c>
      <x:c r="E1042" s="36" t="n">
        <x:v>19520</x:v>
      </x:c>
      <x:c r="F1042" s="36" t="n">
        <x:v>6830</x:v>
      </x:c>
      <x:c r="G1042" s="42" t="n">
        <x:v>1.4650364650364651</x:v>
      </x:c>
      <x:c r="H1042" s="36" t="n">
        <x:f>E1042*G1042</x:f>
        <x:v>28597.511797511797</x:v>
      </x:c>
      <x:c r="I1042" s="36" t="n">
        <x:f>IFERROR(H1042/A1042,0)</x:f>
        <x:v>14298.755898755899</x:v>
      </x:c>
      <x:c r="J1042" s="67" t="str">
        <x:v>Modeled from live base + Sep-2026 quality ratio</x:v>
      </x:c>
      <x:c r="K1042" s="67" t="str">
        <x:v>https://www.stonealgo.com/diamond-prices/</x:v>
      </x:c>
      <x:c r="L1042" s="67" t="str">
        <x:v>https://www.pricescope.com/blog/natural-diamond-prices-september-2026</x:v>
      </x:c>
    </x:row>
    <x:row r="1043">
      <x:c r="A1043" t="n">
        <x:v>2</x:v>
      </x:c>
      <x:c r="B1043" t="str">
        <x:v>Pear</x:v>
      </x:c>
      <x:c r="C1043" t="str">
        <x:v>F</x:v>
      </x:c>
      <x:c r="D1043" t="str">
        <x:v>IF</x:v>
      </x:c>
      <x:c r="E1043" s="36" t="n">
        <x:v>19520</x:v>
      </x:c>
      <x:c r="F1043" s="36" t="n">
        <x:v>7302</x:v>
      </x:c>
      <x:c r="G1043" s="42" t="n">
        <x:v>1.5662805662805663</x:v>
      </x:c>
      <x:c r="H1043" s="36" t="n">
        <x:f>E1043*G1043</x:f>
        <x:v>30573.796653796653</x:v>
      </x:c>
      <x:c r="I1043" s="36" t="n">
        <x:f>IFERROR(H1043/A1043,0)</x:f>
        <x:v>15286.898326898327</x:v>
      </x:c>
      <x:c r="J1043" s="67" t="str">
        <x:v>Modeled from live base + Sep-2026 quality ratio</x:v>
      </x:c>
      <x:c r="K1043" s="67" t="str">
        <x:v>https://www.stonealgo.com/diamond-prices/</x:v>
      </x:c>
      <x:c r="L1043" s="67" t="str">
        <x:v>https://www.pricescope.com/blog/natural-diamond-prices-september-2026</x:v>
      </x:c>
    </x:row>
    <x:row r="1044">
      <x:c r="A1044" t="n">
        <x:v>2</x:v>
      </x:c>
      <x:c r="B1044" t="str">
        <x:v>Pear</x:v>
      </x:c>
      <x:c r="C1044" t="str">
        <x:v>F</x:v>
      </x:c>
      <x:c r="D1044" t="str">
        <x:v>VVS1</x:v>
      </x:c>
      <x:c r="E1044" s="36" t="n">
        <x:v>19520</x:v>
      </x:c>
      <x:c r="F1044" s="36" t="n">
        <x:v>7542</x:v>
      </x:c>
      <x:c r="G1044" s="42" t="n">
        <x:v>1.6177606177606179</x:v>
      </x:c>
      <x:c r="H1044" s="36" t="n">
        <x:f>E1044*G1044</x:f>
        <x:v>31578.68725868726</x:v>
      </x:c>
      <x:c r="I1044" s="36" t="n">
        <x:f>IFERROR(H1044/A1044,0)</x:f>
        <x:v>15789.34362934363</x:v>
      </x:c>
      <x:c r="J1044" s="67" t="str">
        <x:v>Modeled from live base + Sep-2026 quality ratio</x:v>
      </x:c>
      <x:c r="K1044" s="67" t="str">
        <x:v>https://www.stonealgo.com/diamond-prices/</x:v>
      </x:c>
      <x:c r="L1044" s="67" t="str">
        <x:v>https://www.pricescope.com/blog/natural-diamond-prices-september-2026</x:v>
      </x:c>
    </x:row>
    <x:row r="1045">
      <x:c r="A1045" t="n">
        <x:v>2</x:v>
      </x:c>
      <x:c r="B1045" t="str">
        <x:v>Pear</x:v>
      </x:c>
      <x:c r="C1045" t="str">
        <x:v>F</x:v>
      </x:c>
      <x:c r="D1045" t="str">
        <x:v>VVS2</x:v>
      </x:c>
      <x:c r="E1045" s="36" t="n">
        <x:v>19520</x:v>
      </x:c>
      <x:c r="F1045" s="36" t="n">
        <x:v>6352</x:v>
      </x:c>
      <x:c r="G1045" s="42" t="n">
        <x:v>1.3625053625053625</x:v>
      </x:c>
      <x:c r="H1045" s="36" t="n">
        <x:f>E1045*G1045</x:f>
        <x:v>26596.104676104675</x:v>
      </x:c>
      <x:c r="I1045" s="36" t="n">
        <x:f>IFERROR(H1045/A1045,0)</x:f>
        <x:v>13298.052338052337</x:v>
      </x:c>
      <x:c r="J1045" s="67" t="str">
        <x:v>Modeled from live base + Sep-2026 quality ratio</x:v>
      </x:c>
      <x:c r="K1045" s="67" t="str">
        <x:v>https://www.stonealgo.com/diamond-prices/</x:v>
      </x:c>
      <x:c r="L1045" s="67" t="str">
        <x:v>https://www.pricescope.com/blog/natural-diamond-prices-september-2026</x:v>
      </x:c>
    </x:row>
    <x:row r="1046">
      <x:c r="A1046" t="n">
        <x:v>2</x:v>
      </x:c>
      <x:c r="B1046" t="str">
        <x:v>Pear</x:v>
      </x:c>
      <x:c r="C1046" t="str">
        <x:v>F</x:v>
      </x:c>
      <x:c r="D1046" t="str">
        <x:v>VS1</x:v>
      </x:c>
      <x:c r="E1046" s="36" t="n">
        <x:v>19520</x:v>
      </x:c>
      <x:c r="F1046" s="36" t="n">
        <x:v>5647</x:v>
      </x:c>
      <x:c r="G1046" s="42" t="n">
        <x:v>1.2112827112827114</x:v>
      </x:c>
      <x:c r="H1046" s="36" t="n">
        <x:f>E1046*G1046</x:f>
        <x:v>23644.238524238524</x:v>
      </x:c>
      <x:c r="I1046" s="36" t="n">
        <x:f>IFERROR(H1046/A1046,0)</x:f>
        <x:v>11822.119262119262</x:v>
      </x:c>
      <x:c r="J1046" s="67" t="str">
        <x:v>Modeled from live base + Sep-2026 quality ratio</x:v>
      </x:c>
      <x:c r="K1046" s="67" t="str">
        <x:v>https://www.stonealgo.com/diamond-prices/</x:v>
      </x:c>
      <x:c r="L1046" s="67" t="str">
        <x:v>https://www.pricescope.com/blog/natural-diamond-prices-september-2026</x:v>
      </x:c>
    </x:row>
    <x:row r="1047">
      <x:c r="A1047" t="n">
        <x:v>2</x:v>
      </x:c>
      <x:c r="B1047" t="str">
        <x:v>Pear</x:v>
      </x:c>
      <x:c r="C1047" t="str">
        <x:v>F</x:v>
      </x:c>
      <x:c r="D1047" t="str">
        <x:v>VS2</x:v>
      </x:c>
      <x:c r="E1047" s="36" t="n">
        <x:v>19520</x:v>
      </x:c>
      <x:c r="F1047" s="36" t="n">
        <x:v>4730</x:v>
      </x:c>
      <x:c r="G1047" s="42" t="n">
        <x:v>1.0145860145860146</x:v>
      </x:c>
      <x:c r="H1047" s="36" t="n">
        <x:f>E1047*G1047</x:f>
        <x:v>19804.719004719005</x:v>
      </x:c>
      <x:c r="I1047" s="36" t="n">
        <x:f>IFERROR(H1047/A1047,0)</x:f>
        <x:v>9902.359502359503</x:v>
      </x:c>
      <x:c r="J1047" s="67" t="str">
        <x:v>Modeled from live base + Sep-2026 quality ratio</x:v>
      </x:c>
      <x:c r="K1047" s="67" t="str">
        <x:v>https://www.stonealgo.com/diamond-prices/</x:v>
      </x:c>
      <x:c r="L1047" s="67" t="str">
        <x:v>https://www.pricescope.com/blog/natural-diamond-prices-september-2026</x:v>
      </x:c>
    </x:row>
    <x:row r="1048">
      <x:c r="A1048" t="n">
        <x:v>2</x:v>
      </x:c>
      <x:c r="B1048" t="str">
        <x:v>Pear</x:v>
      </x:c>
      <x:c r="C1048" t="str">
        <x:v>F</x:v>
      </x:c>
      <x:c r="D1048" t="str">
        <x:v>SI1</x:v>
      </x:c>
      <x:c r="E1048" s="36" t="n">
        <x:v>19520</x:v>
      </x:c>
      <x:c r="F1048" s="36" t="n">
        <x:v>3331</x:v>
      </x:c>
      <x:c r="G1048" s="42" t="n">
        <x:v>0.7145002145002145</x:v>
      </x:c>
      <x:c r="H1048" s="36" t="n">
        <x:f>E1048*G1048</x:f>
        <x:v>13947.044187044186</x:v>
      </x:c>
      <x:c r="I1048" s="36" t="n">
        <x:f>IFERROR(H1048/A1048,0)</x:f>
        <x:v>6973.522093522093</x:v>
      </x:c>
      <x:c r="J1048" s="67" t="str">
        <x:v>Modeled from live base + Sep-2026 quality ratio</x:v>
      </x:c>
      <x:c r="K1048" s="67" t="str">
        <x:v>https://www.stonealgo.com/diamond-prices/</x:v>
      </x:c>
      <x:c r="L1048" s="67" t="str">
        <x:v>https://www.pricescope.com/blog/natural-diamond-prices-september-2026</x:v>
      </x:c>
    </x:row>
    <x:row r="1049">
      <x:c r="A1049" t="n">
        <x:v>2</x:v>
      </x:c>
      <x:c r="B1049" t="str">
        <x:v>Pear</x:v>
      </x:c>
      <x:c r="C1049" t="str">
        <x:v>F</x:v>
      </x:c>
      <x:c r="D1049" t="str">
        <x:v>SI2</x:v>
      </x:c>
      <x:c r="E1049" s="36" t="n">
        <x:v>19520</x:v>
      </x:c>
      <x:c r="F1049" s="36" t="n">
        <x:v>2733</x:v>
      </x:c>
      <x:c r="G1049" s="42" t="n">
        <x:v>0.5862290862290862</x:v>
      </x:c>
      <x:c r="H1049" s="36" t="n">
        <x:f>E1049*G1049</x:f>
        <x:v>11443.191763191762</x:v>
      </x:c>
      <x:c r="I1049" s="36" t="n">
        <x:f>IFERROR(H1049/A1049,0)</x:f>
        <x:v>5721.595881595881</x:v>
      </x:c>
      <x:c r="J1049" s="67" t="str">
        <x:v>Modeled from live base + Sep-2026 quality ratio</x:v>
      </x:c>
      <x:c r="K1049" s="67" t="str">
        <x:v>https://www.stonealgo.com/diamond-prices/</x:v>
      </x:c>
      <x:c r="L1049" s="67" t="str">
        <x:v>https://www.pricescope.com/blog/natural-diamond-prices-september-2026</x:v>
      </x:c>
    </x:row>
    <x:row r="1050">
      <x:c r="A1050" t="n">
        <x:v>2</x:v>
      </x:c>
      <x:c r="B1050" t="str">
        <x:v>Pear</x:v>
      </x:c>
      <x:c r="C1050" t="str">
        <x:v>G</x:v>
      </x:c>
      <x:c r="D1050" t="str">
        <x:v>FL</x:v>
      </x:c>
      <x:c r="E1050" s="36" t="n">
        <x:v>19520</x:v>
      </x:c>
      <x:c r="F1050" s="36" t="n">
        <x:v>5905</x:v>
      </x:c>
      <x:c r="G1050" s="42" t="n">
        <x:v>1.2666237666237665</x:v>
      </x:c>
      <x:c r="H1050" s="36" t="n">
        <x:f>E1050*G1050</x:f>
        <x:v>24724.49592449592</x:v>
      </x:c>
      <x:c r="I1050" s="36" t="n">
        <x:f>IFERROR(H1050/A1050,0)</x:f>
        <x:v>12362.24796224796</x:v>
      </x:c>
      <x:c r="J1050" s="67" t="str">
        <x:v>Modeled from live base + Sep-2026 quality ratio</x:v>
      </x:c>
      <x:c r="K1050" s="67" t="str">
        <x:v>https://www.stonealgo.com/diamond-prices/</x:v>
      </x:c>
      <x:c r="L1050" s="67" t="str">
        <x:v>https://www.pricescope.com/blog/natural-diamond-prices-september-2026</x:v>
      </x:c>
    </x:row>
    <x:row r="1051">
      <x:c r="A1051" t="n">
        <x:v>2</x:v>
      </x:c>
      <x:c r="B1051" t="str">
        <x:v>Pear</x:v>
      </x:c>
      <x:c r="C1051" t="str">
        <x:v>G</x:v>
      </x:c>
      <x:c r="D1051" t="str">
        <x:v>IF</x:v>
      </x:c>
      <x:c r="E1051" s="36" t="n">
        <x:v>19520</x:v>
      </x:c>
      <x:c r="F1051" s="36" t="n">
        <x:v>5601</x:v>
      </x:c>
      <x:c r="G1051" s="42" t="n">
        <x:v>1.2014157014157014</x:v>
      </x:c>
      <x:c r="H1051" s="36" t="n">
        <x:f>E1051*G1051</x:f>
        <x:v>23451.634491634493</x:v>
      </x:c>
      <x:c r="I1051" s="36" t="n">
        <x:f>IFERROR(H1051/A1051,0)</x:f>
        <x:v>11725.817245817247</x:v>
      </x:c>
      <x:c r="J1051" s="67" t="str">
        <x:v>Modeled from live base + Sep-2026 quality ratio</x:v>
      </x:c>
      <x:c r="K1051" s="67" t="str">
        <x:v>https://www.stonealgo.com/diamond-prices/</x:v>
      </x:c>
      <x:c r="L1051" s="67" t="str">
        <x:v>https://www.pricescope.com/blog/natural-diamond-prices-september-2026</x:v>
      </x:c>
    </x:row>
    <x:row r="1052">
      <x:c r="A1052" t="n">
        <x:v>2</x:v>
      </x:c>
      <x:c r="B1052" t="str">
        <x:v>Pear</x:v>
      </x:c>
      <x:c r="C1052" t="str">
        <x:v>G</x:v>
      </x:c>
      <x:c r="D1052" t="str">
        <x:v>VVS1</x:v>
      </x:c>
      <x:c r="E1052" s="36" t="n">
        <x:v>19520</x:v>
      </x:c>
      <x:c r="F1052" s="36" t="n">
        <x:v>5124</x:v>
      </x:c>
      <x:c r="G1052" s="42" t="n">
        <x:v>1.0990990990990992</x:v>
      </x:c>
      <x:c r="H1052" s="36" t="n">
        <x:f>E1052*G1052</x:f>
        <x:v>21454.414414414416</x:v>
      </x:c>
      <x:c r="I1052" s="36" t="n">
        <x:f>IFERROR(H1052/A1052,0)</x:f>
        <x:v>10727.207207207208</x:v>
      </x:c>
      <x:c r="J1052" s="67" t="str">
        <x:v>Modeled from live base + Sep-2026 quality ratio</x:v>
      </x:c>
      <x:c r="K1052" s="67" t="str">
        <x:v>https://www.stonealgo.com/diamond-prices/</x:v>
      </x:c>
      <x:c r="L1052" s="67" t="str">
        <x:v>https://www.pricescope.com/blog/natural-diamond-prices-september-2026</x:v>
      </x:c>
    </x:row>
    <x:row r="1053">
      <x:c r="A1053" t="n">
        <x:v>2</x:v>
      </x:c>
      <x:c r="B1053" t="str">
        <x:v>Pear</x:v>
      </x:c>
      <x:c r="C1053" t="str">
        <x:v>G</x:v>
      </x:c>
      <x:c r="D1053" t="str">
        <x:v>VVS2</x:v>
      </x:c>
      <x:c r="E1053" s="36" t="n">
        <x:v>19520</x:v>
      </x:c>
      <x:c r="F1053" s="36" t="n">
        <x:v>4962</x:v>
      </x:c>
      <x:c r="G1053" s="42" t="n">
        <x:v>1.0643500643500643</x:v>
      </x:c>
      <x:c r="H1053" s="36" t="n">
        <x:f>E1053*G1053</x:f>
        <x:v>20776.113256113254</x:v>
      </x:c>
      <x:c r="I1053" s="36" t="n">
        <x:f>IFERROR(H1053/A1053,0)</x:f>
        <x:v>10388.056628056627</x:v>
      </x:c>
      <x:c r="J1053" s="67" t="str">
        <x:v>Modeled from live base + Sep-2026 quality ratio</x:v>
      </x:c>
      <x:c r="K1053" s="67" t="str">
        <x:v>https://www.stonealgo.com/diamond-prices/</x:v>
      </x:c>
      <x:c r="L1053" s="67" t="str">
        <x:v>https://www.pricescope.com/blog/natural-diamond-prices-september-2026</x:v>
      </x:c>
    </x:row>
    <x:row r="1054">
      <x:c r="A1054" t="n">
        <x:v>2</x:v>
      </x:c>
      <x:c r="B1054" t="str">
        <x:v>Pear</x:v>
      </x:c>
      <x:c r="C1054" t="str">
        <x:v>G</x:v>
      </x:c>
      <x:c r="D1054" t="str">
        <x:v>VS1</x:v>
      </x:c>
      <x:c r="E1054" s="36" t="n">
        <x:v>19520</x:v>
      </x:c>
      <x:c r="F1054" s="36" t="n">
        <x:v>4615</x:v>
      </x:c>
      <x:c r="G1054" s="42" t="n">
        <x:v>0.98991848991849</x:v>
      </x:c>
      <x:c r="H1054" s="36" t="n">
        <x:f>E1054*G1054</x:f>
        <x:v>19323.208923208924</x:v>
      </x:c>
      <x:c r="I1054" s="36" t="n">
        <x:f>IFERROR(H1054/A1054,0)</x:f>
        <x:v>9661.604461604462</x:v>
      </x:c>
      <x:c r="J1054" s="67" t="str">
        <x:v>Modeled from live base + Sep-2026 quality ratio</x:v>
      </x:c>
      <x:c r="K1054" s="67" t="str">
        <x:v>https://www.stonealgo.com/diamond-prices/</x:v>
      </x:c>
      <x:c r="L1054" s="67" t="str">
        <x:v>https://www.pricescope.com/blog/natural-diamond-prices-september-2026</x:v>
      </x:c>
    </x:row>
    <x:row r="1055">
      <x:c r="A1055" t="n">
        <x:v>2</x:v>
      </x:c>
      <x:c r="B1055" t="str">
        <x:v>Pear</x:v>
      </x:c>
      <x:c r="C1055" t="str">
        <x:v>G</x:v>
      </x:c>
      <x:c r="D1055" t="str">
        <x:v>VS2</x:v>
      </x:c>
      <x:c r="E1055" s="36" t="n">
        <x:v>19520</x:v>
      </x:c>
      <x:c r="F1055" s="36" t="n">
        <x:v>4585</x:v>
      </x:c>
      <x:c r="G1055" s="42" t="n">
        <x:v>0.9834834834834835</x:v>
      </x:c>
      <x:c r="H1055" s="36" t="n">
        <x:f>E1055*G1055</x:f>
        <x:v>19197.597597597596</x:v>
      </x:c>
      <x:c r="I1055" s="36" t="n">
        <x:f>IFERROR(H1055/A1055,0)</x:f>
        <x:v>9598.798798798798</x:v>
      </x:c>
      <x:c r="J1055" s="67" t="str">
        <x:v>Modeled from live base + Sep-2026 quality ratio</x:v>
      </x:c>
      <x:c r="K1055" s="67" t="str">
        <x:v>https://www.stonealgo.com/diamond-prices/</x:v>
      </x:c>
      <x:c r="L1055" s="67" t="str">
        <x:v>https://www.pricescope.com/blog/natural-diamond-prices-september-2026</x:v>
      </x:c>
    </x:row>
    <x:row r="1056">
      <x:c r="A1056" t="n">
        <x:v>2</x:v>
      </x:c>
      <x:c r="B1056" t="str">
        <x:v>Pear</x:v>
      </x:c>
      <x:c r="C1056" t="str">
        <x:v>G</x:v>
      </x:c>
      <x:c r="D1056" t="str">
        <x:v>SI1</x:v>
      </x:c>
      <x:c r="E1056" s="36" t="n">
        <x:v>19520</x:v>
      </x:c>
      <x:c r="F1056" s="36" t="n">
        <x:v>3664</x:v>
      </x:c>
      <x:c r="G1056" s="42" t="n">
        <x:v>0.7859287859287859</x:v>
      </x:c>
      <x:c r="H1056" s="36" t="n">
        <x:f>E1056*G1056</x:f>
        <x:v>15341.3299013299</x:v>
      </x:c>
      <x:c r="I1056" s="36" t="n">
        <x:f>IFERROR(H1056/A1056,0)</x:f>
        <x:v>7670.66495066495</x:v>
      </x:c>
      <x:c r="J1056" s="67" t="str">
        <x:v>Modeled from live base + Sep-2026 quality ratio</x:v>
      </x:c>
      <x:c r="K1056" s="67" t="str">
        <x:v>https://www.stonealgo.com/diamond-prices/</x:v>
      </x:c>
      <x:c r="L1056" s="67" t="str">
        <x:v>https://www.pricescope.com/blog/natural-diamond-prices-september-2026</x:v>
      </x:c>
    </x:row>
    <x:row r="1057">
      <x:c r="A1057" t="n">
        <x:v>2</x:v>
      </x:c>
      <x:c r="B1057" t="str">
        <x:v>Pear</x:v>
      </x:c>
      <x:c r="C1057" t="str">
        <x:v>G</x:v>
      </x:c>
      <x:c r="D1057" t="str">
        <x:v>SI2</x:v>
      </x:c>
      <x:c r="E1057" s="36" t="n">
        <x:v>19520</x:v>
      </x:c>
      <x:c r="F1057" s="36" t="n">
        <x:v>2537</x:v>
      </x:c>
      <x:c r="G1057" s="42" t="n">
        <x:v>0.5441870441870442</x:v>
      </x:c>
      <x:c r="H1057" s="36" t="n">
        <x:f>E1057*G1057</x:f>
        <x:v>10622.531102531104</x:v>
      </x:c>
      <x:c r="I1057" s="36" t="n">
        <x:f>IFERROR(H1057/A1057,0)</x:f>
        <x:v>5311.265551265552</x:v>
      </x:c>
      <x:c r="J1057" s="67" t="str">
        <x:v>Modeled from live base + Sep-2026 quality ratio</x:v>
      </x:c>
      <x:c r="K1057" s="67" t="str">
        <x:v>https://www.stonealgo.com/diamond-prices/</x:v>
      </x:c>
      <x:c r="L1057" s="67" t="str">
        <x:v>https://www.pricescope.com/blog/natural-diamond-prices-september-2026</x:v>
      </x:c>
    </x:row>
    <x:row r="1058">
      <x:c r="A1058" t="n">
        <x:v>2</x:v>
      </x:c>
      <x:c r="B1058" t="str">
        <x:v>Pear</x:v>
      </x:c>
      <x:c r="C1058" t="str">
        <x:v>H</x:v>
      </x:c>
      <x:c r="D1058" t="str">
        <x:v>FL</x:v>
      </x:c>
      <x:c r="E1058" s="36" t="n">
        <x:v>19520</x:v>
      </x:c>
      <x:c r="F1058" s="36" t="n">
        <x:v>4563</x:v>
      </x:c>
      <x:c r="G1058" s="42" t="n">
        <x:v>0.9787644787644788</x:v>
      </x:c>
      <x:c r="H1058" s="36" t="n">
        <x:f>E1058*G1058</x:f>
        <x:v>19105.482625482626</x:v>
      </x:c>
      <x:c r="I1058" s="36" t="n">
        <x:f>IFERROR(H1058/A1058,0)</x:f>
        <x:v>9552.741312741313</x:v>
      </x:c>
      <x:c r="J1058" s="67" t="str">
        <x:v>Modeled from live base + Sep-2026 quality ratio</x:v>
      </x:c>
      <x:c r="K1058" s="67" t="str">
        <x:v>https://www.stonealgo.com/diamond-prices/</x:v>
      </x:c>
      <x:c r="L1058" s="67" t="str">
        <x:v>https://www.pricescope.com/blog/natural-diamond-prices-september-2026</x:v>
      </x:c>
    </x:row>
    <x:row r="1059">
      <x:c r="A1059" t="n">
        <x:v>2</x:v>
      </x:c>
      <x:c r="B1059" t="str">
        <x:v>Pear</x:v>
      </x:c>
      <x:c r="C1059" t="str">
        <x:v>H</x:v>
      </x:c>
      <x:c r="D1059" t="str">
        <x:v>IF</x:v>
      </x:c>
      <x:c r="E1059" s="36" t="n">
        <x:v>19520</x:v>
      </x:c>
      <x:c r="F1059" s="36" t="n">
        <x:v>4809</x:v>
      </x:c>
      <x:c r="G1059" s="42" t="n">
        <x:v>1.0315315315315314</x:v>
      </x:c>
      <x:c r="H1059" s="36" t="n">
        <x:f>E1059*G1059</x:f>
        <x:v>20135.495495495492</x:v>
      </x:c>
      <x:c r="I1059" s="36" t="n">
        <x:f>IFERROR(H1059/A1059,0)</x:f>
        <x:v>10067.747747747746</x:v>
      </x:c>
      <x:c r="J1059" s="67" t="str">
        <x:v>Modeled from live base + Sep-2026 quality ratio</x:v>
      </x:c>
      <x:c r="K1059" s="67" t="str">
        <x:v>https://www.stonealgo.com/diamond-prices/</x:v>
      </x:c>
      <x:c r="L1059" s="67" t="str">
        <x:v>https://www.pricescope.com/blog/natural-diamond-prices-september-2026</x:v>
      </x:c>
    </x:row>
    <x:row r="1060">
      <x:c r="A1060" t="n">
        <x:v>2</x:v>
      </x:c>
      <x:c r="B1060" t="str">
        <x:v>Pear</x:v>
      </x:c>
      <x:c r="C1060" t="str">
        <x:v>H</x:v>
      </x:c>
      <x:c r="D1060" t="str">
        <x:v>VVS1</x:v>
      </x:c>
      <x:c r="E1060" s="36" t="n">
        <x:v>19520</x:v>
      </x:c>
      <x:c r="F1060" s="36" t="n">
        <x:v>4911</x:v>
      </x:c>
      <x:c r="G1060" s="42" t="n">
        <x:v>1.0534105534105533</x:v>
      </x:c>
      <x:c r="H1060" s="36" t="n">
        <x:f>E1060*G1060</x:f>
        <x:v>20562.574002574</x:v>
      </x:c>
      <x:c r="I1060" s="36" t="n">
        <x:f>IFERROR(H1060/A1060,0)</x:f>
        <x:v>10281.287001287</x:v>
      </x:c>
      <x:c r="J1060" s="67" t="str">
        <x:v>Modeled from live base + Sep-2026 quality ratio</x:v>
      </x:c>
      <x:c r="K1060" s="67" t="str">
        <x:v>https://www.stonealgo.com/diamond-prices/</x:v>
      </x:c>
      <x:c r="L1060" s="67" t="str">
        <x:v>https://www.pricescope.com/blog/natural-diamond-prices-september-2026</x:v>
      </x:c>
    </x:row>
    <x:row r="1061">
      <x:c r="A1061" t="n">
        <x:v>2</x:v>
      </x:c>
      <x:c r="B1061" t="str">
        <x:v>Pear</x:v>
      </x:c>
      <x:c r="C1061" t="str">
        <x:v>H</x:v>
      </x:c>
      <x:c r="D1061" t="str">
        <x:v>VVS2</x:v>
      </x:c>
      <x:c r="E1061" s="36" t="n">
        <x:v>19520</x:v>
      </x:c>
      <x:c r="F1061" s="36" t="n">
        <x:v>4046</x:v>
      </x:c>
      <x:c r="G1061" s="42" t="n">
        <x:v>0.8678678678678678</x:v>
      </x:c>
      <x:c r="H1061" s="36" t="n">
        <x:f>E1061*G1061</x:f>
        <x:v>16940.78078078078</x:v>
      </x:c>
      <x:c r="I1061" s="36" t="n">
        <x:f>IFERROR(H1061/A1061,0)</x:f>
        <x:v>8470.39039039039</x:v>
      </x:c>
      <x:c r="J1061" s="67" t="str">
        <x:v>Modeled from live base + Sep-2026 quality ratio</x:v>
      </x:c>
      <x:c r="K1061" s="67" t="str">
        <x:v>https://www.stonealgo.com/diamond-prices/</x:v>
      </x:c>
      <x:c r="L1061" s="67" t="str">
        <x:v>https://www.pricescope.com/blog/natural-diamond-prices-september-2026</x:v>
      </x:c>
    </x:row>
    <x:row r="1062">
      <x:c r="A1062" t="n">
        <x:v>2</x:v>
      </x:c>
      <x:c r="B1062" t="str">
        <x:v>Pear</x:v>
      </x:c>
      <x:c r="C1062" t="str">
        <x:v>H</x:v>
      </x:c>
      <x:c r="D1062" t="str">
        <x:v>VS1</x:v>
      </x:c>
      <x:c r="E1062" s="36" t="n">
        <x:v>19520</x:v>
      </x:c>
      <x:c r="F1062" s="36" t="n">
        <x:v>3893</x:v>
      </x:c>
      <x:c r="G1062" s="42" t="n">
        <x:v>0.8350493350493351</x:v>
      </x:c>
      <x:c r="H1062" s="36" t="n">
        <x:f>E1062*G1062</x:f>
        <x:v>16300.163020163021</x:v>
      </x:c>
      <x:c r="I1062" s="36" t="n">
        <x:f>IFERROR(H1062/A1062,0)</x:f>
        <x:v>8150.081510081511</x:v>
      </x:c>
      <x:c r="J1062" s="67" t="str">
        <x:v>Modeled from live base + Sep-2026 quality ratio</x:v>
      </x:c>
      <x:c r="K1062" s="67" t="str">
        <x:v>https://www.stonealgo.com/diamond-prices/</x:v>
      </x:c>
      <x:c r="L1062" s="67" t="str">
        <x:v>https://www.pricescope.com/blog/natural-diamond-prices-september-2026</x:v>
      </x:c>
    </x:row>
    <x:row r="1063">
      <x:c r="A1063" t="n">
        <x:v>2</x:v>
      </x:c>
      <x:c r="B1063" t="str">
        <x:v>Pear</x:v>
      </x:c>
      <x:c r="C1063" t="str">
        <x:v>H</x:v>
      </x:c>
      <x:c r="D1063" t="str">
        <x:v>VS2</x:v>
      </x:c>
      <x:c r="E1063" s="36" t="n">
        <x:v>19520</x:v>
      </x:c>
      <x:c r="F1063" s="36" t="n">
        <x:v>3989</x:v>
      </x:c>
      <x:c r="G1063" s="42" t="n">
        <x:v>0.8556413556413557</x:v>
      </x:c>
      <x:c r="H1063" s="36" t="n">
        <x:f>E1063*G1063</x:f>
        <x:v>16702.119262119264</x:v>
      </x:c>
      <x:c r="I1063" s="36" t="n">
        <x:f>IFERROR(H1063/A1063,0)</x:f>
        <x:v>8351.059631059632</x:v>
      </x:c>
      <x:c r="J1063" s="67" t="str">
        <x:v>Modeled from live base + Sep-2026 quality ratio</x:v>
      </x:c>
      <x:c r="K1063" s="67" t="str">
        <x:v>https://www.stonealgo.com/diamond-prices/</x:v>
      </x:c>
      <x:c r="L1063" s="67" t="str">
        <x:v>https://www.pricescope.com/blog/natural-diamond-prices-september-2026</x:v>
      </x:c>
    </x:row>
    <x:row r="1064">
      <x:c r="A1064" t="n">
        <x:v>2</x:v>
      </x:c>
      <x:c r="B1064" t="str">
        <x:v>Pear</x:v>
      </x:c>
      <x:c r="C1064" t="str">
        <x:v>H</x:v>
      </x:c>
      <x:c r="D1064" t="str">
        <x:v>SI1</x:v>
      </x:c>
      <x:c r="E1064" s="36" t="n">
        <x:v>19520</x:v>
      </x:c>
      <x:c r="F1064" s="36" t="n">
        <x:v>2828</x:v>
      </x:c>
      <x:c r="G1064" s="42" t="n">
        <x:v>0.6066066066066066</x:v>
      </x:c>
      <x:c r="H1064" s="36" t="n">
        <x:f>E1064*G1064</x:f>
        <x:v>11840.960960960962</x:v>
      </x:c>
      <x:c r="I1064" s="36" t="n">
        <x:f>IFERROR(H1064/A1064,0)</x:f>
        <x:v>5920.480480480481</x:v>
      </x:c>
      <x:c r="J1064" s="67" t="str">
        <x:v>Modeled from live base + Sep-2026 quality ratio</x:v>
      </x:c>
      <x:c r="K1064" s="67" t="str">
        <x:v>https://www.stonealgo.com/diamond-prices/</x:v>
      </x:c>
      <x:c r="L1064" s="67" t="str">
        <x:v>https://www.pricescope.com/blog/natural-diamond-prices-september-2026</x:v>
      </x:c>
    </x:row>
    <x:row r="1065">
      <x:c r="A1065" t="n">
        <x:v>2</x:v>
      </x:c>
      <x:c r="B1065" t="str">
        <x:v>Pear</x:v>
      </x:c>
      <x:c r="C1065" t="str">
        <x:v>H</x:v>
      </x:c>
      <x:c r="D1065" t="str">
        <x:v>SI2</x:v>
      </x:c>
      <x:c r="E1065" s="36" t="n">
        <x:v>19520</x:v>
      </x:c>
      <x:c r="F1065" s="36" t="n">
        <x:v>2328</x:v>
      </x:c>
      <x:c r="G1065" s="42" t="n">
        <x:v>0.49935649935649934</x:v>
      </x:c>
      <x:c r="H1065" s="36" t="n">
        <x:f>E1065*G1065</x:f>
        <x:v>9747.438867438867</x:v>
      </x:c>
      <x:c r="I1065" s="36" t="n">
        <x:f>IFERROR(H1065/A1065,0)</x:f>
        <x:v>4873.719433719433</x:v>
      </x:c>
      <x:c r="J1065" s="67" t="str">
        <x:v>Modeled from live base + Sep-2026 quality ratio</x:v>
      </x:c>
      <x:c r="K1065" s="67" t="str">
        <x:v>https://www.stonealgo.com/diamond-prices/</x:v>
      </x:c>
      <x:c r="L1065" s="67" t="str">
        <x:v>https://www.pricescope.com/blog/natural-diamond-prices-september-2026</x:v>
      </x:c>
    </x:row>
    <x:row r="1066">
      <x:c r="A1066" t="n">
        <x:v>2</x:v>
      </x:c>
      <x:c r="B1066" t="str">
        <x:v>Pear</x:v>
      </x:c>
      <x:c r="C1066" t="str">
        <x:v>I</x:v>
      </x:c>
      <x:c r="D1066" t="str">
        <x:v>FL</x:v>
      </x:c>
      <x:c r="E1066" s="36" t="n">
        <x:v>19520</x:v>
      </x:c>
      <x:c r="F1066" s="36" t="n">
        <x:v>4623</x:v>
      </x:c>
      <x:c r="G1066" s="42" t="n">
        <x:v>0.9916344916344917</x:v>
      </x:c>
      <x:c r="H1066" s="36" t="n">
        <x:f>E1066*G1066</x:f>
        <x:v>19356.705276705277</x:v>
      </x:c>
      <x:c r="I1066" s="36" t="n">
        <x:f>IFERROR(H1066/A1066,0)</x:f>
        <x:v>9678.352638352639</x:v>
      </x:c>
      <x:c r="J1066" s="67" t="str">
        <x:v>Modeled from live base + Sep-2026 quality ratio</x:v>
      </x:c>
      <x:c r="K1066" s="67" t="str">
        <x:v>https://www.stonealgo.com/diamond-prices/</x:v>
      </x:c>
      <x:c r="L1066" s="67" t="str">
        <x:v>https://www.pricescope.com/blog/natural-diamond-prices-september-2026</x:v>
      </x:c>
    </x:row>
    <x:row r="1067">
      <x:c r="A1067" t="n">
        <x:v>2</x:v>
      </x:c>
      <x:c r="B1067" t="str">
        <x:v>Pear</x:v>
      </x:c>
      <x:c r="C1067" t="str">
        <x:v>I</x:v>
      </x:c>
      <x:c r="D1067" t="str">
        <x:v>IF</x:v>
      </x:c>
      <x:c r="E1067" s="36" t="n">
        <x:v>19520</x:v>
      </x:c>
      <x:c r="F1067" s="36" t="n">
        <x:v>4005</x:v>
      </x:c>
      <x:c r="G1067" s="42" t="n">
        <x:v>0.859073359073359</x:v>
      </x:c>
      <x:c r="H1067" s="36" t="n">
        <x:f>E1067*G1067</x:f>
        <x:v>16769.111969111967</x:v>
      </x:c>
      <x:c r="I1067" s="36" t="n">
        <x:f>IFERROR(H1067/A1067,0)</x:f>
        <x:v>8384.555984555984</x:v>
      </x:c>
      <x:c r="J1067" s="67" t="str">
        <x:v>Modeled from live base + Sep-2026 quality ratio</x:v>
      </x:c>
      <x:c r="K1067" s="67" t="str">
        <x:v>https://www.stonealgo.com/diamond-prices/</x:v>
      </x:c>
      <x:c r="L1067" s="67" t="str">
        <x:v>https://www.pricescope.com/blog/natural-diamond-prices-september-2026</x:v>
      </x:c>
    </x:row>
    <x:row r="1068">
      <x:c r="A1068" t="n">
        <x:v>2</x:v>
      </x:c>
      <x:c r="B1068" t="str">
        <x:v>Pear</x:v>
      </x:c>
      <x:c r="C1068" t="str">
        <x:v>I</x:v>
      </x:c>
      <x:c r="D1068" t="str">
        <x:v>VVS1</x:v>
      </x:c>
      <x:c r="E1068" s="36" t="n">
        <x:v>19520</x:v>
      </x:c>
      <x:c r="F1068" s="36" t="n">
        <x:v>3670</x:v>
      </x:c>
      <x:c r="G1068" s="42" t="n">
        <x:v>0.7872157872157872</x:v>
      </x:c>
      <x:c r="H1068" s="36" t="n">
        <x:f>E1068*G1068</x:f>
        <x:v>15366.452166452167</x:v>
      </x:c>
      <x:c r="I1068" s="36" t="n">
        <x:f>IFERROR(H1068/A1068,0)</x:f>
        <x:v>7683.226083226084</x:v>
      </x:c>
      <x:c r="J1068" s="67" t="str">
        <x:v>Modeled from live base + Sep-2026 quality ratio</x:v>
      </x:c>
      <x:c r="K1068" s="67" t="str">
        <x:v>https://www.stonealgo.com/diamond-prices/</x:v>
      </x:c>
      <x:c r="L1068" s="67" t="str">
        <x:v>https://www.pricescope.com/blog/natural-diamond-prices-september-2026</x:v>
      </x:c>
    </x:row>
    <x:row r="1069">
      <x:c r="A1069" t="n">
        <x:v>2</x:v>
      </x:c>
      <x:c r="B1069" t="str">
        <x:v>Pear</x:v>
      </x:c>
      <x:c r="C1069" t="str">
        <x:v>I</x:v>
      </x:c>
      <x:c r="D1069" t="str">
        <x:v>VVS2</x:v>
      </x:c>
      <x:c r="E1069" s="36" t="n">
        <x:v>19520</x:v>
      </x:c>
      <x:c r="F1069" s="36" t="n">
        <x:v>3447</x:v>
      </x:c>
      <x:c r="G1069" s="42" t="n">
        <x:v>0.7393822393822393</x:v>
      </x:c>
      <x:c r="H1069" s="36" t="n">
        <x:f>E1069*G1069</x:f>
        <x:v>14432.741312741313</x:v>
      </x:c>
      <x:c r="I1069" s="36" t="n">
        <x:f>IFERROR(H1069/A1069,0)</x:f>
        <x:v>7216.370656370656</x:v>
      </x:c>
      <x:c r="J1069" s="67" t="str">
        <x:v>Modeled from live base + Sep-2026 quality ratio</x:v>
      </x:c>
      <x:c r="K1069" s="67" t="str">
        <x:v>https://www.stonealgo.com/diamond-prices/</x:v>
      </x:c>
      <x:c r="L1069" s="67" t="str">
        <x:v>https://www.pricescope.com/blog/natural-diamond-prices-september-2026</x:v>
      </x:c>
    </x:row>
    <x:row r="1070">
      <x:c r="A1070" t="n">
        <x:v>2</x:v>
      </x:c>
      <x:c r="B1070" t="str">
        <x:v>Pear</x:v>
      </x:c>
      <x:c r="C1070" t="str">
        <x:v>I</x:v>
      </x:c>
      <x:c r="D1070" t="str">
        <x:v>VS1</x:v>
      </x:c>
      <x:c r="E1070" s="36" t="n">
        <x:v>19520</x:v>
      </x:c>
      <x:c r="F1070" s="36" t="n">
        <x:v>3313</x:v>
      </x:c>
      <x:c r="G1070" s="42" t="n">
        <x:v>0.7106392106392107</x:v>
      </x:c>
      <x:c r="H1070" s="36" t="n">
        <x:f>E1070*G1070</x:f>
        <x:v>13871.677391677393</x:v>
      </x:c>
      <x:c r="I1070" s="36" t="n">
        <x:f>IFERROR(H1070/A1070,0)</x:f>
        <x:v>6935.838695838696</x:v>
      </x:c>
      <x:c r="J1070" s="67" t="str">
        <x:v>Modeled from live base + Sep-2026 quality ratio</x:v>
      </x:c>
      <x:c r="K1070" s="67" t="str">
        <x:v>https://www.stonealgo.com/diamond-prices/</x:v>
      </x:c>
      <x:c r="L1070" s="67" t="str">
        <x:v>https://www.pricescope.com/blog/natural-diamond-prices-september-2026</x:v>
      </x:c>
    </x:row>
    <x:row r="1071">
      <x:c r="A1071" t="n">
        <x:v>2</x:v>
      </x:c>
      <x:c r="B1071" t="str">
        <x:v>Pear</x:v>
      </x:c>
      <x:c r="C1071" t="str">
        <x:v>I</x:v>
      </x:c>
      <x:c r="D1071" t="str">
        <x:v>VS2</x:v>
      </x:c>
      <x:c r="E1071" s="36" t="n">
        <x:v>19520</x:v>
      </x:c>
      <x:c r="F1071" s="36" t="n">
        <x:v>3240</x:v>
      </x:c>
      <x:c r="G1071" s="42" t="n">
        <x:v>0.694980694980695</x:v>
      </x:c>
      <x:c r="H1071" s="36" t="n">
        <x:f>E1071*G1071</x:f>
        <x:v>13566.023166023168</x:v>
      </x:c>
      <x:c r="I1071" s="36" t="n">
        <x:f>IFERROR(H1071/A1071,0)</x:f>
        <x:v>6783.011583011584</x:v>
      </x:c>
      <x:c r="J1071" s="67" t="str">
        <x:v>Modeled from live base + Sep-2026 quality ratio</x:v>
      </x:c>
      <x:c r="K1071" s="67" t="str">
        <x:v>https://www.stonealgo.com/diamond-prices/</x:v>
      </x:c>
      <x:c r="L1071" s="67" t="str">
        <x:v>https://www.pricescope.com/blog/natural-diamond-prices-september-2026</x:v>
      </x:c>
    </x:row>
    <x:row r="1072">
      <x:c r="A1072" t="n">
        <x:v>2</x:v>
      </x:c>
      <x:c r="B1072" t="str">
        <x:v>Pear</x:v>
      </x:c>
      <x:c r="C1072" t="str">
        <x:v>I</x:v>
      </x:c>
      <x:c r="D1072" t="str">
        <x:v>SI1</x:v>
      </x:c>
      <x:c r="E1072" s="36" t="n">
        <x:v>19520</x:v>
      </x:c>
      <x:c r="F1072" s="36" t="n">
        <x:v>3199</x:v>
      </x:c>
      <x:c r="G1072" s="42" t="n">
        <x:v>0.6861861861861862</x:v>
      </x:c>
      <x:c r="H1072" s="36" t="n">
        <x:f>E1072*G1072</x:f>
        <x:v>13394.354354354355</x:v>
      </x:c>
      <x:c r="I1072" s="36" t="n">
        <x:f>IFERROR(H1072/A1072,0)</x:f>
        <x:v>6697.177177177177</x:v>
      </x:c>
      <x:c r="J1072" s="67" t="str">
        <x:v>Modeled from live base + Sep-2026 quality ratio</x:v>
      </x:c>
      <x:c r="K1072" s="67" t="str">
        <x:v>https://www.stonealgo.com/diamond-prices/</x:v>
      </x:c>
      <x:c r="L1072" s="67" t="str">
        <x:v>https://www.pricescope.com/blog/natural-diamond-prices-september-2026</x:v>
      </x:c>
    </x:row>
    <x:row r="1073">
      <x:c r="A1073" t="n">
        <x:v>2</x:v>
      </x:c>
      <x:c r="B1073" t="str">
        <x:v>Pear</x:v>
      </x:c>
      <x:c r="C1073" t="str">
        <x:v>I</x:v>
      </x:c>
      <x:c r="D1073" t="str">
        <x:v>SI2</x:v>
      </x:c>
      <x:c r="E1073" s="36" t="n">
        <x:v>19520</x:v>
      </x:c>
      <x:c r="F1073" s="36" t="n">
        <x:v>2874</x:v>
      </x:c>
      <x:c r="G1073" s="42" t="n">
        <x:v>0.6164736164736164</x:v>
      </x:c>
      <x:c r="H1073" s="36" t="n">
        <x:f>E1073*G1073</x:f>
        <x:v>12033.564993564993</x:v>
      </x:c>
      <x:c r="I1073" s="36" t="n">
        <x:f>IFERROR(H1073/A1073,0)</x:f>
        <x:v>6016.782496782496</x:v>
      </x:c>
      <x:c r="J1073" s="67" t="str">
        <x:v>Modeled from live base + Sep-2026 quality ratio</x:v>
      </x:c>
      <x:c r="K1073" s="67" t="str">
        <x:v>https://www.stonealgo.com/diamond-prices/</x:v>
      </x:c>
      <x:c r="L1073" s="67" t="str">
        <x:v>https://www.pricescope.com/blog/natural-diamond-prices-september-2026</x:v>
      </x:c>
    </x:row>
    <x:row r="1074">
      <x:c r="A1074" t="n">
        <x:v>2</x:v>
      </x:c>
      <x:c r="B1074" t="str">
        <x:v>Pear</x:v>
      </x:c>
      <x:c r="C1074" t="str">
        <x:v>J</x:v>
      </x:c>
      <x:c r="D1074" t="str">
        <x:v>FL</x:v>
      </x:c>
      <x:c r="E1074" s="36" t="n">
        <x:v>19520</x:v>
      </x:c>
      <x:c r="F1074" s="36" t="n">
        <x:v>3646</x:v>
      </x:c>
      <x:c r="G1074" s="42" t="n">
        <x:v>0.782067782067782</x:v>
      </x:c>
      <x:c r="H1074" s="36" t="n">
        <x:f>E1074*G1074</x:f>
        <x:v>15265.963105963105</x:v>
      </x:c>
      <x:c r="I1074" s="36" t="n">
        <x:f>IFERROR(H1074/A1074,0)</x:f>
        <x:v>7632.981552981552</x:v>
      </x:c>
      <x:c r="J1074" s="67" t="str">
        <x:v>Modeled from live base + Sep-2026 quality ratio</x:v>
      </x:c>
      <x:c r="K1074" s="67" t="str">
        <x:v>https://www.stonealgo.com/diamond-prices/</x:v>
      </x:c>
      <x:c r="L1074" s="67" t="str">
        <x:v>https://www.pricescope.com/blog/natural-diamond-prices-september-2026</x:v>
      </x:c>
    </x:row>
    <x:row r="1075">
      <x:c r="A1075" t="n">
        <x:v>2</x:v>
      </x:c>
      <x:c r="B1075" t="str">
        <x:v>Pear</x:v>
      </x:c>
      <x:c r="C1075" t="str">
        <x:v>J</x:v>
      </x:c>
      <x:c r="D1075" t="str">
        <x:v>IF</x:v>
      </x:c>
      <x:c r="E1075" s="36" t="n">
        <x:v>19520</x:v>
      </x:c>
      <x:c r="F1075" s="36" t="n">
        <x:v>3368</x:v>
      </x:c>
      <x:c r="G1075" s="42" t="n">
        <x:v>0.7224367224367224</x:v>
      </x:c>
      <x:c r="H1075" s="36" t="n">
        <x:f>E1075*G1075</x:f>
        <x:v>14101.96482196482</x:v>
      </x:c>
      <x:c r="I1075" s="36" t="n">
        <x:f>IFERROR(H1075/A1075,0)</x:f>
        <x:v>7050.98241098241</x:v>
      </x:c>
      <x:c r="J1075" s="67" t="str">
        <x:v>Modeled from live base + Sep-2026 quality ratio</x:v>
      </x:c>
      <x:c r="K1075" s="67" t="str">
        <x:v>https://www.stonealgo.com/diamond-prices/</x:v>
      </x:c>
      <x:c r="L1075" s="67" t="str">
        <x:v>https://www.pricescope.com/blog/natural-diamond-prices-september-2026</x:v>
      </x:c>
    </x:row>
    <x:row r="1076">
      <x:c r="A1076" t="n">
        <x:v>2</x:v>
      </x:c>
      <x:c r="B1076" t="str">
        <x:v>Pear</x:v>
      </x:c>
      <x:c r="C1076" t="str">
        <x:v>J</x:v>
      </x:c>
      <x:c r="D1076" t="str">
        <x:v>VVS1</x:v>
      </x:c>
      <x:c r="E1076" s="36" t="n">
        <x:v>19520</x:v>
      </x:c>
      <x:c r="F1076" s="36" t="n">
        <x:v>2956</x:v>
      </x:c>
      <x:c r="G1076" s="42" t="n">
        <x:v>0.6340626340626341</x:v>
      </x:c>
      <x:c r="H1076" s="36" t="n">
        <x:f>E1076*G1076</x:f>
        <x:v>12376.902616902617</x:v>
      </x:c>
      <x:c r="I1076" s="36" t="n">
        <x:f>IFERROR(H1076/A1076,0)</x:f>
        <x:v>6188.451308451308</x:v>
      </x:c>
      <x:c r="J1076" s="67" t="str">
        <x:v>Modeled from live base + Sep-2026 quality ratio</x:v>
      </x:c>
      <x:c r="K1076" s="67" t="str">
        <x:v>https://www.stonealgo.com/diamond-prices/</x:v>
      </x:c>
      <x:c r="L1076" s="67" t="str">
        <x:v>https://www.pricescope.com/blog/natural-diamond-prices-september-2026</x:v>
      </x:c>
    </x:row>
    <x:row r="1077">
      <x:c r="A1077" t="n">
        <x:v>2</x:v>
      </x:c>
      <x:c r="B1077" t="str">
        <x:v>Pear</x:v>
      </x:c>
      <x:c r="C1077" t="str">
        <x:v>J</x:v>
      </x:c>
      <x:c r="D1077" t="str">
        <x:v>VVS2</x:v>
      </x:c>
      <x:c r="E1077" s="36" t="n">
        <x:v>19520</x:v>
      </x:c>
      <x:c r="F1077" s="36" t="n">
        <x:v>2612</x:v>
      </x:c>
      <x:c r="G1077" s="42" t="n">
        <x:v>0.5602745602745602</x:v>
      </x:c>
      <x:c r="H1077" s="36" t="n">
        <x:f>E1077*G1077</x:f>
        <x:v>10936.559416559416</x:v>
      </x:c>
      <x:c r="I1077" s="36" t="n">
        <x:f>IFERROR(H1077/A1077,0)</x:f>
        <x:v>5468.279708279708</x:v>
      </x:c>
      <x:c r="J1077" s="67" t="str">
        <x:v>Modeled from live base + Sep-2026 quality ratio</x:v>
      </x:c>
      <x:c r="K1077" s="67" t="str">
        <x:v>https://www.stonealgo.com/diamond-prices/</x:v>
      </x:c>
      <x:c r="L1077" s="67" t="str">
        <x:v>https://www.pricescope.com/blog/natural-diamond-prices-september-2026</x:v>
      </x:c>
    </x:row>
    <x:row r="1078">
      <x:c r="A1078" t="n">
        <x:v>2</x:v>
      </x:c>
      <x:c r="B1078" t="str">
        <x:v>Pear</x:v>
      </x:c>
      <x:c r="C1078" t="str">
        <x:v>J</x:v>
      </x:c>
      <x:c r="D1078" t="str">
        <x:v>VS1</x:v>
      </x:c>
      <x:c r="E1078" s="36" t="n">
        <x:v>19520</x:v>
      </x:c>
      <x:c r="F1078" s="36" t="n">
        <x:v>3002</x:v>
      </x:c>
      <x:c r="G1078" s="42" t="n">
        <x:v>0.6439296439296439</x:v>
      </x:c>
      <x:c r="H1078" s="36" t="n">
        <x:f>E1078*G1078</x:f>
        <x:v>12569.50664950665</x:v>
      </x:c>
      <x:c r="I1078" s="36" t="n">
        <x:f>IFERROR(H1078/A1078,0)</x:f>
        <x:v>6284.753324753325</x:v>
      </x:c>
      <x:c r="J1078" s="67" t="str">
        <x:v>Modeled from live base + Sep-2026 quality ratio</x:v>
      </x:c>
      <x:c r="K1078" s="67" t="str">
        <x:v>https://www.stonealgo.com/diamond-prices/</x:v>
      </x:c>
      <x:c r="L1078" s="67" t="str">
        <x:v>https://www.pricescope.com/blog/natural-diamond-prices-september-2026</x:v>
      </x:c>
    </x:row>
    <x:row r="1079">
      <x:c r="A1079" t="n">
        <x:v>2</x:v>
      </x:c>
      <x:c r="B1079" t="str">
        <x:v>Pear</x:v>
      </x:c>
      <x:c r="C1079" t="str">
        <x:v>J</x:v>
      </x:c>
      <x:c r="D1079" t="str">
        <x:v>VS2</x:v>
      </x:c>
      <x:c r="E1079" s="36" t="n">
        <x:v>19520</x:v>
      </x:c>
      <x:c r="F1079" s="36" t="n">
        <x:v>2559</x:v>
      </x:c>
      <x:c r="G1079" s="42" t="n">
        <x:v>0.5489060489060489</x:v>
      </x:c>
      <x:c r="H1079" s="36" t="n">
        <x:f>E1079*G1079</x:f>
        <x:v>10714.646074646074</x:v>
      </x:c>
      <x:c r="I1079" s="36" t="n">
        <x:f>IFERROR(H1079/A1079,0)</x:f>
        <x:v>5357.323037323037</x:v>
      </x:c>
      <x:c r="J1079" s="67" t="str">
        <x:v>Modeled from live base + Sep-2026 quality ratio</x:v>
      </x:c>
      <x:c r="K1079" s="67" t="str">
        <x:v>https://www.stonealgo.com/diamond-prices/</x:v>
      </x:c>
      <x:c r="L1079" s="67" t="str">
        <x:v>https://www.pricescope.com/blog/natural-diamond-prices-september-2026</x:v>
      </x:c>
    </x:row>
    <x:row r="1080">
      <x:c r="A1080" t="n">
        <x:v>2</x:v>
      </x:c>
      <x:c r="B1080" t="str">
        <x:v>Pear</x:v>
      </x:c>
      <x:c r="C1080" t="str">
        <x:v>J</x:v>
      </x:c>
      <x:c r="D1080" t="str">
        <x:v>SI1</x:v>
      </x:c>
      <x:c r="E1080" s="36" t="n">
        <x:v>19520</x:v>
      </x:c>
      <x:c r="F1080" s="36" t="n">
        <x:v>2195</x:v>
      </x:c>
      <x:c r="G1080" s="42" t="n">
        <x:v>0.47082797082797084</x:v>
      </x:c>
      <x:c r="H1080" s="36" t="n">
        <x:f>E1080*G1080</x:f>
        <x:v>9190.561990561991</x:v>
      </x:c>
      <x:c r="I1080" s="36" t="n">
        <x:f>IFERROR(H1080/A1080,0)</x:f>
        <x:v>4595.280995280996</x:v>
      </x:c>
      <x:c r="J1080" s="67" t="str">
        <x:v>Modeled from live base + Sep-2026 quality ratio</x:v>
      </x:c>
      <x:c r="K1080" s="67" t="str">
        <x:v>https://www.stonealgo.com/diamond-prices/</x:v>
      </x:c>
      <x:c r="L1080" s="67" t="str">
        <x:v>https://www.pricescope.com/blog/natural-diamond-prices-september-2026</x:v>
      </x:c>
    </x:row>
    <x:row r="1081">
      <x:c r="A1081" t="n">
        <x:v>2</x:v>
      </x:c>
      <x:c r="B1081" t="str">
        <x:v>Pear</x:v>
      </x:c>
      <x:c r="C1081" t="str">
        <x:v>J</x:v>
      </x:c>
      <x:c r="D1081" t="str">
        <x:v>SI2</x:v>
      </x:c>
      <x:c r="E1081" s="36" t="n">
        <x:v>19520</x:v>
      </x:c>
      <x:c r="F1081" s="36" t="n">
        <x:v>2079</x:v>
      </x:c>
      <x:c r="G1081" s="42" t="n">
        <x:v>0.44594594594594594</x:v>
      </x:c>
      <x:c r="H1081" s="36" t="n">
        <x:f>E1081*G1081</x:f>
        <x:v>8704.864864864865</x:v>
      </x:c>
      <x:c r="I1081" s="36" t="n">
        <x:f>IFERROR(H1081/A1081,0)</x:f>
        <x:v>4352.4324324324325</x:v>
      </x:c>
      <x:c r="J1081" s="67" t="str">
        <x:v>Modeled from live base + Sep-2026 quality ratio</x:v>
      </x:c>
      <x:c r="K1081" s="67" t="str">
        <x:v>https://www.stonealgo.com/diamond-prices/</x:v>
      </x:c>
      <x:c r="L1081" s="67" t="str">
        <x:v>https://www.pricescope.com/blog/natural-diamond-prices-september-2026</x:v>
      </x:c>
    </x:row>
    <x:row r="1082">
      <x:c r="A1082" t="n">
        <x:v>2</x:v>
      </x:c>
      <x:c r="B1082" t="str">
        <x:v>Pear</x:v>
      </x:c>
      <x:c r="C1082" t="str">
        <x:v>K</x:v>
      </x:c>
      <x:c r="D1082" t="str">
        <x:v>FL</x:v>
      </x:c>
      <x:c r="E1082" s="36" t="n">
        <x:v>19520</x:v>
      </x:c>
      <x:c r="F1082" s="36" t="n">
        <x:v>2858</x:v>
      </x:c>
      <x:c r="G1082" s="42" t="n">
        <x:v>0.6130416130416131</x:v>
      </x:c>
      <x:c r="H1082" s="36" t="n">
        <x:f>E1082*G1082</x:f>
        <x:v>11966.572286572287</x:v>
      </x:c>
      <x:c r="I1082" s="36" t="n">
        <x:f>IFERROR(H1082/A1082,0)</x:f>
        <x:v>5983.286143286144</x:v>
      </x:c>
      <x:c r="J1082" s="67" t="str">
        <x:v>Modeled from live base + Sep-2026 quality ratio; K/FL quality cell modeled</x:v>
      </x:c>
      <x:c r="K1082" s="67" t="str">
        <x:v>https://www.stonealgo.com/diamond-prices/</x:v>
      </x:c>
      <x:c r="L1082" s="67" t="str">
        <x:v>https://www.pricescope.com/blog/natural-diamond-prices-september-2026</x:v>
      </x:c>
    </x:row>
    <x:row r="1083">
      <x:c r="A1083" t="n">
        <x:v>2</x:v>
      </x:c>
      <x:c r="B1083" t="str">
        <x:v>Pear</x:v>
      </x:c>
      <x:c r="C1083" t="str">
        <x:v>K</x:v>
      </x:c>
      <x:c r="D1083" t="str">
        <x:v>IF</x:v>
      </x:c>
      <x:c r="E1083" s="36" t="n">
        <x:v>19520</x:v>
      </x:c>
      <x:c r="F1083" s="36" t="n">
        <x:v>2743</x:v>
      </x:c>
      <x:c r="G1083" s="42" t="n">
        <x:v>0.5883740883740883</x:v>
      </x:c>
      <x:c r="H1083" s="36" t="n">
        <x:f>E1083*G1083</x:f>
        <x:v>11485.062205062204</x:v>
      </x:c>
      <x:c r="I1083" s="36" t="n">
        <x:f>IFERROR(H1083/A1083,0)</x:f>
        <x:v>5742.531102531102</x:v>
      </x:c>
      <x:c r="J1083" s="67" t="str">
        <x:v>Modeled from live base + Sep-2026 quality ratio</x:v>
      </x:c>
      <x:c r="K1083" s="67" t="str">
        <x:v>https://www.stonealgo.com/diamond-prices/</x:v>
      </x:c>
      <x:c r="L1083" s="67" t="str">
        <x:v>https://www.pricescope.com/blog/natural-diamond-prices-september-2026</x:v>
      </x:c>
    </x:row>
    <x:row r="1084">
      <x:c r="A1084" t="n">
        <x:v>2</x:v>
      </x:c>
      <x:c r="B1084" t="str">
        <x:v>Pear</x:v>
      </x:c>
      <x:c r="C1084" t="str">
        <x:v>K</x:v>
      </x:c>
      <x:c r="D1084" t="str">
        <x:v>VVS1</x:v>
      </x:c>
      <x:c r="E1084" s="36" t="n">
        <x:v>19520</x:v>
      </x:c>
      <x:c r="F1084" s="36" t="n">
        <x:v>2529</x:v>
      </x:c>
      <x:c r="G1084" s="42" t="n">
        <x:v>0.5424710424710425</x:v>
      </x:c>
      <x:c r="H1084" s="36" t="n">
        <x:f>E1084*G1084</x:f>
        <x:v>10589.03474903475</x:v>
      </x:c>
      <x:c r="I1084" s="36" t="n">
        <x:f>IFERROR(H1084/A1084,0)</x:f>
        <x:v>5294.517374517375</x:v>
      </x:c>
      <x:c r="J1084" s="67" t="str">
        <x:v>Modeled from live base + Sep-2026 quality ratio</x:v>
      </x:c>
      <x:c r="K1084" s="67" t="str">
        <x:v>https://www.stonealgo.com/diamond-prices/</x:v>
      </x:c>
      <x:c r="L1084" s="67" t="str">
        <x:v>https://www.pricescope.com/blog/natural-diamond-prices-september-2026</x:v>
      </x:c>
    </x:row>
    <x:row r="1085">
      <x:c r="A1085" t="n">
        <x:v>2</x:v>
      </x:c>
      <x:c r="B1085" t="str">
        <x:v>Pear</x:v>
      </x:c>
      <x:c r="C1085" t="str">
        <x:v>K</x:v>
      </x:c>
      <x:c r="D1085" t="str">
        <x:v>VVS2</x:v>
      </x:c>
      <x:c r="E1085" s="36" t="n">
        <x:v>19520</x:v>
      </x:c>
      <x:c r="F1085" s="36" t="n">
        <x:v>2374</x:v>
      </x:c>
      <x:c r="G1085" s="42" t="n">
        <x:v>0.5092235092235092</x:v>
      </x:c>
      <x:c r="H1085" s="36" t="n">
        <x:f>E1085*G1085</x:f>
        <x:v>9940.0429000429</x:v>
      </x:c>
      <x:c r="I1085" s="36" t="n">
        <x:f>IFERROR(H1085/A1085,0)</x:f>
        <x:v>4970.02145002145</x:v>
      </x:c>
      <x:c r="J1085" s="67" t="str">
        <x:v>Modeled from live base + Sep-2026 quality ratio</x:v>
      </x:c>
      <x:c r="K1085" s="67" t="str">
        <x:v>https://www.stonealgo.com/diamond-prices/</x:v>
      </x:c>
      <x:c r="L1085" s="67" t="str">
        <x:v>https://www.pricescope.com/blog/natural-diamond-prices-september-2026</x:v>
      </x:c>
    </x:row>
    <x:row r="1086">
      <x:c r="A1086" t="n">
        <x:v>2</x:v>
      </x:c>
      <x:c r="B1086" t="str">
        <x:v>Pear</x:v>
      </x:c>
      <x:c r="C1086" t="str">
        <x:v>K</x:v>
      </x:c>
      <x:c r="D1086" t="str">
        <x:v>VS1</x:v>
      </x:c>
      <x:c r="E1086" s="36" t="n">
        <x:v>19520</x:v>
      </x:c>
      <x:c r="F1086" s="36" t="n">
        <x:v>2223</x:v>
      </x:c>
      <x:c r="G1086" s="42" t="n">
        <x:v>0.4768339768339768</x:v>
      </x:c>
      <x:c r="H1086" s="36" t="n">
        <x:f>E1086*G1086</x:f>
        <x:v>9307.799227799227</x:v>
      </x:c>
      <x:c r="I1086" s="36" t="n">
        <x:f>IFERROR(H1086/A1086,0)</x:f>
        <x:v>4653.8996138996135</x:v>
      </x:c>
      <x:c r="J1086" s="67" t="str">
        <x:v>Modeled from live base + Sep-2026 quality ratio</x:v>
      </x:c>
      <x:c r="K1086" s="67" t="str">
        <x:v>https://www.stonealgo.com/diamond-prices/</x:v>
      </x:c>
      <x:c r="L1086" s="67" t="str">
        <x:v>https://www.pricescope.com/blog/natural-diamond-prices-september-2026</x:v>
      </x:c>
    </x:row>
    <x:row r="1087">
      <x:c r="A1087" t="n">
        <x:v>2</x:v>
      </x:c>
      <x:c r="B1087" t="str">
        <x:v>Pear</x:v>
      </x:c>
      <x:c r="C1087" t="str">
        <x:v>K</x:v>
      </x:c>
      <x:c r="D1087" t="str">
        <x:v>VS2</x:v>
      </x:c>
      <x:c r="E1087" s="36" t="n">
        <x:v>19520</x:v>
      </x:c>
      <x:c r="F1087" s="36" t="n">
        <x:v>2098</x:v>
      </x:c>
      <x:c r="G1087" s="42" t="n">
        <x:v>0.45002145002145</x:v>
      </x:c>
      <x:c r="H1087" s="36" t="n">
        <x:f>E1087*G1087</x:f>
        <x:v>8784.418704418704</x:v>
      </x:c>
      <x:c r="I1087" s="36" t="n">
        <x:f>IFERROR(H1087/A1087,0)</x:f>
        <x:v>4392.209352209352</x:v>
      </x:c>
      <x:c r="J1087" s="67" t="str">
        <x:v>Modeled from live base + Sep-2026 quality ratio</x:v>
      </x:c>
      <x:c r="K1087" s="67" t="str">
        <x:v>https://www.stonealgo.com/diamond-prices/</x:v>
      </x:c>
      <x:c r="L1087" s="67" t="str">
        <x:v>https://www.pricescope.com/blog/natural-diamond-prices-september-2026</x:v>
      </x:c>
    </x:row>
    <x:row r="1088">
      <x:c r="A1088" t="n">
        <x:v>2</x:v>
      </x:c>
      <x:c r="B1088" t="str">
        <x:v>Pear</x:v>
      </x:c>
      <x:c r="C1088" t="str">
        <x:v>K</x:v>
      </x:c>
      <x:c r="D1088" t="str">
        <x:v>SI1</x:v>
      </x:c>
      <x:c r="E1088" s="36" t="n">
        <x:v>19520</x:v>
      </x:c>
      <x:c r="F1088" s="36" t="n">
        <x:v>1922</x:v>
      </x:c>
      <x:c r="G1088" s="42" t="n">
        <x:v>0.41226941226941227</x:v>
      </x:c>
      <x:c r="H1088" s="36" t="n">
        <x:f>E1088*G1088</x:f>
        <x:v>8047.4989274989275</x:v>
      </x:c>
      <x:c r="I1088" s="36" t="n">
        <x:f>IFERROR(H1088/A1088,0)</x:f>
        <x:v>4023.7494637494638</x:v>
      </x:c>
      <x:c r="J1088" s="67" t="str">
        <x:v>Modeled from live base + Sep-2026 quality ratio</x:v>
      </x:c>
      <x:c r="K1088" s="67" t="str">
        <x:v>https://www.stonealgo.com/diamond-prices/</x:v>
      </x:c>
      <x:c r="L1088" s="67" t="str">
        <x:v>https://www.pricescope.com/blog/natural-diamond-prices-september-2026</x:v>
      </x:c>
    </x:row>
    <x:row r="1089">
      <x:c r="A1089" t="n">
        <x:v>2</x:v>
      </x:c>
      <x:c r="B1089" t="str">
        <x:v>Pear</x:v>
      </x:c>
      <x:c r="C1089" t="str">
        <x:v>K</x:v>
      </x:c>
      <x:c r="D1089" t="str">
        <x:v>SI2</x:v>
      </x:c>
      <x:c r="E1089" s="36" t="n">
        <x:v>19520</x:v>
      </x:c>
      <x:c r="F1089" s="36" t="n">
        <x:v>1764</x:v>
      </x:c>
      <x:c r="G1089" s="42" t="n">
        <x:v>0.3783783783783784</x:v>
      </x:c>
      <x:c r="H1089" s="36" t="n">
        <x:f>E1089*G1089</x:f>
        <x:v>7385.945945945947</x:v>
      </x:c>
      <x:c r="I1089" s="36" t="n">
        <x:f>IFERROR(H1089/A1089,0)</x:f>
        <x:v>3692.9729729729734</x:v>
      </x:c>
      <x:c r="J1089" s="67" t="str">
        <x:v>Modeled from live base + Sep-2026 quality ratio</x:v>
      </x:c>
      <x:c r="K1089" s="67" t="str">
        <x:v>https://www.stonealgo.com/diamond-prices/</x:v>
      </x:c>
      <x:c r="L1089" s="67" t="str">
        <x:v>https://www.pricescope.com/blog/natural-diamond-prices-september-2026</x:v>
      </x:c>
    </x:row>
    <x:row r="1090">
      <x:c r="A1090" t="n">
        <x:v>2</x:v>
      </x:c>
      <x:c r="B1090" t="str">
        <x:v>Heart</x:v>
      </x:c>
      <x:c r="C1090" t="str">
        <x:v>D</x:v>
      </x:c>
      <x:c r="D1090" t="str">
        <x:v>FL</x:v>
      </x:c>
      <x:c r="E1090" s="36" t="n">
        <x:v>12300</x:v>
      </x:c>
      <x:c r="F1090" s="36" t="n">
        <x:v>12665</x:v>
      </x:c>
      <x:c r="G1090" s="42" t="n">
        <x:v>2.7166452166452166</x:v>
      </x:c>
      <x:c r="H1090" s="36" t="n">
        <x:f>E1090*G1090</x:f>
        <x:v>33414.73616473616</x:v>
      </x:c>
      <x:c r="I1090" s="36" t="n">
        <x:f>IFERROR(H1090/A1090,0)</x:f>
        <x:v>16707.36808236808</x:v>
      </x:c>
      <x:c r="J1090" s="67" t="str">
        <x:v>Modeled from live base + Sep-2026 quality ratio</x:v>
      </x:c>
      <x:c r="K1090" s="67" t="str">
        <x:v>https://www.stonealgo.com/diamond-prices/</x:v>
      </x:c>
      <x:c r="L1090" s="67" t="str">
        <x:v>https://www.pricescope.com/blog/natural-diamond-prices-september-2026</x:v>
      </x:c>
    </x:row>
    <x:row r="1091">
      <x:c r="A1091" t="n">
        <x:v>2</x:v>
      </x:c>
      <x:c r="B1091" t="str">
        <x:v>Heart</x:v>
      </x:c>
      <x:c r="C1091" t="str">
        <x:v>D</x:v>
      </x:c>
      <x:c r="D1091" t="str">
        <x:v>IF</x:v>
      </x:c>
      <x:c r="E1091" s="36" t="n">
        <x:v>12300</x:v>
      </x:c>
      <x:c r="F1091" s="36" t="n">
        <x:v>13240</x:v>
      </x:c>
      <x:c r="G1091" s="42" t="n">
        <x:v>2.83998283998284</x:v>
      </x:c>
      <x:c r="H1091" s="36" t="n">
        <x:f>E1091*G1091</x:f>
        <x:v>34931.788931788935</x:v>
      </x:c>
      <x:c r="I1091" s="36" t="n">
        <x:f>IFERROR(H1091/A1091,0)</x:f>
        <x:v>17465.894465894467</x:v>
      </x:c>
      <x:c r="J1091" s="67" t="str">
        <x:v>Modeled from live base + Sep-2026 quality ratio</x:v>
      </x:c>
      <x:c r="K1091" s="67" t="str">
        <x:v>https://www.stonealgo.com/diamond-prices/</x:v>
      </x:c>
      <x:c r="L1091" s="67" t="str">
        <x:v>https://www.pricescope.com/blog/natural-diamond-prices-september-2026</x:v>
      </x:c>
    </x:row>
    <x:row r="1092">
      <x:c r="A1092" t="n">
        <x:v>2</x:v>
      </x:c>
      <x:c r="B1092" t="str">
        <x:v>Heart</x:v>
      </x:c>
      <x:c r="C1092" t="str">
        <x:v>D</x:v>
      </x:c>
      <x:c r="D1092" t="str">
        <x:v>VVS1</x:v>
      </x:c>
      <x:c r="E1092" s="36" t="n">
        <x:v>12300</x:v>
      </x:c>
      <x:c r="F1092" s="36" t="n">
        <x:v>9555</x:v>
      </x:c>
      <x:c r="G1092" s="42" t="n">
        <x:v>2.0495495495495497</x:v>
      </x:c>
      <x:c r="H1092" s="36" t="n">
        <x:f>E1092*G1092</x:f>
        <x:v>25209.45945945946</x:v>
      </x:c>
      <x:c r="I1092" s="36" t="n">
        <x:f>IFERROR(H1092/A1092,0)</x:f>
        <x:v>12604.72972972973</x:v>
      </x:c>
      <x:c r="J1092" s="67" t="str">
        <x:v>Modeled from live base + Sep-2026 quality ratio</x:v>
      </x:c>
      <x:c r="K1092" s="67" t="str">
        <x:v>https://www.stonealgo.com/diamond-prices/</x:v>
      </x:c>
      <x:c r="L1092" s="67" t="str">
        <x:v>https://www.pricescope.com/blog/natural-diamond-prices-september-2026</x:v>
      </x:c>
    </x:row>
    <x:row r="1093">
      <x:c r="A1093" t="n">
        <x:v>2</x:v>
      </x:c>
      <x:c r="B1093" t="str">
        <x:v>Heart</x:v>
      </x:c>
      <x:c r="C1093" t="str">
        <x:v>D</x:v>
      </x:c>
      <x:c r="D1093" t="str">
        <x:v>VVS2</x:v>
      </x:c>
      <x:c r="E1093" s="36" t="n">
        <x:v>12300</x:v>
      </x:c>
      <x:c r="F1093" s="36" t="n">
        <x:v>6660</x:v>
      </x:c>
      <x:c r="G1093" s="42" t="n">
        <x:v>1.4285714285714286</x:v>
      </x:c>
      <x:c r="H1093" s="36" t="n">
        <x:f>E1093*G1093</x:f>
        <x:v>17571.428571428572</x:v>
      </x:c>
      <x:c r="I1093" s="36" t="n">
        <x:f>IFERROR(H1093/A1093,0)</x:f>
        <x:v>8785.714285714286</x:v>
      </x:c>
      <x:c r="J1093" s="67" t="str">
        <x:v>Modeled from live base + Sep-2026 quality ratio</x:v>
      </x:c>
      <x:c r="K1093" s="67" t="str">
        <x:v>https://www.stonealgo.com/diamond-prices/</x:v>
      </x:c>
      <x:c r="L1093" s="67" t="str">
        <x:v>https://www.pricescope.com/blog/natural-diamond-prices-september-2026</x:v>
      </x:c>
    </x:row>
    <x:row r="1094">
      <x:c r="A1094" t="n">
        <x:v>2</x:v>
      </x:c>
      <x:c r="B1094" t="str">
        <x:v>Heart</x:v>
      </x:c>
      <x:c r="C1094" t="str">
        <x:v>D</x:v>
      </x:c>
      <x:c r="D1094" t="str">
        <x:v>VS1</x:v>
      </x:c>
      <x:c r="E1094" s="36" t="n">
        <x:v>12300</x:v>
      </x:c>
      <x:c r="F1094" s="36" t="n">
        <x:v>6247</x:v>
      </x:c>
      <x:c r="G1094" s="42" t="n">
        <x:v>1.33998283998284</x:v>
      </x:c>
      <x:c r="H1094" s="36" t="n">
        <x:f>E1094*G1094</x:f>
        <x:v>16481.78893178893</x:v>
      </x:c>
      <x:c r="I1094" s="36" t="n">
        <x:f>IFERROR(H1094/A1094,0)</x:f>
        <x:v>8240.894465894466</x:v>
      </x:c>
      <x:c r="J1094" s="67" t="str">
        <x:v>Modeled from live base + Sep-2026 quality ratio</x:v>
      </x:c>
      <x:c r="K1094" s="67" t="str">
        <x:v>https://www.stonealgo.com/diamond-prices/</x:v>
      </x:c>
      <x:c r="L1094" s="67" t="str">
        <x:v>https://www.pricescope.com/blog/natural-diamond-prices-september-2026</x:v>
      </x:c>
    </x:row>
    <x:row r="1095">
      <x:c r="A1095" t="n">
        <x:v>2</x:v>
      </x:c>
      <x:c r="B1095" t="str">
        <x:v>Heart</x:v>
      </x:c>
      <x:c r="C1095" t="str">
        <x:v>D</x:v>
      </x:c>
      <x:c r="D1095" t="str">
        <x:v>VS2</x:v>
      </x:c>
      <x:c r="E1095" s="36" t="n">
        <x:v>12300</x:v>
      </x:c>
      <x:c r="F1095" s="36" t="n">
        <x:v>5841</x:v>
      </x:c>
      <x:c r="G1095" s="42" t="n">
        <x:v>1.252895752895753</x:v>
      </x:c>
      <x:c r="H1095" s="36" t="n">
        <x:f>E1095*G1095</x:f>
        <x:v>15410.61776061776</x:v>
      </x:c>
      <x:c r="I1095" s="36" t="n">
        <x:f>IFERROR(H1095/A1095,0)</x:f>
        <x:v>7705.30888030888</x:v>
      </x:c>
      <x:c r="J1095" s="67" t="str">
        <x:v>Modeled from live base + Sep-2026 quality ratio</x:v>
      </x:c>
      <x:c r="K1095" s="67" t="str">
        <x:v>https://www.stonealgo.com/diamond-prices/</x:v>
      </x:c>
      <x:c r="L1095" s="67" t="str">
        <x:v>https://www.pricescope.com/blog/natural-diamond-prices-september-2026</x:v>
      </x:c>
    </x:row>
    <x:row r="1096">
      <x:c r="A1096" t="n">
        <x:v>2</x:v>
      </x:c>
      <x:c r="B1096" t="str">
        <x:v>Heart</x:v>
      </x:c>
      <x:c r="C1096" t="str">
        <x:v>D</x:v>
      </x:c>
      <x:c r="D1096" t="str">
        <x:v>SI1</x:v>
      </x:c>
      <x:c r="E1096" s="36" t="n">
        <x:v>12300</x:v>
      </x:c>
      <x:c r="F1096" s="36" t="n">
        <x:v>3762</x:v>
      </x:c>
      <x:c r="G1096" s="42" t="n">
        <x:v>0.806949806949807</x:v>
      </x:c>
      <x:c r="H1096" s="36" t="n">
        <x:f>E1096*G1096</x:f>
        <x:v>9925.482625482626</x:v>
      </x:c>
      <x:c r="I1096" s="36" t="n">
        <x:f>IFERROR(H1096/A1096,0)</x:f>
        <x:v>4962.741312741313</x:v>
      </x:c>
      <x:c r="J1096" s="67" t="str">
        <x:v>Modeled from live base + Sep-2026 quality ratio</x:v>
      </x:c>
      <x:c r="K1096" s="67" t="str">
        <x:v>https://www.stonealgo.com/diamond-prices/</x:v>
      </x:c>
      <x:c r="L1096" s="67" t="str">
        <x:v>https://www.pricescope.com/blog/natural-diamond-prices-september-2026</x:v>
      </x:c>
    </x:row>
    <x:row r="1097">
      <x:c r="A1097" t="n">
        <x:v>2</x:v>
      </x:c>
      <x:c r="B1097" t="str">
        <x:v>Heart</x:v>
      </x:c>
      <x:c r="C1097" t="str">
        <x:v>D</x:v>
      </x:c>
      <x:c r="D1097" t="str">
        <x:v>SI2</x:v>
      </x:c>
      <x:c r="E1097" s="36" t="n">
        <x:v>12300</x:v>
      </x:c>
      <x:c r="F1097" s="36" t="n">
        <x:v>3026</x:v>
      </x:c>
      <x:c r="G1097" s="42" t="n">
        <x:v>0.6490776490776491</x:v>
      </x:c>
      <x:c r="H1097" s="36" t="n">
        <x:f>E1097*G1097</x:f>
        <x:v>7983.655083655084</x:v>
      </x:c>
      <x:c r="I1097" s="36" t="n">
        <x:f>IFERROR(H1097/A1097,0)</x:f>
        <x:v>3991.827541827542</x:v>
      </x:c>
      <x:c r="J1097" s="67" t="str">
        <x:v>Modeled from live base + Sep-2026 quality ratio</x:v>
      </x:c>
      <x:c r="K1097" s="67" t="str">
        <x:v>https://www.stonealgo.com/diamond-prices/</x:v>
      </x:c>
      <x:c r="L1097" s="67" t="str">
        <x:v>https://www.pricescope.com/blog/natural-diamond-prices-september-2026</x:v>
      </x:c>
    </x:row>
    <x:row r="1098">
      <x:c r="A1098" t="n">
        <x:v>2</x:v>
      </x:c>
      <x:c r="B1098" t="str">
        <x:v>Heart</x:v>
      </x:c>
      <x:c r="C1098" t="str">
        <x:v>E</x:v>
      </x:c>
      <x:c r="D1098" t="str">
        <x:v>FL</x:v>
      </x:c>
      <x:c r="E1098" s="36" t="n">
        <x:v>12300</x:v>
      </x:c>
      <x:c r="F1098" s="36" t="n">
        <x:v>10072</x:v>
      </x:c>
      <x:c r="G1098" s="42" t="n">
        <x:v>2.1604461604461602</x:v>
      </x:c>
      <x:c r="H1098" s="36" t="n">
        <x:f>E1098*G1098</x:f>
        <x:v>26573.48777348777</x:v>
      </x:c>
      <x:c r="I1098" s="36" t="n">
        <x:f>IFERROR(H1098/A1098,0)</x:f>
        <x:v>13286.743886743885</x:v>
      </x:c>
      <x:c r="J1098" s="67" t="str">
        <x:v>Modeled from live base + Sep-2026 quality ratio</x:v>
      </x:c>
      <x:c r="K1098" s="67" t="str">
        <x:v>https://www.stonealgo.com/diamond-prices/</x:v>
      </x:c>
      <x:c r="L1098" s="67" t="str">
        <x:v>https://www.pricescope.com/blog/natural-diamond-prices-september-2026</x:v>
      </x:c>
    </x:row>
    <x:row r="1099">
      <x:c r="A1099" t="n">
        <x:v>2</x:v>
      </x:c>
      <x:c r="B1099" t="str">
        <x:v>Heart</x:v>
      </x:c>
      <x:c r="C1099" t="str">
        <x:v>E</x:v>
      </x:c>
      <x:c r="D1099" t="str">
        <x:v>IF</x:v>
      </x:c>
      <x:c r="E1099" s="36" t="n">
        <x:v>12300</x:v>
      </x:c>
      <x:c r="F1099" s="36" t="n">
        <x:v>8672</x:v>
      </x:c>
      <x:c r="G1099" s="42" t="n">
        <x:v>1.8601458601458603</x:v>
      </x:c>
      <x:c r="H1099" s="36" t="n">
        <x:f>E1099*G1099</x:f>
        <x:v>22879.794079794083</x:v>
      </x:c>
      <x:c r="I1099" s="36" t="n">
        <x:f>IFERROR(H1099/A1099,0)</x:f>
        <x:v>11439.897039897041</x:v>
      </x:c>
      <x:c r="J1099" s="67" t="str">
        <x:v>Modeled from live base + Sep-2026 quality ratio</x:v>
      </x:c>
      <x:c r="K1099" s="67" t="str">
        <x:v>https://www.stonealgo.com/diamond-prices/</x:v>
      </x:c>
      <x:c r="L1099" s="67" t="str">
        <x:v>https://www.pricescope.com/blog/natural-diamond-prices-september-2026</x:v>
      </x:c>
    </x:row>
    <x:row r="1100">
      <x:c r="A1100" t="n">
        <x:v>2</x:v>
      </x:c>
      <x:c r="B1100" t="str">
        <x:v>Heart</x:v>
      </x:c>
      <x:c r="C1100" t="str">
        <x:v>E</x:v>
      </x:c>
      <x:c r="D1100" t="str">
        <x:v>VVS1</x:v>
      </x:c>
      <x:c r="E1100" s="36" t="n">
        <x:v>12300</x:v>
      </x:c>
      <x:c r="F1100" s="36" t="n">
        <x:v>7842</x:v>
      </x:c>
      <x:c r="G1100" s="42" t="n">
        <x:v>1.6821106821106822</x:v>
      </x:c>
      <x:c r="H1100" s="36" t="n">
        <x:f>E1100*G1100</x:f>
        <x:v>20689.96138996139</x:v>
      </x:c>
      <x:c r="I1100" s="36" t="n">
        <x:f>IFERROR(H1100/A1100,0)</x:f>
        <x:v>10344.980694980695</x:v>
      </x:c>
      <x:c r="J1100" s="67" t="str">
        <x:v>Modeled from live base + Sep-2026 quality ratio</x:v>
      </x:c>
      <x:c r="K1100" s="67" t="str">
        <x:v>https://www.stonealgo.com/diamond-prices/</x:v>
      </x:c>
      <x:c r="L1100" s="67" t="str">
        <x:v>https://www.pricescope.com/blog/natural-diamond-prices-september-2026</x:v>
      </x:c>
    </x:row>
    <x:row r="1101">
      <x:c r="A1101" t="n">
        <x:v>2</x:v>
      </x:c>
      <x:c r="B1101" t="str">
        <x:v>Heart</x:v>
      </x:c>
      <x:c r="C1101" t="str">
        <x:v>E</x:v>
      </x:c>
      <x:c r="D1101" t="str">
        <x:v>VVS2</x:v>
      </x:c>
      <x:c r="E1101" s="36" t="n">
        <x:v>12300</x:v>
      </x:c>
      <x:c r="F1101" s="36" t="n">
        <x:v>6880</x:v>
      </x:c>
      <x:c r="G1101" s="42" t="n">
        <x:v>1.4757614757614759</x:v>
      </x:c>
      <x:c r="H1101" s="36" t="n">
        <x:f>E1101*G1101</x:f>
        <x:v>18151.866151866154</x:v>
      </x:c>
      <x:c r="I1101" s="36" t="n">
        <x:f>IFERROR(H1101/A1101,0)</x:f>
        <x:v>9075.933075933077</x:v>
      </x:c>
      <x:c r="J1101" s="67" t="str">
        <x:v>Modeled from live base + Sep-2026 quality ratio</x:v>
      </x:c>
      <x:c r="K1101" s="67" t="str">
        <x:v>https://www.stonealgo.com/diamond-prices/</x:v>
      </x:c>
      <x:c r="L1101" s="67" t="str">
        <x:v>https://www.pricescope.com/blog/natural-diamond-prices-september-2026</x:v>
      </x:c>
    </x:row>
    <x:row r="1102">
      <x:c r="A1102" t="n">
        <x:v>2</x:v>
      </x:c>
      <x:c r="B1102" t="str">
        <x:v>Heart</x:v>
      </x:c>
      <x:c r="C1102" t="str">
        <x:v>E</x:v>
      </x:c>
      <x:c r="D1102" t="str">
        <x:v>VS1</x:v>
      </x:c>
      <x:c r="E1102" s="36" t="n">
        <x:v>12300</x:v>
      </x:c>
      <x:c r="F1102" s="36" t="n">
        <x:v>6307</x:v>
      </x:c>
      <x:c r="G1102" s="42" t="n">
        <x:v>1.352852852852853</x:v>
      </x:c>
      <x:c r="H1102" s="36" t="n">
        <x:f>E1102*G1102</x:f>
        <x:v>16640.090090090092</x:v>
      </x:c>
      <x:c r="I1102" s="36" t="n">
        <x:f>IFERROR(H1102/A1102,0)</x:f>
        <x:v>8320.045045045046</x:v>
      </x:c>
      <x:c r="J1102" s="67" t="str">
        <x:v>Modeled from live base + Sep-2026 quality ratio</x:v>
      </x:c>
      <x:c r="K1102" s="67" t="str">
        <x:v>https://www.stonealgo.com/diamond-prices/</x:v>
      </x:c>
      <x:c r="L1102" s="67" t="str">
        <x:v>https://www.pricescope.com/blog/natural-diamond-prices-september-2026</x:v>
      </x:c>
    </x:row>
    <x:row r="1103">
      <x:c r="A1103" t="n">
        <x:v>2</x:v>
      </x:c>
      <x:c r="B1103" t="str">
        <x:v>Heart</x:v>
      </x:c>
      <x:c r="C1103" t="str">
        <x:v>E</x:v>
      </x:c>
      <x:c r="D1103" t="str">
        <x:v>VS2</x:v>
      </x:c>
      <x:c r="E1103" s="36" t="n">
        <x:v>12300</x:v>
      </x:c>
      <x:c r="F1103" s="36" t="n">
        <x:v>5249</x:v>
      </x:c>
      <x:c r="G1103" s="42" t="n">
        <x:v>1.125911625911626</x:v>
      </x:c>
      <x:c r="H1103" s="36" t="n">
        <x:f>E1103*G1103</x:f>
        <x:v>13848.712998713</x:v>
      </x:c>
      <x:c r="I1103" s="36" t="n">
        <x:f>IFERROR(H1103/A1103,0)</x:f>
        <x:v>6924.3564993565</x:v>
      </x:c>
      <x:c r="J1103" s="67" t="str">
        <x:v>Modeled from live base + Sep-2026 quality ratio</x:v>
      </x:c>
      <x:c r="K1103" s="67" t="str">
        <x:v>https://www.stonealgo.com/diamond-prices/</x:v>
      </x:c>
      <x:c r="L1103" s="67" t="str">
        <x:v>https://www.pricescope.com/blog/natural-diamond-prices-september-2026</x:v>
      </x:c>
    </x:row>
    <x:row r="1104">
      <x:c r="A1104" t="n">
        <x:v>2</x:v>
      </x:c>
      <x:c r="B1104" t="str">
        <x:v>Heart</x:v>
      </x:c>
      <x:c r="C1104" t="str">
        <x:v>E</x:v>
      </x:c>
      <x:c r="D1104" t="str">
        <x:v>SI1</x:v>
      </x:c>
      <x:c r="E1104" s="36" t="n">
        <x:v>12300</x:v>
      </x:c>
      <x:c r="F1104" s="36" t="n">
        <x:v>3551</x:v>
      </x:c>
      <x:c r="G1104" s="42" t="n">
        <x:v>0.7616902616902617</x:v>
      </x:c>
      <x:c r="H1104" s="36" t="n">
        <x:f>E1104*G1104</x:f>
        <x:v>9368.790218790218</x:v>
      </x:c>
      <x:c r="I1104" s="36" t="n">
        <x:f>IFERROR(H1104/A1104,0)</x:f>
        <x:v>4684.395109395109</x:v>
      </x:c>
      <x:c r="J1104" s="67" t="str">
        <x:v>Modeled from live base + Sep-2026 quality ratio</x:v>
      </x:c>
      <x:c r="K1104" s="67" t="str">
        <x:v>https://www.stonealgo.com/diamond-prices/</x:v>
      </x:c>
      <x:c r="L1104" s="67" t="str">
        <x:v>https://www.pricescope.com/blog/natural-diamond-prices-september-2026</x:v>
      </x:c>
    </x:row>
    <x:row r="1105">
      <x:c r="A1105" t="n">
        <x:v>2</x:v>
      </x:c>
      <x:c r="B1105" t="str">
        <x:v>Heart</x:v>
      </x:c>
      <x:c r="C1105" t="str">
        <x:v>E</x:v>
      </x:c>
      <x:c r="D1105" t="str">
        <x:v>SI2</x:v>
      </x:c>
      <x:c r="E1105" s="36" t="n">
        <x:v>12300</x:v>
      </x:c>
      <x:c r="F1105" s="36" t="n">
        <x:v>2993</x:v>
      </x:c>
      <x:c r="G1105" s="42" t="n">
        <x:v>0.641999141999142</x:v>
      </x:c>
      <x:c r="H1105" s="36" t="n">
        <x:f>E1105*G1105</x:f>
        <x:v>7896.589446589446</x:v>
      </x:c>
      <x:c r="I1105" s="36" t="n">
        <x:f>IFERROR(H1105/A1105,0)</x:f>
        <x:v>3948.294723294723</x:v>
      </x:c>
      <x:c r="J1105" s="67" t="str">
        <x:v>Modeled from live base + Sep-2026 quality ratio</x:v>
      </x:c>
      <x:c r="K1105" s="67" t="str">
        <x:v>https://www.stonealgo.com/diamond-prices/</x:v>
      </x:c>
      <x:c r="L1105" s="67" t="str">
        <x:v>https://www.pricescope.com/blog/natural-diamond-prices-september-2026</x:v>
      </x:c>
    </x:row>
    <x:row r="1106">
      <x:c r="A1106" t="n">
        <x:v>2</x:v>
      </x:c>
      <x:c r="B1106" t="str">
        <x:v>Heart</x:v>
      </x:c>
      <x:c r="C1106" t="str">
        <x:v>F</x:v>
      </x:c>
      <x:c r="D1106" t="str">
        <x:v>FL</x:v>
      </x:c>
      <x:c r="E1106" s="36" t="n">
        <x:v>12300</x:v>
      </x:c>
      <x:c r="F1106" s="36" t="n">
        <x:v>6830</x:v>
      </x:c>
      <x:c r="G1106" s="42" t="n">
        <x:v>1.4650364650364651</x:v>
      </x:c>
      <x:c r="H1106" s="36" t="n">
        <x:f>E1106*G1106</x:f>
        <x:v>18019.94851994852</x:v>
      </x:c>
      <x:c r="I1106" s="36" t="n">
        <x:f>IFERROR(H1106/A1106,0)</x:f>
        <x:v>9009.97425997426</x:v>
      </x:c>
      <x:c r="J1106" s="67" t="str">
        <x:v>Modeled from live base + Sep-2026 quality ratio</x:v>
      </x:c>
      <x:c r="K1106" s="67" t="str">
        <x:v>https://www.stonealgo.com/diamond-prices/</x:v>
      </x:c>
      <x:c r="L1106" s="67" t="str">
        <x:v>https://www.pricescope.com/blog/natural-diamond-prices-september-2026</x:v>
      </x:c>
    </x:row>
    <x:row r="1107">
      <x:c r="A1107" t="n">
        <x:v>2</x:v>
      </x:c>
      <x:c r="B1107" t="str">
        <x:v>Heart</x:v>
      </x:c>
      <x:c r="C1107" t="str">
        <x:v>F</x:v>
      </x:c>
      <x:c r="D1107" t="str">
        <x:v>IF</x:v>
      </x:c>
      <x:c r="E1107" s="36" t="n">
        <x:v>12300</x:v>
      </x:c>
      <x:c r="F1107" s="36" t="n">
        <x:v>7302</x:v>
      </x:c>
      <x:c r="G1107" s="42" t="n">
        <x:v>1.5662805662805663</x:v>
      </x:c>
      <x:c r="H1107" s="36" t="n">
        <x:f>E1107*G1107</x:f>
        <x:v>19265.250965250965</x:v>
      </x:c>
      <x:c r="I1107" s="36" t="n">
        <x:f>IFERROR(H1107/A1107,0)</x:f>
        <x:v>9632.625482625483</x:v>
      </x:c>
      <x:c r="J1107" s="67" t="str">
        <x:v>Modeled from live base + Sep-2026 quality ratio</x:v>
      </x:c>
      <x:c r="K1107" s="67" t="str">
        <x:v>https://www.stonealgo.com/diamond-prices/</x:v>
      </x:c>
      <x:c r="L1107" s="67" t="str">
        <x:v>https://www.pricescope.com/blog/natural-diamond-prices-september-2026</x:v>
      </x:c>
    </x:row>
    <x:row r="1108">
      <x:c r="A1108" t="n">
        <x:v>2</x:v>
      </x:c>
      <x:c r="B1108" t="str">
        <x:v>Heart</x:v>
      </x:c>
      <x:c r="C1108" t="str">
        <x:v>F</x:v>
      </x:c>
      <x:c r="D1108" t="str">
        <x:v>VVS1</x:v>
      </x:c>
      <x:c r="E1108" s="36" t="n">
        <x:v>12300</x:v>
      </x:c>
      <x:c r="F1108" s="36" t="n">
        <x:v>7542</x:v>
      </x:c>
      <x:c r="G1108" s="42" t="n">
        <x:v>1.6177606177606179</x:v>
      </x:c>
      <x:c r="H1108" s="36" t="n">
        <x:f>E1108*G1108</x:f>
        <x:v>19898.4555984556</x:v>
      </x:c>
      <x:c r="I1108" s="36" t="n">
        <x:f>IFERROR(H1108/A1108,0)</x:f>
        <x:v>9949.2277992278</x:v>
      </x:c>
      <x:c r="J1108" s="67" t="str">
        <x:v>Modeled from live base + Sep-2026 quality ratio</x:v>
      </x:c>
      <x:c r="K1108" s="67" t="str">
        <x:v>https://www.stonealgo.com/diamond-prices/</x:v>
      </x:c>
      <x:c r="L1108" s="67" t="str">
        <x:v>https://www.pricescope.com/blog/natural-diamond-prices-september-2026</x:v>
      </x:c>
    </x:row>
    <x:row r="1109">
      <x:c r="A1109" t="n">
        <x:v>2</x:v>
      </x:c>
      <x:c r="B1109" t="str">
        <x:v>Heart</x:v>
      </x:c>
      <x:c r="C1109" t="str">
        <x:v>F</x:v>
      </x:c>
      <x:c r="D1109" t="str">
        <x:v>VVS2</x:v>
      </x:c>
      <x:c r="E1109" s="36" t="n">
        <x:v>12300</x:v>
      </x:c>
      <x:c r="F1109" s="36" t="n">
        <x:v>6352</x:v>
      </x:c>
      <x:c r="G1109" s="42" t="n">
        <x:v>1.3625053625053625</x:v>
      </x:c>
      <x:c r="H1109" s="36" t="n">
        <x:f>E1109*G1109</x:f>
        <x:v>16758.815958815958</x:v>
      </x:c>
      <x:c r="I1109" s="36" t="n">
        <x:f>IFERROR(H1109/A1109,0)</x:f>
        <x:v>8379.407979407979</x:v>
      </x:c>
      <x:c r="J1109" s="67" t="str">
        <x:v>Modeled from live base + Sep-2026 quality ratio</x:v>
      </x:c>
      <x:c r="K1109" s="67" t="str">
        <x:v>https://www.stonealgo.com/diamond-prices/</x:v>
      </x:c>
      <x:c r="L1109" s="67" t="str">
        <x:v>https://www.pricescope.com/blog/natural-diamond-prices-september-2026</x:v>
      </x:c>
    </x:row>
    <x:row r="1110">
      <x:c r="A1110" t="n">
        <x:v>2</x:v>
      </x:c>
      <x:c r="B1110" t="str">
        <x:v>Heart</x:v>
      </x:c>
      <x:c r="C1110" t="str">
        <x:v>F</x:v>
      </x:c>
      <x:c r="D1110" t="str">
        <x:v>VS1</x:v>
      </x:c>
      <x:c r="E1110" s="36" t="n">
        <x:v>12300</x:v>
      </x:c>
      <x:c r="F1110" s="36" t="n">
        <x:v>5647</x:v>
      </x:c>
      <x:c r="G1110" s="42" t="n">
        <x:v>1.2112827112827114</x:v>
      </x:c>
      <x:c r="H1110" s="36" t="n">
        <x:f>E1110*G1110</x:f>
        <x:v>14898.77734877735</x:v>
      </x:c>
      <x:c r="I1110" s="36" t="n">
        <x:f>IFERROR(H1110/A1110,0)</x:f>
        <x:v>7449.388674388675</x:v>
      </x:c>
      <x:c r="J1110" s="67" t="str">
        <x:v>Modeled from live base + Sep-2026 quality ratio</x:v>
      </x:c>
      <x:c r="K1110" s="67" t="str">
        <x:v>https://www.stonealgo.com/diamond-prices/</x:v>
      </x:c>
      <x:c r="L1110" s="67" t="str">
        <x:v>https://www.pricescope.com/blog/natural-diamond-prices-september-2026</x:v>
      </x:c>
    </x:row>
    <x:row r="1111">
      <x:c r="A1111" t="n">
        <x:v>2</x:v>
      </x:c>
      <x:c r="B1111" t="str">
        <x:v>Heart</x:v>
      </x:c>
      <x:c r="C1111" t="str">
        <x:v>F</x:v>
      </x:c>
      <x:c r="D1111" t="str">
        <x:v>VS2</x:v>
      </x:c>
      <x:c r="E1111" s="36" t="n">
        <x:v>12300</x:v>
      </x:c>
      <x:c r="F1111" s="36" t="n">
        <x:v>4730</x:v>
      </x:c>
      <x:c r="G1111" s="42" t="n">
        <x:v>1.0145860145860146</x:v>
      </x:c>
      <x:c r="H1111" s="36" t="n">
        <x:f>E1111*G1111</x:f>
        <x:v>12479.407979407979</x:v>
      </x:c>
      <x:c r="I1111" s="36" t="n">
        <x:f>IFERROR(H1111/A1111,0)</x:f>
        <x:v>6239.7039897039895</x:v>
      </x:c>
      <x:c r="J1111" s="67" t="str">
        <x:v>Modeled from live base + Sep-2026 quality ratio</x:v>
      </x:c>
      <x:c r="K1111" s="67" t="str">
        <x:v>https://www.stonealgo.com/diamond-prices/</x:v>
      </x:c>
      <x:c r="L1111" s="67" t="str">
        <x:v>https://www.pricescope.com/blog/natural-diamond-prices-september-2026</x:v>
      </x:c>
    </x:row>
    <x:row r="1112">
      <x:c r="A1112" t="n">
        <x:v>2</x:v>
      </x:c>
      <x:c r="B1112" t="str">
        <x:v>Heart</x:v>
      </x:c>
      <x:c r="C1112" t="str">
        <x:v>F</x:v>
      </x:c>
      <x:c r="D1112" t="str">
        <x:v>SI1</x:v>
      </x:c>
      <x:c r="E1112" s="36" t="n">
        <x:v>12300</x:v>
      </x:c>
      <x:c r="F1112" s="36" t="n">
        <x:v>3331</x:v>
      </x:c>
      <x:c r="G1112" s="42" t="n">
        <x:v>0.7145002145002145</x:v>
      </x:c>
      <x:c r="H1112" s="36" t="n">
        <x:f>E1112*G1112</x:f>
        <x:v>8788.352638352639</x:v>
      </x:c>
      <x:c r="I1112" s="36" t="n">
        <x:f>IFERROR(H1112/A1112,0)</x:f>
        <x:v>4394.176319176319</x:v>
      </x:c>
      <x:c r="J1112" s="67" t="str">
        <x:v>Modeled from live base + Sep-2026 quality ratio</x:v>
      </x:c>
      <x:c r="K1112" s="67" t="str">
        <x:v>https://www.stonealgo.com/diamond-prices/</x:v>
      </x:c>
      <x:c r="L1112" s="67" t="str">
        <x:v>https://www.pricescope.com/blog/natural-diamond-prices-september-2026</x:v>
      </x:c>
    </x:row>
    <x:row r="1113">
      <x:c r="A1113" t="n">
        <x:v>2</x:v>
      </x:c>
      <x:c r="B1113" t="str">
        <x:v>Heart</x:v>
      </x:c>
      <x:c r="C1113" t="str">
        <x:v>F</x:v>
      </x:c>
      <x:c r="D1113" t="str">
        <x:v>SI2</x:v>
      </x:c>
      <x:c r="E1113" s="36" t="n">
        <x:v>12300</x:v>
      </x:c>
      <x:c r="F1113" s="36" t="n">
        <x:v>2733</x:v>
      </x:c>
      <x:c r="G1113" s="42" t="n">
        <x:v>0.5862290862290862</x:v>
      </x:c>
      <x:c r="H1113" s="36" t="n">
        <x:f>E1113*G1113</x:f>
        <x:v>7210.617760617761</x:v>
      </x:c>
      <x:c r="I1113" s="36" t="n">
        <x:f>IFERROR(H1113/A1113,0)</x:f>
        <x:v>3605.3088803088804</x:v>
      </x:c>
      <x:c r="J1113" s="67" t="str">
        <x:v>Modeled from live base + Sep-2026 quality ratio</x:v>
      </x:c>
      <x:c r="K1113" s="67" t="str">
        <x:v>https://www.stonealgo.com/diamond-prices/</x:v>
      </x:c>
      <x:c r="L1113" s="67" t="str">
        <x:v>https://www.pricescope.com/blog/natural-diamond-prices-september-2026</x:v>
      </x:c>
    </x:row>
    <x:row r="1114">
      <x:c r="A1114" t="n">
        <x:v>2</x:v>
      </x:c>
      <x:c r="B1114" t="str">
        <x:v>Heart</x:v>
      </x:c>
      <x:c r="C1114" t="str">
        <x:v>G</x:v>
      </x:c>
      <x:c r="D1114" t="str">
        <x:v>FL</x:v>
      </x:c>
      <x:c r="E1114" s="36" t="n">
        <x:v>12300</x:v>
      </x:c>
      <x:c r="F1114" s="36" t="n">
        <x:v>5905</x:v>
      </x:c>
      <x:c r="G1114" s="42" t="n">
        <x:v>1.2666237666237665</x:v>
      </x:c>
      <x:c r="H1114" s="36" t="n">
        <x:f>E1114*G1114</x:f>
        <x:v>15579.472329472328</x:v>
      </x:c>
      <x:c r="I1114" s="36" t="n">
        <x:f>IFERROR(H1114/A1114,0)</x:f>
        <x:v>7789.736164736164</x:v>
      </x:c>
      <x:c r="J1114" s="67" t="str">
        <x:v>Modeled from live base + Sep-2026 quality ratio</x:v>
      </x:c>
      <x:c r="K1114" s="67" t="str">
        <x:v>https://www.stonealgo.com/diamond-prices/</x:v>
      </x:c>
      <x:c r="L1114" s="67" t="str">
        <x:v>https://www.pricescope.com/blog/natural-diamond-prices-september-2026</x:v>
      </x:c>
    </x:row>
    <x:row r="1115">
      <x:c r="A1115" t="n">
        <x:v>2</x:v>
      </x:c>
      <x:c r="B1115" t="str">
        <x:v>Heart</x:v>
      </x:c>
      <x:c r="C1115" t="str">
        <x:v>G</x:v>
      </x:c>
      <x:c r="D1115" t="str">
        <x:v>IF</x:v>
      </x:c>
      <x:c r="E1115" s="36" t="n">
        <x:v>12300</x:v>
      </x:c>
      <x:c r="F1115" s="36" t="n">
        <x:v>5601</x:v>
      </x:c>
      <x:c r="G1115" s="42" t="n">
        <x:v>1.2014157014157014</x:v>
      </x:c>
      <x:c r="H1115" s="36" t="n">
        <x:f>E1115*G1115</x:f>
        <x:v>14777.413127413127</x:v>
      </x:c>
      <x:c r="I1115" s="36" t="n">
        <x:f>IFERROR(H1115/A1115,0)</x:f>
        <x:v>7388.706563706563</x:v>
      </x:c>
      <x:c r="J1115" s="67" t="str">
        <x:v>Modeled from live base + Sep-2026 quality ratio</x:v>
      </x:c>
      <x:c r="K1115" s="67" t="str">
        <x:v>https://www.stonealgo.com/diamond-prices/</x:v>
      </x:c>
      <x:c r="L1115" s="67" t="str">
        <x:v>https://www.pricescope.com/blog/natural-diamond-prices-september-2026</x:v>
      </x:c>
    </x:row>
    <x:row r="1116">
      <x:c r="A1116" t="n">
        <x:v>2</x:v>
      </x:c>
      <x:c r="B1116" t="str">
        <x:v>Heart</x:v>
      </x:c>
      <x:c r="C1116" t="str">
        <x:v>G</x:v>
      </x:c>
      <x:c r="D1116" t="str">
        <x:v>VVS1</x:v>
      </x:c>
      <x:c r="E1116" s="36" t="n">
        <x:v>12300</x:v>
      </x:c>
      <x:c r="F1116" s="36" t="n">
        <x:v>5124</x:v>
      </x:c>
      <x:c r="G1116" s="42" t="n">
        <x:v>1.0990990990990992</x:v>
      </x:c>
      <x:c r="H1116" s="36" t="n">
        <x:f>E1116*G1116</x:f>
        <x:v>13518.91891891892</x:v>
      </x:c>
      <x:c r="I1116" s="36" t="n">
        <x:f>IFERROR(H1116/A1116,0)</x:f>
        <x:v>6759.45945945946</x:v>
      </x:c>
      <x:c r="J1116" s="67" t="str">
        <x:v>Modeled from live base + Sep-2026 quality ratio</x:v>
      </x:c>
      <x:c r="K1116" s="67" t="str">
        <x:v>https://www.stonealgo.com/diamond-prices/</x:v>
      </x:c>
      <x:c r="L1116" s="67" t="str">
        <x:v>https://www.pricescope.com/blog/natural-diamond-prices-september-2026</x:v>
      </x:c>
    </x:row>
    <x:row r="1117">
      <x:c r="A1117" t="n">
        <x:v>2</x:v>
      </x:c>
      <x:c r="B1117" t="str">
        <x:v>Heart</x:v>
      </x:c>
      <x:c r="C1117" t="str">
        <x:v>G</x:v>
      </x:c>
      <x:c r="D1117" t="str">
        <x:v>VVS2</x:v>
      </x:c>
      <x:c r="E1117" s="36" t="n">
        <x:v>12300</x:v>
      </x:c>
      <x:c r="F1117" s="36" t="n">
        <x:v>4962</x:v>
      </x:c>
      <x:c r="G1117" s="42" t="n">
        <x:v>1.0643500643500643</x:v>
      </x:c>
      <x:c r="H1117" s="36" t="n">
        <x:f>E1117*G1117</x:f>
        <x:v>13091.505791505791</x:v>
      </x:c>
      <x:c r="I1117" s="36" t="n">
        <x:f>IFERROR(H1117/A1117,0)</x:f>
        <x:v>6545.752895752896</x:v>
      </x:c>
      <x:c r="J1117" s="67" t="str">
        <x:v>Modeled from live base + Sep-2026 quality ratio</x:v>
      </x:c>
      <x:c r="K1117" s="67" t="str">
        <x:v>https://www.stonealgo.com/diamond-prices/</x:v>
      </x:c>
      <x:c r="L1117" s="67" t="str">
        <x:v>https://www.pricescope.com/blog/natural-diamond-prices-september-2026</x:v>
      </x:c>
    </x:row>
    <x:row r="1118">
      <x:c r="A1118" t="n">
        <x:v>2</x:v>
      </x:c>
      <x:c r="B1118" t="str">
        <x:v>Heart</x:v>
      </x:c>
      <x:c r="C1118" t="str">
        <x:v>G</x:v>
      </x:c>
      <x:c r="D1118" t="str">
        <x:v>VS1</x:v>
      </x:c>
      <x:c r="E1118" s="36" t="n">
        <x:v>12300</x:v>
      </x:c>
      <x:c r="F1118" s="36" t="n">
        <x:v>4615</x:v>
      </x:c>
      <x:c r="G1118" s="42" t="n">
        <x:v>0.98991848991849</x:v>
      </x:c>
      <x:c r="H1118" s="36" t="n">
        <x:f>E1118*G1118</x:f>
        <x:v>12175.997425997426</x:v>
      </x:c>
      <x:c r="I1118" s="36" t="n">
        <x:f>IFERROR(H1118/A1118,0)</x:f>
        <x:v>6087.998712998713</x:v>
      </x:c>
      <x:c r="J1118" s="67" t="str">
        <x:v>Modeled from live base + Sep-2026 quality ratio</x:v>
      </x:c>
      <x:c r="K1118" s="67" t="str">
        <x:v>https://www.stonealgo.com/diamond-prices/</x:v>
      </x:c>
      <x:c r="L1118" s="67" t="str">
        <x:v>https://www.pricescope.com/blog/natural-diamond-prices-september-2026</x:v>
      </x:c>
    </x:row>
    <x:row r="1119">
      <x:c r="A1119" t="n">
        <x:v>2</x:v>
      </x:c>
      <x:c r="B1119" t="str">
        <x:v>Heart</x:v>
      </x:c>
      <x:c r="C1119" t="str">
        <x:v>G</x:v>
      </x:c>
      <x:c r="D1119" t="str">
        <x:v>VS2</x:v>
      </x:c>
      <x:c r="E1119" s="36" t="n">
        <x:v>12300</x:v>
      </x:c>
      <x:c r="F1119" s="36" t="n">
        <x:v>4585</x:v>
      </x:c>
      <x:c r="G1119" s="42" t="n">
        <x:v>0.9834834834834835</x:v>
      </x:c>
      <x:c r="H1119" s="36" t="n">
        <x:f>E1119*G1119</x:f>
        <x:v>12096.846846846847</x:v>
      </x:c>
      <x:c r="I1119" s="36" t="n">
        <x:f>IFERROR(H1119/A1119,0)</x:f>
        <x:v>6048.423423423424</x:v>
      </x:c>
      <x:c r="J1119" s="67" t="str">
        <x:v>Modeled from live base + Sep-2026 quality ratio</x:v>
      </x:c>
      <x:c r="K1119" s="67" t="str">
        <x:v>https://www.stonealgo.com/diamond-prices/</x:v>
      </x:c>
      <x:c r="L1119" s="67" t="str">
        <x:v>https://www.pricescope.com/blog/natural-diamond-prices-september-2026</x:v>
      </x:c>
    </x:row>
    <x:row r="1120">
      <x:c r="A1120" t="n">
        <x:v>2</x:v>
      </x:c>
      <x:c r="B1120" t="str">
        <x:v>Heart</x:v>
      </x:c>
      <x:c r="C1120" t="str">
        <x:v>G</x:v>
      </x:c>
      <x:c r="D1120" t="str">
        <x:v>SI1</x:v>
      </x:c>
      <x:c r="E1120" s="36" t="n">
        <x:v>12300</x:v>
      </x:c>
      <x:c r="F1120" s="36" t="n">
        <x:v>3664</x:v>
      </x:c>
      <x:c r="G1120" s="42" t="n">
        <x:v>0.7859287859287859</x:v>
      </x:c>
      <x:c r="H1120" s="36" t="n">
        <x:f>E1120*G1120</x:f>
        <x:v>9666.924066924066</x:v>
      </x:c>
      <x:c r="I1120" s="36" t="n">
        <x:f>IFERROR(H1120/A1120,0)</x:f>
        <x:v>4833.462033462033</x:v>
      </x:c>
      <x:c r="J1120" s="67" t="str">
        <x:v>Modeled from live base + Sep-2026 quality ratio</x:v>
      </x:c>
      <x:c r="K1120" s="67" t="str">
        <x:v>https://www.stonealgo.com/diamond-prices/</x:v>
      </x:c>
      <x:c r="L1120" s="67" t="str">
        <x:v>https://www.pricescope.com/blog/natural-diamond-prices-september-2026</x:v>
      </x:c>
    </x:row>
    <x:row r="1121">
      <x:c r="A1121" t="n">
        <x:v>2</x:v>
      </x:c>
      <x:c r="B1121" t="str">
        <x:v>Heart</x:v>
      </x:c>
      <x:c r="C1121" t="str">
        <x:v>G</x:v>
      </x:c>
      <x:c r="D1121" t="str">
        <x:v>SI2</x:v>
      </x:c>
      <x:c r="E1121" s="36" t="n">
        <x:v>12300</x:v>
      </x:c>
      <x:c r="F1121" s="36" t="n">
        <x:v>2537</x:v>
      </x:c>
      <x:c r="G1121" s="42" t="n">
        <x:v>0.5441870441870442</x:v>
      </x:c>
      <x:c r="H1121" s="36" t="n">
        <x:f>E1121*G1121</x:f>
        <x:v>6693.5006435006435</x:v>
      </x:c>
      <x:c r="I1121" s="36" t="n">
        <x:f>IFERROR(H1121/A1121,0)</x:f>
        <x:v>3346.7503217503217</x:v>
      </x:c>
      <x:c r="J1121" s="67" t="str">
        <x:v>Modeled from live base + Sep-2026 quality ratio</x:v>
      </x:c>
      <x:c r="K1121" s="67" t="str">
        <x:v>https://www.stonealgo.com/diamond-prices/</x:v>
      </x:c>
      <x:c r="L1121" s="67" t="str">
        <x:v>https://www.pricescope.com/blog/natural-diamond-prices-september-2026</x:v>
      </x:c>
    </x:row>
    <x:row r="1122">
      <x:c r="A1122" t="n">
        <x:v>2</x:v>
      </x:c>
      <x:c r="B1122" t="str">
        <x:v>Heart</x:v>
      </x:c>
      <x:c r="C1122" t="str">
        <x:v>H</x:v>
      </x:c>
      <x:c r="D1122" t="str">
        <x:v>FL</x:v>
      </x:c>
      <x:c r="E1122" s="36" t="n">
        <x:v>12300</x:v>
      </x:c>
      <x:c r="F1122" s="36" t="n">
        <x:v>4563</x:v>
      </x:c>
      <x:c r="G1122" s="42" t="n">
        <x:v>0.9787644787644788</x:v>
      </x:c>
      <x:c r="H1122" s="36" t="n">
        <x:f>E1122*G1122</x:f>
        <x:v>12038.80308880309</x:v>
      </x:c>
      <x:c r="I1122" s="36" t="n">
        <x:f>IFERROR(H1122/A1122,0)</x:f>
        <x:v>6019.401544401545</x:v>
      </x:c>
      <x:c r="J1122" s="67" t="str">
        <x:v>Modeled from live base + Sep-2026 quality ratio</x:v>
      </x:c>
      <x:c r="K1122" s="67" t="str">
        <x:v>https://www.stonealgo.com/diamond-prices/</x:v>
      </x:c>
      <x:c r="L1122" s="67" t="str">
        <x:v>https://www.pricescope.com/blog/natural-diamond-prices-september-2026</x:v>
      </x:c>
    </x:row>
    <x:row r="1123">
      <x:c r="A1123" t="n">
        <x:v>2</x:v>
      </x:c>
      <x:c r="B1123" t="str">
        <x:v>Heart</x:v>
      </x:c>
      <x:c r="C1123" t="str">
        <x:v>H</x:v>
      </x:c>
      <x:c r="D1123" t="str">
        <x:v>IF</x:v>
      </x:c>
      <x:c r="E1123" s="36" t="n">
        <x:v>12300</x:v>
      </x:c>
      <x:c r="F1123" s="36" t="n">
        <x:v>4809</x:v>
      </x:c>
      <x:c r="G1123" s="42" t="n">
        <x:v>1.0315315315315314</x:v>
      </x:c>
      <x:c r="H1123" s="36" t="n">
        <x:f>E1123*G1123</x:f>
        <x:v>12687.837837837837</x:v>
      </x:c>
      <x:c r="I1123" s="36" t="n">
        <x:f>IFERROR(H1123/A1123,0)</x:f>
        <x:v>6343.918918918918</x:v>
      </x:c>
      <x:c r="J1123" s="67" t="str">
        <x:v>Modeled from live base + Sep-2026 quality ratio</x:v>
      </x:c>
      <x:c r="K1123" s="67" t="str">
        <x:v>https://www.stonealgo.com/diamond-prices/</x:v>
      </x:c>
      <x:c r="L1123" s="67" t="str">
        <x:v>https://www.pricescope.com/blog/natural-diamond-prices-september-2026</x:v>
      </x:c>
    </x:row>
    <x:row r="1124">
      <x:c r="A1124" t="n">
        <x:v>2</x:v>
      </x:c>
      <x:c r="B1124" t="str">
        <x:v>Heart</x:v>
      </x:c>
      <x:c r="C1124" t="str">
        <x:v>H</x:v>
      </x:c>
      <x:c r="D1124" t="str">
        <x:v>VVS1</x:v>
      </x:c>
      <x:c r="E1124" s="36" t="n">
        <x:v>12300</x:v>
      </x:c>
      <x:c r="F1124" s="36" t="n">
        <x:v>4911</x:v>
      </x:c>
      <x:c r="G1124" s="42" t="n">
        <x:v>1.0534105534105533</x:v>
      </x:c>
      <x:c r="H1124" s="36" t="n">
        <x:f>E1124*G1124</x:f>
        <x:v>12956.949806949806</x:v>
      </x:c>
      <x:c r="I1124" s="36" t="n">
        <x:f>IFERROR(H1124/A1124,0)</x:f>
        <x:v>6478.474903474903</x:v>
      </x:c>
      <x:c r="J1124" s="67" t="str">
        <x:v>Modeled from live base + Sep-2026 quality ratio</x:v>
      </x:c>
      <x:c r="K1124" s="67" t="str">
        <x:v>https://www.stonealgo.com/diamond-prices/</x:v>
      </x:c>
      <x:c r="L1124" s="67" t="str">
        <x:v>https://www.pricescope.com/blog/natural-diamond-prices-september-2026</x:v>
      </x:c>
    </x:row>
    <x:row r="1125">
      <x:c r="A1125" t="n">
        <x:v>2</x:v>
      </x:c>
      <x:c r="B1125" t="str">
        <x:v>Heart</x:v>
      </x:c>
      <x:c r="C1125" t="str">
        <x:v>H</x:v>
      </x:c>
      <x:c r="D1125" t="str">
        <x:v>VVS2</x:v>
      </x:c>
      <x:c r="E1125" s="36" t="n">
        <x:v>12300</x:v>
      </x:c>
      <x:c r="F1125" s="36" t="n">
        <x:v>4046</x:v>
      </x:c>
      <x:c r="G1125" s="42" t="n">
        <x:v>0.8678678678678678</x:v>
      </x:c>
      <x:c r="H1125" s="36" t="n">
        <x:f>E1125*G1125</x:f>
        <x:v>10674.774774774774</x:v>
      </x:c>
      <x:c r="I1125" s="36" t="n">
        <x:f>IFERROR(H1125/A1125,0)</x:f>
        <x:v>5337.387387387387</x:v>
      </x:c>
      <x:c r="J1125" s="67" t="str">
        <x:v>Modeled from live base + Sep-2026 quality ratio</x:v>
      </x:c>
      <x:c r="K1125" s="67" t="str">
        <x:v>https://www.stonealgo.com/diamond-prices/</x:v>
      </x:c>
      <x:c r="L1125" s="67" t="str">
        <x:v>https://www.pricescope.com/blog/natural-diamond-prices-september-2026</x:v>
      </x:c>
    </x:row>
    <x:row r="1126">
      <x:c r="A1126" t="n">
        <x:v>2</x:v>
      </x:c>
      <x:c r="B1126" t="str">
        <x:v>Heart</x:v>
      </x:c>
      <x:c r="C1126" t="str">
        <x:v>H</x:v>
      </x:c>
      <x:c r="D1126" t="str">
        <x:v>VS1</x:v>
      </x:c>
      <x:c r="E1126" s="36" t="n">
        <x:v>12300</x:v>
      </x:c>
      <x:c r="F1126" s="36" t="n">
        <x:v>3893</x:v>
      </x:c>
      <x:c r="G1126" s="42" t="n">
        <x:v>0.8350493350493351</x:v>
      </x:c>
      <x:c r="H1126" s="36" t="n">
        <x:f>E1126*G1126</x:f>
        <x:v>10271.106821106821</x:v>
      </x:c>
      <x:c r="I1126" s="36" t="n">
        <x:f>IFERROR(H1126/A1126,0)</x:f>
        <x:v>5135.553410553411</x:v>
      </x:c>
      <x:c r="J1126" s="67" t="str">
        <x:v>Modeled from live base + Sep-2026 quality ratio</x:v>
      </x:c>
      <x:c r="K1126" s="67" t="str">
        <x:v>https://www.stonealgo.com/diamond-prices/</x:v>
      </x:c>
      <x:c r="L1126" s="67" t="str">
        <x:v>https://www.pricescope.com/blog/natural-diamond-prices-september-2026</x:v>
      </x:c>
    </x:row>
    <x:row r="1127">
      <x:c r="A1127" t="n">
        <x:v>2</x:v>
      </x:c>
      <x:c r="B1127" t="str">
        <x:v>Heart</x:v>
      </x:c>
      <x:c r="C1127" t="str">
        <x:v>H</x:v>
      </x:c>
      <x:c r="D1127" t="str">
        <x:v>VS2</x:v>
      </x:c>
      <x:c r="E1127" s="36" t="n">
        <x:v>12300</x:v>
      </x:c>
      <x:c r="F1127" s="36" t="n">
        <x:v>3989</x:v>
      </x:c>
      <x:c r="G1127" s="42" t="n">
        <x:v>0.8556413556413557</x:v>
      </x:c>
      <x:c r="H1127" s="36" t="n">
        <x:f>E1127*G1127</x:f>
        <x:v>10524.388674388674</x:v>
      </x:c>
      <x:c r="I1127" s="36" t="n">
        <x:f>IFERROR(H1127/A1127,0)</x:f>
        <x:v>5262.194337194337</x:v>
      </x:c>
      <x:c r="J1127" s="67" t="str">
        <x:v>Modeled from live base + Sep-2026 quality ratio</x:v>
      </x:c>
      <x:c r="K1127" s="67" t="str">
        <x:v>https://www.stonealgo.com/diamond-prices/</x:v>
      </x:c>
      <x:c r="L1127" s="67" t="str">
        <x:v>https://www.pricescope.com/blog/natural-diamond-prices-september-2026</x:v>
      </x:c>
    </x:row>
    <x:row r="1128">
      <x:c r="A1128" t="n">
        <x:v>2</x:v>
      </x:c>
      <x:c r="B1128" t="str">
        <x:v>Heart</x:v>
      </x:c>
      <x:c r="C1128" t="str">
        <x:v>H</x:v>
      </x:c>
      <x:c r="D1128" t="str">
        <x:v>SI1</x:v>
      </x:c>
      <x:c r="E1128" s="36" t="n">
        <x:v>12300</x:v>
      </x:c>
      <x:c r="F1128" s="36" t="n">
        <x:v>2828</x:v>
      </x:c>
      <x:c r="G1128" s="42" t="n">
        <x:v>0.6066066066066066</x:v>
      </x:c>
      <x:c r="H1128" s="36" t="n">
        <x:f>E1128*G1128</x:f>
        <x:v>7461.261261261261</x:v>
      </x:c>
      <x:c r="I1128" s="36" t="n">
        <x:f>IFERROR(H1128/A1128,0)</x:f>
        <x:v>3730.6306306306305</x:v>
      </x:c>
      <x:c r="J1128" s="67" t="str">
        <x:v>Modeled from live base + Sep-2026 quality ratio</x:v>
      </x:c>
      <x:c r="K1128" s="67" t="str">
        <x:v>https://www.stonealgo.com/diamond-prices/</x:v>
      </x:c>
      <x:c r="L1128" s="67" t="str">
        <x:v>https://www.pricescope.com/blog/natural-diamond-prices-september-2026</x:v>
      </x:c>
    </x:row>
    <x:row r="1129">
      <x:c r="A1129" t="n">
        <x:v>2</x:v>
      </x:c>
      <x:c r="B1129" t="str">
        <x:v>Heart</x:v>
      </x:c>
      <x:c r="C1129" t="str">
        <x:v>H</x:v>
      </x:c>
      <x:c r="D1129" t="str">
        <x:v>SI2</x:v>
      </x:c>
      <x:c r="E1129" s="36" t="n">
        <x:v>12300</x:v>
      </x:c>
      <x:c r="F1129" s="36" t="n">
        <x:v>2328</x:v>
      </x:c>
      <x:c r="G1129" s="42" t="n">
        <x:v>0.49935649935649934</x:v>
      </x:c>
      <x:c r="H1129" s="36" t="n">
        <x:f>E1129*G1129</x:f>
        <x:v>6142.084942084942</x:v>
      </x:c>
      <x:c r="I1129" s="36" t="n">
        <x:f>IFERROR(H1129/A1129,0)</x:f>
        <x:v>3071.042471042471</x:v>
      </x:c>
      <x:c r="J1129" s="67" t="str">
        <x:v>Modeled from live base + Sep-2026 quality ratio</x:v>
      </x:c>
      <x:c r="K1129" s="67" t="str">
        <x:v>https://www.stonealgo.com/diamond-prices/</x:v>
      </x:c>
      <x:c r="L1129" s="67" t="str">
        <x:v>https://www.pricescope.com/blog/natural-diamond-prices-september-2026</x:v>
      </x:c>
    </x:row>
    <x:row r="1130">
      <x:c r="A1130" t="n">
        <x:v>2</x:v>
      </x:c>
      <x:c r="B1130" t="str">
        <x:v>Heart</x:v>
      </x:c>
      <x:c r="C1130" t="str">
        <x:v>I</x:v>
      </x:c>
      <x:c r="D1130" t="str">
        <x:v>FL</x:v>
      </x:c>
      <x:c r="E1130" s="36" t="n">
        <x:v>12300</x:v>
      </x:c>
      <x:c r="F1130" s="36" t="n">
        <x:v>4623</x:v>
      </x:c>
      <x:c r="G1130" s="42" t="n">
        <x:v>0.9916344916344917</x:v>
      </x:c>
      <x:c r="H1130" s="36" t="n">
        <x:f>E1130*G1130</x:f>
        <x:v>12197.104247104247</x:v>
      </x:c>
      <x:c r="I1130" s="36" t="n">
        <x:f>IFERROR(H1130/A1130,0)</x:f>
        <x:v>6098.552123552124</x:v>
      </x:c>
      <x:c r="J1130" s="67" t="str">
        <x:v>Modeled from live base + Sep-2026 quality ratio</x:v>
      </x:c>
      <x:c r="K1130" s="67" t="str">
        <x:v>https://www.stonealgo.com/diamond-prices/</x:v>
      </x:c>
      <x:c r="L1130" s="67" t="str">
        <x:v>https://www.pricescope.com/blog/natural-diamond-prices-september-2026</x:v>
      </x:c>
    </x:row>
    <x:row r="1131">
      <x:c r="A1131" t="n">
        <x:v>2</x:v>
      </x:c>
      <x:c r="B1131" t="str">
        <x:v>Heart</x:v>
      </x:c>
      <x:c r="C1131" t="str">
        <x:v>I</x:v>
      </x:c>
      <x:c r="D1131" t="str">
        <x:v>IF</x:v>
      </x:c>
      <x:c r="E1131" s="36" t="n">
        <x:v>12300</x:v>
      </x:c>
      <x:c r="F1131" s="36" t="n">
        <x:v>4005</x:v>
      </x:c>
      <x:c r="G1131" s="42" t="n">
        <x:v>0.859073359073359</x:v>
      </x:c>
      <x:c r="H1131" s="36" t="n">
        <x:f>E1131*G1131</x:f>
        <x:v>10566.602316602315</x:v>
      </x:c>
      <x:c r="I1131" s="36" t="n">
        <x:f>IFERROR(H1131/A1131,0)</x:f>
        <x:v>5283.301158301158</x:v>
      </x:c>
      <x:c r="J1131" s="67" t="str">
        <x:v>Modeled from live base + Sep-2026 quality ratio</x:v>
      </x:c>
      <x:c r="K1131" s="67" t="str">
        <x:v>https://www.stonealgo.com/diamond-prices/</x:v>
      </x:c>
      <x:c r="L1131" s="67" t="str">
        <x:v>https://www.pricescope.com/blog/natural-diamond-prices-september-2026</x:v>
      </x:c>
    </x:row>
    <x:row r="1132">
      <x:c r="A1132" t="n">
        <x:v>2</x:v>
      </x:c>
      <x:c r="B1132" t="str">
        <x:v>Heart</x:v>
      </x:c>
      <x:c r="C1132" t="str">
        <x:v>I</x:v>
      </x:c>
      <x:c r="D1132" t="str">
        <x:v>VVS1</x:v>
      </x:c>
      <x:c r="E1132" s="36" t="n">
        <x:v>12300</x:v>
      </x:c>
      <x:c r="F1132" s="36" t="n">
        <x:v>3670</x:v>
      </x:c>
      <x:c r="G1132" s="42" t="n">
        <x:v>0.7872157872157872</x:v>
      </x:c>
      <x:c r="H1132" s="36" t="n">
        <x:f>E1132*G1132</x:f>
        <x:v>9682.754182754183</x:v>
      </x:c>
      <x:c r="I1132" s="36" t="n">
        <x:f>IFERROR(H1132/A1132,0)</x:f>
        <x:v>4841.377091377091</x:v>
      </x:c>
      <x:c r="J1132" s="67" t="str">
        <x:v>Modeled from live base + Sep-2026 quality ratio</x:v>
      </x:c>
      <x:c r="K1132" s="67" t="str">
        <x:v>https://www.stonealgo.com/diamond-prices/</x:v>
      </x:c>
      <x:c r="L1132" s="67" t="str">
        <x:v>https://www.pricescope.com/blog/natural-diamond-prices-september-2026</x:v>
      </x:c>
    </x:row>
    <x:row r="1133">
      <x:c r="A1133" t="n">
        <x:v>2</x:v>
      </x:c>
      <x:c r="B1133" t="str">
        <x:v>Heart</x:v>
      </x:c>
      <x:c r="C1133" t="str">
        <x:v>I</x:v>
      </x:c>
      <x:c r="D1133" t="str">
        <x:v>VVS2</x:v>
      </x:c>
      <x:c r="E1133" s="36" t="n">
        <x:v>12300</x:v>
      </x:c>
      <x:c r="F1133" s="36" t="n">
        <x:v>3447</x:v>
      </x:c>
      <x:c r="G1133" s="42" t="n">
        <x:v>0.7393822393822393</x:v>
      </x:c>
      <x:c r="H1133" s="36" t="n">
        <x:f>E1133*G1133</x:f>
        <x:v>9094.401544401544</x:v>
      </x:c>
      <x:c r="I1133" s="36" t="n">
        <x:f>IFERROR(H1133/A1133,0)</x:f>
        <x:v>4547.200772200772</x:v>
      </x:c>
      <x:c r="J1133" s="67" t="str">
        <x:v>Modeled from live base + Sep-2026 quality ratio</x:v>
      </x:c>
      <x:c r="K1133" s="67" t="str">
        <x:v>https://www.stonealgo.com/diamond-prices/</x:v>
      </x:c>
      <x:c r="L1133" s="67" t="str">
        <x:v>https://www.pricescope.com/blog/natural-diamond-prices-september-2026</x:v>
      </x:c>
    </x:row>
    <x:row r="1134">
      <x:c r="A1134" t="n">
        <x:v>2</x:v>
      </x:c>
      <x:c r="B1134" t="str">
        <x:v>Heart</x:v>
      </x:c>
      <x:c r="C1134" t="str">
        <x:v>I</x:v>
      </x:c>
      <x:c r="D1134" t="str">
        <x:v>VS1</x:v>
      </x:c>
      <x:c r="E1134" s="36" t="n">
        <x:v>12300</x:v>
      </x:c>
      <x:c r="F1134" s="36" t="n">
        <x:v>3313</x:v>
      </x:c>
      <x:c r="G1134" s="42" t="n">
        <x:v>0.7106392106392107</x:v>
      </x:c>
      <x:c r="H1134" s="36" t="n">
        <x:f>E1134*G1134</x:f>
        <x:v>8740.862290862291</x:v>
      </x:c>
      <x:c r="I1134" s="36" t="n">
        <x:f>IFERROR(H1134/A1134,0)</x:f>
        <x:v>4370.4311454311455</x:v>
      </x:c>
      <x:c r="J1134" s="67" t="str">
        <x:v>Modeled from live base + Sep-2026 quality ratio</x:v>
      </x:c>
      <x:c r="K1134" s="67" t="str">
        <x:v>https://www.stonealgo.com/diamond-prices/</x:v>
      </x:c>
      <x:c r="L1134" s="67" t="str">
        <x:v>https://www.pricescope.com/blog/natural-diamond-prices-september-2026</x:v>
      </x:c>
    </x:row>
    <x:row r="1135">
      <x:c r="A1135" t="n">
        <x:v>2</x:v>
      </x:c>
      <x:c r="B1135" t="str">
        <x:v>Heart</x:v>
      </x:c>
      <x:c r="C1135" t="str">
        <x:v>I</x:v>
      </x:c>
      <x:c r="D1135" t="str">
        <x:v>VS2</x:v>
      </x:c>
      <x:c r="E1135" s="36" t="n">
        <x:v>12300</x:v>
      </x:c>
      <x:c r="F1135" s="36" t="n">
        <x:v>3240</x:v>
      </x:c>
      <x:c r="G1135" s="42" t="n">
        <x:v>0.694980694980695</x:v>
      </x:c>
      <x:c r="H1135" s="36" t="n">
        <x:f>E1135*G1135</x:f>
        <x:v>8548.262548262548</x:v>
      </x:c>
      <x:c r="I1135" s="36" t="n">
        <x:f>IFERROR(H1135/A1135,0)</x:f>
        <x:v>4274.131274131274</x:v>
      </x:c>
      <x:c r="J1135" s="67" t="str">
        <x:v>Modeled from live base + Sep-2026 quality ratio</x:v>
      </x:c>
      <x:c r="K1135" s="67" t="str">
        <x:v>https://www.stonealgo.com/diamond-prices/</x:v>
      </x:c>
      <x:c r="L1135" s="67" t="str">
        <x:v>https://www.pricescope.com/blog/natural-diamond-prices-september-2026</x:v>
      </x:c>
    </x:row>
    <x:row r="1136">
      <x:c r="A1136" t="n">
        <x:v>2</x:v>
      </x:c>
      <x:c r="B1136" t="str">
        <x:v>Heart</x:v>
      </x:c>
      <x:c r="C1136" t="str">
        <x:v>I</x:v>
      </x:c>
      <x:c r="D1136" t="str">
        <x:v>SI1</x:v>
      </x:c>
      <x:c r="E1136" s="36" t="n">
        <x:v>12300</x:v>
      </x:c>
      <x:c r="F1136" s="36" t="n">
        <x:v>3199</x:v>
      </x:c>
      <x:c r="G1136" s="42" t="n">
        <x:v>0.6861861861861862</x:v>
      </x:c>
      <x:c r="H1136" s="36" t="n">
        <x:f>E1136*G1136</x:f>
        <x:v>8440.09009009009</x:v>
      </x:c>
      <x:c r="I1136" s="36" t="n">
        <x:f>IFERROR(H1136/A1136,0)</x:f>
        <x:v>4220.045045045045</x:v>
      </x:c>
      <x:c r="J1136" s="67" t="str">
        <x:v>Modeled from live base + Sep-2026 quality ratio</x:v>
      </x:c>
      <x:c r="K1136" s="67" t="str">
        <x:v>https://www.stonealgo.com/diamond-prices/</x:v>
      </x:c>
      <x:c r="L1136" s="67" t="str">
        <x:v>https://www.pricescope.com/blog/natural-diamond-prices-september-2026</x:v>
      </x:c>
    </x:row>
    <x:row r="1137">
      <x:c r="A1137" t="n">
        <x:v>2</x:v>
      </x:c>
      <x:c r="B1137" t="str">
        <x:v>Heart</x:v>
      </x:c>
      <x:c r="C1137" t="str">
        <x:v>I</x:v>
      </x:c>
      <x:c r="D1137" t="str">
        <x:v>SI2</x:v>
      </x:c>
      <x:c r="E1137" s="36" t="n">
        <x:v>12300</x:v>
      </x:c>
      <x:c r="F1137" s="36" t="n">
        <x:v>2874</x:v>
      </x:c>
      <x:c r="G1137" s="42" t="n">
        <x:v>0.6164736164736164</x:v>
      </x:c>
      <x:c r="H1137" s="36" t="n">
        <x:f>E1137*G1137</x:f>
        <x:v>7582.625482625482</x:v>
      </x:c>
      <x:c r="I1137" s="36" t="n">
        <x:f>IFERROR(H1137/A1137,0)</x:f>
        <x:v>3791.312741312741</x:v>
      </x:c>
      <x:c r="J1137" s="67" t="str">
        <x:v>Modeled from live base + Sep-2026 quality ratio</x:v>
      </x:c>
      <x:c r="K1137" s="67" t="str">
        <x:v>https://www.stonealgo.com/diamond-prices/</x:v>
      </x:c>
      <x:c r="L1137" s="67" t="str">
        <x:v>https://www.pricescope.com/blog/natural-diamond-prices-september-2026</x:v>
      </x:c>
    </x:row>
    <x:row r="1138">
      <x:c r="A1138" t="n">
        <x:v>2</x:v>
      </x:c>
      <x:c r="B1138" t="str">
        <x:v>Heart</x:v>
      </x:c>
      <x:c r="C1138" t="str">
        <x:v>J</x:v>
      </x:c>
      <x:c r="D1138" t="str">
        <x:v>FL</x:v>
      </x:c>
      <x:c r="E1138" s="36" t="n">
        <x:v>12300</x:v>
      </x:c>
      <x:c r="F1138" s="36" t="n">
        <x:v>3646</x:v>
      </x:c>
      <x:c r="G1138" s="42" t="n">
        <x:v>0.782067782067782</x:v>
      </x:c>
      <x:c r="H1138" s="36" t="n">
        <x:f>E1138*G1138</x:f>
        <x:v>9619.433719433719</x:v>
      </x:c>
      <x:c r="I1138" s="36" t="n">
        <x:f>IFERROR(H1138/A1138,0)</x:f>
        <x:v>4809.716859716859</x:v>
      </x:c>
      <x:c r="J1138" s="67" t="str">
        <x:v>Modeled from live base + Sep-2026 quality ratio</x:v>
      </x:c>
      <x:c r="K1138" s="67" t="str">
        <x:v>https://www.stonealgo.com/diamond-prices/</x:v>
      </x:c>
      <x:c r="L1138" s="67" t="str">
        <x:v>https://www.pricescope.com/blog/natural-diamond-prices-september-2026</x:v>
      </x:c>
    </x:row>
    <x:row r="1139">
      <x:c r="A1139" t="n">
        <x:v>2</x:v>
      </x:c>
      <x:c r="B1139" t="str">
        <x:v>Heart</x:v>
      </x:c>
      <x:c r="C1139" t="str">
        <x:v>J</x:v>
      </x:c>
      <x:c r="D1139" t="str">
        <x:v>IF</x:v>
      </x:c>
      <x:c r="E1139" s="36" t="n">
        <x:v>12300</x:v>
      </x:c>
      <x:c r="F1139" s="36" t="n">
        <x:v>3368</x:v>
      </x:c>
      <x:c r="G1139" s="42" t="n">
        <x:v>0.7224367224367224</x:v>
      </x:c>
      <x:c r="H1139" s="36" t="n">
        <x:f>E1139*G1139</x:f>
        <x:v>8885.971685971686</x:v>
      </x:c>
      <x:c r="I1139" s="36" t="n">
        <x:f>IFERROR(H1139/A1139,0)</x:f>
        <x:v>4442.985842985843</x:v>
      </x:c>
      <x:c r="J1139" s="67" t="str">
        <x:v>Modeled from live base + Sep-2026 quality ratio</x:v>
      </x:c>
      <x:c r="K1139" s="67" t="str">
        <x:v>https://www.stonealgo.com/diamond-prices/</x:v>
      </x:c>
      <x:c r="L1139" s="67" t="str">
        <x:v>https://www.pricescope.com/blog/natural-diamond-prices-september-2026</x:v>
      </x:c>
    </x:row>
    <x:row r="1140">
      <x:c r="A1140" t="n">
        <x:v>2</x:v>
      </x:c>
      <x:c r="B1140" t="str">
        <x:v>Heart</x:v>
      </x:c>
      <x:c r="C1140" t="str">
        <x:v>J</x:v>
      </x:c>
      <x:c r="D1140" t="str">
        <x:v>VVS1</x:v>
      </x:c>
      <x:c r="E1140" s="36" t="n">
        <x:v>12300</x:v>
      </x:c>
      <x:c r="F1140" s="36" t="n">
        <x:v>2956</x:v>
      </x:c>
      <x:c r="G1140" s="42" t="n">
        <x:v>0.6340626340626341</x:v>
      </x:c>
      <x:c r="H1140" s="36" t="n">
        <x:f>E1140*G1140</x:f>
        <x:v>7798.970398970399</x:v>
      </x:c>
      <x:c r="I1140" s="36" t="n">
        <x:f>IFERROR(H1140/A1140,0)</x:f>
        <x:v>3899.4851994851997</x:v>
      </x:c>
      <x:c r="J1140" s="67" t="str">
        <x:v>Modeled from live base + Sep-2026 quality ratio</x:v>
      </x:c>
      <x:c r="K1140" s="67" t="str">
        <x:v>https://www.stonealgo.com/diamond-prices/</x:v>
      </x:c>
      <x:c r="L1140" s="67" t="str">
        <x:v>https://www.pricescope.com/blog/natural-diamond-prices-september-2026</x:v>
      </x:c>
    </x:row>
    <x:row r="1141">
      <x:c r="A1141" t="n">
        <x:v>2</x:v>
      </x:c>
      <x:c r="B1141" t="str">
        <x:v>Heart</x:v>
      </x:c>
      <x:c r="C1141" t="str">
        <x:v>J</x:v>
      </x:c>
      <x:c r="D1141" t="str">
        <x:v>VVS2</x:v>
      </x:c>
      <x:c r="E1141" s="36" t="n">
        <x:v>12300</x:v>
      </x:c>
      <x:c r="F1141" s="36" t="n">
        <x:v>2612</x:v>
      </x:c>
      <x:c r="G1141" s="42" t="n">
        <x:v>0.5602745602745602</x:v>
      </x:c>
      <x:c r="H1141" s="36" t="n">
        <x:f>E1141*G1141</x:f>
        <x:v>6891.377091377091</x:v>
      </x:c>
      <x:c r="I1141" s="36" t="n">
        <x:f>IFERROR(H1141/A1141,0)</x:f>
        <x:v>3445.6885456885457</x:v>
      </x:c>
      <x:c r="J1141" s="67" t="str">
        <x:v>Modeled from live base + Sep-2026 quality ratio</x:v>
      </x:c>
      <x:c r="K1141" s="67" t="str">
        <x:v>https://www.stonealgo.com/diamond-prices/</x:v>
      </x:c>
      <x:c r="L1141" s="67" t="str">
        <x:v>https://www.pricescope.com/blog/natural-diamond-prices-september-2026</x:v>
      </x:c>
    </x:row>
    <x:row r="1142">
      <x:c r="A1142" t="n">
        <x:v>2</x:v>
      </x:c>
      <x:c r="B1142" t="str">
        <x:v>Heart</x:v>
      </x:c>
      <x:c r="C1142" t="str">
        <x:v>J</x:v>
      </x:c>
      <x:c r="D1142" t="str">
        <x:v>VS1</x:v>
      </x:c>
      <x:c r="E1142" s="36" t="n">
        <x:v>12300</x:v>
      </x:c>
      <x:c r="F1142" s="36" t="n">
        <x:v>3002</x:v>
      </x:c>
      <x:c r="G1142" s="42" t="n">
        <x:v>0.6439296439296439</x:v>
      </x:c>
      <x:c r="H1142" s="36" t="n">
        <x:f>E1142*G1142</x:f>
        <x:v>7920.33462033462</x:v>
      </x:c>
      <x:c r="I1142" s="36" t="n">
        <x:f>IFERROR(H1142/A1142,0)</x:f>
        <x:v>3960.16731016731</x:v>
      </x:c>
      <x:c r="J1142" s="67" t="str">
        <x:v>Modeled from live base + Sep-2026 quality ratio</x:v>
      </x:c>
      <x:c r="K1142" s="67" t="str">
        <x:v>https://www.stonealgo.com/diamond-prices/</x:v>
      </x:c>
      <x:c r="L1142" s="67" t="str">
        <x:v>https://www.pricescope.com/blog/natural-diamond-prices-september-2026</x:v>
      </x:c>
    </x:row>
    <x:row r="1143">
      <x:c r="A1143" t="n">
        <x:v>2</x:v>
      </x:c>
      <x:c r="B1143" t="str">
        <x:v>Heart</x:v>
      </x:c>
      <x:c r="C1143" t="str">
        <x:v>J</x:v>
      </x:c>
      <x:c r="D1143" t="str">
        <x:v>VS2</x:v>
      </x:c>
      <x:c r="E1143" s="36" t="n">
        <x:v>12300</x:v>
      </x:c>
      <x:c r="F1143" s="36" t="n">
        <x:v>2559</x:v>
      </x:c>
      <x:c r="G1143" s="42" t="n">
        <x:v>0.5489060489060489</x:v>
      </x:c>
      <x:c r="H1143" s="36" t="n">
        <x:f>E1143*G1143</x:f>
        <x:v>6751.544401544401</x:v>
      </x:c>
      <x:c r="I1143" s="36" t="n">
        <x:f>IFERROR(H1143/A1143,0)</x:f>
        <x:v>3375.7722007722004</x:v>
      </x:c>
      <x:c r="J1143" s="67" t="str">
        <x:v>Modeled from live base + Sep-2026 quality ratio</x:v>
      </x:c>
      <x:c r="K1143" s="67" t="str">
        <x:v>https://www.stonealgo.com/diamond-prices/</x:v>
      </x:c>
      <x:c r="L1143" s="67" t="str">
        <x:v>https://www.pricescope.com/blog/natural-diamond-prices-september-2026</x:v>
      </x:c>
    </x:row>
    <x:row r="1144">
      <x:c r="A1144" t="n">
        <x:v>2</x:v>
      </x:c>
      <x:c r="B1144" t="str">
        <x:v>Heart</x:v>
      </x:c>
      <x:c r="C1144" t="str">
        <x:v>J</x:v>
      </x:c>
      <x:c r="D1144" t="str">
        <x:v>SI1</x:v>
      </x:c>
      <x:c r="E1144" s="36" t="n">
        <x:v>12300</x:v>
      </x:c>
      <x:c r="F1144" s="36" t="n">
        <x:v>2195</x:v>
      </x:c>
      <x:c r="G1144" s="42" t="n">
        <x:v>0.47082797082797084</x:v>
      </x:c>
      <x:c r="H1144" s="36" t="n">
        <x:f>E1144*G1144</x:f>
        <x:v>5791.184041184041</x:v>
      </x:c>
      <x:c r="I1144" s="36" t="n">
        <x:f>IFERROR(H1144/A1144,0)</x:f>
        <x:v>2895.5920205920206</x:v>
      </x:c>
      <x:c r="J1144" s="67" t="str">
        <x:v>Modeled from live base + Sep-2026 quality ratio</x:v>
      </x:c>
      <x:c r="K1144" s="67" t="str">
        <x:v>https://www.stonealgo.com/diamond-prices/</x:v>
      </x:c>
      <x:c r="L1144" s="67" t="str">
        <x:v>https://www.pricescope.com/blog/natural-diamond-prices-september-2026</x:v>
      </x:c>
    </x:row>
    <x:row r="1145">
      <x:c r="A1145" t="n">
        <x:v>2</x:v>
      </x:c>
      <x:c r="B1145" t="str">
        <x:v>Heart</x:v>
      </x:c>
      <x:c r="C1145" t="str">
        <x:v>J</x:v>
      </x:c>
      <x:c r="D1145" t="str">
        <x:v>SI2</x:v>
      </x:c>
      <x:c r="E1145" s="36" t="n">
        <x:v>12300</x:v>
      </x:c>
      <x:c r="F1145" s="36" t="n">
        <x:v>2079</x:v>
      </x:c>
      <x:c r="G1145" s="42" t="n">
        <x:v>0.44594594594594594</x:v>
      </x:c>
      <x:c r="H1145" s="36" t="n">
        <x:f>E1145*G1145</x:f>
        <x:v>5485.135135135135</x:v>
      </x:c>
      <x:c r="I1145" s="36" t="n">
        <x:f>IFERROR(H1145/A1145,0)</x:f>
        <x:v>2742.5675675675675</x:v>
      </x:c>
      <x:c r="J1145" s="67" t="str">
        <x:v>Modeled from live base + Sep-2026 quality ratio</x:v>
      </x:c>
      <x:c r="K1145" s="67" t="str">
        <x:v>https://www.stonealgo.com/diamond-prices/</x:v>
      </x:c>
      <x:c r="L1145" s="67" t="str">
        <x:v>https://www.pricescope.com/blog/natural-diamond-prices-september-2026</x:v>
      </x:c>
    </x:row>
    <x:row r="1146">
      <x:c r="A1146" t="n">
        <x:v>2</x:v>
      </x:c>
      <x:c r="B1146" t="str">
        <x:v>Heart</x:v>
      </x:c>
      <x:c r="C1146" t="str">
        <x:v>K</x:v>
      </x:c>
      <x:c r="D1146" t="str">
        <x:v>FL</x:v>
      </x:c>
      <x:c r="E1146" s="36" t="n">
        <x:v>12300</x:v>
      </x:c>
      <x:c r="F1146" s="36" t="n">
        <x:v>2858</x:v>
      </x:c>
      <x:c r="G1146" s="42" t="n">
        <x:v>0.6130416130416131</x:v>
      </x:c>
      <x:c r="H1146" s="36" t="n">
        <x:f>E1146*G1146</x:f>
        <x:v>7540.411840411841</x:v>
      </x:c>
      <x:c r="I1146" s="36" t="n">
        <x:f>IFERROR(H1146/A1146,0)</x:f>
        <x:v>3770.2059202059204</x:v>
      </x:c>
      <x:c r="J1146" s="67" t="str">
        <x:v>Modeled from live base + Sep-2026 quality ratio; K/FL quality cell modeled</x:v>
      </x:c>
      <x:c r="K1146" s="67" t="str">
        <x:v>https://www.stonealgo.com/diamond-prices/</x:v>
      </x:c>
      <x:c r="L1146" s="67" t="str">
        <x:v>https://www.pricescope.com/blog/natural-diamond-prices-september-2026</x:v>
      </x:c>
    </x:row>
    <x:row r="1147">
      <x:c r="A1147" t="n">
        <x:v>2</x:v>
      </x:c>
      <x:c r="B1147" t="str">
        <x:v>Heart</x:v>
      </x:c>
      <x:c r="C1147" t="str">
        <x:v>K</x:v>
      </x:c>
      <x:c r="D1147" t="str">
        <x:v>IF</x:v>
      </x:c>
      <x:c r="E1147" s="36" t="n">
        <x:v>12300</x:v>
      </x:c>
      <x:c r="F1147" s="36" t="n">
        <x:v>2743</x:v>
      </x:c>
      <x:c r="G1147" s="42" t="n">
        <x:v>0.5883740883740883</x:v>
      </x:c>
      <x:c r="H1147" s="36" t="n">
        <x:f>E1147*G1147</x:f>
        <x:v>7237.001287001286</x:v>
      </x:c>
      <x:c r="I1147" s="36" t="n">
        <x:f>IFERROR(H1147/A1147,0)</x:f>
        <x:v>3618.500643500643</x:v>
      </x:c>
      <x:c r="J1147" s="67" t="str">
        <x:v>Modeled from live base + Sep-2026 quality ratio</x:v>
      </x:c>
      <x:c r="K1147" s="67" t="str">
        <x:v>https://www.stonealgo.com/diamond-prices/</x:v>
      </x:c>
      <x:c r="L1147" s="67" t="str">
        <x:v>https://www.pricescope.com/blog/natural-diamond-prices-september-2026</x:v>
      </x:c>
    </x:row>
    <x:row r="1148">
      <x:c r="A1148" t="n">
        <x:v>2</x:v>
      </x:c>
      <x:c r="B1148" t="str">
        <x:v>Heart</x:v>
      </x:c>
      <x:c r="C1148" t="str">
        <x:v>K</x:v>
      </x:c>
      <x:c r="D1148" t="str">
        <x:v>VVS1</x:v>
      </x:c>
      <x:c r="E1148" s="36" t="n">
        <x:v>12300</x:v>
      </x:c>
      <x:c r="F1148" s="36" t="n">
        <x:v>2529</x:v>
      </x:c>
      <x:c r="G1148" s="42" t="n">
        <x:v>0.5424710424710425</x:v>
      </x:c>
      <x:c r="H1148" s="36" t="n">
        <x:f>E1148*G1148</x:f>
        <x:v>6672.393822393823</x:v>
      </x:c>
      <x:c r="I1148" s="36" t="n">
        <x:f>IFERROR(H1148/A1148,0)</x:f>
        <x:v>3336.1969111969115</x:v>
      </x:c>
      <x:c r="J1148" s="67" t="str">
        <x:v>Modeled from live base + Sep-2026 quality ratio</x:v>
      </x:c>
      <x:c r="K1148" s="67" t="str">
        <x:v>https://www.stonealgo.com/diamond-prices/</x:v>
      </x:c>
      <x:c r="L1148" s="67" t="str">
        <x:v>https://www.pricescope.com/blog/natural-diamond-prices-september-2026</x:v>
      </x:c>
    </x:row>
    <x:row r="1149">
      <x:c r="A1149" t="n">
        <x:v>2</x:v>
      </x:c>
      <x:c r="B1149" t="str">
        <x:v>Heart</x:v>
      </x:c>
      <x:c r="C1149" t="str">
        <x:v>K</x:v>
      </x:c>
      <x:c r="D1149" t="str">
        <x:v>VVS2</x:v>
      </x:c>
      <x:c r="E1149" s="36" t="n">
        <x:v>12300</x:v>
      </x:c>
      <x:c r="F1149" s="36" t="n">
        <x:v>2374</x:v>
      </x:c>
      <x:c r="G1149" s="42" t="n">
        <x:v>0.5092235092235092</x:v>
      </x:c>
      <x:c r="H1149" s="36" t="n">
        <x:f>E1149*G1149</x:f>
        <x:v>6263.449163449163</x:v>
      </x:c>
      <x:c r="I1149" s="36" t="n">
        <x:f>IFERROR(H1149/A1149,0)</x:f>
        <x:v>3131.7245817245816</x:v>
      </x:c>
      <x:c r="J1149" s="67" t="str">
        <x:v>Modeled from live base + Sep-2026 quality ratio</x:v>
      </x:c>
      <x:c r="K1149" s="67" t="str">
        <x:v>https://www.stonealgo.com/diamond-prices/</x:v>
      </x:c>
      <x:c r="L1149" s="67" t="str">
        <x:v>https://www.pricescope.com/blog/natural-diamond-prices-september-2026</x:v>
      </x:c>
    </x:row>
    <x:row r="1150">
      <x:c r="A1150" t="n">
        <x:v>2</x:v>
      </x:c>
      <x:c r="B1150" t="str">
        <x:v>Heart</x:v>
      </x:c>
      <x:c r="C1150" t="str">
        <x:v>K</x:v>
      </x:c>
      <x:c r="D1150" t="str">
        <x:v>VS1</x:v>
      </x:c>
      <x:c r="E1150" s="36" t="n">
        <x:v>12300</x:v>
      </x:c>
      <x:c r="F1150" s="36" t="n">
        <x:v>2223</x:v>
      </x:c>
      <x:c r="G1150" s="42" t="n">
        <x:v>0.4768339768339768</x:v>
      </x:c>
      <x:c r="H1150" s="36" t="n">
        <x:f>E1150*G1150</x:f>
        <x:v>5865.057915057915</x:v>
      </x:c>
      <x:c r="I1150" s="36" t="n">
        <x:f>IFERROR(H1150/A1150,0)</x:f>
        <x:v>2932.5289575289576</x:v>
      </x:c>
      <x:c r="J1150" s="67" t="str">
        <x:v>Modeled from live base + Sep-2026 quality ratio</x:v>
      </x:c>
      <x:c r="K1150" s="67" t="str">
        <x:v>https://www.stonealgo.com/diamond-prices/</x:v>
      </x:c>
      <x:c r="L1150" s="67" t="str">
        <x:v>https://www.pricescope.com/blog/natural-diamond-prices-september-2026</x:v>
      </x:c>
    </x:row>
    <x:row r="1151">
      <x:c r="A1151" t="n">
        <x:v>2</x:v>
      </x:c>
      <x:c r="B1151" t="str">
        <x:v>Heart</x:v>
      </x:c>
      <x:c r="C1151" t="str">
        <x:v>K</x:v>
      </x:c>
      <x:c r="D1151" t="str">
        <x:v>VS2</x:v>
      </x:c>
      <x:c r="E1151" s="36" t="n">
        <x:v>12300</x:v>
      </x:c>
      <x:c r="F1151" s="36" t="n">
        <x:v>2098</x:v>
      </x:c>
      <x:c r="G1151" s="42" t="n">
        <x:v>0.45002145002145</x:v>
      </x:c>
      <x:c r="H1151" s="36" t="n">
        <x:f>E1151*G1151</x:f>
        <x:v>5535.263835263835</x:v>
      </x:c>
      <x:c r="I1151" s="36" t="n">
        <x:f>IFERROR(H1151/A1151,0)</x:f>
        <x:v>2767.6319176319175</x:v>
      </x:c>
      <x:c r="J1151" s="67" t="str">
        <x:v>Modeled from live base + Sep-2026 quality ratio</x:v>
      </x:c>
      <x:c r="K1151" s="67" t="str">
        <x:v>https://www.stonealgo.com/diamond-prices/</x:v>
      </x:c>
      <x:c r="L1151" s="67" t="str">
        <x:v>https://www.pricescope.com/blog/natural-diamond-prices-september-2026</x:v>
      </x:c>
    </x:row>
    <x:row r="1152">
      <x:c r="A1152" t="n">
        <x:v>2</x:v>
      </x:c>
      <x:c r="B1152" t="str">
        <x:v>Heart</x:v>
      </x:c>
      <x:c r="C1152" t="str">
        <x:v>K</x:v>
      </x:c>
      <x:c r="D1152" t="str">
        <x:v>SI1</x:v>
      </x:c>
      <x:c r="E1152" s="36" t="n">
        <x:v>12300</x:v>
      </x:c>
      <x:c r="F1152" s="36" t="n">
        <x:v>1922</x:v>
      </x:c>
      <x:c r="G1152" s="42" t="n">
        <x:v>0.41226941226941227</x:v>
      </x:c>
      <x:c r="H1152" s="36" t="n">
        <x:f>E1152*G1152</x:f>
        <x:v>5070.913770913771</x:v>
      </x:c>
      <x:c r="I1152" s="36" t="n">
        <x:f>IFERROR(H1152/A1152,0)</x:f>
        <x:v>2535.4568854568856</x:v>
      </x:c>
      <x:c r="J1152" s="67" t="str">
        <x:v>Modeled from live base + Sep-2026 quality ratio</x:v>
      </x:c>
      <x:c r="K1152" s="67" t="str">
        <x:v>https://www.stonealgo.com/diamond-prices/</x:v>
      </x:c>
      <x:c r="L1152" s="67" t="str">
        <x:v>https://www.pricescope.com/blog/natural-diamond-prices-september-2026</x:v>
      </x:c>
    </x:row>
    <x:row r="1153">
      <x:c r="A1153" t="n">
        <x:v>2</x:v>
      </x:c>
      <x:c r="B1153" t="str">
        <x:v>Heart</x:v>
      </x:c>
      <x:c r="C1153" t="str">
        <x:v>K</x:v>
      </x:c>
      <x:c r="D1153" t="str">
        <x:v>SI2</x:v>
      </x:c>
      <x:c r="E1153" s="36" t="n">
        <x:v>12300</x:v>
      </x:c>
      <x:c r="F1153" s="36" t="n">
        <x:v>1764</x:v>
      </x:c>
      <x:c r="G1153" s="42" t="n">
        <x:v>0.3783783783783784</x:v>
      </x:c>
      <x:c r="H1153" s="36" t="n">
        <x:f>E1153*G1153</x:f>
        <x:v>4654.054054054054</x:v>
      </x:c>
      <x:c r="I1153" s="36" t="n">
        <x:f>IFERROR(H1153/A1153,0)</x:f>
        <x:v>2327.027027027027</x:v>
      </x:c>
      <x:c r="J1153" s="67" t="str">
        <x:v>Modeled from live base + Sep-2026 quality ratio</x:v>
      </x:c>
      <x:c r="K1153" s="67" t="str">
        <x:v>https://www.stonealgo.com/diamond-prices/</x:v>
      </x:c>
      <x:c r="L1153" s="67" t="str">
        <x:v>https://www.pricescope.com/blog/natural-diamond-prices-september-2026</x:v>
      </x:c>
    </x:row>
    <x:row r="1154">
      <x:c r="A1154" t="n">
        <x:v>2</x:v>
      </x:c>
      <x:c r="B1154" t="str">
        <x:v>Marquise</x:v>
      </x:c>
      <x:c r="C1154" t="str">
        <x:v>D</x:v>
      </x:c>
      <x:c r="D1154" t="str">
        <x:v>FL</x:v>
      </x:c>
      <x:c r="E1154" s="36" t="n">
        <x:v>19300</x:v>
      </x:c>
      <x:c r="F1154" s="36" t="n">
        <x:v>12665</x:v>
      </x:c>
      <x:c r="G1154" s="42" t="n">
        <x:v>2.7166452166452166</x:v>
      </x:c>
      <x:c r="H1154" s="36" t="n">
        <x:f>E1154*G1154</x:f>
        <x:v>52431.25268125268</x:v>
      </x:c>
      <x:c r="I1154" s="36" t="n">
        <x:f>IFERROR(H1154/A1154,0)</x:f>
        <x:v>26215.62634062634</x:v>
      </x:c>
      <x:c r="J1154" s="67" t="str">
        <x:v>Modeled from live base + Sep-2026 quality ratio</x:v>
      </x:c>
      <x:c r="K1154" s="67" t="str">
        <x:v>https://www.stonealgo.com/diamond-prices/</x:v>
      </x:c>
      <x:c r="L1154" s="67" t="str">
        <x:v>https://www.pricescope.com/blog/natural-diamond-prices-september-2026</x:v>
      </x:c>
    </x:row>
    <x:row r="1155">
      <x:c r="A1155" t="n">
        <x:v>2</x:v>
      </x:c>
      <x:c r="B1155" t="str">
        <x:v>Marquise</x:v>
      </x:c>
      <x:c r="C1155" t="str">
        <x:v>D</x:v>
      </x:c>
      <x:c r="D1155" t="str">
        <x:v>IF</x:v>
      </x:c>
      <x:c r="E1155" s="36" t="n">
        <x:v>19300</x:v>
      </x:c>
      <x:c r="F1155" s="36" t="n">
        <x:v>13240</x:v>
      </x:c>
      <x:c r="G1155" s="42" t="n">
        <x:v>2.83998283998284</x:v>
      </x:c>
      <x:c r="H1155" s="36" t="n">
        <x:f>E1155*G1155</x:f>
        <x:v>54811.66881166882</x:v>
      </x:c>
      <x:c r="I1155" s="36" t="n">
        <x:f>IFERROR(H1155/A1155,0)</x:f>
        <x:v>27405.83440583441</x:v>
      </x:c>
      <x:c r="J1155" s="67" t="str">
        <x:v>Modeled from live base + Sep-2026 quality ratio</x:v>
      </x:c>
      <x:c r="K1155" s="67" t="str">
        <x:v>https://www.stonealgo.com/diamond-prices/</x:v>
      </x:c>
      <x:c r="L1155" s="67" t="str">
        <x:v>https://www.pricescope.com/blog/natural-diamond-prices-september-2026</x:v>
      </x:c>
    </x:row>
    <x:row r="1156">
      <x:c r="A1156" t="n">
        <x:v>2</x:v>
      </x:c>
      <x:c r="B1156" t="str">
        <x:v>Marquise</x:v>
      </x:c>
      <x:c r="C1156" t="str">
        <x:v>D</x:v>
      </x:c>
      <x:c r="D1156" t="str">
        <x:v>VVS1</x:v>
      </x:c>
      <x:c r="E1156" s="36" t="n">
        <x:v>19300</x:v>
      </x:c>
      <x:c r="F1156" s="36" t="n">
        <x:v>9555</x:v>
      </x:c>
      <x:c r="G1156" s="42" t="n">
        <x:v>2.0495495495495497</x:v>
      </x:c>
      <x:c r="H1156" s="36" t="n">
        <x:f>E1156*G1156</x:f>
        <x:v>39556.30630630631</x:v>
      </x:c>
      <x:c r="I1156" s="36" t="n">
        <x:f>IFERROR(H1156/A1156,0)</x:f>
        <x:v>19778.153153153155</x:v>
      </x:c>
      <x:c r="J1156" s="67" t="str">
        <x:v>Modeled from live base + Sep-2026 quality ratio</x:v>
      </x:c>
      <x:c r="K1156" s="67" t="str">
        <x:v>https://www.stonealgo.com/diamond-prices/</x:v>
      </x:c>
      <x:c r="L1156" s="67" t="str">
        <x:v>https://www.pricescope.com/blog/natural-diamond-prices-september-2026</x:v>
      </x:c>
    </x:row>
    <x:row r="1157">
      <x:c r="A1157" t="n">
        <x:v>2</x:v>
      </x:c>
      <x:c r="B1157" t="str">
        <x:v>Marquise</x:v>
      </x:c>
      <x:c r="C1157" t="str">
        <x:v>D</x:v>
      </x:c>
      <x:c r="D1157" t="str">
        <x:v>VVS2</x:v>
      </x:c>
      <x:c r="E1157" s="36" t="n">
        <x:v>19300</x:v>
      </x:c>
      <x:c r="F1157" s="36" t="n">
        <x:v>6660</x:v>
      </x:c>
      <x:c r="G1157" s="42" t="n">
        <x:v>1.4285714285714286</x:v>
      </x:c>
      <x:c r="H1157" s="36" t="n">
        <x:f>E1157*G1157</x:f>
        <x:v>27571.428571428572</x:v>
      </x:c>
      <x:c r="I1157" s="36" t="n">
        <x:f>IFERROR(H1157/A1157,0)</x:f>
        <x:v>13785.714285714286</x:v>
      </x:c>
      <x:c r="J1157" s="67" t="str">
        <x:v>Modeled from live base + Sep-2026 quality ratio</x:v>
      </x:c>
      <x:c r="K1157" s="67" t="str">
        <x:v>https://www.stonealgo.com/diamond-prices/</x:v>
      </x:c>
      <x:c r="L1157" s="67" t="str">
        <x:v>https://www.pricescope.com/blog/natural-diamond-prices-september-2026</x:v>
      </x:c>
    </x:row>
    <x:row r="1158">
      <x:c r="A1158" t="n">
        <x:v>2</x:v>
      </x:c>
      <x:c r="B1158" t="str">
        <x:v>Marquise</x:v>
      </x:c>
      <x:c r="C1158" t="str">
        <x:v>D</x:v>
      </x:c>
      <x:c r="D1158" t="str">
        <x:v>VS1</x:v>
      </x:c>
      <x:c r="E1158" s="36" t="n">
        <x:v>19300</x:v>
      </x:c>
      <x:c r="F1158" s="36" t="n">
        <x:v>6247</x:v>
      </x:c>
      <x:c r="G1158" s="42" t="n">
        <x:v>1.33998283998284</x:v>
      </x:c>
      <x:c r="H1158" s="36" t="n">
        <x:f>E1158*G1158</x:f>
        <x:v>25861.668811668813</x:v>
      </x:c>
      <x:c r="I1158" s="36" t="n">
        <x:f>IFERROR(H1158/A1158,0)</x:f>
        <x:v>12930.834405834406</x:v>
      </x:c>
      <x:c r="J1158" s="67" t="str">
        <x:v>Modeled from live base + Sep-2026 quality ratio</x:v>
      </x:c>
      <x:c r="K1158" s="67" t="str">
        <x:v>https://www.stonealgo.com/diamond-prices/</x:v>
      </x:c>
      <x:c r="L1158" s="67" t="str">
        <x:v>https://www.pricescope.com/blog/natural-diamond-prices-september-2026</x:v>
      </x:c>
    </x:row>
    <x:row r="1159">
      <x:c r="A1159" t="n">
        <x:v>2</x:v>
      </x:c>
      <x:c r="B1159" t="str">
        <x:v>Marquise</x:v>
      </x:c>
      <x:c r="C1159" t="str">
        <x:v>D</x:v>
      </x:c>
      <x:c r="D1159" t="str">
        <x:v>VS2</x:v>
      </x:c>
      <x:c r="E1159" s="36" t="n">
        <x:v>19300</x:v>
      </x:c>
      <x:c r="F1159" s="36" t="n">
        <x:v>5841</x:v>
      </x:c>
      <x:c r="G1159" s="42" t="n">
        <x:v>1.252895752895753</x:v>
      </x:c>
      <x:c r="H1159" s="36" t="n">
        <x:f>E1159*G1159</x:f>
        <x:v>24180.888030888033</x:v>
      </x:c>
      <x:c r="I1159" s="36" t="n">
        <x:f>IFERROR(H1159/A1159,0)</x:f>
        <x:v>12090.444015444016</x:v>
      </x:c>
      <x:c r="J1159" s="67" t="str">
        <x:v>Modeled from live base + Sep-2026 quality ratio</x:v>
      </x:c>
      <x:c r="K1159" s="67" t="str">
        <x:v>https://www.stonealgo.com/diamond-prices/</x:v>
      </x:c>
      <x:c r="L1159" s="67" t="str">
        <x:v>https://www.pricescope.com/blog/natural-diamond-prices-september-2026</x:v>
      </x:c>
    </x:row>
    <x:row r="1160">
      <x:c r="A1160" t="n">
        <x:v>2</x:v>
      </x:c>
      <x:c r="B1160" t="str">
        <x:v>Marquise</x:v>
      </x:c>
      <x:c r="C1160" t="str">
        <x:v>D</x:v>
      </x:c>
      <x:c r="D1160" t="str">
        <x:v>SI1</x:v>
      </x:c>
      <x:c r="E1160" s="36" t="n">
        <x:v>19300</x:v>
      </x:c>
      <x:c r="F1160" s="36" t="n">
        <x:v>3762</x:v>
      </x:c>
      <x:c r="G1160" s="42" t="n">
        <x:v>0.806949806949807</x:v>
      </x:c>
      <x:c r="H1160" s="36" t="n">
        <x:f>E1160*G1160</x:f>
        <x:v>15574.131274131276</x:v>
      </x:c>
      <x:c r="I1160" s="36" t="n">
        <x:f>IFERROR(H1160/A1160,0)</x:f>
        <x:v>7787.065637065638</x:v>
      </x:c>
      <x:c r="J1160" s="67" t="str">
        <x:v>Modeled from live base + Sep-2026 quality ratio</x:v>
      </x:c>
      <x:c r="K1160" s="67" t="str">
        <x:v>https://www.stonealgo.com/diamond-prices/</x:v>
      </x:c>
      <x:c r="L1160" s="67" t="str">
        <x:v>https://www.pricescope.com/blog/natural-diamond-prices-september-2026</x:v>
      </x:c>
    </x:row>
    <x:row r="1161">
      <x:c r="A1161" t="n">
        <x:v>2</x:v>
      </x:c>
      <x:c r="B1161" t="str">
        <x:v>Marquise</x:v>
      </x:c>
      <x:c r="C1161" t="str">
        <x:v>D</x:v>
      </x:c>
      <x:c r="D1161" t="str">
        <x:v>SI2</x:v>
      </x:c>
      <x:c r="E1161" s="36" t="n">
        <x:v>19300</x:v>
      </x:c>
      <x:c r="F1161" s="36" t="n">
        <x:v>3026</x:v>
      </x:c>
      <x:c r="G1161" s="42" t="n">
        <x:v>0.6490776490776491</x:v>
      </x:c>
      <x:c r="H1161" s="36" t="n">
        <x:f>E1161*G1161</x:f>
        <x:v>12527.198627198628</x:v>
      </x:c>
      <x:c r="I1161" s="36" t="n">
        <x:f>IFERROR(H1161/A1161,0)</x:f>
        <x:v>6263.599313599314</x:v>
      </x:c>
      <x:c r="J1161" s="67" t="str">
        <x:v>Modeled from live base + Sep-2026 quality ratio</x:v>
      </x:c>
      <x:c r="K1161" s="67" t="str">
        <x:v>https://www.stonealgo.com/diamond-prices/</x:v>
      </x:c>
      <x:c r="L1161" s="67" t="str">
        <x:v>https://www.pricescope.com/blog/natural-diamond-prices-september-2026</x:v>
      </x:c>
    </x:row>
    <x:row r="1162">
      <x:c r="A1162" t="n">
        <x:v>2</x:v>
      </x:c>
      <x:c r="B1162" t="str">
        <x:v>Marquise</x:v>
      </x:c>
      <x:c r="C1162" t="str">
        <x:v>E</x:v>
      </x:c>
      <x:c r="D1162" t="str">
        <x:v>FL</x:v>
      </x:c>
      <x:c r="E1162" s="36" t="n">
        <x:v>19300</x:v>
      </x:c>
      <x:c r="F1162" s="36" t="n">
        <x:v>10072</x:v>
      </x:c>
      <x:c r="G1162" s="42" t="n">
        <x:v>2.1604461604461602</x:v>
      </x:c>
      <x:c r="H1162" s="36" t="n">
        <x:f>E1162*G1162</x:f>
        <x:v>41696.610896610895</x:v>
      </x:c>
      <x:c r="I1162" s="36" t="n">
        <x:f>IFERROR(H1162/A1162,0)</x:f>
        <x:v>20848.305448305447</x:v>
      </x:c>
      <x:c r="J1162" s="67" t="str">
        <x:v>Modeled from live base + Sep-2026 quality ratio</x:v>
      </x:c>
      <x:c r="K1162" s="67" t="str">
        <x:v>https://www.stonealgo.com/diamond-prices/</x:v>
      </x:c>
      <x:c r="L1162" s="67" t="str">
        <x:v>https://www.pricescope.com/blog/natural-diamond-prices-september-2026</x:v>
      </x:c>
    </x:row>
    <x:row r="1163">
      <x:c r="A1163" t="n">
        <x:v>2</x:v>
      </x:c>
      <x:c r="B1163" t="str">
        <x:v>Marquise</x:v>
      </x:c>
      <x:c r="C1163" t="str">
        <x:v>E</x:v>
      </x:c>
      <x:c r="D1163" t="str">
        <x:v>IF</x:v>
      </x:c>
      <x:c r="E1163" s="36" t="n">
        <x:v>19300</x:v>
      </x:c>
      <x:c r="F1163" s="36" t="n">
        <x:v>8672</x:v>
      </x:c>
      <x:c r="G1163" s="42" t="n">
        <x:v>1.8601458601458603</x:v>
      </x:c>
      <x:c r="H1163" s="36" t="n">
        <x:f>E1163*G1163</x:f>
        <x:v>35900.8151008151</x:v>
      </x:c>
      <x:c r="I1163" s="36" t="n">
        <x:f>IFERROR(H1163/A1163,0)</x:f>
        <x:v>17950.40755040755</x:v>
      </x:c>
      <x:c r="J1163" s="67" t="str">
        <x:v>Modeled from live base + Sep-2026 quality ratio</x:v>
      </x:c>
      <x:c r="K1163" s="67" t="str">
        <x:v>https://www.stonealgo.com/diamond-prices/</x:v>
      </x:c>
      <x:c r="L1163" s="67" t="str">
        <x:v>https://www.pricescope.com/blog/natural-diamond-prices-september-2026</x:v>
      </x:c>
    </x:row>
    <x:row r="1164">
      <x:c r="A1164" t="n">
        <x:v>2</x:v>
      </x:c>
      <x:c r="B1164" t="str">
        <x:v>Marquise</x:v>
      </x:c>
      <x:c r="C1164" t="str">
        <x:v>E</x:v>
      </x:c>
      <x:c r="D1164" t="str">
        <x:v>VVS1</x:v>
      </x:c>
      <x:c r="E1164" s="36" t="n">
        <x:v>19300</x:v>
      </x:c>
      <x:c r="F1164" s="36" t="n">
        <x:v>7842</x:v>
      </x:c>
      <x:c r="G1164" s="42" t="n">
        <x:v>1.6821106821106822</x:v>
      </x:c>
      <x:c r="H1164" s="36" t="n">
        <x:f>E1164*G1164</x:f>
        <x:v>32464.736164736165</x:v>
      </x:c>
      <x:c r="I1164" s="36" t="n">
        <x:f>IFERROR(H1164/A1164,0)</x:f>
        <x:v>16232.368082368082</x:v>
      </x:c>
      <x:c r="J1164" s="67" t="str">
        <x:v>Modeled from live base + Sep-2026 quality ratio</x:v>
      </x:c>
      <x:c r="K1164" s="67" t="str">
        <x:v>https://www.stonealgo.com/diamond-prices/</x:v>
      </x:c>
      <x:c r="L1164" s="67" t="str">
        <x:v>https://www.pricescope.com/blog/natural-diamond-prices-september-2026</x:v>
      </x:c>
    </x:row>
    <x:row r="1165">
      <x:c r="A1165" t="n">
        <x:v>2</x:v>
      </x:c>
      <x:c r="B1165" t="str">
        <x:v>Marquise</x:v>
      </x:c>
      <x:c r="C1165" t="str">
        <x:v>E</x:v>
      </x:c>
      <x:c r="D1165" t="str">
        <x:v>VVS2</x:v>
      </x:c>
      <x:c r="E1165" s="36" t="n">
        <x:v>19300</x:v>
      </x:c>
      <x:c r="F1165" s="36" t="n">
        <x:v>6880</x:v>
      </x:c>
      <x:c r="G1165" s="42" t="n">
        <x:v>1.4757614757614759</x:v>
      </x:c>
      <x:c r="H1165" s="36" t="n">
        <x:f>E1165*G1165</x:f>
        <x:v>28482.196482196483</x:v>
      </x:c>
      <x:c r="I1165" s="36" t="n">
        <x:f>IFERROR(H1165/A1165,0)</x:f>
        <x:v>14241.098241098241</x:v>
      </x:c>
      <x:c r="J1165" s="67" t="str">
        <x:v>Modeled from live base + Sep-2026 quality ratio</x:v>
      </x:c>
      <x:c r="K1165" s="67" t="str">
        <x:v>https://www.stonealgo.com/diamond-prices/</x:v>
      </x:c>
      <x:c r="L1165" s="67" t="str">
        <x:v>https://www.pricescope.com/blog/natural-diamond-prices-september-2026</x:v>
      </x:c>
    </x:row>
    <x:row r="1166">
      <x:c r="A1166" t="n">
        <x:v>2</x:v>
      </x:c>
      <x:c r="B1166" t="str">
        <x:v>Marquise</x:v>
      </x:c>
      <x:c r="C1166" t="str">
        <x:v>E</x:v>
      </x:c>
      <x:c r="D1166" t="str">
        <x:v>VS1</x:v>
      </x:c>
      <x:c r="E1166" s="36" t="n">
        <x:v>19300</x:v>
      </x:c>
      <x:c r="F1166" s="36" t="n">
        <x:v>6307</x:v>
      </x:c>
      <x:c r="G1166" s="42" t="n">
        <x:v>1.352852852852853</x:v>
      </x:c>
      <x:c r="H1166" s="36" t="n">
        <x:f>E1166*G1166</x:f>
        <x:v>26110.060060060063</x:v>
      </x:c>
      <x:c r="I1166" s="36" t="n">
        <x:f>IFERROR(H1166/A1166,0)</x:f>
        <x:v>13055.030030030031</x:v>
      </x:c>
      <x:c r="J1166" s="67" t="str">
        <x:v>Modeled from live base + Sep-2026 quality ratio</x:v>
      </x:c>
      <x:c r="K1166" s="67" t="str">
        <x:v>https://www.stonealgo.com/diamond-prices/</x:v>
      </x:c>
      <x:c r="L1166" s="67" t="str">
        <x:v>https://www.pricescope.com/blog/natural-diamond-prices-september-2026</x:v>
      </x:c>
    </x:row>
    <x:row r="1167">
      <x:c r="A1167" t="n">
        <x:v>2</x:v>
      </x:c>
      <x:c r="B1167" t="str">
        <x:v>Marquise</x:v>
      </x:c>
      <x:c r="C1167" t="str">
        <x:v>E</x:v>
      </x:c>
      <x:c r="D1167" t="str">
        <x:v>VS2</x:v>
      </x:c>
      <x:c r="E1167" s="36" t="n">
        <x:v>19300</x:v>
      </x:c>
      <x:c r="F1167" s="36" t="n">
        <x:v>5249</x:v>
      </x:c>
      <x:c r="G1167" s="42" t="n">
        <x:v>1.125911625911626</x:v>
      </x:c>
      <x:c r="H1167" s="36" t="n">
        <x:f>E1167*G1167</x:f>
        <x:v>21730.094380094382</x:v>
      </x:c>
      <x:c r="I1167" s="36" t="n">
        <x:f>IFERROR(H1167/A1167,0)</x:f>
        <x:v>10865.047190047191</x:v>
      </x:c>
      <x:c r="J1167" s="67" t="str">
        <x:v>Modeled from live base + Sep-2026 quality ratio</x:v>
      </x:c>
      <x:c r="K1167" s="67" t="str">
        <x:v>https://www.stonealgo.com/diamond-prices/</x:v>
      </x:c>
      <x:c r="L1167" s="67" t="str">
        <x:v>https://www.pricescope.com/blog/natural-diamond-prices-september-2026</x:v>
      </x:c>
    </x:row>
    <x:row r="1168">
      <x:c r="A1168" t="n">
        <x:v>2</x:v>
      </x:c>
      <x:c r="B1168" t="str">
        <x:v>Marquise</x:v>
      </x:c>
      <x:c r="C1168" t="str">
        <x:v>E</x:v>
      </x:c>
      <x:c r="D1168" t="str">
        <x:v>SI1</x:v>
      </x:c>
      <x:c r="E1168" s="36" t="n">
        <x:v>19300</x:v>
      </x:c>
      <x:c r="F1168" s="36" t="n">
        <x:v>3551</x:v>
      </x:c>
      <x:c r="G1168" s="42" t="n">
        <x:v>0.7616902616902617</x:v>
      </x:c>
      <x:c r="H1168" s="36" t="n">
        <x:f>E1168*G1168</x:f>
        <x:v>14700.62205062205</x:v>
      </x:c>
      <x:c r="I1168" s="36" t="n">
        <x:f>IFERROR(H1168/A1168,0)</x:f>
        <x:v>7350.311025311025</x:v>
      </x:c>
      <x:c r="J1168" s="67" t="str">
        <x:v>Modeled from live base + Sep-2026 quality ratio</x:v>
      </x:c>
      <x:c r="K1168" s="67" t="str">
        <x:v>https://www.stonealgo.com/diamond-prices/</x:v>
      </x:c>
      <x:c r="L1168" s="67" t="str">
        <x:v>https://www.pricescope.com/blog/natural-diamond-prices-september-2026</x:v>
      </x:c>
    </x:row>
    <x:row r="1169">
      <x:c r="A1169" t="n">
        <x:v>2</x:v>
      </x:c>
      <x:c r="B1169" t="str">
        <x:v>Marquise</x:v>
      </x:c>
      <x:c r="C1169" t="str">
        <x:v>E</x:v>
      </x:c>
      <x:c r="D1169" t="str">
        <x:v>SI2</x:v>
      </x:c>
      <x:c r="E1169" s="36" t="n">
        <x:v>19300</x:v>
      </x:c>
      <x:c r="F1169" s="36" t="n">
        <x:v>2993</x:v>
      </x:c>
      <x:c r="G1169" s="42" t="n">
        <x:v>0.641999141999142</x:v>
      </x:c>
      <x:c r="H1169" s="36" t="n">
        <x:f>E1169*G1169</x:f>
        <x:v>12390.583440583441</x:v>
      </x:c>
      <x:c r="I1169" s="36" t="n">
        <x:f>IFERROR(H1169/A1169,0)</x:f>
        <x:v>6195.291720291721</x:v>
      </x:c>
      <x:c r="J1169" s="67" t="str">
        <x:v>Modeled from live base + Sep-2026 quality ratio</x:v>
      </x:c>
      <x:c r="K1169" s="67" t="str">
        <x:v>https://www.stonealgo.com/diamond-prices/</x:v>
      </x:c>
      <x:c r="L1169" s="67" t="str">
        <x:v>https://www.pricescope.com/blog/natural-diamond-prices-september-2026</x:v>
      </x:c>
    </x:row>
    <x:row r="1170">
      <x:c r="A1170" t="n">
        <x:v>2</x:v>
      </x:c>
      <x:c r="B1170" t="str">
        <x:v>Marquise</x:v>
      </x:c>
      <x:c r="C1170" t="str">
        <x:v>F</x:v>
      </x:c>
      <x:c r="D1170" t="str">
        <x:v>FL</x:v>
      </x:c>
      <x:c r="E1170" s="36" t="n">
        <x:v>19300</x:v>
      </x:c>
      <x:c r="F1170" s="36" t="n">
        <x:v>6830</x:v>
      </x:c>
      <x:c r="G1170" s="42" t="n">
        <x:v>1.4650364650364651</x:v>
      </x:c>
      <x:c r="H1170" s="36" t="n">
        <x:f>E1170*G1170</x:f>
        <x:v>28275.203775203776</x:v>
      </x:c>
      <x:c r="I1170" s="36" t="n">
        <x:f>IFERROR(H1170/A1170,0)</x:f>
        <x:v>14137.601887601888</x:v>
      </x:c>
      <x:c r="J1170" s="67" t="str">
        <x:v>Modeled from live base + Sep-2026 quality ratio</x:v>
      </x:c>
      <x:c r="K1170" s="67" t="str">
        <x:v>https://www.stonealgo.com/diamond-prices/</x:v>
      </x:c>
      <x:c r="L1170" s="67" t="str">
        <x:v>https://www.pricescope.com/blog/natural-diamond-prices-september-2026</x:v>
      </x:c>
    </x:row>
    <x:row r="1171">
      <x:c r="A1171" t="n">
        <x:v>2</x:v>
      </x:c>
      <x:c r="B1171" t="str">
        <x:v>Marquise</x:v>
      </x:c>
      <x:c r="C1171" t="str">
        <x:v>F</x:v>
      </x:c>
      <x:c r="D1171" t="str">
        <x:v>IF</x:v>
      </x:c>
      <x:c r="E1171" s="36" t="n">
        <x:v>19300</x:v>
      </x:c>
      <x:c r="F1171" s="36" t="n">
        <x:v>7302</x:v>
      </x:c>
      <x:c r="G1171" s="42" t="n">
        <x:v>1.5662805662805663</x:v>
      </x:c>
      <x:c r="H1171" s="36" t="n">
        <x:f>E1171*G1171</x:f>
        <x:v>30229.21492921493</x:v>
      </x:c>
      <x:c r="I1171" s="36" t="n">
        <x:f>IFERROR(H1171/A1171,0)</x:f>
        <x:v>15114.607464607465</x:v>
      </x:c>
      <x:c r="J1171" s="67" t="str">
        <x:v>Modeled from live base + Sep-2026 quality ratio</x:v>
      </x:c>
      <x:c r="K1171" s="67" t="str">
        <x:v>https://www.stonealgo.com/diamond-prices/</x:v>
      </x:c>
      <x:c r="L1171" s="67" t="str">
        <x:v>https://www.pricescope.com/blog/natural-diamond-prices-september-2026</x:v>
      </x:c>
    </x:row>
    <x:row r="1172">
      <x:c r="A1172" t="n">
        <x:v>2</x:v>
      </x:c>
      <x:c r="B1172" t="str">
        <x:v>Marquise</x:v>
      </x:c>
      <x:c r="C1172" t="str">
        <x:v>F</x:v>
      </x:c>
      <x:c r="D1172" t="str">
        <x:v>VVS1</x:v>
      </x:c>
      <x:c r="E1172" s="36" t="n">
        <x:v>19300</x:v>
      </x:c>
      <x:c r="F1172" s="36" t="n">
        <x:v>7542</x:v>
      </x:c>
      <x:c r="G1172" s="42" t="n">
        <x:v>1.6177606177606179</x:v>
      </x:c>
      <x:c r="H1172" s="36" t="n">
        <x:f>E1172*G1172</x:f>
        <x:v>31222.779922779926</x:v>
      </x:c>
      <x:c r="I1172" s="36" t="n">
        <x:f>IFERROR(H1172/A1172,0)</x:f>
        <x:v>15611.389961389963</x:v>
      </x:c>
      <x:c r="J1172" s="67" t="str">
        <x:v>Modeled from live base + Sep-2026 quality ratio</x:v>
      </x:c>
      <x:c r="K1172" s="67" t="str">
        <x:v>https://www.stonealgo.com/diamond-prices/</x:v>
      </x:c>
      <x:c r="L1172" s="67" t="str">
        <x:v>https://www.pricescope.com/blog/natural-diamond-prices-september-2026</x:v>
      </x:c>
    </x:row>
    <x:row r="1173">
      <x:c r="A1173" t="n">
        <x:v>2</x:v>
      </x:c>
      <x:c r="B1173" t="str">
        <x:v>Marquise</x:v>
      </x:c>
      <x:c r="C1173" t="str">
        <x:v>F</x:v>
      </x:c>
      <x:c r="D1173" t="str">
        <x:v>VVS2</x:v>
      </x:c>
      <x:c r="E1173" s="36" t="n">
        <x:v>19300</x:v>
      </x:c>
      <x:c r="F1173" s="36" t="n">
        <x:v>6352</x:v>
      </x:c>
      <x:c r="G1173" s="42" t="n">
        <x:v>1.3625053625053625</x:v>
      </x:c>
      <x:c r="H1173" s="36" t="n">
        <x:f>E1173*G1173</x:f>
        <x:v>26296.353496353495</x:v>
      </x:c>
      <x:c r="I1173" s="36" t="n">
        <x:f>IFERROR(H1173/A1173,0)</x:f>
        <x:v>13148.176748176747</x:v>
      </x:c>
      <x:c r="J1173" s="67" t="str">
        <x:v>Modeled from live base + Sep-2026 quality ratio</x:v>
      </x:c>
      <x:c r="K1173" s="67" t="str">
        <x:v>https://www.stonealgo.com/diamond-prices/</x:v>
      </x:c>
      <x:c r="L1173" s="67" t="str">
        <x:v>https://www.pricescope.com/blog/natural-diamond-prices-september-2026</x:v>
      </x:c>
    </x:row>
    <x:row r="1174">
      <x:c r="A1174" t="n">
        <x:v>2</x:v>
      </x:c>
      <x:c r="B1174" t="str">
        <x:v>Marquise</x:v>
      </x:c>
      <x:c r="C1174" t="str">
        <x:v>F</x:v>
      </x:c>
      <x:c r="D1174" t="str">
        <x:v>VS1</x:v>
      </x:c>
      <x:c r="E1174" s="36" t="n">
        <x:v>19300</x:v>
      </x:c>
      <x:c r="F1174" s="36" t="n">
        <x:v>5647</x:v>
      </x:c>
      <x:c r="G1174" s="42" t="n">
        <x:v>1.2112827112827114</x:v>
      </x:c>
      <x:c r="H1174" s="36" t="n">
        <x:f>E1174*G1174</x:f>
        <x:v>23377.756327756328</x:v>
      </x:c>
      <x:c r="I1174" s="36" t="n">
        <x:f>IFERROR(H1174/A1174,0)</x:f>
        <x:v>11688.878163878164</x:v>
      </x:c>
      <x:c r="J1174" s="67" t="str">
        <x:v>Modeled from live base + Sep-2026 quality ratio</x:v>
      </x:c>
      <x:c r="K1174" s="67" t="str">
        <x:v>https://www.stonealgo.com/diamond-prices/</x:v>
      </x:c>
      <x:c r="L1174" s="67" t="str">
        <x:v>https://www.pricescope.com/blog/natural-diamond-prices-september-2026</x:v>
      </x:c>
    </x:row>
    <x:row r="1175">
      <x:c r="A1175" t="n">
        <x:v>2</x:v>
      </x:c>
      <x:c r="B1175" t="str">
        <x:v>Marquise</x:v>
      </x:c>
      <x:c r="C1175" t="str">
        <x:v>F</x:v>
      </x:c>
      <x:c r="D1175" t="str">
        <x:v>VS2</x:v>
      </x:c>
      <x:c r="E1175" s="36" t="n">
        <x:v>19300</x:v>
      </x:c>
      <x:c r="F1175" s="36" t="n">
        <x:v>4730</x:v>
      </x:c>
      <x:c r="G1175" s="42" t="n">
        <x:v>1.0145860145860146</x:v>
      </x:c>
      <x:c r="H1175" s="36" t="n">
        <x:f>E1175*G1175</x:f>
        <x:v>19581.51008151008</x:v>
      </x:c>
      <x:c r="I1175" s="36" t="n">
        <x:f>IFERROR(H1175/A1175,0)</x:f>
        <x:v>9790.75504075504</x:v>
      </x:c>
      <x:c r="J1175" s="67" t="str">
        <x:v>Modeled from live base + Sep-2026 quality ratio</x:v>
      </x:c>
      <x:c r="K1175" s="67" t="str">
        <x:v>https://www.stonealgo.com/diamond-prices/</x:v>
      </x:c>
      <x:c r="L1175" s="67" t="str">
        <x:v>https://www.pricescope.com/blog/natural-diamond-prices-september-2026</x:v>
      </x:c>
    </x:row>
    <x:row r="1176">
      <x:c r="A1176" t="n">
        <x:v>2</x:v>
      </x:c>
      <x:c r="B1176" t="str">
        <x:v>Marquise</x:v>
      </x:c>
      <x:c r="C1176" t="str">
        <x:v>F</x:v>
      </x:c>
      <x:c r="D1176" t="str">
        <x:v>SI1</x:v>
      </x:c>
      <x:c r="E1176" s="36" t="n">
        <x:v>19300</x:v>
      </x:c>
      <x:c r="F1176" s="36" t="n">
        <x:v>3331</x:v>
      </x:c>
      <x:c r="G1176" s="42" t="n">
        <x:v>0.7145002145002145</x:v>
      </x:c>
      <x:c r="H1176" s="36" t="n">
        <x:f>E1176*G1176</x:f>
        <x:v>13789.85413985414</x:v>
      </x:c>
      <x:c r="I1176" s="36" t="n">
        <x:f>IFERROR(H1176/A1176,0)</x:f>
        <x:v>6894.92706992707</x:v>
      </x:c>
      <x:c r="J1176" s="67" t="str">
        <x:v>Modeled from live base + Sep-2026 quality ratio</x:v>
      </x:c>
      <x:c r="K1176" s="67" t="str">
        <x:v>https://www.stonealgo.com/diamond-prices/</x:v>
      </x:c>
      <x:c r="L1176" s="67" t="str">
        <x:v>https://www.pricescope.com/blog/natural-diamond-prices-september-2026</x:v>
      </x:c>
    </x:row>
    <x:row r="1177">
      <x:c r="A1177" t="n">
        <x:v>2</x:v>
      </x:c>
      <x:c r="B1177" t="str">
        <x:v>Marquise</x:v>
      </x:c>
      <x:c r="C1177" t="str">
        <x:v>F</x:v>
      </x:c>
      <x:c r="D1177" t="str">
        <x:v>SI2</x:v>
      </x:c>
      <x:c r="E1177" s="36" t="n">
        <x:v>19300</x:v>
      </x:c>
      <x:c r="F1177" s="36" t="n">
        <x:v>2733</x:v>
      </x:c>
      <x:c r="G1177" s="42" t="n">
        <x:v>0.5862290862290862</x:v>
      </x:c>
      <x:c r="H1177" s="36" t="n">
        <x:f>E1177*G1177</x:f>
        <x:v>11314.221364221365</x:v>
      </x:c>
      <x:c r="I1177" s="36" t="n">
        <x:f>IFERROR(H1177/A1177,0)</x:f>
        <x:v>5657.110682110682</x:v>
      </x:c>
      <x:c r="J1177" s="67" t="str">
        <x:v>Modeled from live base + Sep-2026 quality ratio</x:v>
      </x:c>
      <x:c r="K1177" s="67" t="str">
        <x:v>https://www.stonealgo.com/diamond-prices/</x:v>
      </x:c>
      <x:c r="L1177" s="67" t="str">
        <x:v>https://www.pricescope.com/blog/natural-diamond-prices-september-2026</x:v>
      </x:c>
    </x:row>
    <x:row r="1178">
      <x:c r="A1178" t="n">
        <x:v>2</x:v>
      </x:c>
      <x:c r="B1178" t="str">
        <x:v>Marquise</x:v>
      </x:c>
      <x:c r="C1178" t="str">
        <x:v>G</x:v>
      </x:c>
      <x:c r="D1178" t="str">
        <x:v>FL</x:v>
      </x:c>
      <x:c r="E1178" s="36" t="n">
        <x:v>19300</x:v>
      </x:c>
      <x:c r="F1178" s="36" t="n">
        <x:v>5905</x:v>
      </x:c>
      <x:c r="G1178" s="42" t="n">
        <x:v>1.2666237666237665</x:v>
      </x:c>
      <x:c r="H1178" s="36" t="n">
        <x:f>E1178*G1178</x:f>
        <x:v>24445.838695838695</x:v>
      </x:c>
      <x:c r="I1178" s="36" t="n">
        <x:f>IFERROR(H1178/A1178,0)</x:f>
        <x:v>12222.919347919347</x:v>
      </x:c>
      <x:c r="J1178" s="67" t="str">
        <x:v>Modeled from live base + Sep-2026 quality ratio</x:v>
      </x:c>
      <x:c r="K1178" s="67" t="str">
        <x:v>https://www.stonealgo.com/diamond-prices/</x:v>
      </x:c>
      <x:c r="L1178" s="67" t="str">
        <x:v>https://www.pricescope.com/blog/natural-diamond-prices-september-2026</x:v>
      </x:c>
    </x:row>
    <x:row r="1179">
      <x:c r="A1179" t="n">
        <x:v>2</x:v>
      </x:c>
      <x:c r="B1179" t="str">
        <x:v>Marquise</x:v>
      </x:c>
      <x:c r="C1179" t="str">
        <x:v>G</x:v>
      </x:c>
      <x:c r="D1179" t="str">
        <x:v>IF</x:v>
      </x:c>
      <x:c r="E1179" s="36" t="n">
        <x:v>19300</x:v>
      </x:c>
      <x:c r="F1179" s="36" t="n">
        <x:v>5601</x:v>
      </x:c>
      <x:c r="G1179" s="42" t="n">
        <x:v>1.2014157014157014</x:v>
      </x:c>
      <x:c r="H1179" s="36" t="n">
        <x:f>E1179*G1179</x:f>
        <x:v>23187.323037323036</x:v>
      </x:c>
      <x:c r="I1179" s="36" t="n">
        <x:f>IFERROR(H1179/A1179,0)</x:f>
        <x:v>11593.661518661518</x:v>
      </x:c>
      <x:c r="J1179" s="67" t="str">
        <x:v>Modeled from live base + Sep-2026 quality ratio</x:v>
      </x:c>
      <x:c r="K1179" s="67" t="str">
        <x:v>https://www.stonealgo.com/diamond-prices/</x:v>
      </x:c>
      <x:c r="L1179" s="67" t="str">
        <x:v>https://www.pricescope.com/blog/natural-diamond-prices-september-2026</x:v>
      </x:c>
    </x:row>
    <x:row r="1180">
      <x:c r="A1180" t="n">
        <x:v>2</x:v>
      </x:c>
      <x:c r="B1180" t="str">
        <x:v>Marquise</x:v>
      </x:c>
      <x:c r="C1180" t="str">
        <x:v>G</x:v>
      </x:c>
      <x:c r="D1180" t="str">
        <x:v>VVS1</x:v>
      </x:c>
      <x:c r="E1180" s="36" t="n">
        <x:v>19300</x:v>
      </x:c>
      <x:c r="F1180" s="36" t="n">
        <x:v>5124</x:v>
      </x:c>
      <x:c r="G1180" s="42" t="n">
        <x:v>1.0990990990990992</x:v>
      </x:c>
      <x:c r="H1180" s="36" t="n">
        <x:f>E1180*G1180</x:f>
        <x:v>21212.612612612615</x:v>
      </x:c>
      <x:c r="I1180" s="36" t="n">
        <x:f>IFERROR(H1180/A1180,0)</x:f>
        <x:v>10606.306306306307</x:v>
      </x:c>
      <x:c r="J1180" s="67" t="str">
        <x:v>Modeled from live base + Sep-2026 quality ratio</x:v>
      </x:c>
      <x:c r="K1180" s="67" t="str">
        <x:v>https://www.stonealgo.com/diamond-prices/</x:v>
      </x:c>
      <x:c r="L1180" s="67" t="str">
        <x:v>https://www.pricescope.com/blog/natural-diamond-prices-september-2026</x:v>
      </x:c>
    </x:row>
    <x:row r="1181">
      <x:c r="A1181" t="n">
        <x:v>2</x:v>
      </x:c>
      <x:c r="B1181" t="str">
        <x:v>Marquise</x:v>
      </x:c>
      <x:c r="C1181" t="str">
        <x:v>G</x:v>
      </x:c>
      <x:c r="D1181" t="str">
        <x:v>VVS2</x:v>
      </x:c>
      <x:c r="E1181" s="36" t="n">
        <x:v>19300</x:v>
      </x:c>
      <x:c r="F1181" s="36" t="n">
        <x:v>4962</x:v>
      </x:c>
      <x:c r="G1181" s="42" t="n">
        <x:v>1.0643500643500643</x:v>
      </x:c>
      <x:c r="H1181" s="36" t="n">
        <x:f>E1181*G1181</x:f>
        <x:v>20541.956241956243</x:v>
      </x:c>
      <x:c r="I1181" s="36" t="n">
        <x:f>IFERROR(H1181/A1181,0)</x:f>
        <x:v>10270.978120978121</x:v>
      </x:c>
      <x:c r="J1181" s="67" t="str">
        <x:v>Modeled from live base + Sep-2026 quality ratio</x:v>
      </x:c>
      <x:c r="K1181" s="67" t="str">
        <x:v>https://www.stonealgo.com/diamond-prices/</x:v>
      </x:c>
      <x:c r="L1181" s="67" t="str">
        <x:v>https://www.pricescope.com/blog/natural-diamond-prices-september-2026</x:v>
      </x:c>
    </x:row>
    <x:row r="1182">
      <x:c r="A1182" t="n">
        <x:v>2</x:v>
      </x:c>
      <x:c r="B1182" t="str">
        <x:v>Marquise</x:v>
      </x:c>
      <x:c r="C1182" t="str">
        <x:v>G</x:v>
      </x:c>
      <x:c r="D1182" t="str">
        <x:v>VS1</x:v>
      </x:c>
      <x:c r="E1182" s="36" t="n">
        <x:v>19300</x:v>
      </x:c>
      <x:c r="F1182" s="36" t="n">
        <x:v>4615</x:v>
      </x:c>
      <x:c r="G1182" s="42" t="n">
        <x:v>0.98991848991849</x:v>
      </x:c>
      <x:c r="H1182" s="36" t="n">
        <x:f>E1182*G1182</x:f>
        <x:v>19105.426855426856</x:v>
      </x:c>
      <x:c r="I1182" s="36" t="n">
        <x:f>IFERROR(H1182/A1182,0)</x:f>
        <x:v>9552.713427713428</x:v>
      </x:c>
      <x:c r="J1182" s="67" t="str">
        <x:v>Modeled from live base + Sep-2026 quality ratio</x:v>
      </x:c>
      <x:c r="K1182" s="67" t="str">
        <x:v>https://www.stonealgo.com/diamond-prices/</x:v>
      </x:c>
      <x:c r="L1182" s="67" t="str">
        <x:v>https://www.pricescope.com/blog/natural-diamond-prices-september-2026</x:v>
      </x:c>
    </x:row>
    <x:row r="1183">
      <x:c r="A1183" t="n">
        <x:v>2</x:v>
      </x:c>
      <x:c r="B1183" t="str">
        <x:v>Marquise</x:v>
      </x:c>
      <x:c r="C1183" t="str">
        <x:v>G</x:v>
      </x:c>
      <x:c r="D1183" t="str">
        <x:v>VS2</x:v>
      </x:c>
      <x:c r="E1183" s="36" t="n">
        <x:v>19300</x:v>
      </x:c>
      <x:c r="F1183" s="36" t="n">
        <x:v>4585</x:v>
      </x:c>
      <x:c r="G1183" s="42" t="n">
        <x:v>0.9834834834834835</x:v>
      </x:c>
      <x:c r="H1183" s="36" t="n">
        <x:f>E1183*G1183</x:f>
        <x:v>18981.23123123123</x:v>
      </x:c>
      <x:c r="I1183" s="36" t="n">
        <x:f>IFERROR(H1183/A1183,0)</x:f>
        <x:v>9490.615615615616</x:v>
      </x:c>
      <x:c r="J1183" s="67" t="str">
        <x:v>Modeled from live base + Sep-2026 quality ratio</x:v>
      </x:c>
      <x:c r="K1183" s="67" t="str">
        <x:v>https://www.stonealgo.com/diamond-prices/</x:v>
      </x:c>
      <x:c r="L1183" s="67" t="str">
        <x:v>https://www.pricescope.com/blog/natural-diamond-prices-september-2026</x:v>
      </x:c>
    </x:row>
    <x:row r="1184">
      <x:c r="A1184" t="n">
        <x:v>2</x:v>
      </x:c>
      <x:c r="B1184" t="str">
        <x:v>Marquise</x:v>
      </x:c>
      <x:c r="C1184" t="str">
        <x:v>G</x:v>
      </x:c>
      <x:c r="D1184" t="str">
        <x:v>SI1</x:v>
      </x:c>
      <x:c r="E1184" s="36" t="n">
        <x:v>19300</x:v>
      </x:c>
      <x:c r="F1184" s="36" t="n">
        <x:v>3664</x:v>
      </x:c>
      <x:c r="G1184" s="42" t="n">
        <x:v>0.7859287859287859</x:v>
      </x:c>
      <x:c r="H1184" s="36" t="n">
        <x:f>E1184*G1184</x:f>
        <x:v>15168.425568425568</x:v>
      </x:c>
      <x:c r="I1184" s="36" t="n">
        <x:f>IFERROR(H1184/A1184,0)</x:f>
        <x:v>7584.212784212784</x:v>
      </x:c>
      <x:c r="J1184" s="67" t="str">
        <x:v>Modeled from live base + Sep-2026 quality ratio</x:v>
      </x:c>
      <x:c r="K1184" s="67" t="str">
        <x:v>https://www.stonealgo.com/diamond-prices/</x:v>
      </x:c>
      <x:c r="L1184" s="67" t="str">
        <x:v>https://www.pricescope.com/blog/natural-diamond-prices-september-2026</x:v>
      </x:c>
    </x:row>
    <x:row r="1185">
      <x:c r="A1185" t="n">
        <x:v>2</x:v>
      </x:c>
      <x:c r="B1185" t="str">
        <x:v>Marquise</x:v>
      </x:c>
      <x:c r="C1185" t="str">
        <x:v>G</x:v>
      </x:c>
      <x:c r="D1185" t="str">
        <x:v>SI2</x:v>
      </x:c>
      <x:c r="E1185" s="36" t="n">
        <x:v>19300</x:v>
      </x:c>
      <x:c r="F1185" s="36" t="n">
        <x:v>2537</x:v>
      </x:c>
      <x:c r="G1185" s="42" t="n">
        <x:v>0.5441870441870442</x:v>
      </x:c>
      <x:c r="H1185" s="36" t="n">
        <x:f>E1185*G1185</x:f>
        <x:v>10502.809952809954</x:v>
      </x:c>
      <x:c r="I1185" s="36" t="n">
        <x:f>IFERROR(H1185/A1185,0)</x:f>
        <x:v>5251.404976404977</x:v>
      </x:c>
      <x:c r="J1185" s="67" t="str">
        <x:v>Modeled from live base + Sep-2026 quality ratio</x:v>
      </x:c>
      <x:c r="K1185" s="67" t="str">
        <x:v>https://www.stonealgo.com/diamond-prices/</x:v>
      </x:c>
      <x:c r="L1185" s="67" t="str">
        <x:v>https://www.pricescope.com/blog/natural-diamond-prices-september-2026</x:v>
      </x:c>
    </x:row>
    <x:row r="1186">
      <x:c r="A1186" t="n">
        <x:v>2</x:v>
      </x:c>
      <x:c r="B1186" t="str">
        <x:v>Marquise</x:v>
      </x:c>
      <x:c r="C1186" t="str">
        <x:v>H</x:v>
      </x:c>
      <x:c r="D1186" t="str">
        <x:v>FL</x:v>
      </x:c>
      <x:c r="E1186" s="36" t="n">
        <x:v>19300</x:v>
      </x:c>
      <x:c r="F1186" s="36" t="n">
        <x:v>4563</x:v>
      </x:c>
      <x:c r="G1186" s="42" t="n">
        <x:v>0.9787644787644788</x:v>
      </x:c>
      <x:c r="H1186" s="36" t="n">
        <x:f>E1186*G1186</x:f>
        <x:v>18890.15444015444</x:v>
      </x:c>
      <x:c r="I1186" s="36" t="n">
        <x:f>IFERROR(H1186/A1186,0)</x:f>
        <x:v>9445.07722007722</x:v>
      </x:c>
      <x:c r="J1186" s="67" t="str">
        <x:v>Modeled from live base + Sep-2026 quality ratio</x:v>
      </x:c>
      <x:c r="K1186" s="67" t="str">
        <x:v>https://www.stonealgo.com/diamond-prices/</x:v>
      </x:c>
      <x:c r="L1186" s="67" t="str">
        <x:v>https://www.pricescope.com/blog/natural-diamond-prices-september-2026</x:v>
      </x:c>
    </x:row>
    <x:row r="1187">
      <x:c r="A1187" t="n">
        <x:v>2</x:v>
      </x:c>
      <x:c r="B1187" t="str">
        <x:v>Marquise</x:v>
      </x:c>
      <x:c r="C1187" t="str">
        <x:v>H</x:v>
      </x:c>
      <x:c r="D1187" t="str">
        <x:v>IF</x:v>
      </x:c>
      <x:c r="E1187" s="36" t="n">
        <x:v>19300</x:v>
      </x:c>
      <x:c r="F1187" s="36" t="n">
        <x:v>4809</x:v>
      </x:c>
      <x:c r="G1187" s="42" t="n">
        <x:v>1.0315315315315314</x:v>
      </x:c>
      <x:c r="H1187" s="36" t="n">
        <x:f>E1187*G1187</x:f>
        <x:v>19908.558558558558</x:v>
      </x:c>
      <x:c r="I1187" s="36" t="n">
        <x:f>IFERROR(H1187/A1187,0)</x:f>
        <x:v>9954.279279279279</x:v>
      </x:c>
      <x:c r="J1187" s="67" t="str">
        <x:v>Modeled from live base + Sep-2026 quality ratio</x:v>
      </x:c>
      <x:c r="K1187" s="67" t="str">
        <x:v>https://www.stonealgo.com/diamond-prices/</x:v>
      </x:c>
      <x:c r="L1187" s="67" t="str">
        <x:v>https://www.pricescope.com/blog/natural-diamond-prices-september-2026</x:v>
      </x:c>
    </x:row>
    <x:row r="1188">
      <x:c r="A1188" t="n">
        <x:v>2</x:v>
      </x:c>
      <x:c r="B1188" t="str">
        <x:v>Marquise</x:v>
      </x:c>
      <x:c r="C1188" t="str">
        <x:v>H</x:v>
      </x:c>
      <x:c r="D1188" t="str">
        <x:v>VVS1</x:v>
      </x:c>
      <x:c r="E1188" s="36" t="n">
        <x:v>19300</x:v>
      </x:c>
      <x:c r="F1188" s="36" t="n">
        <x:v>4911</x:v>
      </x:c>
      <x:c r="G1188" s="42" t="n">
        <x:v>1.0534105534105533</x:v>
      </x:c>
      <x:c r="H1188" s="36" t="n">
        <x:f>E1188*G1188</x:f>
        <x:v>20330.82368082368</x:v>
      </x:c>
      <x:c r="I1188" s="36" t="n">
        <x:f>IFERROR(H1188/A1188,0)</x:f>
        <x:v>10165.41184041184</x:v>
      </x:c>
      <x:c r="J1188" s="67" t="str">
        <x:v>Modeled from live base + Sep-2026 quality ratio</x:v>
      </x:c>
      <x:c r="K1188" s="67" t="str">
        <x:v>https://www.stonealgo.com/diamond-prices/</x:v>
      </x:c>
      <x:c r="L1188" s="67" t="str">
        <x:v>https://www.pricescope.com/blog/natural-diamond-prices-september-2026</x:v>
      </x:c>
    </x:row>
    <x:row r="1189">
      <x:c r="A1189" t="n">
        <x:v>2</x:v>
      </x:c>
      <x:c r="B1189" t="str">
        <x:v>Marquise</x:v>
      </x:c>
      <x:c r="C1189" t="str">
        <x:v>H</x:v>
      </x:c>
      <x:c r="D1189" t="str">
        <x:v>VVS2</x:v>
      </x:c>
      <x:c r="E1189" s="36" t="n">
        <x:v>19300</x:v>
      </x:c>
      <x:c r="F1189" s="36" t="n">
        <x:v>4046</x:v>
      </x:c>
      <x:c r="G1189" s="42" t="n">
        <x:v>0.8678678678678678</x:v>
      </x:c>
      <x:c r="H1189" s="36" t="n">
        <x:f>E1189*G1189</x:f>
        <x:v>16749.84984984985</x:v>
      </x:c>
      <x:c r="I1189" s="36" t="n">
        <x:f>IFERROR(H1189/A1189,0)</x:f>
        <x:v>8374.924924924924</x:v>
      </x:c>
      <x:c r="J1189" s="67" t="str">
        <x:v>Modeled from live base + Sep-2026 quality ratio</x:v>
      </x:c>
      <x:c r="K1189" s="67" t="str">
        <x:v>https://www.stonealgo.com/diamond-prices/</x:v>
      </x:c>
      <x:c r="L1189" s="67" t="str">
        <x:v>https://www.pricescope.com/blog/natural-diamond-prices-september-2026</x:v>
      </x:c>
    </x:row>
    <x:row r="1190">
      <x:c r="A1190" t="n">
        <x:v>2</x:v>
      </x:c>
      <x:c r="B1190" t="str">
        <x:v>Marquise</x:v>
      </x:c>
      <x:c r="C1190" t="str">
        <x:v>H</x:v>
      </x:c>
      <x:c r="D1190" t="str">
        <x:v>VS1</x:v>
      </x:c>
      <x:c r="E1190" s="36" t="n">
        <x:v>19300</x:v>
      </x:c>
      <x:c r="F1190" s="36" t="n">
        <x:v>3893</x:v>
      </x:c>
      <x:c r="G1190" s="42" t="n">
        <x:v>0.8350493350493351</x:v>
      </x:c>
      <x:c r="H1190" s="36" t="n">
        <x:f>E1190*G1190</x:f>
        <x:v>16116.452166452167</x:v>
      </x:c>
      <x:c r="I1190" s="36" t="n">
        <x:f>IFERROR(H1190/A1190,0)</x:f>
        <x:v>8058.226083226084</x:v>
      </x:c>
      <x:c r="J1190" s="67" t="str">
        <x:v>Modeled from live base + Sep-2026 quality ratio</x:v>
      </x:c>
      <x:c r="K1190" s="67" t="str">
        <x:v>https://www.stonealgo.com/diamond-prices/</x:v>
      </x:c>
      <x:c r="L1190" s="67" t="str">
        <x:v>https://www.pricescope.com/blog/natural-diamond-prices-september-2026</x:v>
      </x:c>
    </x:row>
    <x:row r="1191">
      <x:c r="A1191" t="n">
        <x:v>2</x:v>
      </x:c>
      <x:c r="B1191" t="str">
        <x:v>Marquise</x:v>
      </x:c>
      <x:c r="C1191" t="str">
        <x:v>H</x:v>
      </x:c>
      <x:c r="D1191" t="str">
        <x:v>VS2</x:v>
      </x:c>
      <x:c r="E1191" s="36" t="n">
        <x:v>19300</x:v>
      </x:c>
      <x:c r="F1191" s="36" t="n">
        <x:v>3989</x:v>
      </x:c>
      <x:c r="G1191" s="42" t="n">
        <x:v>0.8556413556413557</x:v>
      </x:c>
      <x:c r="H1191" s="36" t="n">
        <x:f>E1191*G1191</x:f>
        <x:v>16513.878163878166</x:v>
      </x:c>
      <x:c r="I1191" s="36" t="n">
        <x:f>IFERROR(H1191/A1191,0)</x:f>
        <x:v>8256.939081939083</x:v>
      </x:c>
      <x:c r="J1191" s="67" t="str">
        <x:v>Modeled from live base + Sep-2026 quality ratio</x:v>
      </x:c>
      <x:c r="K1191" s="67" t="str">
        <x:v>https://www.stonealgo.com/diamond-prices/</x:v>
      </x:c>
      <x:c r="L1191" s="67" t="str">
        <x:v>https://www.pricescope.com/blog/natural-diamond-prices-september-2026</x:v>
      </x:c>
    </x:row>
    <x:row r="1192">
      <x:c r="A1192" t="n">
        <x:v>2</x:v>
      </x:c>
      <x:c r="B1192" t="str">
        <x:v>Marquise</x:v>
      </x:c>
      <x:c r="C1192" t="str">
        <x:v>H</x:v>
      </x:c>
      <x:c r="D1192" t="str">
        <x:v>SI1</x:v>
      </x:c>
      <x:c r="E1192" s="36" t="n">
        <x:v>19300</x:v>
      </x:c>
      <x:c r="F1192" s="36" t="n">
        <x:v>2828</x:v>
      </x:c>
      <x:c r="G1192" s="42" t="n">
        <x:v>0.6066066066066066</x:v>
      </x:c>
      <x:c r="H1192" s="36" t="n">
        <x:f>E1192*G1192</x:f>
        <x:v>11707.507507507507</x:v>
      </x:c>
      <x:c r="I1192" s="36" t="n">
        <x:f>IFERROR(H1192/A1192,0)</x:f>
        <x:v>5853.753753753754</x:v>
      </x:c>
      <x:c r="J1192" s="67" t="str">
        <x:v>Modeled from live base + Sep-2026 quality ratio</x:v>
      </x:c>
      <x:c r="K1192" s="67" t="str">
        <x:v>https://www.stonealgo.com/diamond-prices/</x:v>
      </x:c>
      <x:c r="L1192" s="67" t="str">
        <x:v>https://www.pricescope.com/blog/natural-diamond-prices-september-2026</x:v>
      </x:c>
    </x:row>
    <x:row r="1193">
      <x:c r="A1193" t="n">
        <x:v>2</x:v>
      </x:c>
      <x:c r="B1193" t="str">
        <x:v>Marquise</x:v>
      </x:c>
      <x:c r="C1193" t="str">
        <x:v>H</x:v>
      </x:c>
      <x:c r="D1193" t="str">
        <x:v>SI2</x:v>
      </x:c>
      <x:c r="E1193" s="36" t="n">
        <x:v>19300</x:v>
      </x:c>
      <x:c r="F1193" s="36" t="n">
        <x:v>2328</x:v>
      </x:c>
      <x:c r="G1193" s="42" t="n">
        <x:v>0.49935649935649934</x:v>
      </x:c>
      <x:c r="H1193" s="36" t="n">
        <x:f>E1193*G1193</x:f>
        <x:v>9637.580437580436</x:v>
      </x:c>
      <x:c r="I1193" s="36" t="n">
        <x:f>IFERROR(H1193/A1193,0)</x:f>
        <x:v>4818.790218790218</x:v>
      </x:c>
      <x:c r="J1193" s="67" t="str">
        <x:v>Modeled from live base + Sep-2026 quality ratio</x:v>
      </x:c>
      <x:c r="K1193" s="67" t="str">
        <x:v>https://www.stonealgo.com/diamond-prices/</x:v>
      </x:c>
      <x:c r="L1193" s="67" t="str">
        <x:v>https://www.pricescope.com/blog/natural-diamond-prices-september-2026</x:v>
      </x:c>
    </x:row>
    <x:row r="1194">
      <x:c r="A1194" t="n">
        <x:v>2</x:v>
      </x:c>
      <x:c r="B1194" t="str">
        <x:v>Marquise</x:v>
      </x:c>
      <x:c r="C1194" t="str">
        <x:v>I</x:v>
      </x:c>
      <x:c r="D1194" t="str">
        <x:v>FL</x:v>
      </x:c>
      <x:c r="E1194" s="36" t="n">
        <x:v>19300</x:v>
      </x:c>
      <x:c r="F1194" s="36" t="n">
        <x:v>4623</x:v>
      </x:c>
      <x:c r="G1194" s="42" t="n">
        <x:v>0.9916344916344917</x:v>
      </x:c>
      <x:c r="H1194" s="36" t="n">
        <x:f>E1194*G1194</x:f>
        <x:v>19138.545688545688</x:v>
      </x:c>
      <x:c r="I1194" s="36" t="n">
        <x:f>IFERROR(H1194/A1194,0)</x:f>
        <x:v>9569.272844272844</x:v>
      </x:c>
      <x:c r="J1194" s="67" t="str">
        <x:v>Modeled from live base + Sep-2026 quality ratio</x:v>
      </x:c>
      <x:c r="K1194" s="67" t="str">
        <x:v>https://www.stonealgo.com/diamond-prices/</x:v>
      </x:c>
      <x:c r="L1194" s="67" t="str">
        <x:v>https://www.pricescope.com/blog/natural-diamond-prices-september-2026</x:v>
      </x:c>
    </x:row>
    <x:row r="1195">
      <x:c r="A1195" t="n">
        <x:v>2</x:v>
      </x:c>
      <x:c r="B1195" t="str">
        <x:v>Marquise</x:v>
      </x:c>
      <x:c r="C1195" t="str">
        <x:v>I</x:v>
      </x:c>
      <x:c r="D1195" t="str">
        <x:v>IF</x:v>
      </x:c>
      <x:c r="E1195" s="36" t="n">
        <x:v>19300</x:v>
      </x:c>
      <x:c r="F1195" s="36" t="n">
        <x:v>4005</x:v>
      </x:c>
      <x:c r="G1195" s="42" t="n">
        <x:v>0.859073359073359</x:v>
      </x:c>
      <x:c r="H1195" s="36" t="n">
        <x:f>E1195*G1195</x:f>
        <x:v>16580.11583011583</x:v>
      </x:c>
      <x:c r="I1195" s="36" t="n">
        <x:f>IFERROR(H1195/A1195,0)</x:f>
        <x:v>8290.057915057914</x:v>
      </x:c>
      <x:c r="J1195" s="67" t="str">
        <x:v>Modeled from live base + Sep-2026 quality ratio</x:v>
      </x:c>
      <x:c r="K1195" s="67" t="str">
        <x:v>https://www.stonealgo.com/diamond-prices/</x:v>
      </x:c>
      <x:c r="L1195" s="67" t="str">
        <x:v>https://www.pricescope.com/blog/natural-diamond-prices-september-2026</x:v>
      </x:c>
    </x:row>
    <x:row r="1196">
      <x:c r="A1196" t="n">
        <x:v>2</x:v>
      </x:c>
      <x:c r="B1196" t="str">
        <x:v>Marquise</x:v>
      </x:c>
      <x:c r="C1196" t="str">
        <x:v>I</x:v>
      </x:c>
      <x:c r="D1196" t="str">
        <x:v>VVS1</x:v>
      </x:c>
      <x:c r="E1196" s="36" t="n">
        <x:v>19300</x:v>
      </x:c>
      <x:c r="F1196" s="36" t="n">
        <x:v>3670</x:v>
      </x:c>
      <x:c r="G1196" s="42" t="n">
        <x:v>0.7872157872157872</x:v>
      </x:c>
      <x:c r="H1196" s="36" t="n">
        <x:f>E1196*G1196</x:f>
        <x:v>15193.264693264693</x:v>
      </x:c>
      <x:c r="I1196" s="36" t="n">
        <x:f>IFERROR(H1196/A1196,0)</x:f>
        <x:v>7596.6323466323465</x:v>
      </x:c>
      <x:c r="J1196" s="67" t="str">
        <x:v>Modeled from live base + Sep-2026 quality ratio</x:v>
      </x:c>
      <x:c r="K1196" s="67" t="str">
        <x:v>https://www.stonealgo.com/diamond-prices/</x:v>
      </x:c>
      <x:c r="L1196" s="67" t="str">
        <x:v>https://www.pricescope.com/blog/natural-diamond-prices-september-2026</x:v>
      </x:c>
    </x:row>
    <x:row r="1197">
      <x:c r="A1197" t="n">
        <x:v>2</x:v>
      </x:c>
      <x:c r="B1197" t="str">
        <x:v>Marquise</x:v>
      </x:c>
      <x:c r="C1197" t="str">
        <x:v>I</x:v>
      </x:c>
      <x:c r="D1197" t="str">
        <x:v>VVS2</x:v>
      </x:c>
      <x:c r="E1197" s="36" t="n">
        <x:v>19300</x:v>
      </x:c>
      <x:c r="F1197" s="36" t="n">
        <x:v>3447</x:v>
      </x:c>
      <x:c r="G1197" s="42" t="n">
        <x:v>0.7393822393822393</x:v>
      </x:c>
      <x:c r="H1197" s="36" t="n">
        <x:f>E1197*G1197</x:f>
        <x:v>14270.077220077219</x:v>
      </x:c>
      <x:c r="I1197" s="36" t="n">
        <x:f>IFERROR(H1197/A1197,0)</x:f>
        <x:v>7135.0386100386095</x:v>
      </x:c>
      <x:c r="J1197" s="67" t="str">
        <x:v>Modeled from live base + Sep-2026 quality ratio</x:v>
      </x:c>
      <x:c r="K1197" s="67" t="str">
        <x:v>https://www.stonealgo.com/diamond-prices/</x:v>
      </x:c>
      <x:c r="L1197" s="67" t="str">
        <x:v>https://www.pricescope.com/blog/natural-diamond-prices-september-2026</x:v>
      </x:c>
    </x:row>
    <x:row r="1198">
      <x:c r="A1198" t="n">
        <x:v>2</x:v>
      </x:c>
      <x:c r="B1198" t="str">
        <x:v>Marquise</x:v>
      </x:c>
      <x:c r="C1198" t="str">
        <x:v>I</x:v>
      </x:c>
      <x:c r="D1198" t="str">
        <x:v>VS1</x:v>
      </x:c>
      <x:c r="E1198" s="36" t="n">
        <x:v>19300</x:v>
      </x:c>
      <x:c r="F1198" s="36" t="n">
        <x:v>3313</x:v>
      </x:c>
      <x:c r="G1198" s="42" t="n">
        <x:v>0.7106392106392107</x:v>
      </x:c>
      <x:c r="H1198" s="36" t="n">
        <x:f>E1198*G1198</x:f>
        <x:v>13715.336765336766</x:v>
      </x:c>
      <x:c r="I1198" s="36" t="n">
        <x:f>IFERROR(H1198/A1198,0)</x:f>
        <x:v>6857.668382668383</x:v>
      </x:c>
      <x:c r="J1198" s="67" t="str">
        <x:v>Modeled from live base + Sep-2026 quality ratio</x:v>
      </x:c>
      <x:c r="K1198" s="67" t="str">
        <x:v>https://www.stonealgo.com/diamond-prices/</x:v>
      </x:c>
      <x:c r="L1198" s="67" t="str">
        <x:v>https://www.pricescope.com/blog/natural-diamond-prices-september-2026</x:v>
      </x:c>
    </x:row>
    <x:row r="1199">
      <x:c r="A1199" t="n">
        <x:v>2</x:v>
      </x:c>
      <x:c r="B1199" t="str">
        <x:v>Marquise</x:v>
      </x:c>
      <x:c r="C1199" t="str">
        <x:v>I</x:v>
      </x:c>
      <x:c r="D1199" t="str">
        <x:v>VS2</x:v>
      </x:c>
      <x:c r="E1199" s="36" t="n">
        <x:v>19300</x:v>
      </x:c>
      <x:c r="F1199" s="36" t="n">
        <x:v>3240</x:v>
      </x:c>
      <x:c r="G1199" s="42" t="n">
        <x:v>0.694980694980695</x:v>
      </x:c>
      <x:c r="H1199" s="36" t="n">
        <x:f>E1199*G1199</x:f>
        <x:v>13413.127413127415</x:v>
      </x:c>
      <x:c r="I1199" s="36" t="n">
        <x:f>IFERROR(H1199/A1199,0)</x:f>
        <x:v>6706.5637065637075</x:v>
      </x:c>
      <x:c r="J1199" s="67" t="str">
        <x:v>Modeled from live base + Sep-2026 quality ratio</x:v>
      </x:c>
      <x:c r="K1199" s="67" t="str">
        <x:v>https://www.stonealgo.com/diamond-prices/</x:v>
      </x:c>
      <x:c r="L1199" s="67" t="str">
        <x:v>https://www.pricescope.com/blog/natural-diamond-prices-september-2026</x:v>
      </x:c>
    </x:row>
    <x:row r="1200">
      <x:c r="A1200" t="n">
        <x:v>2</x:v>
      </x:c>
      <x:c r="B1200" t="str">
        <x:v>Marquise</x:v>
      </x:c>
      <x:c r="C1200" t="str">
        <x:v>I</x:v>
      </x:c>
      <x:c r="D1200" t="str">
        <x:v>SI1</x:v>
      </x:c>
      <x:c r="E1200" s="36" t="n">
        <x:v>19300</x:v>
      </x:c>
      <x:c r="F1200" s="36" t="n">
        <x:v>3199</x:v>
      </x:c>
      <x:c r="G1200" s="42" t="n">
        <x:v>0.6861861861861862</x:v>
      </x:c>
      <x:c r="H1200" s="36" t="n">
        <x:f>E1200*G1200</x:f>
        <x:v>13243.393393393393</x:v>
      </x:c>
      <x:c r="I1200" s="36" t="n">
        <x:f>IFERROR(H1200/A1200,0)</x:f>
        <x:v>6621.696696696697</x:v>
      </x:c>
      <x:c r="J1200" s="67" t="str">
        <x:v>Modeled from live base + Sep-2026 quality ratio</x:v>
      </x:c>
      <x:c r="K1200" s="67" t="str">
        <x:v>https://www.stonealgo.com/diamond-prices/</x:v>
      </x:c>
      <x:c r="L1200" s="67" t="str">
        <x:v>https://www.pricescope.com/blog/natural-diamond-prices-september-2026</x:v>
      </x:c>
    </x:row>
    <x:row r="1201">
      <x:c r="A1201" t="n">
        <x:v>2</x:v>
      </x:c>
      <x:c r="B1201" t="str">
        <x:v>Marquise</x:v>
      </x:c>
      <x:c r="C1201" t="str">
        <x:v>I</x:v>
      </x:c>
      <x:c r="D1201" t="str">
        <x:v>SI2</x:v>
      </x:c>
      <x:c r="E1201" s="36" t="n">
        <x:v>19300</x:v>
      </x:c>
      <x:c r="F1201" s="36" t="n">
        <x:v>2874</x:v>
      </x:c>
      <x:c r="G1201" s="42" t="n">
        <x:v>0.6164736164736164</x:v>
      </x:c>
      <x:c r="H1201" s="36" t="n">
        <x:f>E1201*G1201</x:f>
        <x:v>11897.940797940797</x:v>
      </x:c>
      <x:c r="I1201" s="36" t="n">
        <x:f>IFERROR(H1201/A1201,0)</x:f>
        <x:v>5948.9703989703985</x:v>
      </x:c>
      <x:c r="J1201" s="67" t="str">
        <x:v>Modeled from live base + Sep-2026 quality ratio</x:v>
      </x:c>
      <x:c r="K1201" s="67" t="str">
        <x:v>https://www.stonealgo.com/diamond-prices/</x:v>
      </x:c>
      <x:c r="L1201" s="67" t="str">
        <x:v>https://www.pricescope.com/blog/natural-diamond-prices-september-2026</x:v>
      </x:c>
    </x:row>
    <x:row r="1202">
      <x:c r="A1202" t="n">
        <x:v>2</x:v>
      </x:c>
      <x:c r="B1202" t="str">
        <x:v>Marquise</x:v>
      </x:c>
      <x:c r="C1202" t="str">
        <x:v>J</x:v>
      </x:c>
      <x:c r="D1202" t="str">
        <x:v>FL</x:v>
      </x:c>
      <x:c r="E1202" s="36" t="n">
        <x:v>19300</x:v>
      </x:c>
      <x:c r="F1202" s="36" t="n">
        <x:v>3646</x:v>
      </x:c>
      <x:c r="G1202" s="42" t="n">
        <x:v>0.782067782067782</x:v>
      </x:c>
      <x:c r="H1202" s="36" t="n">
        <x:f>E1202*G1202</x:f>
        <x:v>15093.908193908193</x:v>
      </x:c>
      <x:c r="I1202" s="36" t="n">
        <x:f>IFERROR(H1202/A1202,0)</x:f>
        <x:v>7546.954096954097</x:v>
      </x:c>
      <x:c r="J1202" s="67" t="str">
        <x:v>Modeled from live base + Sep-2026 quality ratio</x:v>
      </x:c>
      <x:c r="K1202" s="67" t="str">
        <x:v>https://www.stonealgo.com/diamond-prices/</x:v>
      </x:c>
      <x:c r="L1202" s="67" t="str">
        <x:v>https://www.pricescope.com/blog/natural-diamond-prices-september-2026</x:v>
      </x:c>
    </x:row>
    <x:row r="1203">
      <x:c r="A1203" t="n">
        <x:v>2</x:v>
      </x:c>
      <x:c r="B1203" t="str">
        <x:v>Marquise</x:v>
      </x:c>
      <x:c r="C1203" t="str">
        <x:v>J</x:v>
      </x:c>
      <x:c r="D1203" t="str">
        <x:v>IF</x:v>
      </x:c>
      <x:c r="E1203" s="36" t="n">
        <x:v>19300</x:v>
      </x:c>
      <x:c r="F1203" s="36" t="n">
        <x:v>3368</x:v>
      </x:c>
      <x:c r="G1203" s="42" t="n">
        <x:v>0.7224367224367224</x:v>
      </x:c>
      <x:c r="H1203" s="36" t="n">
        <x:f>E1203*G1203</x:f>
        <x:v>13943.028743028743</x:v>
      </x:c>
      <x:c r="I1203" s="36" t="n">
        <x:f>IFERROR(H1203/A1203,0)</x:f>
        <x:v>6971.514371514371</x:v>
      </x:c>
      <x:c r="J1203" s="67" t="str">
        <x:v>Modeled from live base + Sep-2026 quality ratio</x:v>
      </x:c>
      <x:c r="K1203" s="67" t="str">
        <x:v>https://www.stonealgo.com/diamond-prices/</x:v>
      </x:c>
      <x:c r="L1203" s="67" t="str">
        <x:v>https://www.pricescope.com/blog/natural-diamond-prices-september-2026</x:v>
      </x:c>
    </x:row>
    <x:row r="1204">
      <x:c r="A1204" t="n">
        <x:v>2</x:v>
      </x:c>
      <x:c r="B1204" t="str">
        <x:v>Marquise</x:v>
      </x:c>
      <x:c r="C1204" t="str">
        <x:v>J</x:v>
      </x:c>
      <x:c r="D1204" t="str">
        <x:v>VVS1</x:v>
      </x:c>
      <x:c r="E1204" s="36" t="n">
        <x:v>19300</x:v>
      </x:c>
      <x:c r="F1204" s="36" t="n">
        <x:v>2956</x:v>
      </x:c>
      <x:c r="G1204" s="42" t="n">
        <x:v>0.6340626340626341</x:v>
      </x:c>
      <x:c r="H1204" s="36" t="n">
        <x:f>E1204*G1204</x:f>
        <x:v>12237.408837408837</x:v>
      </x:c>
      <x:c r="I1204" s="36" t="n">
        <x:f>IFERROR(H1204/A1204,0)</x:f>
        <x:v>6118.7044187044185</x:v>
      </x:c>
      <x:c r="J1204" s="67" t="str">
        <x:v>Modeled from live base + Sep-2026 quality ratio</x:v>
      </x:c>
      <x:c r="K1204" s="67" t="str">
        <x:v>https://www.stonealgo.com/diamond-prices/</x:v>
      </x:c>
      <x:c r="L1204" s="67" t="str">
        <x:v>https://www.pricescope.com/blog/natural-diamond-prices-september-2026</x:v>
      </x:c>
    </x:row>
    <x:row r="1205">
      <x:c r="A1205" t="n">
        <x:v>2</x:v>
      </x:c>
      <x:c r="B1205" t="str">
        <x:v>Marquise</x:v>
      </x:c>
      <x:c r="C1205" t="str">
        <x:v>J</x:v>
      </x:c>
      <x:c r="D1205" t="str">
        <x:v>VVS2</x:v>
      </x:c>
      <x:c r="E1205" s="36" t="n">
        <x:v>19300</x:v>
      </x:c>
      <x:c r="F1205" s="36" t="n">
        <x:v>2612</x:v>
      </x:c>
      <x:c r="G1205" s="42" t="n">
        <x:v>0.5602745602745602</x:v>
      </x:c>
      <x:c r="H1205" s="36" t="n">
        <x:f>E1205*G1205</x:f>
        <x:v>10813.299013299013</x:v>
      </x:c>
      <x:c r="I1205" s="36" t="n">
        <x:f>IFERROR(H1205/A1205,0)</x:f>
        <x:v>5406.649506649506</x:v>
      </x:c>
      <x:c r="J1205" s="67" t="str">
        <x:v>Modeled from live base + Sep-2026 quality ratio</x:v>
      </x:c>
      <x:c r="K1205" s="67" t="str">
        <x:v>https://www.stonealgo.com/diamond-prices/</x:v>
      </x:c>
      <x:c r="L1205" s="67" t="str">
        <x:v>https://www.pricescope.com/blog/natural-diamond-prices-september-2026</x:v>
      </x:c>
    </x:row>
    <x:row r="1206">
      <x:c r="A1206" t="n">
        <x:v>2</x:v>
      </x:c>
      <x:c r="B1206" t="str">
        <x:v>Marquise</x:v>
      </x:c>
      <x:c r="C1206" t="str">
        <x:v>J</x:v>
      </x:c>
      <x:c r="D1206" t="str">
        <x:v>VS1</x:v>
      </x:c>
      <x:c r="E1206" s="36" t="n">
        <x:v>19300</x:v>
      </x:c>
      <x:c r="F1206" s="36" t="n">
        <x:v>3002</x:v>
      </x:c>
      <x:c r="G1206" s="42" t="n">
        <x:v>0.6439296439296439</x:v>
      </x:c>
      <x:c r="H1206" s="36" t="n">
        <x:f>E1206*G1206</x:f>
        <x:v>12427.842127842128</x:v>
      </x:c>
      <x:c r="I1206" s="36" t="n">
        <x:f>IFERROR(H1206/A1206,0)</x:f>
        <x:v>6213.921063921064</x:v>
      </x:c>
      <x:c r="J1206" s="67" t="str">
        <x:v>Modeled from live base + Sep-2026 quality ratio</x:v>
      </x:c>
      <x:c r="K1206" s="67" t="str">
        <x:v>https://www.stonealgo.com/diamond-prices/</x:v>
      </x:c>
      <x:c r="L1206" s="67" t="str">
        <x:v>https://www.pricescope.com/blog/natural-diamond-prices-september-2026</x:v>
      </x:c>
    </x:row>
    <x:row r="1207">
      <x:c r="A1207" t="n">
        <x:v>2</x:v>
      </x:c>
      <x:c r="B1207" t="str">
        <x:v>Marquise</x:v>
      </x:c>
      <x:c r="C1207" t="str">
        <x:v>J</x:v>
      </x:c>
      <x:c r="D1207" t="str">
        <x:v>VS2</x:v>
      </x:c>
      <x:c r="E1207" s="36" t="n">
        <x:v>19300</x:v>
      </x:c>
      <x:c r="F1207" s="36" t="n">
        <x:v>2559</x:v>
      </x:c>
      <x:c r="G1207" s="42" t="n">
        <x:v>0.5489060489060489</x:v>
      </x:c>
      <x:c r="H1207" s="36" t="n">
        <x:f>E1207*G1207</x:f>
        <x:v>10593.886743886744</x:v>
      </x:c>
      <x:c r="I1207" s="36" t="n">
        <x:f>IFERROR(H1207/A1207,0)</x:f>
        <x:v>5296.943371943372</x:v>
      </x:c>
      <x:c r="J1207" s="67" t="str">
        <x:v>Modeled from live base + Sep-2026 quality ratio</x:v>
      </x:c>
      <x:c r="K1207" s="67" t="str">
        <x:v>https://www.stonealgo.com/diamond-prices/</x:v>
      </x:c>
      <x:c r="L1207" s="67" t="str">
        <x:v>https://www.pricescope.com/blog/natural-diamond-prices-september-2026</x:v>
      </x:c>
    </x:row>
    <x:row r="1208">
      <x:c r="A1208" t="n">
        <x:v>2</x:v>
      </x:c>
      <x:c r="B1208" t="str">
        <x:v>Marquise</x:v>
      </x:c>
      <x:c r="C1208" t="str">
        <x:v>J</x:v>
      </x:c>
      <x:c r="D1208" t="str">
        <x:v>SI1</x:v>
      </x:c>
      <x:c r="E1208" s="36" t="n">
        <x:v>19300</x:v>
      </x:c>
      <x:c r="F1208" s="36" t="n">
        <x:v>2195</x:v>
      </x:c>
      <x:c r="G1208" s="42" t="n">
        <x:v>0.47082797082797084</x:v>
      </x:c>
      <x:c r="H1208" s="36" t="n">
        <x:f>E1208*G1208</x:f>
        <x:v>9086.979836979837</x:v>
      </x:c>
      <x:c r="I1208" s="36" t="n">
        <x:f>IFERROR(H1208/A1208,0)</x:f>
        <x:v>4543.489918489919</x:v>
      </x:c>
      <x:c r="J1208" s="67" t="str">
        <x:v>Modeled from live base + Sep-2026 quality ratio</x:v>
      </x:c>
      <x:c r="K1208" s="67" t="str">
        <x:v>https://www.stonealgo.com/diamond-prices/</x:v>
      </x:c>
      <x:c r="L1208" s="67" t="str">
        <x:v>https://www.pricescope.com/blog/natural-diamond-prices-september-2026</x:v>
      </x:c>
    </x:row>
    <x:row r="1209">
      <x:c r="A1209" t="n">
        <x:v>2</x:v>
      </x:c>
      <x:c r="B1209" t="str">
        <x:v>Marquise</x:v>
      </x:c>
      <x:c r="C1209" t="str">
        <x:v>J</x:v>
      </x:c>
      <x:c r="D1209" t="str">
        <x:v>SI2</x:v>
      </x:c>
      <x:c r="E1209" s="36" t="n">
        <x:v>19300</x:v>
      </x:c>
      <x:c r="F1209" s="36" t="n">
        <x:v>2079</x:v>
      </x:c>
      <x:c r="G1209" s="42" t="n">
        <x:v>0.44594594594594594</x:v>
      </x:c>
      <x:c r="H1209" s="36" t="n">
        <x:f>E1209*G1209</x:f>
        <x:v>8606.756756756757</x:v>
      </x:c>
      <x:c r="I1209" s="36" t="n">
        <x:f>IFERROR(H1209/A1209,0)</x:f>
        <x:v>4303.378378378378</x:v>
      </x:c>
      <x:c r="J1209" s="67" t="str">
        <x:v>Modeled from live base + Sep-2026 quality ratio</x:v>
      </x:c>
      <x:c r="K1209" s="67" t="str">
        <x:v>https://www.stonealgo.com/diamond-prices/</x:v>
      </x:c>
      <x:c r="L1209" s="67" t="str">
        <x:v>https://www.pricescope.com/blog/natural-diamond-prices-september-2026</x:v>
      </x:c>
    </x:row>
    <x:row r="1210">
      <x:c r="A1210" t="n">
        <x:v>2</x:v>
      </x:c>
      <x:c r="B1210" t="str">
        <x:v>Marquise</x:v>
      </x:c>
      <x:c r="C1210" t="str">
        <x:v>K</x:v>
      </x:c>
      <x:c r="D1210" t="str">
        <x:v>FL</x:v>
      </x:c>
      <x:c r="E1210" s="36" t="n">
        <x:v>19300</x:v>
      </x:c>
      <x:c r="F1210" s="36" t="n">
        <x:v>2858</x:v>
      </x:c>
      <x:c r="G1210" s="42" t="n">
        <x:v>0.6130416130416131</x:v>
      </x:c>
      <x:c r="H1210" s="36" t="n">
        <x:f>E1210*G1210</x:f>
        <x:v>11831.703131703132</x:v>
      </x:c>
      <x:c r="I1210" s="36" t="n">
        <x:f>IFERROR(H1210/A1210,0)</x:f>
        <x:v>5915.851565851566</x:v>
      </x:c>
      <x:c r="J1210" s="67" t="str">
        <x:v>Modeled from live base + Sep-2026 quality ratio; K/FL quality cell modeled</x:v>
      </x:c>
      <x:c r="K1210" s="67" t="str">
        <x:v>https://www.stonealgo.com/diamond-prices/</x:v>
      </x:c>
      <x:c r="L1210" s="67" t="str">
        <x:v>https://www.pricescope.com/blog/natural-diamond-prices-september-2026</x:v>
      </x:c>
    </x:row>
    <x:row r="1211">
      <x:c r="A1211" t="n">
        <x:v>2</x:v>
      </x:c>
      <x:c r="B1211" t="str">
        <x:v>Marquise</x:v>
      </x:c>
      <x:c r="C1211" t="str">
        <x:v>K</x:v>
      </x:c>
      <x:c r="D1211" t="str">
        <x:v>IF</x:v>
      </x:c>
      <x:c r="E1211" s="36" t="n">
        <x:v>19300</x:v>
      </x:c>
      <x:c r="F1211" s="36" t="n">
        <x:v>2743</x:v>
      </x:c>
      <x:c r="G1211" s="42" t="n">
        <x:v>0.5883740883740883</x:v>
      </x:c>
      <x:c r="H1211" s="36" t="n">
        <x:f>E1211*G1211</x:f>
        <x:v>11355.619905619906</x:v>
      </x:c>
      <x:c r="I1211" s="36" t="n">
        <x:f>IFERROR(H1211/A1211,0)</x:f>
        <x:v>5677.809952809953</x:v>
      </x:c>
      <x:c r="J1211" s="67" t="str">
        <x:v>Modeled from live base + Sep-2026 quality ratio</x:v>
      </x:c>
      <x:c r="K1211" s="67" t="str">
        <x:v>https://www.stonealgo.com/diamond-prices/</x:v>
      </x:c>
      <x:c r="L1211" s="67" t="str">
        <x:v>https://www.pricescope.com/blog/natural-diamond-prices-september-2026</x:v>
      </x:c>
    </x:row>
    <x:row r="1212">
      <x:c r="A1212" t="n">
        <x:v>2</x:v>
      </x:c>
      <x:c r="B1212" t="str">
        <x:v>Marquise</x:v>
      </x:c>
      <x:c r="C1212" t="str">
        <x:v>K</x:v>
      </x:c>
      <x:c r="D1212" t="str">
        <x:v>VVS1</x:v>
      </x:c>
      <x:c r="E1212" s="36" t="n">
        <x:v>19300</x:v>
      </x:c>
      <x:c r="F1212" s="36" t="n">
        <x:v>2529</x:v>
      </x:c>
      <x:c r="G1212" s="42" t="n">
        <x:v>0.5424710424710425</x:v>
      </x:c>
      <x:c r="H1212" s="36" t="n">
        <x:f>E1212*G1212</x:f>
        <x:v>10469.69111969112</x:v>
      </x:c>
      <x:c r="I1212" s="36" t="n">
        <x:f>IFERROR(H1212/A1212,0)</x:f>
        <x:v>5234.84555984556</x:v>
      </x:c>
      <x:c r="J1212" s="67" t="str">
        <x:v>Modeled from live base + Sep-2026 quality ratio</x:v>
      </x:c>
      <x:c r="K1212" s="67" t="str">
        <x:v>https://www.stonealgo.com/diamond-prices/</x:v>
      </x:c>
      <x:c r="L1212" s="67" t="str">
        <x:v>https://www.pricescope.com/blog/natural-diamond-prices-september-2026</x:v>
      </x:c>
    </x:row>
    <x:row r="1213">
      <x:c r="A1213" t="n">
        <x:v>2</x:v>
      </x:c>
      <x:c r="B1213" t="str">
        <x:v>Marquise</x:v>
      </x:c>
      <x:c r="C1213" t="str">
        <x:v>K</x:v>
      </x:c>
      <x:c r="D1213" t="str">
        <x:v>VVS2</x:v>
      </x:c>
      <x:c r="E1213" s="36" t="n">
        <x:v>19300</x:v>
      </x:c>
      <x:c r="F1213" s="36" t="n">
        <x:v>2374</x:v>
      </x:c>
      <x:c r="G1213" s="42" t="n">
        <x:v>0.5092235092235092</x:v>
      </x:c>
      <x:c r="H1213" s="36" t="n">
        <x:f>E1213*G1213</x:f>
        <x:v>9828.013728013728</x:v>
      </x:c>
      <x:c r="I1213" s="36" t="n">
        <x:f>IFERROR(H1213/A1213,0)</x:f>
        <x:v>4914.006864006864</x:v>
      </x:c>
      <x:c r="J1213" s="67" t="str">
        <x:v>Modeled from live base + Sep-2026 quality ratio</x:v>
      </x:c>
      <x:c r="K1213" s="67" t="str">
        <x:v>https://www.stonealgo.com/diamond-prices/</x:v>
      </x:c>
      <x:c r="L1213" s="67" t="str">
        <x:v>https://www.pricescope.com/blog/natural-diamond-prices-september-2026</x:v>
      </x:c>
    </x:row>
    <x:row r="1214">
      <x:c r="A1214" t="n">
        <x:v>2</x:v>
      </x:c>
      <x:c r="B1214" t="str">
        <x:v>Marquise</x:v>
      </x:c>
      <x:c r="C1214" t="str">
        <x:v>K</x:v>
      </x:c>
      <x:c r="D1214" t="str">
        <x:v>VS1</x:v>
      </x:c>
      <x:c r="E1214" s="36" t="n">
        <x:v>19300</x:v>
      </x:c>
      <x:c r="F1214" s="36" t="n">
        <x:v>2223</x:v>
      </x:c>
      <x:c r="G1214" s="42" t="n">
        <x:v>0.4768339768339768</x:v>
      </x:c>
      <x:c r="H1214" s="36" t="n">
        <x:f>E1214*G1214</x:f>
        <x:v>9202.895752895753</x:v>
      </x:c>
      <x:c r="I1214" s="36" t="n">
        <x:f>IFERROR(H1214/A1214,0)</x:f>
        <x:v>4601.447876447876</x:v>
      </x:c>
      <x:c r="J1214" s="67" t="str">
        <x:v>Modeled from live base + Sep-2026 quality ratio</x:v>
      </x:c>
      <x:c r="K1214" s="67" t="str">
        <x:v>https://www.stonealgo.com/diamond-prices/</x:v>
      </x:c>
      <x:c r="L1214" s="67" t="str">
        <x:v>https://www.pricescope.com/blog/natural-diamond-prices-september-2026</x:v>
      </x:c>
    </x:row>
    <x:row r="1215">
      <x:c r="A1215" t="n">
        <x:v>2</x:v>
      </x:c>
      <x:c r="B1215" t="str">
        <x:v>Marquise</x:v>
      </x:c>
      <x:c r="C1215" t="str">
        <x:v>K</x:v>
      </x:c>
      <x:c r="D1215" t="str">
        <x:v>VS2</x:v>
      </x:c>
      <x:c r="E1215" s="36" t="n">
        <x:v>19300</x:v>
      </x:c>
      <x:c r="F1215" s="36" t="n">
        <x:v>2098</x:v>
      </x:c>
      <x:c r="G1215" s="42" t="n">
        <x:v>0.45002145002145</x:v>
      </x:c>
      <x:c r="H1215" s="36" t="n">
        <x:f>E1215*G1215</x:f>
        <x:v>8685.413985413985</x:v>
      </x:c>
      <x:c r="I1215" s="36" t="n">
        <x:f>IFERROR(H1215/A1215,0)</x:f>
        <x:v>4342.706992706992</x:v>
      </x:c>
      <x:c r="J1215" s="67" t="str">
        <x:v>Modeled from live base + Sep-2026 quality ratio</x:v>
      </x:c>
      <x:c r="K1215" s="67" t="str">
        <x:v>https://www.stonealgo.com/diamond-prices/</x:v>
      </x:c>
      <x:c r="L1215" s="67" t="str">
        <x:v>https://www.pricescope.com/blog/natural-diamond-prices-september-2026</x:v>
      </x:c>
    </x:row>
    <x:row r="1216">
      <x:c r="A1216" t="n">
        <x:v>2</x:v>
      </x:c>
      <x:c r="B1216" t="str">
        <x:v>Marquise</x:v>
      </x:c>
      <x:c r="C1216" t="str">
        <x:v>K</x:v>
      </x:c>
      <x:c r="D1216" t="str">
        <x:v>SI1</x:v>
      </x:c>
      <x:c r="E1216" s="36" t="n">
        <x:v>19300</x:v>
      </x:c>
      <x:c r="F1216" s="36" t="n">
        <x:v>1922</x:v>
      </x:c>
      <x:c r="G1216" s="42" t="n">
        <x:v>0.41226941226941227</x:v>
      </x:c>
      <x:c r="H1216" s="36" t="n">
        <x:f>E1216*G1216</x:f>
        <x:v>7956.799656799657</x:v>
      </x:c>
      <x:c r="I1216" s="36" t="n">
        <x:f>IFERROR(H1216/A1216,0)</x:f>
        <x:v>3978.3998283998285</x:v>
      </x:c>
      <x:c r="J1216" s="67" t="str">
        <x:v>Modeled from live base + Sep-2026 quality ratio</x:v>
      </x:c>
      <x:c r="K1216" s="67" t="str">
        <x:v>https://www.stonealgo.com/diamond-prices/</x:v>
      </x:c>
      <x:c r="L1216" s="67" t="str">
        <x:v>https://www.pricescope.com/blog/natural-diamond-prices-september-2026</x:v>
      </x:c>
    </x:row>
    <x:row r="1217">
      <x:c r="A1217" t="n">
        <x:v>2</x:v>
      </x:c>
      <x:c r="B1217" t="str">
        <x:v>Marquise</x:v>
      </x:c>
      <x:c r="C1217" t="str">
        <x:v>K</x:v>
      </x:c>
      <x:c r="D1217" t="str">
        <x:v>SI2</x:v>
      </x:c>
      <x:c r="E1217" s="36" t="n">
        <x:v>19300</x:v>
      </x:c>
      <x:c r="F1217" s="36" t="n">
        <x:v>1764</x:v>
      </x:c>
      <x:c r="G1217" s="42" t="n">
        <x:v>0.3783783783783784</x:v>
      </x:c>
      <x:c r="H1217" s="36" t="n">
        <x:f>E1217*G1217</x:f>
        <x:v>7302.702702702703</x:v>
      </x:c>
      <x:c r="I1217" s="36" t="n">
        <x:f>IFERROR(H1217/A1217,0)</x:f>
        <x:v>3651.3513513513517</x:v>
      </x:c>
      <x:c r="J1217" s="67" t="str">
        <x:v>Modeled from live base + Sep-2026 quality ratio</x:v>
      </x:c>
      <x:c r="K1217" s="67" t="str">
        <x:v>https://www.stonealgo.com/diamond-prices/</x:v>
      </x:c>
      <x:c r="L1217" s="67" t="str">
        <x:v>https://www.pricescope.com/blog/natural-diamond-prices-september-2026</x:v>
      </x:c>
    </x:row>
    <x:row r="1218">
      <x:c r="A1218" t="n">
        <x:v>2</x:v>
      </x:c>
      <x:c r="B1218" t="str">
        <x:v>Asscher</x:v>
      </x:c>
      <x:c r="C1218" t="str">
        <x:v>D</x:v>
      </x:c>
      <x:c r="D1218" t="str">
        <x:v>FL</x:v>
      </x:c>
      <x:c r="E1218" s="36" t="n">
        <x:v>11900</x:v>
      </x:c>
      <x:c r="F1218" s="36" t="n">
        <x:v>12665</x:v>
      </x:c>
      <x:c r="G1218" s="42" t="n">
        <x:v>2.7166452166452166</x:v>
      </x:c>
      <x:c r="H1218" s="36" t="n">
        <x:f>E1218*G1218</x:f>
        <x:v>32328.078078078077</x:v>
      </x:c>
      <x:c r="I1218" s="36" t="n">
        <x:f>IFERROR(H1218/A1218,0)</x:f>
        <x:v>16164.039039039038</x:v>
      </x:c>
      <x:c r="J1218" s="67" t="str">
        <x:v>Modeled from live base + Sep-2026 quality ratio</x:v>
      </x:c>
      <x:c r="K1218" s="67" t="str">
        <x:v>https://www.stonealgo.com/diamond-prices/</x:v>
      </x:c>
      <x:c r="L1218" s="67" t="str">
        <x:v>https://www.pricescope.com/blog/natural-diamond-prices-september-2026</x:v>
      </x:c>
    </x:row>
    <x:row r="1219">
      <x:c r="A1219" t="n">
        <x:v>2</x:v>
      </x:c>
      <x:c r="B1219" t="str">
        <x:v>Asscher</x:v>
      </x:c>
      <x:c r="C1219" t="str">
        <x:v>D</x:v>
      </x:c>
      <x:c r="D1219" t="str">
        <x:v>IF</x:v>
      </x:c>
      <x:c r="E1219" s="36" t="n">
        <x:v>11900</x:v>
      </x:c>
      <x:c r="F1219" s="36" t="n">
        <x:v>13240</x:v>
      </x:c>
      <x:c r="G1219" s="42" t="n">
        <x:v>2.83998283998284</x:v>
      </x:c>
      <x:c r="H1219" s="36" t="n">
        <x:f>E1219*G1219</x:f>
        <x:v>33795.7957957958</x:v>
      </x:c>
      <x:c r="I1219" s="36" t="n">
        <x:f>IFERROR(H1219/A1219,0)</x:f>
        <x:v>16897.8978978979</x:v>
      </x:c>
      <x:c r="J1219" s="67" t="str">
        <x:v>Modeled from live base + Sep-2026 quality ratio</x:v>
      </x:c>
      <x:c r="K1219" s="67" t="str">
        <x:v>https://www.stonealgo.com/diamond-prices/</x:v>
      </x:c>
      <x:c r="L1219" s="67" t="str">
        <x:v>https://www.pricescope.com/blog/natural-diamond-prices-september-2026</x:v>
      </x:c>
    </x:row>
    <x:row r="1220">
      <x:c r="A1220" t="n">
        <x:v>2</x:v>
      </x:c>
      <x:c r="B1220" t="str">
        <x:v>Asscher</x:v>
      </x:c>
      <x:c r="C1220" t="str">
        <x:v>D</x:v>
      </x:c>
      <x:c r="D1220" t="str">
        <x:v>VVS1</x:v>
      </x:c>
      <x:c r="E1220" s="36" t="n">
        <x:v>11900</x:v>
      </x:c>
      <x:c r="F1220" s="36" t="n">
        <x:v>9555</x:v>
      </x:c>
      <x:c r="G1220" s="42" t="n">
        <x:v>2.0495495495495497</x:v>
      </x:c>
      <x:c r="H1220" s="36" t="n">
        <x:f>E1220*G1220</x:f>
        <x:v>24389.63963963964</x:v>
      </x:c>
      <x:c r="I1220" s="36" t="n">
        <x:f>IFERROR(H1220/A1220,0)</x:f>
        <x:v>12194.81981981982</x:v>
      </x:c>
      <x:c r="J1220" s="67" t="str">
        <x:v>Modeled from live base + Sep-2026 quality ratio</x:v>
      </x:c>
      <x:c r="K1220" s="67" t="str">
        <x:v>https://www.stonealgo.com/diamond-prices/</x:v>
      </x:c>
      <x:c r="L1220" s="67" t="str">
        <x:v>https://www.pricescope.com/blog/natural-diamond-prices-september-2026</x:v>
      </x:c>
    </x:row>
    <x:row r="1221">
      <x:c r="A1221" t="n">
        <x:v>2</x:v>
      </x:c>
      <x:c r="B1221" t="str">
        <x:v>Asscher</x:v>
      </x:c>
      <x:c r="C1221" t="str">
        <x:v>D</x:v>
      </x:c>
      <x:c r="D1221" t="str">
        <x:v>VVS2</x:v>
      </x:c>
      <x:c r="E1221" s="36" t="n">
        <x:v>11900</x:v>
      </x:c>
      <x:c r="F1221" s="36" t="n">
        <x:v>6660</x:v>
      </x:c>
      <x:c r="G1221" s="42" t="n">
        <x:v>1.4285714285714286</x:v>
      </x:c>
      <x:c r="H1221" s="36" t="n">
        <x:f>E1221*G1221</x:f>
        <x:v>17000</x:v>
      </x:c>
      <x:c r="I1221" s="36" t="n">
        <x:f>IFERROR(H1221/A1221,0)</x:f>
        <x:v>8500</x:v>
      </x:c>
      <x:c r="J1221" s="67" t="str">
        <x:v>Modeled from live base + Sep-2026 quality ratio</x:v>
      </x:c>
      <x:c r="K1221" s="67" t="str">
        <x:v>https://www.stonealgo.com/diamond-prices/</x:v>
      </x:c>
      <x:c r="L1221" s="67" t="str">
        <x:v>https://www.pricescope.com/blog/natural-diamond-prices-september-2026</x:v>
      </x:c>
    </x:row>
    <x:row r="1222">
      <x:c r="A1222" t="n">
        <x:v>2</x:v>
      </x:c>
      <x:c r="B1222" t="str">
        <x:v>Asscher</x:v>
      </x:c>
      <x:c r="C1222" t="str">
        <x:v>D</x:v>
      </x:c>
      <x:c r="D1222" t="str">
        <x:v>VS1</x:v>
      </x:c>
      <x:c r="E1222" s="36" t="n">
        <x:v>11900</x:v>
      </x:c>
      <x:c r="F1222" s="36" t="n">
        <x:v>6247</x:v>
      </x:c>
      <x:c r="G1222" s="42" t="n">
        <x:v>1.33998283998284</x:v>
      </x:c>
      <x:c r="H1222" s="36" t="n">
        <x:f>E1222*G1222</x:f>
        <x:v>15945.795795795795</x:v>
      </x:c>
      <x:c r="I1222" s="36" t="n">
        <x:f>IFERROR(H1222/A1222,0)</x:f>
        <x:v>7972.897897897898</x:v>
      </x:c>
      <x:c r="J1222" s="67" t="str">
        <x:v>Modeled from live base + Sep-2026 quality ratio</x:v>
      </x:c>
      <x:c r="K1222" s="67" t="str">
        <x:v>https://www.stonealgo.com/diamond-prices/</x:v>
      </x:c>
      <x:c r="L1222" s="67" t="str">
        <x:v>https://www.pricescope.com/blog/natural-diamond-prices-september-2026</x:v>
      </x:c>
    </x:row>
    <x:row r="1223">
      <x:c r="A1223" t="n">
        <x:v>2</x:v>
      </x:c>
      <x:c r="B1223" t="str">
        <x:v>Asscher</x:v>
      </x:c>
      <x:c r="C1223" t="str">
        <x:v>D</x:v>
      </x:c>
      <x:c r="D1223" t="str">
        <x:v>VS2</x:v>
      </x:c>
      <x:c r="E1223" s="36" t="n">
        <x:v>11900</x:v>
      </x:c>
      <x:c r="F1223" s="36" t="n">
        <x:v>5841</x:v>
      </x:c>
      <x:c r="G1223" s="42" t="n">
        <x:v>1.252895752895753</x:v>
      </x:c>
      <x:c r="H1223" s="36" t="n">
        <x:f>E1223*G1223</x:f>
        <x:v>14909.45945945946</x:v>
      </x:c>
      <x:c r="I1223" s="36" t="n">
        <x:f>IFERROR(H1223/A1223,0)</x:f>
        <x:v>7454.72972972973</x:v>
      </x:c>
      <x:c r="J1223" s="67" t="str">
        <x:v>Modeled from live base + Sep-2026 quality ratio</x:v>
      </x:c>
      <x:c r="K1223" s="67" t="str">
        <x:v>https://www.stonealgo.com/diamond-prices/</x:v>
      </x:c>
      <x:c r="L1223" s="67" t="str">
        <x:v>https://www.pricescope.com/blog/natural-diamond-prices-september-2026</x:v>
      </x:c>
    </x:row>
    <x:row r="1224">
      <x:c r="A1224" t="n">
        <x:v>2</x:v>
      </x:c>
      <x:c r="B1224" t="str">
        <x:v>Asscher</x:v>
      </x:c>
      <x:c r="C1224" t="str">
        <x:v>D</x:v>
      </x:c>
      <x:c r="D1224" t="str">
        <x:v>SI1</x:v>
      </x:c>
      <x:c r="E1224" s="36" t="n">
        <x:v>11900</x:v>
      </x:c>
      <x:c r="F1224" s="36" t="n">
        <x:v>3762</x:v>
      </x:c>
      <x:c r="G1224" s="42" t="n">
        <x:v>0.806949806949807</x:v>
      </x:c>
      <x:c r="H1224" s="36" t="n">
        <x:f>E1224*G1224</x:f>
        <x:v>9602.702702702703</x:v>
      </x:c>
      <x:c r="I1224" s="36" t="n">
        <x:f>IFERROR(H1224/A1224,0)</x:f>
        <x:v>4801.351351351352</x:v>
      </x:c>
      <x:c r="J1224" s="67" t="str">
        <x:v>Modeled from live base + Sep-2026 quality ratio</x:v>
      </x:c>
      <x:c r="K1224" s="67" t="str">
        <x:v>https://www.stonealgo.com/diamond-prices/</x:v>
      </x:c>
      <x:c r="L1224" s="67" t="str">
        <x:v>https://www.pricescope.com/blog/natural-diamond-prices-september-2026</x:v>
      </x:c>
    </x:row>
    <x:row r="1225">
      <x:c r="A1225" t="n">
        <x:v>2</x:v>
      </x:c>
      <x:c r="B1225" t="str">
        <x:v>Asscher</x:v>
      </x:c>
      <x:c r="C1225" t="str">
        <x:v>D</x:v>
      </x:c>
      <x:c r="D1225" t="str">
        <x:v>SI2</x:v>
      </x:c>
      <x:c r="E1225" s="36" t="n">
        <x:v>11900</x:v>
      </x:c>
      <x:c r="F1225" s="36" t="n">
        <x:v>3026</x:v>
      </x:c>
      <x:c r="G1225" s="42" t="n">
        <x:v>0.6490776490776491</x:v>
      </x:c>
      <x:c r="H1225" s="36" t="n">
        <x:f>E1225*G1225</x:f>
        <x:v>7724.024024024025</x:v>
      </x:c>
      <x:c r="I1225" s="36" t="n">
        <x:f>IFERROR(H1225/A1225,0)</x:f>
        <x:v>3862.0120120120123</x:v>
      </x:c>
      <x:c r="J1225" s="67" t="str">
        <x:v>Modeled from live base + Sep-2026 quality ratio</x:v>
      </x:c>
      <x:c r="K1225" s="67" t="str">
        <x:v>https://www.stonealgo.com/diamond-prices/</x:v>
      </x:c>
      <x:c r="L1225" s="67" t="str">
        <x:v>https://www.pricescope.com/blog/natural-diamond-prices-september-2026</x:v>
      </x:c>
    </x:row>
    <x:row r="1226">
      <x:c r="A1226" t="n">
        <x:v>2</x:v>
      </x:c>
      <x:c r="B1226" t="str">
        <x:v>Asscher</x:v>
      </x:c>
      <x:c r="C1226" t="str">
        <x:v>E</x:v>
      </x:c>
      <x:c r="D1226" t="str">
        <x:v>FL</x:v>
      </x:c>
      <x:c r="E1226" s="36" t="n">
        <x:v>11900</x:v>
      </x:c>
      <x:c r="F1226" s="36" t="n">
        <x:v>10072</x:v>
      </x:c>
      <x:c r="G1226" s="42" t="n">
        <x:v>2.1604461604461602</x:v>
      </x:c>
      <x:c r="H1226" s="36" t="n">
        <x:f>E1226*G1226</x:f>
        <x:v>25709.30930930931</x:v>
      </x:c>
      <x:c r="I1226" s="36" t="n">
        <x:f>IFERROR(H1226/A1226,0)</x:f>
        <x:v>12854.654654654654</x:v>
      </x:c>
      <x:c r="J1226" s="67" t="str">
        <x:v>Modeled from live base + Sep-2026 quality ratio</x:v>
      </x:c>
      <x:c r="K1226" s="67" t="str">
        <x:v>https://www.stonealgo.com/diamond-prices/</x:v>
      </x:c>
      <x:c r="L1226" s="67" t="str">
        <x:v>https://www.pricescope.com/blog/natural-diamond-prices-september-2026</x:v>
      </x:c>
    </x:row>
    <x:row r="1227">
      <x:c r="A1227" t="n">
        <x:v>2</x:v>
      </x:c>
      <x:c r="B1227" t="str">
        <x:v>Asscher</x:v>
      </x:c>
      <x:c r="C1227" t="str">
        <x:v>E</x:v>
      </x:c>
      <x:c r="D1227" t="str">
        <x:v>IF</x:v>
      </x:c>
      <x:c r="E1227" s="36" t="n">
        <x:v>11900</x:v>
      </x:c>
      <x:c r="F1227" s="36" t="n">
        <x:v>8672</x:v>
      </x:c>
      <x:c r="G1227" s="42" t="n">
        <x:v>1.8601458601458603</x:v>
      </x:c>
      <x:c r="H1227" s="36" t="n">
        <x:f>E1227*G1227</x:f>
        <x:v>22135.735735735736</x:v>
      </x:c>
      <x:c r="I1227" s="36" t="n">
        <x:f>IFERROR(H1227/A1227,0)</x:f>
        <x:v>11067.867867867868</x:v>
      </x:c>
      <x:c r="J1227" s="67" t="str">
        <x:v>Modeled from live base + Sep-2026 quality ratio</x:v>
      </x:c>
      <x:c r="K1227" s="67" t="str">
        <x:v>https://www.stonealgo.com/diamond-prices/</x:v>
      </x:c>
      <x:c r="L1227" s="67" t="str">
        <x:v>https://www.pricescope.com/blog/natural-diamond-prices-september-2026</x:v>
      </x:c>
    </x:row>
    <x:row r="1228">
      <x:c r="A1228" t="n">
        <x:v>2</x:v>
      </x:c>
      <x:c r="B1228" t="str">
        <x:v>Asscher</x:v>
      </x:c>
      <x:c r="C1228" t="str">
        <x:v>E</x:v>
      </x:c>
      <x:c r="D1228" t="str">
        <x:v>VVS1</x:v>
      </x:c>
      <x:c r="E1228" s="36" t="n">
        <x:v>11900</x:v>
      </x:c>
      <x:c r="F1228" s="36" t="n">
        <x:v>7842</x:v>
      </x:c>
      <x:c r="G1228" s="42" t="n">
        <x:v>1.6821106821106822</x:v>
      </x:c>
      <x:c r="H1228" s="36" t="n">
        <x:f>E1228*G1228</x:f>
        <x:v>20017.11711711712</x:v>
      </x:c>
      <x:c r="I1228" s="36" t="n">
        <x:f>IFERROR(H1228/A1228,0)</x:f>
        <x:v>10008.55855855856</x:v>
      </x:c>
      <x:c r="J1228" s="67" t="str">
        <x:v>Modeled from live base + Sep-2026 quality ratio</x:v>
      </x:c>
      <x:c r="K1228" s="67" t="str">
        <x:v>https://www.stonealgo.com/diamond-prices/</x:v>
      </x:c>
      <x:c r="L1228" s="67" t="str">
        <x:v>https://www.pricescope.com/blog/natural-diamond-prices-september-2026</x:v>
      </x:c>
    </x:row>
    <x:row r="1229">
      <x:c r="A1229" t="n">
        <x:v>2</x:v>
      </x:c>
      <x:c r="B1229" t="str">
        <x:v>Asscher</x:v>
      </x:c>
      <x:c r="C1229" t="str">
        <x:v>E</x:v>
      </x:c>
      <x:c r="D1229" t="str">
        <x:v>VVS2</x:v>
      </x:c>
      <x:c r="E1229" s="36" t="n">
        <x:v>11900</x:v>
      </x:c>
      <x:c r="F1229" s="36" t="n">
        <x:v>6880</x:v>
      </x:c>
      <x:c r="G1229" s="42" t="n">
        <x:v>1.4757614757614759</x:v>
      </x:c>
      <x:c r="H1229" s="36" t="n">
        <x:f>E1229*G1229</x:f>
        <x:v>17561.561561561564</x:v>
      </x:c>
      <x:c r="I1229" s="36" t="n">
        <x:f>IFERROR(H1229/A1229,0)</x:f>
        <x:v>8780.780780780782</x:v>
      </x:c>
      <x:c r="J1229" s="67" t="str">
        <x:v>Modeled from live base + Sep-2026 quality ratio</x:v>
      </x:c>
      <x:c r="K1229" s="67" t="str">
        <x:v>https://www.stonealgo.com/diamond-prices/</x:v>
      </x:c>
      <x:c r="L1229" s="67" t="str">
        <x:v>https://www.pricescope.com/blog/natural-diamond-prices-september-2026</x:v>
      </x:c>
    </x:row>
    <x:row r="1230">
      <x:c r="A1230" t="n">
        <x:v>2</x:v>
      </x:c>
      <x:c r="B1230" t="str">
        <x:v>Asscher</x:v>
      </x:c>
      <x:c r="C1230" t="str">
        <x:v>E</x:v>
      </x:c>
      <x:c r="D1230" t="str">
        <x:v>VS1</x:v>
      </x:c>
      <x:c r="E1230" s="36" t="n">
        <x:v>11900</x:v>
      </x:c>
      <x:c r="F1230" s="36" t="n">
        <x:v>6307</x:v>
      </x:c>
      <x:c r="G1230" s="42" t="n">
        <x:v>1.352852852852853</x:v>
      </x:c>
      <x:c r="H1230" s="36" t="n">
        <x:f>E1230*G1230</x:f>
        <x:v>16098.94894894895</x:v>
      </x:c>
      <x:c r="I1230" s="36" t="n">
        <x:f>IFERROR(H1230/A1230,0)</x:f>
        <x:v>8049.474474474475</x:v>
      </x:c>
      <x:c r="J1230" s="67" t="str">
        <x:v>Modeled from live base + Sep-2026 quality ratio</x:v>
      </x:c>
      <x:c r="K1230" s="67" t="str">
        <x:v>https://www.stonealgo.com/diamond-prices/</x:v>
      </x:c>
      <x:c r="L1230" s="67" t="str">
        <x:v>https://www.pricescope.com/blog/natural-diamond-prices-september-2026</x:v>
      </x:c>
    </x:row>
    <x:row r="1231">
      <x:c r="A1231" t="n">
        <x:v>2</x:v>
      </x:c>
      <x:c r="B1231" t="str">
        <x:v>Asscher</x:v>
      </x:c>
      <x:c r="C1231" t="str">
        <x:v>E</x:v>
      </x:c>
      <x:c r="D1231" t="str">
        <x:v>VS2</x:v>
      </x:c>
      <x:c r="E1231" s="36" t="n">
        <x:v>11900</x:v>
      </x:c>
      <x:c r="F1231" s="36" t="n">
        <x:v>5249</x:v>
      </x:c>
      <x:c r="G1231" s="42" t="n">
        <x:v>1.125911625911626</x:v>
      </x:c>
      <x:c r="H1231" s="36" t="n">
        <x:f>E1231*G1231</x:f>
        <x:v>13398.348348348349</x:v>
      </x:c>
      <x:c r="I1231" s="36" t="n">
        <x:f>IFERROR(H1231/A1231,0)</x:f>
        <x:v>6699.174174174174</x:v>
      </x:c>
      <x:c r="J1231" s="67" t="str">
        <x:v>Modeled from live base + Sep-2026 quality ratio</x:v>
      </x:c>
      <x:c r="K1231" s="67" t="str">
        <x:v>https://www.stonealgo.com/diamond-prices/</x:v>
      </x:c>
      <x:c r="L1231" s="67" t="str">
        <x:v>https://www.pricescope.com/blog/natural-diamond-prices-september-2026</x:v>
      </x:c>
    </x:row>
    <x:row r="1232">
      <x:c r="A1232" t="n">
        <x:v>2</x:v>
      </x:c>
      <x:c r="B1232" t="str">
        <x:v>Asscher</x:v>
      </x:c>
      <x:c r="C1232" t="str">
        <x:v>E</x:v>
      </x:c>
      <x:c r="D1232" t="str">
        <x:v>SI1</x:v>
      </x:c>
      <x:c r="E1232" s="36" t="n">
        <x:v>11900</x:v>
      </x:c>
      <x:c r="F1232" s="36" t="n">
        <x:v>3551</x:v>
      </x:c>
      <x:c r="G1232" s="42" t="n">
        <x:v>0.7616902616902617</x:v>
      </x:c>
      <x:c r="H1232" s="36" t="n">
        <x:f>E1232*G1232</x:f>
        <x:v>9064.114114114114</x:v>
      </x:c>
      <x:c r="I1232" s="36" t="n">
        <x:f>IFERROR(H1232/A1232,0)</x:f>
        <x:v>4532.057057057057</x:v>
      </x:c>
      <x:c r="J1232" s="67" t="str">
        <x:v>Modeled from live base + Sep-2026 quality ratio</x:v>
      </x:c>
      <x:c r="K1232" s="67" t="str">
        <x:v>https://www.stonealgo.com/diamond-prices/</x:v>
      </x:c>
      <x:c r="L1232" s="67" t="str">
        <x:v>https://www.pricescope.com/blog/natural-diamond-prices-september-2026</x:v>
      </x:c>
    </x:row>
    <x:row r="1233">
      <x:c r="A1233" t="n">
        <x:v>2</x:v>
      </x:c>
      <x:c r="B1233" t="str">
        <x:v>Asscher</x:v>
      </x:c>
      <x:c r="C1233" t="str">
        <x:v>E</x:v>
      </x:c>
      <x:c r="D1233" t="str">
        <x:v>SI2</x:v>
      </x:c>
      <x:c r="E1233" s="36" t="n">
        <x:v>11900</x:v>
      </x:c>
      <x:c r="F1233" s="36" t="n">
        <x:v>2993</x:v>
      </x:c>
      <x:c r="G1233" s="42" t="n">
        <x:v>0.641999141999142</x:v>
      </x:c>
      <x:c r="H1233" s="36" t="n">
        <x:f>E1233*G1233</x:f>
        <x:v>7639.789789789789</x:v>
      </x:c>
      <x:c r="I1233" s="36" t="n">
        <x:f>IFERROR(H1233/A1233,0)</x:f>
        <x:v>3819.8948948948946</x:v>
      </x:c>
      <x:c r="J1233" s="67" t="str">
        <x:v>Modeled from live base + Sep-2026 quality ratio</x:v>
      </x:c>
      <x:c r="K1233" s="67" t="str">
        <x:v>https://www.stonealgo.com/diamond-prices/</x:v>
      </x:c>
      <x:c r="L1233" s="67" t="str">
        <x:v>https://www.pricescope.com/blog/natural-diamond-prices-september-2026</x:v>
      </x:c>
    </x:row>
    <x:row r="1234">
      <x:c r="A1234" t="n">
        <x:v>2</x:v>
      </x:c>
      <x:c r="B1234" t="str">
        <x:v>Asscher</x:v>
      </x:c>
      <x:c r="C1234" t="str">
        <x:v>F</x:v>
      </x:c>
      <x:c r="D1234" t="str">
        <x:v>FL</x:v>
      </x:c>
      <x:c r="E1234" s="36" t="n">
        <x:v>11900</x:v>
      </x:c>
      <x:c r="F1234" s="36" t="n">
        <x:v>6830</x:v>
      </x:c>
      <x:c r="G1234" s="42" t="n">
        <x:v>1.4650364650364651</x:v>
      </x:c>
      <x:c r="H1234" s="36" t="n">
        <x:f>E1234*G1234</x:f>
        <x:v>17433.933933933935</x:v>
      </x:c>
      <x:c r="I1234" s="36" t="n">
        <x:f>IFERROR(H1234/A1234,0)</x:f>
        <x:v>8716.966966966967</x:v>
      </x:c>
      <x:c r="J1234" s="67" t="str">
        <x:v>Modeled from live base + Sep-2026 quality ratio</x:v>
      </x:c>
      <x:c r="K1234" s="67" t="str">
        <x:v>https://www.stonealgo.com/diamond-prices/</x:v>
      </x:c>
      <x:c r="L1234" s="67" t="str">
        <x:v>https://www.pricescope.com/blog/natural-diamond-prices-september-2026</x:v>
      </x:c>
    </x:row>
    <x:row r="1235">
      <x:c r="A1235" t="n">
        <x:v>2</x:v>
      </x:c>
      <x:c r="B1235" t="str">
        <x:v>Asscher</x:v>
      </x:c>
      <x:c r="C1235" t="str">
        <x:v>F</x:v>
      </x:c>
      <x:c r="D1235" t="str">
        <x:v>IF</x:v>
      </x:c>
      <x:c r="E1235" s="36" t="n">
        <x:v>11900</x:v>
      </x:c>
      <x:c r="F1235" s="36" t="n">
        <x:v>7302</x:v>
      </x:c>
      <x:c r="G1235" s="42" t="n">
        <x:v>1.5662805662805663</x:v>
      </x:c>
      <x:c r="H1235" s="36" t="n">
        <x:f>E1235*G1235</x:f>
        <x:v>18638.73873873874</x:v>
      </x:c>
      <x:c r="I1235" s="36" t="n">
        <x:f>IFERROR(H1235/A1235,0)</x:f>
        <x:v>9319.36936936937</x:v>
      </x:c>
      <x:c r="J1235" s="67" t="str">
        <x:v>Modeled from live base + Sep-2026 quality ratio</x:v>
      </x:c>
      <x:c r="K1235" s="67" t="str">
        <x:v>https://www.stonealgo.com/diamond-prices/</x:v>
      </x:c>
      <x:c r="L1235" s="67" t="str">
        <x:v>https://www.pricescope.com/blog/natural-diamond-prices-september-2026</x:v>
      </x:c>
    </x:row>
    <x:row r="1236">
      <x:c r="A1236" t="n">
        <x:v>2</x:v>
      </x:c>
      <x:c r="B1236" t="str">
        <x:v>Asscher</x:v>
      </x:c>
      <x:c r="C1236" t="str">
        <x:v>F</x:v>
      </x:c>
      <x:c r="D1236" t="str">
        <x:v>VVS1</x:v>
      </x:c>
      <x:c r="E1236" s="36" t="n">
        <x:v>11900</x:v>
      </x:c>
      <x:c r="F1236" s="36" t="n">
        <x:v>7542</x:v>
      </x:c>
      <x:c r="G1236" s="42" t="n">
        <x:v>1.6177606177606179</x:v>
      </x:c>
      <x:c r="H1236" s="36" t="n">
        <x:f>E1236*G1236</x:f>
        <x:v>19251.351351351354</x:v>
      </x:c>
      <x:c r="I1236" s="36" t="n">
        <x:f>IFERROR(H1236/A1236,0)</x:f>
        <x:v>9625.675675675677</x:v>
      </x:c>
      <x:c r="J1236" s="67" t="str">
        <x:v>Modeled from live base + Sep-2026 quality ratio</x:v>
      </x:c>
      <x:c r="K1236" s="67" t="str">
        <x:v>https://www.stonealgo.com/diamond-prices/</x:v>
      </x:c>
      <x:c r="L1236" s="67" t="str">
        <x:v>https://www.pricescope.com/blog/natural-diamond-prices-september-2026</x:v>
      </x:c>
    </x:row>
    <x:row r="1237">
      <x:c r="A1237" t="n">
        <x:v>2</x:v>
      </x:c>
      <x:c r="B1237" t="str">
        <x:v>Asscher</x:v>
      </x:c>
      <x:c r="C1237" t="str">
        <x:v>F</x:v>
      </x:c>
      <x:c r="D1237" t="str">
        <x:v>VVS2</x:v>
      </x:c>
      <x:c r="E1237" s="36" t="n">
        <x:v>11900</x:v>
      </x:c>
      <x:c r="F1237" s="36" t="n">
        <x:v>6352</x:v>
      </x:c>
      <x:c r="G1237" s="42" t="n">
        <x:v>1.3625053625053625</x:v>
      </x:c>
      <x:c r="H1237" s="36" t="n">
        <x:f>E1237*G1237</x:f>
        <x:v>16213.813813813813</x:v>
      </x:c>
      <x:c r="I1237" s="36" t="n">
        <x:f>IFERROR(H1237/A1237,0)</x:f>
        <x:v>8106.906906906906</x:v>
      </x:c>
      <x:c r="J1237" s="67" t="str">
        <x:v>Modeled from live base + Sep-2026 quality ratio</x:v>
      </x:c>
      <x:c r="K1237" s="67" t="str">
        <x:v>https://www.stonealgo.com/diamond-prices/</x:v>
      </x:c>
      <x:c r="L1237" s="67" t="str">
        <x:v>https://www.pricescope.com/blog/natural-diamond-prices-september-2026</x:v>
      </x:c>
    </x:row>
    <x:row r="1238">
      <x:c r="A1238" t="n">
        <x:v>2</x:v>
      </x:c>
      <x:c r="B1238" t="str">
        <x:v>Asscher</x:v>
      </x:c>
      <x:c r="C1238" t="str">
        <x:v>F</x:v>
      </x:c>
      <x:c r="D1238" t="str">
        <x:v>VS1</x:v>
      </x:c>
      <x:c r="E1238" s="36" t="n">
        <x:v>11900</x:v>
      </x:c>
      <x:c r="F1238" s="36" t="n">
        <x:v>5647</x:v>
      </x:c>
      <x:c r="G1238" s="42" t="n">
        <x:v>1.2112827112827114</x:v>
      </x:c>
      <x:c r="H1238" s="36" t="n">
        <x:f>E1238*G1238</x:f>
        <x:v>14414.264264264266</x:v>
      </x:c>
      <x:c r="I1238" s="36" t="n">
        <x:f>IFERROR(H1238/A1238,0)</x:f>
        <x:v>7207.132132132133</x:v>
      </x:c>
      <x:c r="J1238" s="67" t="str">
        <x:v>Modeled from live base + Sep-2026 quality ratio</x:v>
      </x:c>
      <x:c r="K1238" s="67" t="str">
        <x:v>https://www.stonealgo.com/diamond-prices/</x:v>
      </x:c>
      <x:c r="L1238" s="67" t="str">
        <x:v>https://www.pricescope.com/blog/natural-diamond-prices-september-2026</x:v>
      </x:c>
    </x:row>
    <x:row r="1239">
      <x:c r="A1239" t="n">
        <x:v>2</x:v>
      </x:c>
      <x:c r="B1239" t="str">
        <x:v>Asscher</x:v>
      </x:c>
      <x:c r="C1239" t="str">
        <x:v>F</x:v>
      </x:c>
      <x:c r="D1239" t="str">
        <x:v>VS2</x:v>
      </x:c>
      <x:c r="E1239" s="36" t="n">
        <x:v>11900</x:v>
      </x:c>
      <x:c r="F1239" s="36" t="n">
        <x:v>4730</x:v>
      </x:c>
      <x:c r="G1239" s="42" t="n">
        <x:v>1.0145860145860146</x:v>
      </x:c>
      <x:c r="H1239" s="36" t="n">
        <x:f>E1239*G1239</x:f>
        <x:v>12073.573573573574</x:v>
      </x:c>
      <x:c r="I1239" s="36" t="n">
        <x:f>IFERROR(H1239/A1239,0)</x:f>
        <x:v>6036.786786786787</x:v>
      </x:c>
      <x:c r="J1239" s="67" t="str">
        <x:v>Modeled from live base + Sep-2026 quality ratio</x:v>
      </x:c>
      <x:c r="K1239" s="67" t="str">
        <x:v>https://www.stonealgo.com/diamond-prices/</x:v>
      </x:c>
      <x:c r="L1239" s="67" t="str">
        <x:v>https://www.pricescope.com/blog/natural-diamond-prices-september-2026</x:v>
      </x:c>
    </x:row>
    <x:row r="1240">
      <x:c r="A1240" t="n">
        <x:v>2</x:v>
      </x:c>
      <x:c r="B1240" t="str">
        <x:v>Asscher</x:v>
      </x:c>
      <x:c r="C1240" t="str">
        <x:v>F</x:v>
      </x:c>
      <x:c r="D1240" t="str">
        <x:v>SI1</x:v>
      </x:c>
      <x:c r="E1240" s="36" t="n">
        <x:v>11900</x:v>
      </x:c>
      <x:c r="F1240" s="36" t="n">
        <x:v>3331</x:v>
      </x:c>
      <x:c r="G1240" s="42" t="n">
        <x:v>0.7145002145002145</x:v>
      </x:c>
      <x:c r="H1240" s="36" t="n">
        <x:f>E1240*G1240</x:f>
        <x:v>8502.552552552552</x:v>
      </x:c>
      <x:c r="I1240" s="36" t="n">
        <x:f>IFERROR(H1240/A1240,0)</x:f>
        <x:v>4251.276276276276</x:v>
      </x:c>
      <x:c r="J1240" s="67" t="str">
        <x:v>Modeled from live base + Sep-2026 quality ratio</x:v>
      </x:c>
      <x:c r="K1240" s="67" t="str">
        <x:v>https://www.stonealgo.com/diamond-prices/</x:v>
      </x:c>
      <x:c r="L1240" s="67" t="str">
        <x:v>https://www.pricescope.com/blog/natural-diamond-prices-september-2026</x:v>
      </x:c>
    </x:row>
    <x:row r="1241">
      <x:c r="A1241" t="n">
        <x:v>2</x:v>
      </x:c>
      <x:c r="B1241" t="str">
        <x:v>Asscher</x:v>
      </x:c>
      <x:c r="C1241" t="str">
        <x:v>F</x:v>
      </x:c>
      <x:c r="D1241" t="str">
        <x:v>SI2</x:v>
      </x:c>
      <x:c r="E1241" s="36" t="n">
        <x:v>11900</x:v>
      </x:c>
      <x:c r="F1241" s="36" t="n">
        <x:v>2733</x:v>
      </x:c>
      <x:c r="G1241" s="42" t="n">
        <x:v>0.5862290862290862</x:v>
      </x:c>
      <x:c r="H1241" s="36" t="n">
        <x:f>E1241*G1241</x:f>
        <x:v>6976.126126126126</x:v>
      </x:c>
      <x:c r="I1241" s="36" t="n">
        <x:f>IFERROR(H1241/A1241,0)</x:f>
        <x:v>3488.063063063063</x:v>
      </x:c>
      <x:c r="J1241" s="67" t="str">
        <x:v>Modeled from live base + Sep-2026 quality ratio</x:v>
      </x:c>
      <x:c r="K1241" s="67" t="str">
        <x:v>https://www.stonealgo.com/diamond-prices/</x:v>
      </x:c>
      <x:c r="L1241" s="67" t="str">
        <x:v>https://www.pricescope.com/blog/natural-diamond-prices-september-2026</x:v>
      </x:c>
    </x:row>
    <x:row r="1242">
      <x:c r="A1242" t="n">
        <x:v>2</x:v>
      </x:c>
      <x:c r="B1242" t="str">
        <x:v>Asscher</x:v>
      </x:c>
      <x:c r="C1242" t="str">
        <x:v>G</x:v>
      </x:c>
      <x:c r="D1242" t="str">
        <x:v>FL</x:v>
      </x:c>
      <x:c r="E1242" s="36" t="n">
        <x:v>11900</x:v>
      </x:c>
      <x:c r="F1242" s="36" t="n">
        <x:v>5905</x:v>
      </x:c>
      <x:c r="G1242" s="42" t="n">
        <x:v>1.2666237666237665</x:v>
      </x:c>
      <x:c r="H1242" s="36" t="n">
        <x:f>E1242*G1242</x:f>
        <x:v>15072.822822822822</x:v>
      </x:c>
      <x:c r="I1242" s="36" t="n">
        <x:f>IFERROR(H1242/A1242,0)</x:f>
        <x:v>7536.411411411411</x:v>
      </x:c>
      <x:c r="J1242" s="67" t="str">
        <x:v>Modeled from live base + Sep-2026 quality ratio</x:v>
      </x:c>
      <x:c r="K1242" s="67" t="str">
        <x:v>https://www.stonealgo.com/diamond-prices/</x:v>
      </x:c>
      <x:c r="L1242" s="67" t="str">
        <x:v>https://www.pricescope.com/blog/natural-diamond-prices-september-2026</x:v>
      </x:c>
    </x:row>
    <x:row r="1243">
      <x:c r="A1243" t="n">
        <x:v>2</x:v>
      </x:c>
      <x:c r="B1243" t="str">
        <x:v>Asscher</x:v>
      </x:c>
      <x:c r="C1243" t="str">
        <x:v>G</x:v>
      </x:c>
      <x:c r="D1243" t="str">
        <x:v>IF</x:v>
      </x:c>
      <x:c r="E1243" s="36" t="n">
        <x:v>11900</x:v>
      </x:c>
      <x:c r="F1243" s="36" t="n">
        <x:v>5601</x:v>
      </x:c>
      <x:c r="G1243" s="42" t="n">
        <x:v>1.2014157014157014</x:v>
      </x:c>
      <x:c r="H1243" s="36" t="n">
        <x:f>E1243*G1243</x:f>
        <x:v>14296.846846846847</x:v>
      </x:c>
      <x:c r="I1243" s="36" t="n">
        <x:f>IFERROR(H1243/A1243,0)</x:f>
        <x:v>7148.423423423424</x:v>
      </x:c>
      <x:c r="J1243" s="67" t="str">
        <x:v>Modeled from live base + Sep-2026 quality ratio</x:v>
      </x:c>
      <x:c r="K1243" s="67" t="str">
        <x:v>https://www.stonealgo.com/diamond-prices/</x:v>
      </x:c>
      <x:c r="L1243" s="67" t="str">
        <x:v>https://www.pricescope.com/blog/natural-diamond-prices-september-2026</x:v>
      </x:c>
    </x:row>
    <x:row r="1244">
      <x:c r="A1244" t="n">
        <x:v>2</x:v>
      </x:c>
      <x:c r="B1244" t="str">
        <x:v>Asscher</x:v>
      </x:c>
      <x:c r="C1244" t="str">
        <x:v>G</x:v>
      </x:c>
      <x:c r="D1244" t="str">
        <x:v>VVS1</x:v>
      </x:c>
      <x:c r="E1244" s="36" t="n">
        <x:v>11900</x:v>
      </x:c>
      <x:c r="F1244" s="36" t="n">
        <x:v>5124</x:v>
      </x:c>
      <x:c r="G1244" s="42" t="n">
        <x:v>1.0990990990990992</x:v>
      </x:c>
      <x:c r="H1244" s="36" t="n">
        <x:f>E1244*G1244</x:f>
        <x:v>13079.27927927928</x:v>
      </x:c>
      <x:c r="I1244" s="36" t="n">
        <x:f>IFERROR(H1244/A1244,0)</x:f>
        <x:v>6539.63963963964</x:v>
      </x:c>
      <x:c r="J1244" s="67" t="str">
        <x:v>Modeled from live base + Sep-2026 quality ratio</x:v>
      </x:c>
      <x:c r="K1244" s="67" t="str">
        <x:v>https://www.stonealgo.com/diamond-prices/</x:v>
      </x:c>
      <x:c r="L1244" s="67" t="str">
        <x:v>https://www.pricescope.com/blog/natural-diamond-prices-september-2026</x:v>
      </x:c>
    </x:row>
    <x:row r="1245">
      <x:c r="A1245" t="n">
        <x:v>2</x:v>
      </x:c>
      <x:c r="B1245" t="str">
        <x:v>Asscher</x:v>
      </x:c>
      <x:c r="C1245" t="str">
        <x:v>G</x:v>
      </x:c>
      <x:c r="D1245" t="str">
        <x:v>VVS2</x:v>
      </x:c>
      <x:c r="E1245" s="36" t="n">
        <x:v>11900</x:v>
      </x:c>
      <x:c r="F1245" s="36" t="n">
        <x:v>4962</x:v>
      </x:c>
      <x:c r="G1245" s="42" t="n">
        <x:v>1.0643500643500643</x:v>
      </x:c>
      <x:c r="H1245" s="36" t="n">
        <x:f>E1245*G1245</x:f>
        <x:v>12665.765765765766</x:v>
      </x:c>
      <x:c r="I1245" s="36" t="n">
        <x:f>IFERROR(H1245/A1245,0)</x:f>
        <x:v>6332.882882882883</x:v>
      </x:c>
      <x:c r="J1245" s="67" t="str">
        <x:v>Modeled from live base + Sep-2026 quality ratio</x:v>
      </x:c>
      <x:c r="K1245" s="67" t="str">
        <x:v>https://www.stonealgo.com/diamond-prices/</x:v>
      </x:c>
      <x:c r="L1245" s="67" t="str">
        <x:v>https://www.pricescope.com/blog/natural-diamond-prices-september-2026</x:v>
      </x:c>
    </x:row>
    <x:row r="1246">
      <x:c r="A1246" t="n">
        <x:v>2</x:v>
      </x:c>
      <x:c r="B1246" t="str">
        <x:v>Asscher</x:v>
      </x:c>
      <x:c r="C1246" t="str">
        <x:v>G</x:v>
      </x:c>
      <x:c r="D1246" t="str">
        <x:v>VS1</x:v>
      </x:c>
      <x:c r="E1246" s="36" t="n">
        <x:v>11900</x:v>
      </x:c>
      <x:c r="F1246" s="36" t="n">
        <x:v>4615</x:v>
      </x:c>
      <x:c r="G1246" s="42" t="n">
        <x:v>0.98991848991849</x:v>
      </x:c>
      <x:c r="H1246" s="36" t="n">
        <x:f>E1246*G1246</x:f>
        <x:v>11780.030030030031</x:v>
      </x:c>
      <x:c r="I1246" s="36" t="n">
        <x:f>IFERROR(H1246/A1246,0)</x:f>
        <x:v>5890.015015015016</x:v>
      </x:c>
      <x:c r="J1246" s="67" t="str">
        <x:v>Modeled from live base + Sep-2026 quality ratio</x:v>
      </x:c>
      <x:c r="K1246" s="67" t="str">
        <x:v>https://www.stonealgo.com/diamond-prices/</x:v>
      </x:c>
      <x:c r="L1246" s="67" t="str">
        <x:v>https://www.pricescope.com/blog/natural-diamond-prices-september-2026</x:v>
      </x:c>
    </x:row>
    <x:row r="1247">
      <x:c r="A1247" t="n">
        <x:v>2</x:v>
      </x:c>
      <x:c r="B1247" t="str">
        <x:v>Asscher</x:v>
      </x:c>
      <x:c r="C1247" t="str">
        <x:v>G</x:v>
      </x:c>
      <x:c r="D1247" t="str">
        <x:v>VS2</x:v>
      </x:c>
      <x:c r="E1247" s="36" t="n">
        <x:v>11900</x:v>
      </x:c>
      <x:c r="F1247" s="36" t="n">
        <x:v>4585</x:v>
      </x:c>
      <x:c r="G1247" s="42" t="n">
        <x:v>0.9834834834834835</x:v>
      </x:c>
      <x:c r="H1247" s="36" t="n">
        <x:f>E1247*G1247</x:f>
        <x:v>11703.453453453454</x:v>
      </x:c>
      <x:c r="I1247" s="36" t="n">
        <x:f>IFERROR(H1247/A1247,0)</x:f>
        <x:v>5851.726726726727</x:v>
      </x:c>
      <x:c r="J1247" s="67" t="str">
        <x:v>Modeled from live base + Sep-2026 quality ratio</x:v>
      </x:c>
      <x:c r="K1247" s="67" t="str">
        <x:v>https://www.stonealgo.com/diamond-prices/</x:v>
      </x:c>
      <x:c r="L1247" s="67" t="str">
        <x:v>https://www.pricescope.com/blog/natural-diamond-prices-september-2026</x:v>
      </x:c>
    </x:row>
    <x:row r="1248">
      <x:c r="A1248" t="n">
        <x:v>2</x:v>
      </x:c>
      <x:c r="B1248" t="str">
        <x:v>Asscher</x:v>
      </x:c>
      <x:c r="C1248" t="str">
        <x:v>G</x:v>
      </x:c>
      <x:c r="D1248" t="str">
        <x:v>SI1</x:v>
      </x:c>
      <x:c r="E1248" s="36" t="n">
        <x:v>11900</x:v>
      </x:c>
      <x:c r="F1248" s="36" t="n">
        <x:v>3664</x:v>
      </x:c>
      <x:c r="G1248" s="42" t="n">
        <x:v>0.7859287859287859</x:v>
      </x:c>
      <x:c r="H1248" s="36" t="n">
        <x:f>E1248*G1248</x:f>
        <x:v>9352.552552552552</x:v>
      </x:c>
      <x:c r="I1248" s="36" t="n">
        <x:f>IFERROR(H1248/A1248,0)</x:f>
        <x:v>4676.276276276276</x:v>
      </x:c>
      <x:c r="J1248" s="67" t="str">
        <x:v>Modeled from live base + Sep-2026 quality ratio</x:v>
      </x:c>
      <x:c r="K1248" s="67" t="str">
        <x:v>https://www.stonealgo.com/diamond-prices/</x:v>
      </x:c>
      <x:c r="L1248" s="67" t="str">
        <x:v>https://www.pricescope.com/blog/natural-diamond-prices-september-2026</x:v>
      </x:c>
    </x:row>
    <x:row r="1249">
      <x:c r="A1249" t="n">
        <x:v>2</x:v>
      </x:c>
      <x:c r="B1249" t="str">
        <x:v>Asscher</x:v>
      </x:c>
      <x:c r="C1249" t="str">
        <x:v>G</x:v>
      </x:c>
      <x:c r="D1249" t="str">
        <x:v>SI2</x:v>
      </x:c>
      <x:c r="E1249" s="36" t="n">
        <x:v>11900</x:v>
      </x:c>
      <x:c r="F1249" s="36" t="n">
        <x:v>2537</x:v>
      </x:c>
      <x:c r="G1249" s="42" t="n">
        <x:v>0.5441870441870442</x:v>
      </x:c>
      <x:c r="H1249" s="36" t="n">
        <x:f>E1249*G1249</x:f>
        <x:v>6475.8258258258265</x:v>
      </x:c>
      <x:c r="I1249" s="36" t="n">
        <x:f>IFERROR(H1249/A1249,0)</x:f>
        <x:v>3237.9129129129133</x:v>
      </x:c>
      <x:c r="J1249" s="67" t="str">
        <x:v>Modeled from live base + Sep-2026 quality ratio</x:v>
      </x:c>
      <x:c r="K1249" s="67" t="str">
        <x:v>https://www.stonealgo.com/diamond-prices/</x:v>
      </x:c>
      <x:c r="L1249" s="67" t="str">
        <x:v>https://www.pricescope.com/blog/natural-diamond-prices-september-2026</x:v>
      </x:c>
    </x:row>
    <x:row r="1250">
      <x:c r="A1250" t="n">
        <x:v>2</x:v>
      </x:c>
      <x:c r="B1250" t="str">
        <x:v>Asscher</x:v>
      </x:c>
      <x:c r="C1250" t="str">
        <x:v>H</x:v>
      </x:c>
      <x:c r="D1250" t="str">
        <x:v>FL</x:v>
      </x:c>
      <x:c r="E1250" s="36" t="n">
        <x:v>11900</x:v>
      </x:c>
      <x:c r="F1250" s="36" t="n">
        <x:v>4563</x:v>
      </x:c>
      <x:c r="G1250" s="42" t="n">
        <x:v>0.9787644787644788</x:v>
      </x:c>
      <x:c r="H1250" s="36" t="n">
        <x:f>E1250*G1250</x:f>
        <x:v>11647.297297297298</x:v>
      </x:c>
      <x:c r="I1250" s="36" t="n">
        <x:f>IFERROR(H1250/A1250,0)</x:f>
        <x:v>5823.648648648649</x:v>
      </x:c>
      <x:c r="J1250" s="67" t="str">
        <x:v>Modeled from live base + Sep-2026 quality ratio</x:v>
      </x:c>
      <x:c r="K1250" s="67" t="str">
        <x:v>https://www.stonealgo.com/diamond-prices/</x:v>
      </x:c>
      <x:c r="L1250" s="67" t="str">
        <x:v>https://www.pricescope.com/blog/natural-diamond-prices-september-2026</x:v>
      </x:c>
    </x:row>
    <x:row r="1251">
      <x:c r="A1251" t="n">
        <x:v>2</x:v>
      </x:c>
      <x:c r="B1251" t="str">
        <x:v>Asscher</x:v>
      </x:c>
      <x:c r="C1251" t="str">
        <x:v>H</x:v>
      </x:c>
      <x:c r="D1251" t="str">
        <x:v>IF</x:v>
      </x:c>
      <x:c r="E1251" s="36" t="n">
        <x:v>11900</x:v>
      </x:c>
      <x:c r="F1251" s="36" t="n">
        <x:v>4809</x:v>
      </x:c>
      <x:c r="G1251" s="42" t="n">
        <x:v>1.0315315315315314</x:v>
      </x:c>
      <x:c r="H1251" s="36" t="n">
        <x:f>E1251*G1251</x:f>
        <x:v>12275.225225225224</x:v>
      </x:c>
      <x:c r="I1251" s="36" t="n">
        <x:f>IFERROR(H1251/A1251,0)</x:f>
        <x:v>6137.612612612612</x:v>
      </x:c>
      <x:c r="J1251" s="67" t="str">
        <x:v>Modeled from live base + Sep-2026 quality ratio</x:v>
      </x:c>
      <x:c r="K1251" s="67" t="str">
        <x:v>https://www.stonealgo.com/diamond-prices/</x:v>
      </x:c>
      <x:c r="L1251" s="67" t="str">
        <x:v>https://www.pricescope.com/blog/natural-diamond-prices-september-2026</x:v>
      </x:c>
    </x:row>
    <x:row r="1252">
      <x:c r="A1252" t="n">
        <x:v>2</x:v>
      </x:c>
      <x:c r="B1252" t="str">
        <x:v>Asscher</x:v>
      </x:c>
      <x:c r="C1252" t="str">
        <x:v>H</x:v>
      </x:c>
      <x:c r="D1252" t="str">
        <x:v>VVS1</x:v>
      </x:c>
      <x:c r="E1252" s="36" t="n">
        <x:v>11900</x:v>
      </x:c>
      <x:c r="F1252" s="36" t="n">
        <x:v>4911</x:v>
      </x:c>
      <x:c r="G1252" s="42" t="n">
        <x:v>1.0534105534105533</x:v>
      </x:c>
      <x:c r="H1252" s="36" t="n">
        <x:f>E1252*G1252</x:f>
        <x:v>12535.585585585584</x:v>
      </x:c>
      <x:c r="I1252" s="36" t="n">
        <x:f>IFERROR(H1252/A1252,0)</x:f>
        <x:v>6267.792792792792</x:v>
      </x:c>
      <x:c r="J1252" s="67" t="str">
        <x:v>Modeled from live base + Sep-2026 quality ratio</x:v>
      </x:c>
      <x:c r="K1252" s="67" t="str">
        <x:v>https://www.stonealgo.com/diamond-prices/</x:v>
      </x:c>
      <x:c r="L1252" s="67" t="str">
        <x:v>https://www.pricescope.com/blog/natural-diamond-prices-september-2026</x:v>
      </x:c>
    </x:row>
    <x:row r="1253">
      <x:c r="A1253" t="n">
        <x:v>2</x:v>
      </x:c>
      <x:c r="B1253" t="str">
        <x:v>Asscher</x:v>
      </x:c>
      <x:c r="C1253" t="str">
        <x:v>H</x:v>
      </x:c>
      <x:c r="D1253" t="str">
        <x:v>VVS2</x:v>
      </x:c>
      <x:c r="E1253" s="36" t="n">
        <x:v>11900</x:v>
      </x:c>
      <x:c r="F1253" s="36" t="n">
        <x:v>4046</x:v>
      </x:c>
      <x:c r="G1253" s="42" t="n">
        <x:v>0.8678678678678678</x:v>
      </x:c>
      <x:c r="H1253" s="36" t="n">
        <x:f>E1253*G1253</x:f>
        <x:v>10327.627627627628</x:v>
      </x:c>
      <x:c r="I1253" s="36" t="n">
        <x:f>IFERROR(H1253/A1253,0)</x:f>
        <x:v>5163.813813813814</x:v>
      </x:c>
      <x:c r="J1253" s="67" t="str">
        <x:v>Modeled from live base + Sep-2026 quality ratio</x:v>
      </x:c>
      <x:c r="K1253" s="67" t="str">
        <x:v>https://www.stonealgo.com/diamond-prices/</x:v>
      </x:c>
      <x:c r="L1253" s="67" t="str">
        <x:v>https://www.pricescope.com/blog/natural-diamond-prices-september-2026</x:v>
      </x:c>
    </x:row>
    <x:row r="1254">
      <x:c r="A1254" t="n">
        <x:v>2</x:v>
      </x:c>
      <x:c r="B1254" t="str">
        <x:v>Asscher</x:v>
      </x:c>
      <x:c r="C1254" t="str">
        <x:v>H</x:v>
      </x:c>
      <x:c r="D1254" t="str">
        <x:v>VS1</x:v>
      </x:c>
      <x:c r="E1254" s="36" t="n">
        <x:v>11900</x:v>
      </x:c>
      <x:c r="F1254" s="36" t="n">
        <x:v>3893</x:v>
      </x:c>
      <x:c r="G1254" s="42" t="n">
        <x:v>0.8350493350493351</x:v>
      </x:c>
      <x:c r="H1254" s="36" t="n">
        <x:f>E1254*G1254</x:f>
        <x:v>9937.087087087088</x:v>
      </x:c>
      <x:c r="I1254" s="36" t="n">
        <x:f>IFERROR(H1254/A1254,0)</x:f>
        <x:v>4968.543543543544</x:v>
      </x:c>
      <x:c r="J1254" s="67" t="str">
        <x:v>Modeled from live base + Sep-2026 quality ratio</x:v>
      </x:c>
      <x:c r="K1254" s="67" t="str">
        <x:v>https://www.stonealgo.com/diamond-prices/</x:v>
      </x:c>
      <x:c r="L1254" s="67" t="str">
        <x:v>https://www.pricescope.com/blog/natural-diamond-prices-september-2026</x:v>
      </x:c>
    </x:row>
    <x:row r="1255">
      <x:c r="A1255" t="n">
        <x:v>2</x:v>
      </x:c>
      <x:c r="B1255" t="str">
        <x:v>Asscher</x:v>
      </x:c>
      <x:c r="C1255" t="str">
        <x:v>H</x:v>
      </x:c>
      <x:c r="D1255" t="str">
        <x:v>VS2</x:v>
      </x:c>
      <x:c r="E1255" s="36" t="n">
        <x:v>11900</x:v>
      </x:c>
      <x:c r="F1255" s="36" t="n">
        <x:v>3989</x:v>
      </x:c>
      <x:c r="G1255" s="42" t="n">
        <x:v>0.8556413556413557</x:v>
      </x:c>
      <x:c r="H1255" s="36" t="n">
        <x:f>E1255*G1255</x:f>
        <x:v>10182.132132132132</x:v>
      </x:c>
      <x:c r="I1255" s="36" t="n">
        <x:f>IFERROR(H1255/A1255,0)</x:f>
        <x:v>5091.066066066066</x:v>
      </x:c>
      <x:c r="J1255" s="67" t="str">
        <x:v>Modeled from live base + Sep-2026 quality ratio</x:v>
      </x:c>
      <x:c r="K1255" s="67" t="str">
        <x:v>https://www.stonealgo.com/diamond-prices/</x:v>
      </x:c>
      <x:c r="L1255" s="67" t="str">
        <x:v>https://www.pricescope.com/blog/natural-diamond-prices-september-2026</x:v>
      </x:c>
    </x:row>
    <x:row r="1256">
      <x:c r="A1256" t="n">
        <x:v>2</x:v>
      </x:c>
      <x:c r="B1256" t="str">
        <x:v>Asscher</x:v>
      </x:c>
      <x:c r="C1256" t="str">
        <x:v>H</x:v>
      </x:c>
      <x:c r="D1256" t="str">
        <x:v>SI1</x:v>
      </x:c>
      <x:c r="E1256" s="36" t="n">
        <x:v>11900</x:v>
      </x:c>
      <x:c r="F1256" s="36" t="n">
        <x:v>2828</x:v>
      </x:c>
      <x:c r="G1256" s="42" t="n">
        <x:v>0.6066066066066066</x:v>
      </x:c>
      <x:c r="H1256" s="36" t="n">
        <x:f>E1256*G1256</x:f>
        <x:v>7218.618618618619</x:v>
      </x:c>
      <x:c r="I1256" s="36" t="n">
        <x:f>IFERROR(H1256/A1256,0)</x:f>
        <x:v>3609.3093093093094</x:v>
      </x:c>
      <x:c r="J1256" s="67" t="str">
        <x:v>Modeled from live base + Sep-2026 quality ratio</x:v>
      </x:c>
      <x:c r="K1256" s="67" t="str">
        <x:v>https://www.stonealgo.com/diamond-prices/</x:v>
      </x:c>
      <x:c r="L1256" s="67" t="str">
        <x:v>https://www.pricescope.com/blog/natural-diamond-prices-september-2026</x:v>
      </x:c>
    </x:row>
    <x:row r="1257">
      <x:c r="A1257" t="n">
        <x:v>2</x:v>
      </x:c>
      <x:c r="B1257" t="str">
        <x:v>Asscher</x:v>
      </x:c>
      <x:c r="C1257" t="str">
        <x:v>H</x:v>
      </x:c>
      <x:c r="D1257" t="str">
        <x:v>SI2</x:v>
      </x:c>
      <x:c r="E1257" s="36" t="n">
        <x:v>11900</x:v>
      </x:c>
      <x:c r="F1257" s="36" t="n">
        <x:v>2328</x:v>
      </x:c>
      <x:c r="G1257" s="42" t="n">
        <x:v>0.49935649935649934</x:v>
      </x:c>
      <x:c r="H1257" s="36" t="n">
        <x:f>E1257*G1257</x:f>
        <x:v>5942.342342342342</x:v>
      </x:c>
      <x:c r="I1257" s="36" t="n">
        <x:f>IFERROR(H1257/A1257,0)</x:f>
        <x:v>2971.171171171171</x:v>
      </x:c>
      <x:c r="J1257" s="67" t="str">
        <x:v>Modeled from live base + Sep-2026 quality ratio</x:v>
      </x:c>
      <x:c r="K1257" s="67" t="str">
        <x:v>https://www.stonealgo.com/diamond-prices/</x:v>
      </x:c>
      <x:c r="L1257" s="67" t="str">
        <x:v>https://www.pricescope.com/blog/natural-diamond-prices-september-2026</x:v>
      </x:c>
    </x:row>
    <x:row r="1258">
      <x:c r="A1258" t="n">
        <x:v>2</x:v>
      </x:c>
      <x:c r="B1258" t="str">
        <x:v>Asscher</x:v>
      </x:c>
      <x:c r="C1258" t="str">
        <x:v>I</x:v>
      </x:c>
      <x:c r="D1258" t="str">
        <x:v>FL</x:v>
      </x:c>
      <x:c r="E1258" s="36" t="n">
        <x:v>11900</x:v>
      </x:c>
      <x:c r="F1258" s="36" t="n">
        <x:v>4623</x:v>
      </x:c>
      <x:c r="G1258" s="42" t="n">
        <x:v>0.9916344916344917</x:v>
      </x:c>
      <x:c r="H1258" s="36" t="n">
        <x:f>E1258*G1258</x:f>
        <x:v>11800.450450450451</x:v>
      </x:c>
      <x:c r="I1258" s="36" t="n">
        <x:f>IFERROR(H1258/A1258,0)</x:f>
        <x:v>5900.225225225226</x:v>
      </x:c>
      <x:c r="J1258" s="67" t="str">
        <x:v>Modeled from live base + Sep-2026 quality ratio</x:v>
      </x:c>
      <x:c r="K1258" s="67" t="str">
        <x:v>https://www.stonealgo.com/diamond-prices/</x:v>
      </x:c>
      <x:c r="L1258" s="67" t="str">
        <x:v>https://www.pricescope.com/blog/natural-diamond-prices-september-2026</x:v>
      </x:c>
    </x:row>
    <x:row r="1259">
      <x:c r="A1259" t="n">
        <x:v>2</x:v>
      </x:c>
      <x:c r="B1259" t="str">
        <x:v>Asscher</x:v>
      </x:c>
      <x:c r="C1259" t="str">
        <x:v>I</x:v>
      </x:c>
      <x:c r="D1259" t="str">
        <x:v>IF</x:v>
      </x:c>
      <x:c r="E1259" s="36" t="n">
        <x:v>11900</x:v>
      </x:c>
      <x:c r="F1259" s="36" t="n">
        <x:v>4005</x:v>
      </x:c>
      <x:c r="G1259" s="42" t="n">
        <x:v>0.859073359073359</x:v>
      </x:c>
      <x:c r="H1259" s="36" t="n">
        <x:f>E1259*G1259</x:f>
        <x:v>10222.972972972972</x:v>
      </x:c>
      <x:c r="I1259" s="36" t="n">
        <x:f>IFERROR(H1259/A1259,0)</x:f>
        <x:v>5111.486486486486</x:v>
      </x:c>
      <x:c r="J1259" s="67" t="str">
        <x:v>Modeled from live base + Sep-2026 quality ratio</x:v>
      </x:c>
      <x:c r="K1259" s="67" t="str">
        <x:v>https://www.stonealgo.com/diamond-prices/</x:v>
      </x:c>
      <x:c r="L1259" s="67" t="str">
        <x:v>https://www.pricescope.com/blog/natural-diamond-prices-september-2026</x:v>
      </x:c>
    </x:row>
    <x:row r="1260">
      <x:c r="A1260" t="n">
        <x:v>2</x:v>
      </x:c>
      <x:c r="B1260" t="str">
        <x:v>Asscher</x:v>
      </x:c>
      <x:c r="C1260" t="str">
        <x:v>I</x:v>
      </x:c>
      <x:c r="D1260" t="str">
        <x:v>VVS1</x:v>
      </x:c>
      <x:c r="E1260" s="36" t="n">
        <x:v>11900</x:v>
      </x:c>
      <x:c r="F1260" s="36" t="n">
        <x:v>3670</x:v>
      </x:c>
      <x:c r="G1260" s="42" t="n">
        <x:v>0.7872157872157872</x:v>
      </x:c>
      <x:c r="H1260" s="36" t="n">
        <x:f>E1260*G1260</x:f>
        <x:v>9367.867867867868</x:v>
      </x:c>
      <x:c r="I1260" s="36" t="n">
        <x:f>IFERROR(H1260/A1260,0)</x:f>
        <x:v>4683.933933933934</x:v>
      </x:c>
      <x:c r="J1260" s="67" t="str">
        <x:v>Modeled from live base + Sep-2026 quality ratio</x:v>
      </x:c>
      <x:c r="K1260" s="67" t="str">
        <x:v>https://www.stonealgo.com/diamond-prices/</x:v>
      </x:c>
      <x:c r="L1260" s="67" t="str">
        <x:v>https://www.pricescope.com/blog/natural-diamond-prices-september-2026</x:v>
      </x:c>
    </x:row>
    <x:row r="1261">
      <x:c r="A1261" t="n">
        <x:v>2</x:v>
      </x:c>
      <x:c r="B1261" t="str">
        <x:v>Asscher</x:v>
      </x:c>
      <x:c r="C1261" t="str">
        <x:v>I</x:v>
      </x:c>
      <x:c r="D1261" t="str">
        <x:v>VVS2</x:v>
      </x:c>
      <x:c r="E1261" s="36" t="n">
        <x:v>11900</x:v>
      </x:c>
      <x:c r="F1261" s="36" t="n">
        <x:v>3447</x:v>
      </x:c>
      <x:c r="G1261" s="42" t="n">
        <x:v>0.7393822393822393</x:v>
      </x:c>
      <x:c r="H1261" s="36" t="n">
        <x:f>E1261*G1261</x:f>
        <x:v>8798.648648648648</x:v>
      </x:c>
      <x:c r="I1261" s="36" t="n">
        <x:f>IFERROR(H1261/A1261,0)</x:f>
        <x:v>4399.324324324324</x:v>
      </x:c>
      <x:c r="J1261" s="67" t="str">
        <x:v>Modeled from live base + Sep-2026 quality ratio</x:v>
      </x:c>
      <x:c r="K1261" s="67" t="str">
        <x:v>https://www.stonealgo.com/diamond-prices/</x:v>
      </x:c>
      <x:c r="L1261" s="67" t="str">
        <x:v>https://www.pricescope.com/blog/natural-diamond-prices-september-2026</x:v>
      </x:c>
    </x:row>
    <x:row r="1262">
      <x:c r="A1262" t="n">
        <x:v>2</x:v>
      </x:c>
      <x:c r="B1262" t="str">
        <x:v>Asscher</x:v>
      </x:c>
      <x:c r="C1262" t="str">
        <x:v>I</x:v>
      </x:c>
      <x:c r="D1262" t="str">
        <x:v>VS1</x:v>
      </x:c>
      <x:c r="E1262" s="36" t="n">
        <x:v>11900</x:v>
      </x:c>
      <x:c r="F1262" s="36" t="n">
        <x:v>3313</x:v>
      </x:c>
      <x:c r="G1262" s="42" t="n">
        <x:v>0.7106392106392107</x:v>
      </x:c>
      <x:c r="H1262" s="36" t="n">
        <x:f>E1262*G1262</x:f>
        <x:v>8456.606606606607</x:v>
      </x:c>
      <x:c r="I1262" s="36" t="n">
        <x:f>IFERROR(H1262/A1262,0)</x:f>
        <x:v>4228.303303303303</x:v>
      </x:c>
      <x:c r="J1262" s="67" t="str">
        <x:v>Modeled from live base + Sep-2026 quality ratio</x:v>
      </x:c>
      <x:c r="K1262" s="67" t="str">
        <x:v>https://www.stonealgo.com/diamond-prices/</x:v>
      </x:c>
      <x:c r="L1262" s="67" t="str">
        <x:v>https://www.pricescope.com/blog/natural-diamond-prices-september-2026</x:v>
      </x:c>
    </x:row>
    <x:row r="1263">
      <x:c r="A1263" t="n">
        <x:v>2</x:v>
      </x:c>
      <x:c r="B1263" t="str">
        <x:v>Asscher</x:v>
      </x:c>
      <x:c r="C1263" t="str">
        <x:v>I</x:v>
      </x:c>
      <x:c r="D1263" t="str">
        <x:v>VS2</x:v>
      </x:c>
      <x:c r="E1263" s="36" t="n">
        <x:v>11900</x:v>
      </x:c>
      <x:c r="F1263" s="36" t="n">
        <x:v>3240</x:v>
      </x:c>
      <x:c r="G1263" s="42" t="n">
        <x:v>0.694980694980695</x:v>
      </x:c>
      <x:c r="H1263" s="36" t="n">
        <x:f>E1263*G1263</x:f>
        <x:v>8270.270270270272</x:v>
      </x:c>
      <x:c r="I1263" s="36" t="n">
        <x:f>IFERROR(H1263/A1263,0)</x:f>
        <x:v>4135.135135135136</x:v>
      </x:c>
      <x:c r="J1263" s="67" t="str">
        <x:v>Modeled from live base + Sep-2026 quality ratio</x:v>
      </x:c>
      <x:c r="K1263" s="67" t="str">
        <x:v>https://www.stonealgo.com/diamond-prices/</x:v>
      </x:c>
      <x:c r="L1263" s="67" t="str">
        <x:v>https://www.pricescope.com/blog/natural-diamond-prices-september-2026</x:v>
      </x:c>
    </x:row>
    <x:row r="1264">
      <x:c r="A1264" t="n">
        <x:v>2</x:v>
      </x:c>
      <x:c r="B1264" t="str">
        <x:v>Asscher</x:v>
      </x:c>
      <x:c r="C1264" t="str">
        <x:v>I</x:v>
      </x:c>
      <x:c r="D1264" t="str">
        <x:v>SI1</x:v>
      </x:c>
      <x:c r="E1264" s="36" t="n">
        <x:v>11900</x:v>
      </x:c>
      <x:c r="F1264" s="36" t="n">
        <x:v>3199</x:v>
      </x:c>
      <x:c r="G1264" s="42" t="n">
        <x:v>0.6861861861861862</x:v>
      </x:c>
      <x:c r="H1264" s="36" t="n">
        <x:f>E1264*G1264</x:f>
        <x:v>8165.615615615616</x:v>
      </x:c>
      <x:c r="I1264" s="36" t="n">
        <x:f>IFERROR(H1264/A1264,0)</x:f>
        <x:v>4082.807807807808</x:v>
      </x:c>
      <x:c r="J1264" s="67" t="str">
        <x:v>Modeled from live base + Sep-2026 quality ratio</x:v>
      </x:c>
      <x:c r="K1264" s="67" t="str">
        <x:v>https://www.stonealgo.com/diamond-prices/</x:v>
      </x:c>
      <x:c r="L1264" s="67" t="str">
        <x:v>https://www.pricescope.com/blog/natural-diamond-prices-september-2026</x:v>
      </x:c>
    </x:row>
    <x:row r="1265">
      <x:c r="A1265" t="n">
        <x:v>2</x:v>
      </x:c>
      <x:c r="B1265" t="str">
        <x:v>Asscher</x:v>
      </x:c>
      <x:c r="C1265" t="str">
        <x:v>I</x:v>
      </x:c>
      <x:c r="D1265" t="str">
        <x:v>SI2</x:v>
      </x:c>
      <x:c r="E1265" s="36" t="n">
        <x:v>11900</x:v>
      </x:c>
      <x:c r="F1265" s="36" t="n">
        <x:v>2874</x:v>
      </x:c>
      <x:c r="G1265" s="42" t="n">
        <x:v>0.6164736164736164</x:v>
      </x:c>
      <x:c r="H1265" s="36" t="n">
        <x:f>E1265*G1265</x:f>
        <x:v>7336.0360360360355</x:v>
      </x:c>
      <x:c r="I1265" s="36" t="n">
        <x:f>IFERROR(H1265/A1265,0)</x:f>
        <x:v>3668.0180180180178</x:v>
      </x:c>
      <x:c r="J1265" s="67" t="str">
        <x:v>Modeled from live base + Sep-2026 quality ratio</x:v>
      </x:c>
      <x:c r="K1265" s="67" t="str">
        <x:v>https://www.stonealgo.com/diamond-prices/</x:v>
      </x:c>
      <x:c r="L1265" s="67" t="str">
        <x:v>https://www.pricescope.com/blog/natural-diamond-prices-september-2026</x:v>
      </x:c>
    </x:row>
    <x:row r="1266">
      <x:c r="A1266" t="n">
        <x:v>2</x:v>
      </x:c>
      <x:c r="B1266" t="str">
        <x:v>Asscher</x:v>
      </x:c>
      <x:c r="C1266" t="str">
        <x:v>J</x:v>
      </x:c>
      <x:c r="D1266" t="str">
        <x:v>FL</x:v>
      </x:c>
      <x:c r="E1266" s="36" t="n">
        <x:v>11900</x:v>
      </x:c>
      <x:c r="F1266" s="36" t="n">
        <x:v>3646</x:v>
      </x:c>
      <x:c r="G1266" s="42" t="n">
        <x:v>0.782067782067782</x:v>
      </x:c>
      <x:c r="H1266" s="36" t="n">
        <x:f>E1266*G1266</x:f>
        <x:v>9306.606606606607</x:v>
      </x:c>
      <x:c r="I1266" s="36" t="n">
        <x:f>IFERROR(H1266/A1266,0)</x:f>
        <x:v>4653.303303303303</x:v>
      </x:c>
      <x:c r="J1266" s="67" t="str">
        <x:v>Modeled from live base + Sep-2026 quality ratio</x:v>
      </x:c>
      <x:c r="K1266" s="67" t="str">
        <x:v>https://www.stonealgo.com/diamond-prices/</x:v>
      </x:c>
      <x:c r="L1266" s="67" t="str">
        <x:v>https://www.pricescope.com/blog/natural-diamond-prices-september-2026</x:v>
      </x:c>
    </x:row>
    <x:row r="1267">
      <x:c r="A1267" t="n">
        <x:v>2</x:v>
      </x:c>
      <x:c r="B1267" t="str">
        <x:v>Asscher</x:v>
      </x:c>
      <x:c r="C1267" t="str">
        <x:v>J</x:v>
      </x:c>
      <x:c r="D1267" t="str">
        <x:v>IF</x:v>
      </x:c>
      <x:c r="E1267" s="36" t="n">
        <x:v>11900</x:v>
      </x:c>
      <x:c r="F1267" s="36" t="n">
        <x:v>3368</x:v>
      </x:c>
      <x:c r="G1267" s="42" t="n">
        <x:v>0.7224367224367224</x:v>
      </x:c>
      <x:c r="H1267" s="36" t="n">
        <x:f>E1267*G1267</x:f>
        <x:v>8596.996996996997</x:v>
      </x:c>
      <x:c r="I1267" s="36" t="n">
        <x:f>IFERROR(H1267/A1267,0)</x:f>
        <x:v>4298.4984984984985</x:v>
      </x:c>
      <x:c r="J1267" s="67" t="str">
        <x:v>Modeled from live base + Sep-2026 quality ratio</x:v>
      </x:c>
      <x:c r="K1267" s="67" t="str">
        <x:v>https://www.stonealgo.com/diamond-prices/</x:v>
      </x:c>
      <x:c r="L1267" s="67" t="str">
        <x:v>https://www.pricescope.com/blog/natural-diamond-prices-september-2026</x:v>
      </x:c>
    </x:row>
    <x:row r="1268">
      <x:c r="A1268" t="n">
        <x:v>2</x:v>
      </x:c>
      <x:c r="B1268" t="str">
        <x:v>Asscher</x:v>
      </x:c>
      <x:c r="C1268" t="str">
        <x:v>J</x:v>
      </x:c>
      <x:c r="D1268" t="str">
        <x:v>VVS1</x:v>
      </x:c>
      <x:c r="E1268" s="36" t="n">
        <x:v>11900</x:v>
      </x:c>
      <x:c r="F1268" s="36" t="n">
        <x:v>2956</x:v>
      </x:c>
      <x:c r="G1268" s="42" t="n">
        <x:v>0.6340626340626341</x:v>
      </x:c>
      <x:c r="H1268" s="36" t="n">
        <x:f>E1268*G1268</x:f>
        <x:v>7545.345345345346</x:v>
      </x:c>
      <x:c r="I1268" s="36" t="n">
        <x:f>IFERROR(H1268/A1268,0)</x:f>
        <x:v>3772.672672672673</x:v>
      </x:c>
      <x:c r="J1268" s="67" t="str">
        <x:v>Modeled from live base + Sep-2026 quality ratio</x:v>
      </x:c>
      <x:c r="K1268" s="67" t="str">
        <x:v>https://www.stonealgo.com/diamond-prices/</x:v>
      </x:c>
      <x:c r="L1268" s="67" t="str">
        <x:v>https://www.pricescope.com/blog/natural-diamond-prices-september-2026</x:v>
      </x:c>
    </x:row>
    <x:row r="1269">
      <x:c r="A1269" t="n">
        <x:v>2</x:v>
      </x:c>
      <x:c r="B1269" t="str">
        <x:v>Asscher</x:v>
      </x:c>
      <x:c r="C1269" t="str">
        <x:v>J</x:v>
      </x:c>
      <x:c r="D1269" t="str">
        <x:v>VVS2</x:v>
      </x:c>
      <x:c r="E1269" s="36" t="n">
        <x:v>11900</x:v>
      </x:c>
      <x:c r="F1269" s="36" t="n">
        <x:v>2612</x:v>
      </x:c>
      <x:c r="G1269" s="42" t="n">
        <x:v>0.5602745602745602</x:v>
      </x:c>
      <x:c r="H1269" s="36" t="n">
        <x:f>E1269*G1269</x:f>
        <x:v>6667.267267267267</x:v>
      </x:c>
      <x:c r="I1269" s="36" t="n">
        <x:f>IFERROR(H1269/A1269,0)</x:f>
        <x:v>3333.6336336336335</x:v>
      </x:c>
      <x:c r="J1269" s="67" t="str">
        <x:v>Modeled from live base + Sep-2026 quality ratio</x:v>
      </x:c>
      <x:c r="K1269" s="67" t="str">
        <x:v>https://www.stonealgo.com/diamond-prices/</x:v>
      </x:c>
      <x:c r="L1269" s="67" t="str">
        <x:v>https://www.pricescope.com/blog/natural-diamond-prices-september-2026</x:v>
      </x:c>
    </x:row>
    <x:row r="1270">
      <x:c r="A1270" t="n">
        <x:v>2</x:v>
      </x:c>
      <x:c r="B1270" t="str">
        <x:v>Asscher</x:v>
      </x:c>
      <x:c r="C1270" t="str">
        <x:v>J</x:v>
      </x:c>
      <x:c r="D1270" t="str">
        <x:v>VS1</x:v>
      </x:c>
      <x:c r="E1270" s="36" t="n">
        <x:v>11900</x:v>
      </x:c>
      <x:c r="F1270" s="36" t="n">
        <x:v>3002</x:v>
      </x:c>
      <x:c r="G1270" s="42" t="n">
        <x:v>0.6439296439296439</x:v>
      </x:c>
      <x:c r="H1270" s="36" t="n">
        <x:f>E1270*G1270</x:f>
        <x:v>7662.762762762763</x:v>
      </x:c>
      <x:c r="I1270" s="36" t="n">
        <x:f>IFERROR(H1270/A1270,0)</x:f>
        <x:v>3831.3813813813813</x:v>
      </x:c>
      <x:c r="J1270" s="67" t="str">
        <x:v>Modeled from live base + Sep-2026 quality ratio</x:v>
      </x:c>
      <x:c r="K1270" s="67" t="str">
        <x:v>https://www.stonealgo.com/diamond-prices/</x:v>
      </x:c>
      <x:c r="L1270" s="67" t="str">
        <x:v>https://www.pricescope.com/blog/natural-diamond-prices-september-2026</x:v>
      </x:c>
    </x:row>
    <x:row r="1271">
      <x:c r="A1271" t="n">
        <x:v>2</x:v>
      </x:c>
      <x:c r="B1271" t="str">
        <x:v>Asscher</x:v>
      </x:c>
      <x:c r="C1271" t="str">
        <x:v>J</x:v>
      </x:c>
      <x:c r="D1271" t="str">
        <x:v>VS2</x:v>
      </x:c>
      <x:c r="E1271" s="36" t="n">
        <x:v>11900</x:v>
      </x:c>
      <x:c r="F1271" s="36" t="n">
        <x:v>2559</x:v>
      </x:c>
      <x:c r="G1271" s="42" t="n">
        <x:v>0.5489060489060489</x:v>
      </x:c>
      <x:c r="H1271" s="36" t="n">
        <x:f>E1271*G1271</x:f>
        <x:v>6531.981981981981</x:v>
      </x:c>
      <x:c r="I1271" s="36" t="n">
        <x:f>IFERROR(H1271/A1271,0)</x:f>
        <x:v>3265.9909909909907</x:v>
      </x:c>
      <x:c r="J1271" s="67" t="str">
        <x:v>Modeled from live base + Sep-2026 quality ratio</x:v>
      </x:c>
      <x:c r="K1271" s="67" t="str">
        <x:v>https://www.stonealgo.com/diamond-prices/</x:v>
      </x:c>
      <x:c r="L1271" s="67" t="str">
        <x:v>https://www.pricescope.com/blog/natural-diamond-prices-september-2026</x:v>
      </x:c>
    </x:row>
    <x:row r="1272">
      <x:c r="A1272" t="n">
        <x:v>2</x:v>
      </x:c>
      <x:c r="B1272" t="str">
        <x:v>Asscher</x:v>
      </x:c>
      <x:c r="C1272" t="str">
        <x:v>J</x:v>
      </x:c>
      <x:c r="D1272" t="str">
        <x:v>SI1</x:v>
      </x:c>
      <x:c r="E1272" s="36" t="n">
        <x:v>11900</x:v>
      </x:c>
      <x:c r="F1272" s="36" t="n">
        <x:v>2195</x:v>
      </x:c>
      <x:c r="G1272" s="42" t="n">
        <x:v>0.47082797082797084</x:v>
      </x:c>
      <x:c r="H1272" s="36" t="n">
        <x:f>E1272*G1272</x:f>
        <x:v>5602.852852852853</x:v>
      </x:c>
      <x:c r="I1272" s="36" t="n">
        <x:f>IFERROR(H1272/A1272,0)</x:f>
        <x:v>2801.4264264264266</x:v>
      </x:c>
      <x:c r="J1272" s="67" t="str">
        <x:v>Modeled from live base + Sep-2026 quality ratio</x:v>
      </x:c>
      <x:c r="K1272" s="67" t="str">
        <x:v>https://www.stonealgo.com/diamond-prices/</x:v>
      </x:c>
      <x:c r="L1272" s="67" t="str">
        <x:v>https://www.pricescope.com/blog/natural-diamond-prices-september-2026</x:v>
      </x:c>
    </x:row>
    <x:row r="1273">
      <x:c r="A1273" t="n">
        <x:v>2</x:v>
      </x:c>
      <x:c r="B1273" t="str">
        <x:v>Asscher</x:v>
      </x:c>
      <x:c r="C1273" t="str">
        <x:v>J</x:v>
      </x:c>
      <x:c r="D1273" t="str">
        <x:v>SI2</x:v>
      </x:c>
      <x:c r="E1273" s="36" t="n">
        <x:v>11900</x:v>
      </x:c>
      <x:c r="F1273" s="36" t="n">
        <x:v>2079</x:v>
      </x:c>
      <x:c r="G1273" s="42" t="n">
        <x:v>0.44594594594594594</x:v>
      </x:c>
      <x:c r="H1273" s="36" t="n">
        <x:f>E1273*G1273</x:f>
        <x:v>5306.756756756757</x:v>
      </x:c>
      <x:c r="I1273" s="36" t="n">
        <x:f>IFERROR(H1273/A1273,0)</x:f>
        <x:v>2653.3783783783783</x:v>
      </x:c>
      <x:c r="J1273" s="67" t="str">
        <x:v>Modeled from live base + Sep-2026 quality ratio</x:v>
      </x:c>
      <x:c r="K1273" s="67" t="str">
        <x:v>https://www.stonealgo.com/diamond-prices/</x:v>
      </x:c>
      <x:c r="L1273" s="67" t="str">
        <x:v>https://www.pricescope.com/blog/natural-diamond-prices-september-2026</x:v>
      </x:c>
    </x:row>
    <x:row r="1274">
      <x:c r="A1274" t="n">
        <x:v>2</x:v>
      </x:c>
      <x:c r="B1274" t="str">
        <x:v>Asscher</x:v>
      </x:c>
      <x:c r="C1274" t="str">
        <x:v>K</x:v>
      </x:c>
      <x:c r="D1274" t="str">
        <x:v>FL</x:v>
      </x:c>
      <x:c r="E1274" s="36" t="n">
        <x:v>11900</x:v>
      </x:c>
      <x:c r="F1274" s="36" t="n">
        <x:v>2858</x:v>
      </x:c>
      <x:c r="G1274" s="42" t="n">
        <x:v>0.6130416130416131</x:v>
      </x:c>
      <x:c r="H1274" s="36" t="n">
        <x:f>E1274*G1274</x:f>
        <x:v>7295.195195195196</x:v>
      </x:c>
      <x:c r="I1274" s="36" t="n">
        <x:f>IFERROR(H1274/A1274,0)</x:f>
        <x:v>3647.597597597598</x:v>
      </x:c>
      <x:c r="J1274" s="67" t="str">
        <x:v>Modeled from live base + Sep-2026 quality ratio; K/FL quality cell modeled</x:v>
      </x:c>
      <x:c r="K1274" s="67" t="str">
        <x:v>https://www.stonealgo.com/diamond-prices/</x:v>
      </x:c>
      <x:c r="L1274" s="67" t="str">
        <x:v>https://www.pricescope.com/blog/natural-diamond-prices-september-2026</x:v>
      </x:c>
    </x:row>
    <x:row r="1275">
      <x:c r="A1275" t="n">
        <x:v>2</x:v>
      </x:c>
      <x:c r="B1275" t="str">
        <x:v>Asscher</x:v>
      </x:c>
      <x:c r="C1275" t="str">
        <x:v>K</x:v>
      </x:c>
      <x:c r="D1275" t="str">
        <x:v>IF</x:v>
      </x:c>
      <x:c r="E1275" s="36" t="n">
        <x:v>11900</x:v>
      </x:c>
      <x:c r="F1275" s="36" t="n">
        <x:v>2743</x:v>
      </x:c>
      <x:c r="G1275" s="42" t="n">
        <x:v>0.5883740883740883</x:v>
      </x:c>
      <x:c r="H1275" s="36" t="n">
        <x:f>E1275*G1275</x:f>
        <x:v>7001.651651651651</x:v>
      </x:c>
      <x:c r="I1275" s="36" t="n">
        <x:f>IFERROR(H1275/A1275,0)</x:f>
        <x:v>3500.8258258258256</x:v>
      </x:c>
      <x:c r="J1275" s="67" t="str">
        <x:v>Modeled from live base + Sep-2026 quality ratio</x:v>
      </x:c>
      <x:c r="K1275" s="67" t="str">
        <x:v>https://www.stonealgo.com/diamond-prices/</x:v>
      </x:c>
      <x:c r="L1275" s="67" t="str">
        <x:v>https://www.pricescope.com/blog/natural-diamond-prices-september-2026</x:v>
      </x:c>
    </x:row>
    <x:row r="1276">
      <x:c r="A1276" t="n">
        <x:v>2</x:v>
      </x:c>
      <x:c r="B1276" t="str">
        <x:v>Asscher</x:v>
      </x:c>
      <x:c r="C1276" t="str">
        <x:v>K</x:v>
      </x:c>
      <x:c r="D1276" t="str">
        <x:v>VVS1</x:v>
      </x:c>
      <x:c r="E1276" s="36" t="n">
        <x:v>11900</x:v>
      </x:c>
      <x:c r="F1276" s="36" t="n">
        <x:v>2529</x:v>
      </x:c>
      <x:c r="G1276" s="42" t="n">
        <x:v>0.5424710424710425</x:v>
      </x:c>
      <x:c r="H1276" s="36" t="n">
        <x:f>E1276*G1276</x:f>
        <x:v>6455.405405405406</x:v>
      </x:c>
      <x:c r="I1276" s="36" t="n">
        <x:f>IFERROR(H1276/A1276,0)</x:f>
        <x:v>3227.702702702703</x:v>
      </x:c>
      <x:c r="J1276" s="67" t="str">
        <x:v>Modeled from live base + Sep-2026 quality ratio</x:v>
      </x:c>
      <x:c r="K1276" s="67" t="str">
        <x:v>https://www.stonealgo.com/diamond-prices/</x:v>
      </x:c>
      <x:c r="L1276" s="67" t="str">
        <x:v>https://www.pricescope.com/blog/natural-diamond-prices-september-2026</x:v>
      </x:c>
    </x:row>
    <x:row r="1277">
      <x:c r="A1277" t="n">
        <x:v>2</x:v>
      </x:c>
      <x:c r="B1277" t="str">
        <x:v>Asscher</x:v>
      </x:c>
      <x:c r="C1277" t="str">
        <x:v>K</x:v>
      </x:c>
      <x:c r="D1277" t="str">
        <x:v>VVS2</x:v>
      </x:c>
      <x:c r="E1277" s="36" t="n">
        <x:v>11900</x:v>
      </x:c>
      <x:c r="F1277" s="36" t="n">
        <x:v>2374</x:v>
      </x:c>
      <x:c r="G1277" s="42" t="n">
        <x:v>0.5092235092235092</x:v>
      </x:c>
      <x:c r="H1277" s="36" t="n">
        <x:f>E1277*G1277</x:f>
        <x:v>6059.75975975976</x:v>
      </x:c>
      <x:c r="I1277" s="36" t="n">
        <x:f>IFERROR(H1277/A1277,0)</x:f>
        <x:v>3029.87987987988</x:v>
      </x:c>
      <x:c r="J1277" s="67" t="str">
        <x:v>Modeled from live base + Sep-2026 quality ratio</x:v>
      </x:c>
      <x:c r="K1277" s="67" t="str">
        <x:v>https://www.stonealgo.com/diamond-prices/</x:v>
      </x:c>
      <x:c r="L1277" s="67" t="str">
        <x:v>https://www.pricescope.com/blog/natural-diamond-prices-september-2026</x:v>
      </x:c>
    </x:row>
    <x:row r="1278">
      <x:c r="A1278" t="n">
        <x:v>2</x:v>
      </x:c>
      <x:c r="B1278" t="str">
        <x:v>Asscher</x:v>
      </x:c>
      <x:c r="C1278" t="str">
        <x:v>K</x:v>
      </x:c>
      <x:c r="D1278" t="str">
        <x:v>VS1</x:v>
      </x:c>
      <x:c r="E1278" s="36" t="n">
        <x:v>11900</x:v>
      </x:c>
      <x:c r="F1278" s="36" t="n">
        <x:v>2223</x:v>
      </x:c>
      <x:c r="G1278" s="42" t="n">
        <x:v>0.4768339768339768</x:v>
      </x:c>
      <x:c r="H1278" s="36" t="n">
        <x:f>E1278*G1278</x:f>
        <x:v>5674.324324324324</x:v>
      </x:c>
      <x:c r="I1278" s="36" t="n">
        <x:f>IFERROR(H1278/A1278,0)</x:f>
        <x:v>2837.162162162162</x:v>
      </x:c>
      <x:c r="J1278" s="67" t="str">
        <x:v>Modeled from live base + Sep-2026 quality ratio</x:v>
      </x:c>
      <x:c r="K1278" s="67" t="str">
        <x:v>https://www.stonealgo.com/diamond-prices/</x:v>
      </x:c>
      <x:c r="L1278" s="67" t="str">
        <x:v>https://www.pricescope.com/blog/natural-diamond-prices-september-2026</x:v>
      </x:c>
    </x:row>
    <x:row r="1279">
      <x:c r="A1279" t="n">
        <x:v>2</x:v>
      </x:c>
      <x:c r="B1279" t="str">
        <x:v>Asscher</x:v>
      </x:c>
      <x:c r="C1279" t="str">
        <x:v>K</x:v>
      </x:c>
      <x:c r="D1279" t="str">
        <x:v>VS2</x:v>
      </x:c>
      <x:c r="E1279" s="36" t="n">
        <x:v>11900</x:v>
      </x:c>
      <x:c r="F1279" s="36" t="n">
        <x:v>2098</x:v>
      </x:c>
      <x:c r="G1279" s="42" t="n">
        <x:v>0.45002145002145</x:v>
      </x:c>
      <x:c r="H1279" s="36" t="n">
        <x:f>E1279*G1279</x:f>
        <x:v>5355.255255255255</x:v>
      </x:c>
      <x:c r="I1279" s="36" t="n">
        <x:f>IFERROR(H1279/A1279,0)</x:f>
        <x:v>2677.6276276276276</x:v>
      </x:c>
      <x:c r="J1279" s="67" t="str">
        <x:v>Modeled from live base + Sep-2026 quality ratio</x:v>
      </x:c>
      <x:c r="K1279" s="67" t="str">
        <x:v>https://www.stonealgo.com/diamond-prices/</x:v>
      </x:c>
      <x:c r="L1279" s="67" t="str">
        <x:v>https://www.pricescope.com/blog/natural-diamond-prices-september-2026</x:v>
      </x:c>
    </x:row>
    <x:row r="1280">
      <x:c r="A1280" t="n">
        <x:v>2</x:v>
      </x:c>
      <x:c r="B1280" t="str">
        <x:v>Asscher</x:v>
      </x:c>
      <x:c r="C1280" t="str">
        <x:v>K</x:v>
      </x:c>
      <x:c r="D1280" t="str">
        <x:v>SI1</x:v>
      </x:c>
      <x:c r="E1280" s="36" t="n">
        <x:v>11900</x:v>
      </x:c>
      <x:c r="F1280" s="36" t="n">
        <x:v>1922</x:v>
      </x:c>
      <x:c r="G1280" s="42" t="n">
        <x:v>0.41226941226941227</x:v>
      </x:c>
      <x:c r="H1280" s="36" t="n">
        <x:f>E1280*G1280</x:f>
        <x:v>4906.006006006006</x:v>
      </x:c>
      <x:c r="I1280" s="36" t="n">
        <x:f>IFERROR(H1280/A1280,0)</x:f>
        <x:v>2453.003003003003</x:v>
      </x:c>
      <x:c r="J1280" s="67" t="str">
        <x:v>Modeled from live base + Sep-2026 quality ratio</x:v>
      </x:c>
      <x:c r="K1280" s="67" t="str">
        <x:v>https://www.stonealgo.com/diamond-prices/</x:v>
      </x:c>
      <x:c r="L1280" s="67" t="str">
        <x:v>https://www.pricescope.com/blog/natural-diamond-prices-september-2026</x:v>
      </x:c>
    </x:row>
    <x:row r="1281">
      <x:c r="A1281" t="n">
        <x:v>2</x:v>
      </x:c>
      <x:c r="B1281" t="str">
        <x:v>Asscher</x:v>
      </x:c>
      <x:c r="C1281" t="str">
        <x:v>K</x:v>
      </x:c>
      <x:c r="D1281" t="str">
        <x:v>SI2</x:v>
      </x:c>
      <x:c r="E1281" s="36" t="n">
        <x:v>11900</x:v>
      </x:c>
      <x:c r="F1281" s="36" t="n">
        <x:v>1764</x:v>
      </x:c>
      <x:c r="G1281" s="42" t="n">
        <x:v>0.3783783783783784</x:v>
      </x:c>
      <x:c r="H1281" s="36" t="n">
        <x:f>E1281*G1281</x:f>
        <x:v>4502.702702702703</x:v>
      </x:c>
      <x:c r="I1281" s="36" t="n">
        <x:f>IFERROR(H1281/A1281,0)</x:f>
        <x:v>2251.3513513513517</x:v>
      </x:c>
      <x:c r="J1281" s="67" t="str">
        <x:v>Modeled from live base + Sep-2026 quality ratio</x:v>
      </x:c>
      <x:c r="K1281" s="67" t="str">
        <x:v>https://www.stonealgo.com/diamond-prices/</x:v>
      </x:c>
      <x:c r="L1281" s="67" t="str">
        <x:v>https://www.pricescope.com/blog/natural-diamond-prices-september-2026</x:v>
      </x:c>
    </x:row>
    <x:row r="1282">
      <x:c r="A1282" t="n">
        <x:v>3</x:v>
      </x:c>
      <x:c r="B1282" t="str">
        <x:v>Round</x:v>
      </x:c>
      <x:c r="C1282" t="str">
        <x:v>D</x:v>
      </x:c>
      <x:c r="D1282" t="str">
        <x:v>FL</x:v>
      </x:c>
      <x:c r="E1282" s="36" t="n">
        <x:v>39105</x:v>
      </x:c>
      <x:c r="F1282" s="36" t="n">
        <x:v>12665</x:v>
      </x:c>
      <x:c r="G1282" s="42" t="n">
        <x:v>2.7166452166452166</x:v>
      </x:c>
      <x:c r="H1282" s="36" t="n">
        <x:f>E1282*G1282</x:f>
        <x:v>106234.4111969112</x:v>
      </x:c>
      <x:c r="I1282" s="36" t="n">
        <x:f>IFERROR(H1282/A1282,0)</x:f>
        <x:v>35411.4703989704</x:v>
      </x:c>
      <x:c r="J1282" s="67" t="str">
        <x:v>Modeled from live base + Sep-2026 quality ratio</x:v>
      </x:c>
      <x:c r="K1282" s="67" t="str">
        <x:v>https://www.stonealgo.com/diamond-prices/</x:v>
      </x:c>
      <x:c r="L1282" s="67" t="str">
        <x:v>https://www.pricescope.com/blog/natural-diamond-prices-september-2026</x:v>
      </x:c>
    </x:row>
    <x:row r="1283">
      <x:c r="A1283" t="n">
        <x:v>3</x:v>
      </x:c>
      <x:c r="B1283" t="str">
        <x:v>Round</x:v>
      </x:c>
      <x:c r="C1283" t="str">
        <x:v>D</x:v>
      </x:c>
      <x:c r="D1283" t="str">
        <x:v>IF</x:v>
      </x:c>
      <x:c r="E1283" s="36" t="n">
        <x:v>39105</x:v>
      </x:c>
      <x:c r="F1283" s="36" t="n">
        <x:v>13240</x:v>
      </x:c>
      <x:c r="G1283" s="42" t="n">
        <x:v>2.83998283998284</x:v>
      </x:c>
      <x:c r="H1283" s="36" t="n">
        <x:f>E1283*G1283</x:f>
        <x:v>111057.52895752896</x:v>
      </x:c>
      <x:c r="I1283" s="36" t="n">
        <x:f>IFERROR(H1283/A1283,0)</x:f>
        <x:v>37019.176319176324</x:v>
      </x:c>
      <x:c r="J1283" s="67" t="str">
        <x:v>Modeled from live base + Sep-2026 quality ratio</x:v>
      </x:c>
      <x:c r="K1283" s="67" t="str">
        <x:v>https://www.stonealgo.com/diamond-prices/</x:v>
      </x:c>
      <x:c r="L1283" s="67" t="str">
        <x:v>https://www.pricescope.com/blog/natural-diamond-prices-september-2026</x:v>
      </x:c>
    </x:row>
    <x:row r="1284">
      <x:c r="A1284" t="n">
        <x:v>3</x:v>
      </x:c>
      <x:c r="B1284" t="str">
        <x:v>Round</x:v>
      </x:c>
      <x:c r="C1284" t="str">
        <x:v>D</x:v>
      </x:c>
      <x:c r="D1284" t="str">
        <x:v>VVS1</x:v>
      </x:c>
      <x:c r="E1284" s="36" t="n">
        <x:v>39105</x:v>
      </x:c>
      <x:c r="F1284" s="36" t="n">
        <x:v>9555</x:v>
      </x:c>
      <x:c r="G1284" s="42" t="n">
        <x:v>2.0495495495495497</x:v>
      </x:c>
      <x:c r="H1284" s="36" t="n">
        <x:f>E1284*G1284</x:f>
        <x:v>80147.63513513515</x:v>
      </x:c>
      <x:c r="I1284" s="36" t="n">
        <x:f>IFERROR(H1284/A1284,0)</x:f>
        <x:v>26715.878378378384</x:v>
      </x:c>
      <x:c r="J1284" s="67" t="str">
        <x:v>Modeled from live base + Sep-2026 quality ratio</x:v>
      </x:c>
      <x:c r="K1284" s="67" t="str">
        <x:v>https://www.stonealgo.com/diamond-prices/</x:v>
      </x:c>
      <x:c r="L1284" s="67" t="str">
        <x:v>https://www.pricescope.com/blog/natural-diamond-prices-september-2026</x:v>
      </x:c>
    </x:row>
    <x:row r="1285">
      <x:c r="A1285" t="n">
        <x:v>3</x:v>
      </x:c>
      <x:c r="B1285" t="str">
        <x:v>Round</x:v>
      </x:c>
      <x:c r="C1285" t="str">
        <x:v>D</x:v>
      </x:c>
      <x:c r="D1285" t="str">
        <x:v>VVS2</x:v>
      </x:c>
      <x:c r="E1285" s="36" t="n">
        <x:v>39105</x:v>
      </x:c>
      <x:c r="F1285" s="36" t="n">
        <x:v>6660</x:v>
      </x:c>
      <x:c r="G1285" s="42" t="n">
        <x:v>1.4285714285714286</x:v>
      </x:c>
      <x:c r="H1285" s="36" t="n">
        <x:f>E1285*G1285</x:f>
        <x:v>55864.28571428572</x:v>
      </x:c>
      <x:c r="I1285" s="36" t="n">
        <x:f>IFERROR(H1285/A1285,0)</x:f>
        <x:v>18621.428571428572</x:v>
      </x:c>
      <x:c r="J1285" s="67" t="str">
        <x:v>Modeled from live base + Sep-2026 quality ratio</x:v>
      </x:c>
      <x:c r="K1285" s="67" t="str">
        <x:v>https://www.stonealgo.com/diamond-prices/</x:v>
      </x:c>
      <x:c r="L1285" s="67" t="str">
        <x:v>https://www.pricescope.com/blog/natural-diamond-prices-september-2026</x:v>
      </x:c>
    </x:row>
    <x:row r="1286">
      <x:c r="A1286" t="n">
        <x:v>3</x:v>
      </x:c>
      <x:c r="B1286" t="str">
        <x:v>Round</x:v>
      </x:c>
      <x:c r="C1286" t="str">
        <x:v>D</x:v>
      </x:c>
      <x:c r="D1286" t="str">
        <x:v>VS1</x:v>
      </x:c>
      <x:c r="E1286" s="36" t="n">
        <x:v>39105</x:v>
      </x:c>
      <x:c r="F1286" s="36" t="n">
        <x:v>6247</x:v>
      </x:c>
      <x:c r="G1286" s="42" t="n">
        <x:v>1.33998283998284</x:v>
      </x:c>
      <x:c r="H1286" s="36" t="n">
        <x:f>E1286*G1286</x:f>
        <x:v>52400.02895752896</x:v>
      </x:c>
      <x:c r="I1286" s="36" t="n">
        <x:f>IFERROR(H1286/A1286,0)</x:f>
        <x:v>17466.67631917632</x:v>
      </x:c>
      <x:c r="J1286" s="67" t="str">
        <x:v>Modeled from live base + Sep-2026 quality ratio</x:v>
      </x:c>
      <x:c r="K1286" s="67" t="str">
        <x:v>https://www.stonealgo.com/diamond-prices/</x:v>
      </x:c>
      <x:c r="L1286" s="67" t="str">
        <x:v>https://www.pricescope.com/blog/natural-diamond-prices-september-2026</x:v>
      </x:c>
    </x:row>
    <x:row r="1287">
      <x:c r="A1287" t="n">
        <x:v>3</x:v>
      </x:c>
      <x:c r="B1287" t="str">
        <x:v>Round</x:v>
      </x:c>
      <x:c r="C1287" t="str">
        <x:v>D</x:v>
      </x:c>
      <x:c r="D1287" t="str">
        <x:v>VS2</x:v>
      </x:c>
      <x:c r="E1287" s="36" t="n">
        <x:v>39105</x:v>
      </x:c>
      <x:c r="F1287" s="36" t="n">
        <x:v>5841</x:v>
      </x:c>
      <x:c r="G1287" s="42" t="n">
        <x:v>1.252895752895753</x:v>
      </x:c>
      <x:c r="H1287" s="36" t="n">
        <x:f>E1287*G1287</x:f>
        <x:v>48994.48841698842</x:v>
      </x:c>
      <x:c r="I1287" s="36" t="n">
        <x:f>IFERROR(H1287/A1287,0)</x:f>
        <x:v>16331.496138996139</x:v>
      </x:c>
      <x:c r="J1287" s="67" t="str">
        <x:v>Modeled from live base + Sep-2026 quality ratio</x:v>
      </x:c>
      <x:c r="K1287" s="67" t="str">
        <x:v>https://www.stonealgo.com/diamond-prices/</x:v>
      </x:c>
      <x:c r="L1287" s="67" t="str">
        <x:v>https://www.pricescope.com/blog/natural-diamond-prices-september-2026</x:v>
      </x:c>
    </x:row>
    <x:row r="1288">
      <x:c r="A1288" t="n">
        <x:v>3</x:v>
      </x:c>
      <x:c r="B1288" t="str">
        <x:v>Round</x:v>
      </x:c>
      <x:c r="C1288" t="str">
        <x:v>D</x:v>
      </x:c>
      <x:c r="D1288" t="str">
        <x:v>SI1</x:v>
      </x:c>
      <x:c r="E1288" s="36" t="n">
        <x:v>39105</x:v>
      </x:c>
      <x:c r="F1288" s="36" t="n">
        <x:v>3762</x:v>
      </x:c>
      <x:c r="G1288" s="42" t="n">
        <x:v>0.806949806949807</x:v>
      </x:c>
      <x:c r="H1288" s="36" t="n">
        <x:f>E1288*G1288</x:f>
        <x:v>31555.772200772204</x:v>
      </x:c>
      <x:c r="I1288" s="36" t="n">
        <x:f>IFERROR(H1288/A1288,0)</x:f>
        <x:v>10518.590733590734</x:v>
      </x:c>
      <x:c r="J1288" s="67" t="str">
        <x:v>Modeled from live base + Sep-2026 quality ratio</x:v>
      </x:c>
      <x:c r="K1288" s="67" t="str">
        <x:v>https://www.stonealgo.com/diamond-prices/</x:v>
      </x:c>
      <x:c r="L1288" s="67" t="str">
        <x:v>https://www.pricescope.com/blog/natural-diamond-prices-september-2026</x:v>
      </x:c>
    </x:row>
    <x:row r="1289">
      <x:c r="A1289" t="n">
        <x:v>3</x:v>
      </x:c>
      <x:c r="B1289" t="str">
        <x:v>Round</x:v>
      </x:c>
      <x:c r="C1289" t="str">
        <x:v>D</x:v>
      </x:c>
      <x:c r="D1289" t="str">
        <x:v>SI2</x:v>
      </x:c>
      <x:c r="E1289" s="36" t="n">
        <x:v>39105</x:v>
      </x:c>
      <x:c r="F1289" s="36" t="n">
        <x:v>3026</x:v>
      </x:c>
      <x:c r="G1289" s="42" t="n">
        <x:v>0.6490776490776491</x:v>
      </x:c>
      <x:c r="H1289" s="36" t="n">
        <x:f>E1289*G1289</x:f>
        <x:v>25382.181467181468</x:v>
      </x:c>
      <x:c r="I1289" s="36" t="n">
        <x:f>IFERROR(H1289/A1289,0)</x:f>
        <x:v>8460.727155727156</x:v>
      </x:c>
      <x:c r="J1289" s="67" t="str">
        <x:v>Modeled from live base + Sep-2026 quality ratio</x:v>
      </x:c>
      <x:c r="K1289" s="67" t="str">
        <x:v>https://www.stonealgo.com/diamond-prices/</x:v>
      </x:c>
      <x:c r="L1289" s="67" t="str">
        <x:v>https://www.pricescope.com/blog/natural-diamond-prices-september-2026</x:v>
      </x:c>
    </x:row>
    <x:row r="1290">
      <x:c r="A1290" t="n">
        <x:v>3</x:v>
      </x:c>
      <x:c r="B1290" t="str">
        <x:v>Round</x:v>
      </x:c>
      <x:c r="C1290" t="str">
        <x:v>E</x:v>
      </x:c>
      <x:c r="D1290" t="str">
        <x:v>FL</x:v>
      </x:c>
      <x:c r="E1290" s="36" t="n">
        <x:v>39105</x:v>
      </x:c>
      <x:c r="F1290" s="36" t="n">
        <x:v>10072</x:v>
      </x:c>
      <x:c r="G1290" s="42" t="n">
        <x:v>2.1604461604461602</x:v>
      </x:c>
      <x:c r="H1290" s="36" t="n">
        <x:f>E1290*G1290</x:f>
        <x:v>84484.2471042471</x:v>
      </x:c>
      <x:c r="I1290" s="36" t="n">
        <x:f>IFERROR(H1290/A1290,0)</x:f>
        <x:v>28161.4157014157</x:v>
      </x:c>
      <x:c r="J1290" s="67" t="str">
        <x:v>Modeled from live base + Sep-2026 quality ratio</x:v>
      </x:c>
      <x:c r="K1290" s="67" t="str">
        <x:v>https://www.stonealgo.com/diamond-prices/</x:v>
      </x:c>
      <x:c r="L1290" s="67" t="str">
        <x:v>https://www.pricescope.com/blog/natural-diamond-prices-september-2026</x:v>
      </x:c>
    </x:row>
    <x:row r="1291">
      <x:c r="A1291" t="n">
        <x:v>3</x:v>
      </x:c>
      <x:c r="B1291" t="str">
        <x:v>Round</x:v>
      </x:c>
      <x:c r="C1291" t="str">
        <x:v>E</x:v>
      </x:c>
      <x:c r="D1291" t="str">
        <x:v>IF</x:v>
      </x:c>
      <x:c r="E1291" s="36" t="n">
        <x:v>39105</x:v>
      </x:c>
      <x:c r="F1291" s="36" t="n">
        <x:v>8672</x:v>
      </x:c>
      <x:c r="G1291" s="42" t="n">
        <x:v>1.8601458601458603</x:v>
      </x:c>
      <x:c r="H1291" s="36" t="n">
        <x:f>E1291*G1291</x:f>
        <x:v>72741.00386100386</x:v>
      </x:c>
      <x:c r="I1291" s="36" t="n">
        <x:f>IFERROR(H1291/A1291,0)</x:f>
        <x:v>24247.001287001287</x:v>
      </x:c>
      <x:c r="J1291" s="67" t="str">
        <x:v>Modeled from live base + Sep-2026 quality ratio</x:v>
      </x:c>
      <x:c r="K1291" s="67" t="str">
        <x:v>https://www.stonealgo.com/diamond-prices/</x:v>
      </x:c>
      <x:c r="L1291" s="67" t="str">
        <x:v>https://www.pricescope.com/blog/natural-diamond-prices-september-2026</x:v>
      </x:c>
    </x:row>
    <x:row r="1292">
      <x:c r="A1292" t="n">
        <x:v>3</x:v>
      </x:c>
      <x:c r="B1292" t="str">
        <x:v>Round</x:v>
      </x:c>
      <x:c r="C1292" t="str">
        <x:v>E</x:v>
      </x:c>
      <x:c r="D1292" t="str">
        <x:v>VVS1</x:v>
      </x:c>
      <x:c r="E1292" s="36" t="n">
        <x:v>39105</x:v>
      </x:c>
      <x:c r="F1292" s="36" t="n">
        <x:v>7842</x:v>
      </x:c>
      <x:c r="G1292" s="42" t="n">
        <x:v>1.6821106821106822</x:v>
      </x:c>
      <x:c r="H1292" s="36" t="n">
        <x:f>E1292*G1292</x:f>
        <x:v>65778.93822393822</x:v>
      </x:c>
      <x:c r="I1292" s="36" t="n">
        <x:f>IFERROR(H1292/A1292,0)</x:f>
        <x:v>21926.31274131274</x:v>
      </x:c>
      <x:c r="J1292" s="67" t="str">
        <x:v>Modeled from live base + Sep-2026 quality ratio</x:v>
      </x:c>
      <x:c r="K1292" s="67" t="str">
        <x:v>https://www.stonealgo.com/diamond-prices/</x:v>
      </x:c>
      <x:c r="L1292" s="67" t="str">
        <x:v>https://www.pricescope.com/blog/natural-diamond-prices-september-2026</x:v>
      </x:c>
    </x:row>
    <x:row r="1293">
      <x:c r="A1293" t="n">
        <x:v>3</x:v>
      </x:c>
      <x:c r="B1293" t="str">
        <x:v>Round</x:v>
      </x:c>
      <x:c r="C1293" t="str">
        <x:v>E</x:v>
      </x:c>
      <x:c r="D1293" t="str">
        <x:v>VVS2</x:v>
      </x:c>
      <x:c r="E1293" s="36" t="n">
        <x:v>39105</x:v>
      </x:c>
      <x:c r="F1293" s="36" t="n">
        <x:v>6880</x:v>
      </x:c>
      <x:c r="G1293" s="42" t="n">
        <x:v>1.4757614757614759</x:v>
      </x:c>
      <x:c r="H1293" s="36" t="n">
        <x:f>E1293*G1293</x:f>
        <x:v>57709.652509652515</x:v>
      </x:c>
      <x:c r="I1293" s="36" t="n">
        <x:f>IFERROR(H1293/A1293,0)</x:f>
        <x:v>19236.55083655084</x:v>
      </x:c>
      <x:c r="J1293" s="67" t="str">
        <x:v>Modeled from live base + Sep-2026 quality ratio</x:v>
      </x:c>
      <x:c r="K1293" s="67" t="str">
        <x:v>https://www.stonealgo.com/diamond-prices/</x:v>
      </x:c>
      <x:c r="L1293" s="67" t="str">
        <x:v>https://www.pricescope.com/blog/natural-diamond-prices-september-2026</x:v>
      </x:c>
    </x:row>
    <x:row r="1294">
      <x:c r="A1294" t="n">
        <x:v>3</x:v>
      </x:c>
      <x:c r="B1294" t="str">
        <x:v>Round</x:v>
      </x:c>
      <x:c r="C1294" t="str">
        <x:v>E</x:v>
      </x:c>
      <x:c r="D1294" t="str">
        <x:v>VS1</x:v>
      </x:c>
      <x:c r="E1294" s="36" t="n">
        <x:v>39105</x:v>
      </x:c>
      <x:c r="F1294" s="36" t="n">
        <x:v>6307</x:v>
      </x:c>
      <x:c r="G1294" s="42" t="n">
        <x:v>1.352852852852853</x:v>
      </x:c>
      <x:c r="H1294" s="36" t="n">
        <x:f>E1294*G1294</x:f>
        <x:v>52903.31081081081</x:v>
      </x:c>
      <x:c r="I1294" s="36" t="n">
        <x:f>IFERROR(H1294/A1294,0)</x:f>
        <x:v>17634.436936936938</x:v>
      </x:c>
      <x:c r="J1294" s="67" t="str">
        <x:v>Modeled from live base + Sep-2026 quality ratio</x:v>
      </x:c>
      <x:c r="K1294" s="67" t="str">
        <x:v>https://www.stonealgo.com/diamond-prices/</x:v>
      </x:c>
      <x:c r="L1294" s="67" t="str">
        <x:v>https://www.pricescope.com/blog/natural-diamond-prices-september-2026</x:v>
      </x:c>
    </x:row>
    <x:row r="1295">
      <x:c r="A1295" t="n">
        <x:v>3</x:v>
      </x:c>
      <x:c r="B1295" t="str">
        <x:v>Round</x:v>
      </x:c>
      <x:c r="C1295" t="str">
        <x:v>E</x:v>
      </x:c>
      <x:c r="D1295" t="str">
        <x:v>VS2</x:v>
      </x:c>
      <x:c r="E1295" s="36" t="n">
        <x:v>39105</x:v>
      </x:c>
      <x:c r="F1295" s="36" t="n">
        <x:v>5249</x:v>
      </x:c>
      <x:c r="G1295" s="42" t="n">
        <x:v>1.125911625911626</x:v>
      </x:c>
      <x:c r="H1295" s="36" t="n">
        <x:f>E1295*G1295</x:f>
        <x:v>44028.774131274135</x:v>
      </x:c>
      <x:c r="I1295" s="36" t="n">
        <x:f>IFERROR(H1295/A1295,0)</x:f>
        <x:v>14676.258043758045</x:v>
      </x:c>
      <x:c r="J1295" s="67" t="str">
        <x:v>Modeled from live base + Sep-2026 quality ratio</x:v>
      </x:c>
      <x:c r="K1295" s="67" t="str">
        <x:v>https://www.stonealgo.com/diamond-prices/</x:v>
      </x:c>
      <x:c r="L1295" s="67" t="str">
        <x:v>https://www.pricescope.com/blog/natural-diamond-prices-september-2026</x:v>
      </x:c>
    </x:row>
    <x:row r="1296">
      <x:c r="A1296" t="n">
        <x:v>3</x:v>
      </x:c>
      <x:c r="B1296" t="str">
        <x:v>Round</x:v>
      </x:c>
      <x:c r="C1296" t="str">
        <x:v>E</x:v>
      </x:c>
      <x:c r="D1296" t="str">
        <x:v>SI1</x:v>
      </x:c>
      <x:c r="E1296" s="36" t="n">
        <x:v>39105</x:v>
      </x:c>
      <x:c r="F1296" s="36" t="n">
        <x:v>3551</x:v>
      </x:c>
      <x:c r="G1296" s="42" t="n">
        <x:v>0.7616902616902617</x:v>
      </x:c>
      <x:c r="H1296" s="36" t="n">
        <x:f>E1296*G1296</x:f>
        <x:v>29785.89768339768</x:v>
      </x:c>
      <x:c r="I1296" s="36" t="n">
        <x:f>IFERROR(H1296/A1296,0)</x:f>
        <x:v>9928.632561132561</x:v>
      </x:c>
      <x:c r="J1296" s="67" t="str">
        <x:v>Modeled from live base + Sep-2026 quality ratio</x:v>
      </x:c>
      <x:c r="K1296" s="67" t="str">
        <x:v>https://www.stonealgo.com/diamond-prices/</x:v>
      </x:c>
      <x:c r="L1296" s="67" t="str">
        <x:v>https://www.pricescope.com/blog/natural-diamond-prices-september-2026</x:v>
      </x:c>
    </x:row>
    <x:row r="1297">
      <x:c r="A1297" t="n">
        <x:v>3</x:v>
      </x:c>
      <x:c r="B1297" t="str">
        <x:v>Round</x:v>
      </x:c>
      <x:c r="C1297" t="str">
        <x:v>E</x:v>
      </x:c>
      <x:c r="D1297" t="str">
        <x:v>SI2</x:v>
      </x:c>
      <x:c r="E1297" s="36" t="n">
        <x:v>39105</x:v>
      </x:c>
      <x:c r="F1297" s="36" t="n">
        <x:v>2993</x:v>
      </x:c>
      <x:c r="G1297" s="42" t="n">
        <x:v>0.641999141999142</x:v>
      </x:c>
      <x:c r="H1297" s="36" t="n">
        <x:f>E1297*G1297</x:f>
        <x:v>25105.376447876446</x:v>
      </x:c>
      <x:c r="I1297" s="36" t="n">
        <x:f>IFERROR(H1297/A1297,0)</x:f>
        <x:v>8368.458815958815</x:v>
      </x:c>
      <x:c r="J1297" s="67" t="str">
        <x:v>Modeled from live base + Sep-2026 quality ratio</x:v>
      </x:c>
      <x:c r="K1297" s="67" t="str">
        <x:v>https://www.stonealgo.com/diamond-prices/</x:v>
      </x:c>
      <x:c r="L1297" s="67" t="str">
        <x:v>https://www.pricescope.com/blog/natural-diamond-prices-september-2026</x:v>
      </x:c>
    </x:row>
    <x:row r="1298">
      <x:c r="A1298" t="n">
        <x:v>3</x:v>
      </x:c>
      <x:c r="B1298" t="str">
        <x:v>Round</x:v>
      </x:c>
      <x:c r="C1298" t="str">
        <x:v>F</x:v>
      </x:c>
      <x:c r="D1298" t="str">
        <x:v>FL</x:v>
      </x:c>
      <x:c r="E1298" s="36" t="n">
        <x:v>39105</x:v>
      </x:c>
      <x:c r="F1298" s="36" t="n">
        <x:v>6830</x:v>
      </x:c>
      <x:c r="G1298" s="42" t="n">
        <x:v>1.4650364650364651</x:v>
      </x:c>
      <x:c r="H1298" s="36" t="n">
        <x:f>E1298*G1298</x:f>
        <x:v>57290.25096525097</x:v>
      </x:c>
      <x:c r="I1298" s="36" t="n">
        <x:f>IFERROR(H1298/A1298,0)</x:f>
        <x:v>19096.75032175032</x:v>
      </x:c>
      <x:c r="J1298" s="67" t="str">
        <x:v>Modeled from live base + Sep-2026 quality ratio</x:v>
      </x:c>
      <x:c r="K1298" s="67" t="str">
        <x:v>https://www.stonealgo.com/diamond-prices/</x:v>
      </x:c>
      <x:c r="L1298" s="67" t="str">
        <x:v>https://www.pricescope.com/blog/natural-diamond-prices-september-2026</x:v>
      </x:c>
    </x:row>
    <x:row r="1299">
      <x:c r="A1299" t="n">
        <x:v>3</x:v>
      </x:c>
      <x:c r="B1299" t="str">
        <x:v>Round</x:v>
      </x:c>
      <x:c r="C1299" t="str">
        <x:v>F</x:v>
      </x:c>
      <x:c r="D1299" t="str">
        <x:v>IF</x:v>
      </x:c>
      <x:c r="E1299" s="36" t="n">
        <x:v>39105</x:v>
      </x:c>
      <x:c r="F1299" s="36" t="n">
        <x:v>7302</x:v>
      </x:c>
      <x:c r="G1299" s="42" t="n">
        <x:v>1.5662805662805663</x:v>
      </x:c>
      <x:c r="H1299" s="36" t="n">
        <x:f>E1299*G1299</x:f>
        <x:v>61249.401544401546</x:v>
      </x:c>
      <x:c r="I1299" s="36" t="n">
        <x:f>IFERROR(H1299/A1299,0)</x:f>
        <x:v>20416.467181467182</x:v>
      </x:c>
      <x:c r="J1299" s="67" t="str">
        <x:v>Modeled from live base + Sep-2026 quality ratio</x:v>
      </x:c>
      <x:c r="K1299" s="67" t="str">
        <x:v>https://www.stonealgo.com/diamond-prices/</x:v>
      </x:c>
      <x:c r="L1299" s="67" t="str">
        <x:v>https://www.pricescope.com/blog/natural-diamond-prices-september-2026</x:v>
      </x:c>
    </x:row>
    <x:row r="1300">
      <x:c r="A1300" t="n">
        <x:v>3</x:v>
      </x:c>
      <x:c r="B1300" t="str">
        <x:v>Round</x:v>
      </x:c>
      <x:c r="C1300" t="str">
        <x:v>F</x:v>
      </x:c>
      <x:c r="D1300" t="str">
        <x:v>VVS1</x:v>
      </x:c>
      <x:c r="E1300" s="36" t="n">
        <x:v>39105</x:v>
      </x:c>
      <x:c r="F1300" s="36" t="n">
        <x:v>7542</x:v>
      </x:c>
      <x:c r="G1300" s="42" t="n">
        <x:v>1.6177606177606179</x:v>
      </x:c>
      <x:c r="H1300" s="36" t="n">
        <x:f>E1300*G1300</x:f>
        <x:v>63262.528957528964</x:v>
      </x:c>
      <x:c r="I1300" s="36" t="n">
        <x:f>IFERROR(H1300/A1300,0)</x:f>
        <x:v>21087.509652509656</x:v>
      </x:c>
      <x:c r="J1300" s="67" t="str">
        <x:v>Modeled from live base + Sep-2026 quality ratio</x:v>
      </x:c>
      <x:c r="K1300" s="67" t="str">
        <x:v>https://www.stonealgo.com/diamond-prices/</x:v>
      </x:c>
      <x:c r="L1300" s="67" t="str">
        <x:v>https://www.pricescope.com/blog/natural-diamond-prices-september-2026</x:v>
      </x:c>
    </x:row>
    <x:row r="1301">
      <x:c r="A1301" t="n">
        <x:v>3</x:v>
      </x:c>
      <x:c r="B1301" t="str">
        <x:v>Round</x:v>
      </x:c>
      <x:c r="C1301" t="str">
        <x:v>F</x:v>
      </x:c>
      <x:c r="D1301" t="str">
        <x:v>VVS2</x:v>
      </x:c>
      <x:c r="E1301" s="36" t="n">
        <x:v>39105</x:v>
      </x:c>
      <x:c r="F1301" s="36" t="n">
        <x:v>6352</x:v>
      </x:c>
      <x:c r="G1301" s="42" t="n">
        <x:v>1.3625053625053625</x:v>
      </x:c>
      <x:c r="H1301" s="36" t="n">
        <x:f>E1301*G1301</x:f>
        <x:v>53280.7722007722</x:v>
      </x:c>
      <x:c r="I1301" s="36" t="n">
        <x:f>IFERROR(H1301/A1301,0)</x:f>
        <x:v>17760.2574002574</x:v>
      </x:c>
      <x:c r="J1301" s="67" t="str">
        <x:v>Modeled from live base + Sep-2026 quality ratio</x:v>
      </x:c>
      <x:c r="K1301" s="67" t="str">
        <x:v>https://www.stonealgo.com/diamond-prices/</x:v>
      </x:c>
      <x:c r="L1301" s="67" t="str">
        <x:v>https://www.pricescope.com/blog/natural-diamond-prices-september-2026</x:v>
      </x:c>
    </x:row>
    <x:row r="1302">
      <x:c r="A1302" t="n">
        <x:v>3</x:v>
      </x:c>
      <x:c r="B1302" t="str">
        <x:v>Round</x:v>
      </x:c>
      <x:c r="C1302" t="str">
        <x:v>F</x:v>
      </x:c>
      <x:c r="D1302" t="str">
        <x:v>VS1</x:v>
      </x:c>
      <x:c r="E1302" s="36" t="n">
        <x:v>39105</x:v>
      </x:c>
      <x:c r="F1302" s="36" t="n">
        <x:v>5647</x:v>
      </x:c>
      <x:c r="G1302" s="42" t="n">
        <x:v>1.2112827112827114</x:v>
      </x:c>
      <x:c r="H1302" s="36" t="n">
        <x:f>E1302*G1302</x:f>
        <x:v>47367.21042471043</x:v>
      </x:c>
      <x:c r="I1302" s="36" t="n">
        <x:f>IFERROR(H1302/A1302,0)</x:f>
        <x:v>15789.070141570142</x:v>
      </x:c>
      <x:c r="J1302" s="67" t="str">
        <x:v>Modeled from live base + Sep-2026 quality ratio</x:v>
      </x:c>
      <x:c r="K1302" s="67" t="str">
        <x:v>https://www.stonealgo.com/diamond-prices/</x:v>
      </x:c>
      <x:c r="L1302" s="67" t="str">
        <x:v>https://www.pricescope.com/blog/natural-diamond-prices-september-2026</x:v>
      </x:c>
    </x:row>
    <x:row r="1303">
      <x:c r="A1303" t="n">
        <x:v>3</x:v>
      </x:c>
      <x:c r="B1303" t="str">
        <x:v>Round</x:v>
      </x:c>
      <x:c r="C1303" t="str">
        <x:v>F</x:v>
      </x:c>
      <x:c r="D1303" t="str">
        <x:v>VS2</x:v>
      </x:c>
      <x:c r="E1303" s="36" t="n">
        <x:v>39105</x:v>
      </x:c>
      <x:c r="F1303" s="36" t="n">
        <x:v>4730</x:v>
      </x:c>
      <x:c r="G1303" s="42" t="n">
        <x:v>1.0145860145860146</x:v>
      </x:c>
      <x:c r="H1303" s="36" t="n">
        <x:f>E1303*G1303</x:f>
        <x:v>39675.3861003861</x:v>
      </x:c>
      <x:c r="I1303" s="36" t="n">
        <x:f>IFERROR(H1303/A1303,0)</x:f>
        <x:v>13225.1287001287</x:v>
      </x:c>
      <x:c r="J1303" s="67" t="str">
        <x:v>Modeled from live base + Sep-2026 quality ratio</x:v>
      </x:c>
      <x:c r="K1303" s="67" t="str">
        <x:v>https://www.stonealgo.com/diamond-prices/</x:v>
      </x:c>
      <x:c r="L1303" s="67" t="str">
        <x:v>https://www.pricescope.com/blog/natural-diamond-prices-september-2026</x:v>
      </x:c>
    </x:row>
    <x:row r="1304">
      <x:c r="A1304" t="n">
        <x:v>3</x:v>
      </x:c>
      <x:c r="B1304" t="str">
        <x:v>Round</x:v>
      </x:c>
      <x:c r="C1304" t="str">
        <x:v>F</x:v>
      </x:c>
      <x:c r="D1304" t="str">
        <x:v>SI1</x:v>
      </x:c>
      <x:c r="E1304" s="36" t="n">
        <x:v>39105</x:v>
      </x:c>
      <x:c r="F1304" s="36" t="n">
        <x:v>3331</x:v>
      </x:c>
      <x:c r="G1304" s="42" t="n">
        <x:v>0.7145002145002145</x:v>
      </x:c>
      <x:c r="H1304" s="36" t="n">
        <x:f>E1304*G1304</x:f>
        <x:v>27940.530888030888</x:v>
      </x:c>
      <x:c r="I1304" s="36" t="n">
        <x:f>IFERROR(H1304/A1304,0)</x:f>
        <x:v>9313.510296010296</x:v>
      </x:c>
      <x:c r="J1304" s="67" t="str">
        <x:v>Modeled from live base + Sep-2026 quality ratio</x:v>
      </x:c>
      <x:c r="K1304" s="67" t="str">
        <x:v>https://www.stonealgo.com/diamond-prices/</x:v>
      </x:c>
      <x:c r="L1304" s="67" t="str">
        <x:v>https://www.pricescope.com/blog/natural-diamond-prices-september-2026</x:v>
      </x:c>
    </x:row>
    <x:row r="1305">
      <x:c r="A1305" t="n">
        <x:v>3</x:v>
      </x:c>
      <x:c r="B1305" t="str">
        <x:v>Round</x:v>
      </x:c>
      <x:c r="C1305" t="str">
        <x:v>F</x:v>
      </x:c>
      <x:c r="D1305" t="str">
        <x:v>SI2</x:v>
      </x:c>
      <x:c r="E1305" s="36" t="n">
        <x:v>39105</x:v>
      </x:c>
      <x:c r="F1305" s="36" t="n">
        <x:v>2733</x:v>
      </x:c>
      <x:c r="G1305" s="42" t="n">
        <x:v>0.5862290862290862</x:v>
      </x:c>
      <x:c r="H1305" s="36" t="n">
        <x:f>E1305*G1305</x:f>
        <x:v>22924.488416988417</x:v>
      </x:c>
      <x:c r="I1305" s="36" t="n">
        <x:f>IFERROR(H1305/A1305,0)</x:f>
        <x:v>7641.496138996139</x:v>
      </x:c>
      <x:c r="J1305" s="67" t="str">
        <x:v>Modeled from live base + Sep-2026 quality ratio</x:v>
      </x:c>
      <x:c r="K1305" s="67" t="str">
        <x:v>https://www.stonealgo.com/diamond-prices/</x:v>
      </x:c>
      <x:c r="L1305" s="67" t="str">
        <x:v>https://www.pricescope.com/blog/natural-diamond-prices-september-2026</x:v>
      </x:c>
    </x:row>
    <x:row r="1306">
      <x:c r="A1306" t="n">
        <x:v>3</x:v>
      </x:c>
      <x:c r="B1306" t="str">
        <x:v>Round</x:v>
      </x:c>
      <x:c r="C1306" t="str">
        <x:v>G</x:v>
      </x:c>
      <x:c r="D1306" t="str">
        <x:v>FL</x:v>
      </x:c>
      <x:c r="E1306" s="36" t="n">
        <x:v>39105</x:v>
      </x:c>
      <x:c r="F1306" s="36" t="n">
        <x:v>5905</x:v>
      </x:c>
      <x:c r="G1306" s="42" t="n">
        <x:v>1.2666237666237665</x:v>
      </x:c>
      <x:c r="H1306" s="36" t="n">
        <x:f>E1306*G1306</x:f>
        <x:v>49531.32239382239</x:v>
      </x:c>
      <x:c r="I1306" s="36" t="n">
        <x:f>IFERROR(H1306/A1306,0)</x:f>
        <x:v>16510.440797940795</x:v>
      </x:c>
      <x:c r="J1306" s="67" t="str">
        <x:v>Modeled from live base + Sep-2026 quality ratio</x:v>
      </x:c>
      <x:c r="K1306" s="67" t="str">
        <x:v>https://www.stonealgo.com/diamond-prices/</x:v>
      </x:c>
      <x:c r="L1306" s="67" t="str">
        <x:v>https://www.pricescope.com/blog/natural-diamond-prices-september-2026</x:v>
      </x:c>
    </x:row>
    <x:row r="1307">
      <x:c r="A1307" t="n">
        <x:v>3</x:v>
      </x:c>
      <x:c r="B1307" t="str">
        <x:v>Round</x:v>
      </x:c>
      <x:c r="C1307" t="str">
        <x:v>G</x:v>
      </x:c>
      <x:c r="D1307" t="str">
        <x:v>IF</x:v>
      </x:c>
      <x:c r="E1307" s="36" t="n">
        <x:v>39105</x:v>
      </x:c>
      <x:c r="F1307" s="36" t="n">
        <x:v>5601</x:v>
      </x:c>
      <x:c r="G1307" s="42" t="n">
        <x:v>1.2014157014157014</x:v>
      </x:c>
      <x:c r="H1307" s="36" t="n">
        <x:f>E1307*G1307</x:f>
        <x:v>46981.361003861006</x:v>
      </x:c>
      <x:c r="I1307" s="36" t="n">
        <x:f>IFERROR(H1307/A1307,0)</x:f>
        <x:v>15660.453667953669</x:v>
      </x:c>
      <x:c r="J1307" s="67" t="str">
        <x:v>Modeled from live base + Sep-2026 quality ratio</x:v>
      </x:c>
      <x:c r="K1307" s="67" t="str">
        <x:v>https://www.stonealgo.com/diamond-prices/</x:v>
      </x:c>
      <x:c r="L1307" s="67" t="str">
        <x:v>https://www.pricescope.com/blog/natural-diamond-prices-september-2026</x:v>
      </x:c>
    </x:row>
    <x:row r="1308">
      <x:c r="A1308" t="n">
        <x:v>3</x:v>
      </x:c>
      <x:c r="B1308" t="str">
        <x:v>Round</x:v>
      </x:c>
      <x:c r="C1308" t="str">
        <x:v>G</x:v>
      </x:c>
      <x:c r="D1308" t="str">
        <x:v>VVS1</x:v>
      </x:c>
      <x:c r="E1308" s="36" t="n">
        <x:v>39105</x:v>
      </x:c>
      <x:c r="F1308" s="36" t="n">
        <x:v>5124</x:v>
      </x:c>
      <x:c r="G1308" s="42" t="n">
        <x:v>1.0990990990990992</x:v>
      </x:c>
      <x:c r="H1308" s="36" t="n">
        <x:f>E1308*G1308</x:f>
        <x:v>42980.27027027027</x:v>
      </x:c>
      <x:c r="I1308" s="36" t="n">
        <x:f>IFERROR(H1308/A1308,0)</x:f>
        <x:v>14326.756756756758</x:v>
      </x:c>
      <x:c r="J1308" s="67" t="str">
        <x:v>Modeled from live base + Sep-2026 quality ratio</x:v>
      </x:c>
      <x:c r="K1308" s="67" t="str">
        <x:v>https://www.stonealgo.com/diamond-prices/</x:v>
      </x:c>
      <x:c r="L1308" s="67" t="str">
        <x:v>https://www.pricescope.com/blog/natural-diamond-prices-september-2026</x:v>
      </x:c>
    </x:row>
    <x:row r="1309">
      <x:c r="A1309" t="n">
        <x:v>3</x:v>
      </x:c>
      <x:c r="B1309" t="str">
        <x:v>Round</x:v>
      </x:c>
      <x:c r="C1309" t="str">
        <x:v>G</x:v>
      </x:c>
      <x:c r="D1309" t="str">
        <x:v>VVS2</x:v>
      </x:c>
      <x:c r="E1309" s="36" t="n">
        <x:v>39105</x:v>
      </x:c>
      <x:c r="F1309" s="36" t="n">
        <x:v>4962</x:v>
      </x:c>
      <x:c r="G1309" s="42" t="n">
        <x:v>1.0643500643500643</x:v>
      </x:c>
      <x:c r="H1309" s="36" t="n">
        <x:f>E1309*G1309</x:f>
        <x:v>41621.40926640927</x:v>
      </x:c>
      <x:c r="I1309" s="36" t="n">
        <x:f>IFERROR(H1309/A1309,0)</x:f>
        <x:v>13873.80308880309</x:v>
      </x:c>
      <x:c r="J1309" s="67" t="str">
        <x:v>Modeled from live base + Sep-2026 quality ratio</x:v>
      </x:c>
      <x:c r="K1309" s="67" t="str">
        <x:v>https://www.stonealgo.com/diamond-prices/</x:v>
      </x:c>
      <x:c r="L1309" s="67" t="str">
        <x:v>https://www.pricescope.com/blog/natural-diamond-prices-september-2026</x:v>
      </x:c>
    </x:row>
    <x:row r="1310">
      <x:c r="A1310" t="n">
        <x:v>3</x:v>
      </x:c>
      <x:c r="B1310" t="str">
        <x:v>Round</x:v>
      </x:c>
      <x:c r="C1310" t="str">
        <x:v>G</x:v>
      </x:c>
      <x:c r="D1310" t="str">
        <x:v>VS1</x:v>
      </x:c>
      <x:c r="E1310" s="36" t="n">
        <x:v>39105</x:v>
      </x:c>
      <x:c r="F1310" s="36" t="n">
        <x:v>4615</x:v>
      </x:c>
      <x:c r="G1310" s="42" t="n">
        <x:v>0.98991848991849</x:v>
      </x:c>
      <x:c r="H1310" s="36" t="n">
        <x:f>E1310*G1310</x:f>
        <x:v>38710.76254826255</x:v>
      </x:c>
      <x:c r="I1310" s="36" t="n">
        <x:f>IFERROR(H1310/A1310,0)</x:f>
        <x:v>12903.587516087517</x:v>
      </x:c>
      <x:c r="J1310" s="67" t="str">
        <x:v>Modeled from live base + Sep-2026 quality ratio</x:v>
      </x:c>
      <x:c r="K1310" s="67" t="str">
        <x:v>https://www.stonealgo.com/diamond-prices/</x:v>
      </x:c>
      <x:c r="L1310" s="67" t="str">
        <x:v>https://www.pricescope.com/blog/natural-diamond-prices-september-2026</x:v>
      </x:c>
    </x:row>
    <x:row r="1311">
      <x:c r="A1311" t="n">
        <x:v>3</x:v>
      </x:c>
      <x:c r="B1311" t="str">
        <x:v>Round</x:v>
      </x:c>
      <x:c r="C1311" t="str">
        <x:v>G</x:v>
      </x:c>
      <x:c r="D1311" t="str">
        <x:v>VS2</x:v>
      </x:c>
      <x:c r="E1311" s="36" t="n">
        <x:v>39105</x:v>
      </x:c>
      <x:c r="F1311" s="36" t="n">
        <x:v>4585</x:v>
      </x:c>
      <x:c r="G1311" s="42" t="n">
        <x:v>0.9834834834834835</x:v>
      </x:c>
      <x:c r="H1311" s="36" t="n">
        <x:f>E1311*G1311</x:f>
        <x:v>38459.12162162162</x:v>
      </x:c>
      <x:c r="I1311" s="36" t="n">
        <x:f>IFERROR(H1311/A1311,0)</x:f>
        <x:v>12819.707207207206</x:v>
      </x:c>
      <x:c r="J1311" s="67" t="str">
        <x:v>Modeled from live base + Sep-2026 quality ratio</x:v>
      </x:c>
      <x:c r="K1311" s="67" t="str">
        <x:v>https://www.stonealgo.com/diamond-prices/</x:v>
      </x:c>
      <x:c r="L1311" s="67" t="str">
        <x:v>https://www.pricescope.com/blog/natural-diamond-prices-september-2026</x:v>
      </x:c>
    </x:row>
    <x:row r="1312">
      <x:c r="A1312" t="n">
        <x:v>3</x:v>
      </x:c>
      <x:c r="B1312" t="str">
        <x:v>Round</x:v>
      </x:c>
      <x:c r="C1312" t="str">
        <x:v>G</x:v>
      </x:c>
      <x:c r="D1312" t="str">
        <x:v>SI1</x:v>
      </x:c>
      <x:c r="E1312" s="36" t="n">
        <x:v>39105</x:v>
      </x:c>
      <x:c r="F1312" s="36" t="n">
        <x:v>3664</x:v>
      </x:c>
      <x:c r="G1312" s="42" t="n">
        <x:v>0.7859287859287859</x:v>
      </x:c>
      <x:c r="H1312" s="36" t="n">
        <x:f>E1312*G1312</x:f>
        <x:v>30733.745173745174</x:v>
      </x:c>
      <x:c r="I1312" s="36" t="n">
        <x:f>IFERROR(H1312/A1312,0)</x:f>
        <x:v>10244.581724581725</x:v>
      </x:c>
      <x:c r="J1312" s="67" t="str">
        <x:v>Modeled from live base + Sep-2026 quality ratio</x:v>
      </x:c>
      <x:c r="K1312" s="67" t="str">
        <x:v>https://www.stonealgo.com/diamond-prices/</x:v>
      </x:c>
      <x:c r="L1312" s="67" t="str">
        <x:v>https://www.pricescope.com/blog/natural-diamond-prices-september-2026</x:v>
      </x:c>
    </x:row>
    <x:row r="1313">
      <x:c r="A1313" t="n">
        <x:v>3</x:v>
      </x:c>
      <x:c r="B1313" t="str">
        <x:v>Round</x:v>
      </x:c>
      <x:c r="C1313" t="str">
        <x:v>G</x:v>
      </x:c>
      <x:c r="D1313" t="str">
        <x:v>SI2</x:v>
      </x:c>
      <x:c r="E1313" s="36" t="n">
        <x:v>39105</x:v>
      </x:c>
      <x:c r="F1313" s="36" t="n">
        <x:v>2537</x:v>
      </x:c>
      <x:c r="G1313" s="42" t="n">
        <x:v>0.5441870441870442</x:v>
      </x:c>
      <x:c r="H1313" s="36" t="n">
        <x:f>E1313*G1313</x:f>
        <x:v>21280.434362934364</x:v>
      </x:c>
      <x:c r="I1313" s="36" t="n">
        <x:f>IFERROR(H1313/A1313,0)</x:f>
        <x:v>7093.478120978121</x:v>
      </x:c>
      <x:c r="J1313" s="67" t="str">
        <x:v>Modeled from live base + Sep-2026 quality ratio</x:v>
      </x:c>
      <x:c r="K1313" s="67" t="str">
        <x:v>https://www.stonealgo.com/diamond-prices/</x:v>
      </x:c>
      <x:c r="L1313" s="67" t="str">
        <x:v>https://www.pricescope.com/blog/natural-diamond-prices-september-2026</x:v>
      </x:c>
    </x:row>
    <x:row r="1314">
      <x:c r="A1314" t="n">
        <x:v>3</x:v>
      </x:c>
      <x:c r="B1314" t="str">
        <x:v>Round</x:v>
      </x:c>
      <x:c r="C1314" t="str">
        <x:v>H</x:v>
      </x:c>
      <x:c r="D1314" t="str">
        <x:v>FL</x:v>
      </x:c>
      <x:c r="E1314" s="36" t="n">
        <x:v>39105</x:v>
      </x:c>
      <x:c r="F1314" s="36" t="n">
        <x:v>4563</x:v>
      </x:c>
      <x:c r="G1314" s="42" t="n">
        <x:v>0.9787644787644788</x:v>
      </x:c>
      <x:c r="H1314" s="36" t="n">
        <x:f>E1314*G1314</x:f>
        <x:v>38274.58494208494</x:v>
      </x:c>
      <x:c r="I1314" s="36" t="n">
        <x:f>IFERROR(H1314/A1314,0)</x:f>
        <x:v>12758.19498069498</x:v>
      </x:c>
      <x:c r="J1314" s="67" t="str">
        <x:v>Modeled from live base + Sep-2026 quality ratio</x:v>
      </x:c>
      <x:c r="K1314" s="67" t="str">
        <x:v>https://www.stonealgo.com/diamond-prices/</x:v>
      </x:c>
      <x:c r="L1314" s="67" t="str">
        <x:v>https://www.pricescope.com/blog/natural-diamond-prices-september-2026</x:v>
      </x:c>
    </x:row>
    <x:row r="1315">
      <x:c r="A1315" t="n">
        <x:v>3</x:v>
      </x:c>
      <x:c r="B1315" t="str">
        <x:v>Round</x:v>
      </x:c>
      <x:c r="C1315" t="str">
        <x:v>H</x:v>
      </x:c>
      <x:c r="D1315" t="str">
        <x:v>IF</x:v>
      </x:c>
      <x:c r="E1315" s="36" t="n">
        <x:v>39105</x:v>
      </x:c>
      <x:c r="F1315" s="36" t="n">
        <x:v>4809</x:v>
      </x:c>
      <x:c r="G1315" s="42" t="n">
        <x:v>1.0315315315315314</x:v>
      </x:c>
      <x:c r="H1315" s="36" t="n">
        <x:f>E1315*G1315</x:f>
        <x:v>40338.04054054054</x:v>
      </x:c>
      <x:c r="I1315" s="36" t="n">
        <x:f>IFERROR(H1315/A1315,0)</x:f>
        <x:v>13446.013513513513</x:v>
      </x:c>
      <x:c r="J1315" s="67" t="str">
        <x:v>Modeled from live base + Sep-2026 quality ratio</x:v>
      </x:c>
      <x:c r="K1315" s="67" t="str">
        <x:v>https://www.stonealgo.com/diamond-prices/</x:v>
      </x:c>
      <x:c r="L1315" s="67" t="str">
        <x:v>https://www.pricescope.com/blog/natural-diamond-prices-september-2026</x:v>
      </x:c>
    </x:row>
    <x:row r="1316">
      <x:c r="A1316" t="n">
        <x:v>3</x:v>
      </x:c>
      <x:c r="B1316" t="str">
        <x:v>Round</x:v>
      </x:c>
      <x:c r="C1316" t="str">
        <x:v>H</x:v>
      </x:c>
      <x:c r="D1316" t="str">
        <x:v>VVS1</x:v>
      </x:c>
      <x:c r="E1316" s="36" t="n">
        <x:v>39105</x:v>
      </x:c>
      <x:c r="F1316" s="36" t="n">
        <x:v>4911</x:v>
      </x:c>
      <x:c r="G1316" s="42" t="n">
        <x:v>1.0534105534105533</x:v>
      </x:c>
      <x:c r="H1316" s="36" t="n">
        <x:f>E1316*G1316</x:f>
        <x:v>41193.61969111969</x:v>
      </x:c>
      <x:c r="I1316" s="36" t="n">
        <x:f>IFERROR(H1316/A1316,0)</x:f>
        <x:v>13731.206563706563</x:v>
      </x:c>
      <x:c r="J1316" s="67" t="str">
        <x:v>Modeled from live base + Sep-2026 quality ratio</x:v>
      </x:c>
      <x:c r="K1316" s="67" t="str">
        <x:v>https://www.stonealgo.com/diamond-prices/</x:v>
      </x:c>
      <x:c r="L1316" s="67" t="str">
        <x:v>https://www.pricescope.com/blog/natural-diamond-prices-september-2026</x:v>
      </x:c>
    </x:row>
    <x:row r="1317">
      <x:c r="A1317" t="n">
        <x:v>3</x:v>
      </x:c>
      <x:c r="B1317" t="str">
        <x:v>Round</x:v>
      </x:c>
      <x:c r="C1317" t="str">
        <x:v>H</x:v>
      </x:c>
      <x:c r="D1317" t="str">
        <x:v>VVS2</x:v>
      </x:c>
      <x:c r="E1317" s="36" t="n">
        <x:v>39105</x:v>
      </x:c>
      <x:c r="F1317" s="36" t="n">
        <x:v>4046</x:v>
      </x:c>
      <x:c r="G1317" s="42" t="n">
        <x:v>0.8678678678678678</x:v>
      </x:c>
      <x:c r="H1317" s="36" t="n">
        <x:f>E1317*G1317</x:f>
        <x:v>33937.97297297297</x:v>
      </x:c>
      <x:c r="I1317" s="36" t="n">
        <x:f>IFERROR(H1317/A1317,0)</x:f>
        <x:v>11312.657657657657</x:v>
      </x:c>
      <x:c r="J1317" s="67" t="str">
        <x:v>Modeled from live base + Sep-2026 quality ratio</x:v>
      </x:c>
      <x:c r="K1317" s="67" t="str">
        <x:v>https://www.stonealgo.com/diamond-prices/</x:v>
      </x:c>
      <x:c r="L1317" s="67" t="str">
        <x:v>https://www.pricescope.com/blog/natural-diamond-prices-september-2026</x:v>
      </x:c>
    </x:row>
    <x:row r="1318">
      <x:c r="A1318" t="n">
        <x:v>3</x:v>
      </x:c>
      <x:c r="B1318" t="str">
        <x:v>Round</x:v>
      </x:c>
      <x:c r="C1318" t="str">
        <x:v>H</x:v>
      </x:c>
      <x:c r="D1318" t="str">
        <x:v>VS1</x:v>
      </x:c>
      <x:c r="E1318" s="36" t="n">
        <x:v>39105</x:v>
      </x:c>
      <x:c r="F1318" s="36" t="n">
        <x:v>3893</x:v>
      </x:c>
      <x:c r="G1318" s="42" t="n">
        <x:v>0.8350493350493351</x:v>
      </x:c>
      <x:c r="H1318" s="36" t="n">
        <x:f>E1318*G1318</x:f>
        <x:v>32654.60424710425</x:v>
      </x:c>
      <x:c r="I1318" s="36" t="n">
        <x:f>IFERROR(H1318/A1318,0)</x:f>
        <x:v>10884.868082368082</x:v>
      </x:c>
      <x:c r="J1318" s="67" t="str">
        <x:v>Modeled from live base + Sep-2026 quality ratio</x:v>
      </x:c>
      <x:c r="K1318" s="67" t="str">
        <x:v>https://www.stonealgo.com/diamond-prices/</x:v>
      </x:c>
      <x:c r="L1318" s="67" t="str">
        <x:v>https://www.pricescope.com/blog/natural-diamond-prices-september-2026</x:v>
      </x:c>
    </x:row>
    <x:row r="1319">
      <x:c r="A1319" t="n">
        <x:v>3</x:v>
      </x:c>
      <x:c r="B1319" t="str">
        <x:v>Round</x:v>
      </x:c>
      <x:c r="C1319" t="str">
        <x:v>H</x:v>
      </x:c>
      <x:c r="D1319" t="str">
        <x:v>VS2</x:v>
      </x:c>
      <x:c r="E1319" s="36" t="n">
        <x:v>39105</x:v>
      </x:c>
      <x:c r="F1319" s="36" t="n">
        <x:v>3989</x:v>
      </x:c>
      <x:c r="G1319" s="42" t="n">
        <x:v>0.8556413556413557</x:v>
      </x:c>
      <x:c r="H1319" s="36" t="n">
        <x:f>E1319*G1319</x:f>
        <x:v>33459.855212355214</x:v>
      </x:c>
      <x:c r="I1319" s="36" t="n">
        <x:f>IFERROR(H1319/A1319,0)</x:f>
        <x:v>11153.285070785072</x:v>
      </x:c>
      <x:c r="J1319" s="67" t="str">
        <x:v>Modeled from live base + Sep-2026 quality ratio</x:v>
      </x:c>
      <x:c r="K1319" s="67" t="str">
        <x:v>https://www.stonealgo.com/diamond-prices/</x:v>
      </x:c>
      <x:c r="L1319" s="67" t="str">
        <x:v>https://www.pricescope.com/blog/natural-diamond-prices-september-2026</x:v>
      </x:c>
    </x:row>
    <x:row r="1320">
      <x:c r="A1320" t="n">
        <x:v>3</x:v>
      </x:c>
      <x:c r="B1320" t="str">
        <x:v>Round</x:v>
      </x:c>
      <x:c r="C1320" t="str">
        <x:v>H</x:v>
      </x:c>
      <x:c r="D1320" t="str">
        <x:v>SI1</x:v>
      </x:c>
      <x:c r="E1320" s="36" t="n">
        <x:v>39105</x:v>
      </x:c>
      <x:c r="F1320" s="36" t="n">
        <x:v>2828</x:v>
      </x:c>
      <x:c r="G1320" s="42" t="n">
        <x:v>0.6066066066066066</x:v>
      </x:c>
      <x:c r="H1320" s="36" t="n">
        <x:f>E1320*G1320</x:f>
        <x:v>23721.35135135135</x:v>
      </x:c>
      <x:c r="I1320" s="36" t="n">
        <x:f>IFERROR(H1320/A1320,0)</x:f>
        <x:v>7907.117117117116</x:v>
      </x:c>
      <x:c r="J1320" s="67" t="str">
        <x:v>Modeled from live base + Sep-2026 quality ratio</x:v>
      </x:c>
      <x:c r="K1320" s="67" t="str">
        <x:v>https://www.stonealgo.com/diamond-prices/</x:v>
      </x:c>
      <x:c r="L1320" s="67" t="str">
        <x:v>https://www.pricescope.com/blog/natural-diamond-prices-september-2026</x:v>
      </x:c>
    </x:row>
    <x:row r="1321">
      <x:c r="A1321" t="n">
        <x:v>3</x:v>
      </x:c>
      <x:c r="B1321" t="str">
        <x:v>Round</x:v>
      </x:c>
      <x:c r="C1321" t="str">
        <x:v>H</x:v>
      </x:c>
      <x:c r="D1321" t="str">
        <x:v>SI2</x:v>
      </x:c>
      <x:c r="E1321" s="36" t="n">
        <x:v>39105</x:v>
      </x:c>
      <x:c r="F1321" s="36" t="n">
        <x:v>2328</x:v>
      </x:c>
      <x:c r="G1321" s="42" t="n">
        <x:v>0.49935649935649934</x:v>
      </x:c>
      <x:c r="H1321" s="36" t="n">
        <x:f>E1321*G1321</x:f>
        <x:v>19527.335907335906</x:v>
      </x:c>
      <x:c r="I1321" s="36" t="n">
        <x:f>IFERROR(H1321/A1321,0)</x:f>
        <x:v>6509.111969111968</x:v>
      </x:c>
      <x:c r="J1321" s="67" t="str">
        <x:v>Modeled from live base + Sep-2026 quality ratio</x:v>
      </x:c>
      <x:c r="K1321" s="67" t="str">
        <x:v>https://www.stonealgo.com/diamond-prices/</x:v>
      </x:c>
      <x:c r="L1321" s="67" t="str">
        <x:v>https://www.pricescope.com/blog/natural-diamond-prices-september-2026</x:v>
      </x:c>
    </x:row>
    <x:row r="1322">
      <x:c r="A1322" t="n">
        <x:v>3</x:v>
      </x:c>
      <x:c r="B1322" t="str">
        <x:v>Round</x:v>
      </x:c>
      <x:c r="C1322" t="str">
        <x:v>I</x:v>
      </x:c>
      <x:c r="D1322" t="str">
        <x:v>FL</x:v>
      </x:c>
      <x:c r="E1322" s="36" t="n">
        <x:v>39105</x:v>
      </x:c>
      <x:c r="F1322" s="36" t="n">
        <x:v>4623</x:v>
      </x:c>
      <x:c r="G1322" s="42" t="n">
        <x:v>0.9916344916344917</x:v>
      </x:c>
      <x:c r="H1322" s="36" t="n">
        <x:f>E1322*G1322</x:f>
        <x:v>38777.8667953668</x:v>
      </x:c>
      <x:c r="I1322" s="36" t="n">
        <x:f>IFERROR(H1322/A1322,0)</x:f>
        <x:v>12925.9555984556</x:v>
      </x:c>
      <x:c r="J1322" s="67" t="str">
        <x:v>Modeled from live base + Sep-2026 quality ratio</x:v>
      </x:c>
      <x:c r="K1322" s="67" t="str">
        <x:v>https://www.stonealgo.com/diamond-prices/</x:v>
      </x:c>
      <x:c r="L1322" s="67" t="str">
        <x:v>https://www.pricescope.com/blog/natural-diamond-prices-september-2026</x:v>
      </x:c>
    </x:row>
    <x:row r="1323">
      <x:c r="A1323" t="n">
        <x:v>3</x:v>
      </x:c>
      <x:c r="B1323" t="str">
        <x:v>Round</x:v>
      </x:c>
      <x:c r="C1323" t="str">
        <x:v>I</x:v>
      </x:c>
      <x:c r="D1323" t="str">
        <x:v>IF</x:v>
      </x:c>
      <x:c r="E1323" s="36" t="n">
        <x:v>39105</x:v>
      </x:c>
      <x:c r="F1323" s="36" t="n">
        <x:v>4005</x:v>
      </x:c>
      <x:c r="G1323" s="42" t="n">
        <x:v>0.859073359073359</x:v>
      </x:c>
      <x:c r="H1323" s="36" t="n">
        <x:f>E1323*G1323</x:f>
        <x:v>33594.063706563706</x:v>
      </x:c>
      <x:c r="I1323" s="36" t="n">
        <x:f>IFERROR(H1323/A1323,0)</x:f>
        <x:v>11198.021235521235</x:v>
      </x:c>
      <x:c r="J1323" s="67" t="str">
        <x:v>Modeled from live base + Sep-2026 quality ratio</x:v>
      </x:c>
      <x:c r="K1323" s="67" t="str">
        <x:v>https://www.stonealgo.com/diamond-prices/</x:v>
      </x:c>
      <x:c r="L1323" s="67" t="str">
        <x:v>https://www.pricescope.com/blog/natural-diamond-prices-september-2026</x:v>
      </x:c>
    </x:row>
    <x:row r="1324">
      <x:c r="A1324" t="n">
        <x:v>3</x:v>
      </x:c>
      <x:c r="B1324" t="str">
        <x:v>Round</x:v>
      </x:c>
      <x:c r="C1324" t="str">
        <x:v>I</x:v>
      </x:c>
      <x:c r="D1324" t="str">
        <x:v>VVS1</x:v>
      </x:c>
      <x:c r="E1324" s="36" t="n">
        <x:v>39105</x:v>
      </x:c>
      <x:c r="F1324" s="36" t="n">
        <x:v>3670</x:v>
      </x:c>
      <x:c r="G1324" s="42" t="n">
        <x:v>0.7872157872157872</x:v>
      </x:c>
      <x:c r="H1324" s="36" t="n">
        <x:f>E1324*G1324</x:f>
        <x:v>30784.073359073358</x:v>
      </x:c>
      <x:c r="I1324" s="36" t="n">
        <x:f>IFERROR(H1324/A1324,0)</x:f>
        <x:v>10261.357786357787</x:v>
      </x:c>
      <x:c r="J1324" s="67" t="str">
        <x:v>Modeled from live base + Sep-2026 quality ratio</x:v>
      </x:c>
      <x:c r="K1324" s="67" t="str">
        <x:v>https://www.stonealgo.com/diamond-prices/</x:v>
      </x:c>
      <x:c r="L1324" s="67" t="str">
        <x:v>https://www.pricescope.com/blog/natural-diamond-prices-september-2026</x:v>
      </x:c>
    </x:row>
    <x:row r="1325">
      <x:c r="A1325" t="n">
        <x:v>3</x:v>
      </x:c>
      <x:c r="B1325" t="str">
        <x:v>Round</x:v>
      </x:c>
      <x:c r="C1325" t="str">
        <x:v>I</x:v>
      </x:c>
      <x:c r="D1325" t="str">
        <x:v>VVS2</x:v>
      </x:c>
      <x:c r="E1325" s="36" t="n">
        <x:v>39105</x:v>
      </x:c>
      <x:c r="F1325" s="36" t="n">
        <x:v>3447</x:v>
      </x:c>
      <x:c r="G1325" s="42" t="n">
        <x:v>0.7393822393822393</x:v>
      </x:c>
      <x:c r="H1325" s="36" t="n">
        <x:f>E1325*G1325</x:f>
        <x:v>28913.54247104247</x:v>
      </x:c>
      <x:c r="I1325" s="36" t="n">
        <x:f>IFERROR(H1325/A1325,0)</x:f>
        <x:v>9637.84749034749</x:v>
      </x:c>
      <x:c r="J1325" s="67" t="str">
        <x:v>Modeled from live base + Sep-2026 quality ratio</x:v>
      </x:c>
      <x:c r="K1325" s="67" t="str">
        <x:v>https://www.stonealgo.com/diamond-prices/</x:v>
      </x:c>
      <x:c r="L1325" s="67" t="str">
        <x:v>https://www.pricescope.com/blog/natural-diamond-prices-september-2026</x:v>
      </x:c>
    </x:row>
    <x:row r="1326">
      <x:c r="A1326" t="n">
        <x:v>3</x:v>
      </x:c>
      <x:c r="B1326" t="str">
        <x:v>Round</x:v>
      </x:c>
      <x:c r="C1326" t="str">
        <x:v>I</x:v>
      </x:c>
      <x:c r="D1326" t="str">
        <x:v>VS1</x:v>
      </x:c>
      <x:c r="E1326" s="36" t="n">
        <x:v>39105</x:v>
      </x:c>
      <x:c r="F1326" s="36" t="n">
        <x:v>3313</x:v>
      </x:c>
      <x:c r="G1326" s="42" t="n">
        <x:v>0.7106392106392107</x:v>
      </x:c>
      <x:c r="H1326" s="36" t="n">
        <x:f>E1326*G1326</x:f>
        <x:v>27789.54633204633</x:v>
      </x:c>
      <x:c r="I1326" s="36" t="n">
        <x:f>IFERROR(H1326/A1326,0)</x:f>
        <x:v>9263.18211068211</x:v>
      </x:c>
      <x:c r="J1326" s="67" t="str">
        <x:v>Modeled from live base + Sep-2026 quality ratio</x:v>
      </x:c>
      <x:c r="K1326" s="67" t="str">
        <x:v>https://www.stonealgo.com/diamond-prices/</x:v>
      </x:c>
      <x:c r="L1326" s="67" t="str">
        <x:v>https://www.pricescope.com/blog/natural-diamond-prices-september-2026</x:v>
      </x:c>
    </x:row>
    <x:row r="1327">
      <x:c r="A1327" t="n">
        <x:v>3</x:v>
      </x:c>
      <x:c r="B1327" t="str">
        <x:v>Round</x:v>
      </x:c>
      <x:c r="C1327" t="str">
        <x:v>I</x:v>
      </x:c>
      <x:c r="D1327" t="str">
        <x:v>VS2</x:v>
      </x:c>
      <x:c r="E1327" s="36" t="n">
        <x:v>39105</x:v>
      </x:c>
      <x:c r="F1327" s="36" t="n">
        <x:v>3240</x:v>
      </x:c>
      <x:c r="G1327" s="42" t="n">
        <x:v>0.694980694980695</x:v>
      </x:c>
      <x:c r="H1327" s="36" t="n">
        <x:f>E1327*G1327</x:f>
        <x:v>27177.220077220078</x:v>
      </x:c>
      <x:c r="I1327" s="36" t="n">
        <x:f>IFERROR(H1327/A1327,0)</x:f>
        <x:v>9059.07335907336</x:v>
      </x:c>
      <x:c r="J1327" s="67" t="str">
        <x:v>Modeled from live base + Sep-2026 quality ratio</x:v>
      </x:c>
      <x:c r="K1327" s="67" t="str">
        <x:v>https://www.stonealgo.com/diamond-prices/</x:v>
      </x:c>
      <x:c r="L1327" s="67" t="str">
        <x:v>https://www.pricescope.com/blog/natural-diamond-prices-september-2026</x:v>
      </x:c>
    </x:row>
    <x:row r="1328">
      <x:c r="A1328" t="n">
        <x:v>3</x:v>
      </x:c>
      <x:c r="B1328" t="str">
        <x:v>Round</x:v>
      </x:c>
      <x:c r="C1328" t="str">
        <x:v>I</x:v>
      </x:c>
      <x:c r="D1328" t="str">
        <x:v>SI1</x:v>
      </x:c>
      <x:c r="E1328" s="36" t="n">
        <x:v>39105</x:v>
      </x:c>
      <x:c r="F1328" s="36" t="n">
        <x:v>3199</x:v>
      </x:c>
      <x:c r="G1328" s="42" t="n">
        <x:v>0.6861861861861862</x:v>
      </x:c>
      <x:c r="H1328" s="36" t="n">
        <x:f>E1328*G1328</x:f>
        <x:v>26833.31081081081</x:v>
      </x:c>
      <x:c r="I1328" s="36" t="n">
        <x:f>IFERROR(H1328/A1328,0)</x:f>
        <x:v>8944.436936936936</x:v>
      </x:c>
      <x:c r="J1328" s="67" t="str">
        <x:v>Modeled from live base + Sep-2026 quality ratio</x:v>
      </x:c>
      <x:c r="K1328" s="67" t="str">
        <x:v>https://www.stonealgo.com/diamond-prices/</x:v>
      </x:c>
      <x:c r="L1328" s="67" t="str">
        <x:v>https://www.pricescope.com/blog/natural-diamond-prices-september-2026</x:v>
      </x:c>
    </x:row>
    <x:row r="1329">
      <x:c r="A1329" t="n">
        <x:v>3</x:v>
      </x:c>
      <x:c r="B1329" t="str">
        <x:v>Round</x:v>
      </x:c>
      <x:c r="C1329" t="str">
        <x:v>I</x:v>
      </x:c>
      <x:c r="D1329" t="str">
        <x:v>SI2</x:v>
      </x:c>
      <x:c r="E1329" s="36" t="n">
        <x:v>39105</x:v>
      </x:c>
      <x:c r="F1329" s="36" t="n">
        <x:v>2874</x:v>
      </x:c>
      <x:c r="G1329" s="42" t="n">
        <x:v>0.6164736164736164</x:v>
      </x:c>
      <x:c r="H1329" s="36" t="n">
        <x:f>E1329*G1329</x:f>
        <x:v>24107.20077220077</x:v>
      </x:c>
      <x:c r="I1329" s="36" t="n">
        <x:f>IFERROR(H1329/A1329,0)</x:f>
        <x:v>8035.73359073359</x:v>
      </x:c>
      <x:c r="J1329" s="67" t="str">
        <x:v>Modeled from live base + Sep-2026 quality ratio</x:v>
      </x:c>
      <x:c r="K1329" s="67" t="str">
        <x:v>https://www.stonealgo.com/diamond-prices/</x:v>
      </x:c>
      <x:c r="L1329" s="67" t="str">
        <x:v>https://www.pricescope.com/blog/natural-diamond-prices-september-2026</x:v>
      </x:c>
    </x:row>
    <x:row r="1330">
      <x:c r="A1330" t="n">
        <x:v>3</x:v>
      </x:c>
      <x:c r="B1330" t="str">
        <x:v>Round</x:v>
      </x:c>
      <x:c r="C1330" t="str">
        <x:v>J</x:v>
      </x:c>
      <x:c r="D1330" t="str">
        <x:v>FL</x:v>
      </x:c>
      <x:c r="E1330" s="36" t="n">
        <x:v>39105</x:v>
      </x:c>
      <x:c r="F1330" s="36" t="n">
        <x:v>3646</x:v>
      </x:c>
      <x:c r="G1330" s="42" t="n">
        <x:v>0.782067782067782</x:v>
      </x:c>
      <x:c r="H1330" s="36" t="n">
        <x:f>E1330*G1330</x:f>
        <x:v>30582.760617760618</x:v>
      </x:c>
      <x:c r="I1330" s="36" t="n">
        <x:f>IFERROR(H1330/A1330,0)</x:f>
        <x:v>10194.25353925354</x:v>
      </x:c>
      <x:c r="J1330" s="67" t="str">
        <x:v>Modeled from live base + Sep-2026 quality ratio</x:v>
      </x:c>
      <x:c r="K1330" s="67" t="str">
        <x:v>https://www.stonealgo.com/diamond-prices/</x:v>
      </x:c>
      <x:c r="L1330" s="67" t="str">
        <x:v>https://www.pricescope.com/blog/natural-diamond-prices-september-2026</x:v>
      </x:c>
    </x:row>
    <x:row r="1331">
      <x:c r="A1331" t="n">
        <x:v>3</x:v>
      </x:c>
      <x:c r="B1331" t="str">
        <x:v>Round</x:v>
      </x:c>
      <x:c r="C1331" t="str">
        <x:v>J</x:v>
      </x:c>
      <x:c r="D1331" t="str">
        <x:v>IF</x:v>
      </x:c>
      <x:c r="E1331" s="36" t="n">
        <x:v>39105</x:v>
      </x:c>
      <x:c r="F1331" s="36" t="n">
        <x:v>3368</x:v>
      </x:c>
      <x:c r="G1331" s="42" t="n">
        <x:v>0.7224367224367224</x:v>
      </x:c>
      <x:c r="H1331" s="36" t="n">
        <x:f>E1331*G1331</x:f>
        <x:v>28250.88803088803</x:v>
      </x:c>
      <x:c r="I1331" s="36" t="n">
        <x:f>IFERROR(H1331/A1331,0)</x:f>
        <x:v>9416.962676962676</x:v>
      </x:c>
      <x:c r="J1331" s="67" t="str">
        <x:v>Modeled from live base + Sep-2026 quality ratio</x:v>
      </x:c>
      <x:c r="K1331" s="67" t="str">
        <x:v>https://www.stonealgo.com/diamond-prices/</x:v>
      </x:c>
      <x:c r="L1331" s="67" t="str">
        <x:v>https://www.pricescope.com/blog/natural-diamond-prices-september-2026</x:v>
      </x:c>
    </x:row>
    <x:row r="1332">
      <x:c r="A1332" t="n">
        <x:v>3</x:v>
      </x:c>
      <x:c r="B1332" t="str">
        <x:v>Round</x:v>
      </x:c>
      <x:c r="C1332" t="str">
        <x:v>J</x:v>
      </x:c>
      <x:c r="D1332" t="str">
        <x:v>VVS1</x:v>
      </x:c>
      <x:c r="E1332" s="36" t="n">
        <x:v>39105</x:v>
      </x:c>
      <x:c r="F1332" s="36" t="n">
        <x:v>2956</x:v>
      </x:c>
      <x:c r="G1332" s="42" t="n">
        <x:v>0.6340626340626341</x:v>
      </x:c>
      <x:c r="H1332" s="36" t="n">
        <x:f>E1332*G1332</x:f>
        <x:v>24795.019305019305</x:v>
      </x:c>
      <x:c r="I1332" s="36" t="n">
        <x:f>IFERROR(H1332/A1332,0)</x:f>
        <x:v>8265.006435006435</x:v>
      </x:c>
      <x:c r="J1332" s="67" t="str">
        <x:v>Modeled from live base + Sep-2026 quality ratio</x:v>
      </x:c>
      <x:c r="K1332" s="67" t="str">
        <x:v>https://www.stonealgo.com/diamond-prices/</x:v>
      </x:c>
      <x:c r="L1332" s="67" t="str">
        <x:v>https://www.pricescope.com/blog/natural-diamond-prices-september-2026</x:v>
      </x:c>
    </x:row>
    <x:row r="1333">
      <x:c r="A1333" t="n">
        <x:v>3</x:v>
      </x:c>
      <x:c r="B1333" t="str">
        <x:v>Round</x:v>
      </x:c>
      <x:c r="C1333" t="str">
        <x:v>J</x:v>
      </x:c>
      <x:c r="D1333" t="str">
        <x:v>VVS2</x:v>
      </x:c>
      <x:c r="E1333" s="36" t="n">
        <x:v>39105</x:v>
      </x:c>
      <x:c r="F1333" s="36" t="n">
        <x:v>2612</x:v>
      </x:c>
      <x:c r="G1333" s="42" t="n">
        <x:v>0.5602745602745602</x:v>
      </x:c>
      <x:c r="H1333" s="36" t="n">
        <x:f>E1333*G1333</x:f>
        <x:v>21909.53667953668</x:v>
      </x:c>
      <x:c r="I1333" s="36" t="n">
        <x:f>IFERROR(H1333/A1333,0)</x:f>
        <x:v>7303.178893178893</x:v>
      </x:c>
      <x:c r="J1333" s="67" t="str">
        <x:v>Modeled from live base + Sep-2026 quality ratio</x:v>
      </x:c>
      <x:c r="K1333" s="67" t="str">
        <x:v>https://www.stonealgo.com/diamond-prices/</x:v>
      </x:c>
      <x:c r="L1333" s="67" t="str">
        <x:v>https://www.pricescope.com/blog/natural-diamond-prices-september-2026</x:v>
      </x:c>
    </x:row>
    <x:row r="1334">
      <x:c r="A1334" t="n">
        <x:v>3</x:v>
      </x:c>
      <x:c r="B1334" t="str">
        <x:v>Round</x:v>
      </x:c>
      <x:c r="C1334" t="str">
        <x:v>J</x:v>
      </x:c>
      <x:c r="D1334" t="str">
        <x:v>VS1</x:v>
      </x:c>
      <x:c r="E1334" s="36" t="n">
        <x:v>39105</x:v>
      </x:c>
      <x:c r="F1334" s="36" t="n">
        <x:v>3002</x:v>
      </x:c>
      <x:c r="G1334" s="42" t="n">
        <x:v>0.6439296439296439</x:v>
      </x:c>
      <x:c r="H1334" s="36" t="n">
        <x:f>E1334*G1334</x:f>
        <x:v>25180.868725868724</x:v>
      </x:c>
      <x:c r="I1334" s="36" t="n">
        <x:f>IFERROR(H1334/A1334,0)</x:f>
        <x:v>8393.622908622909</x:v>
      </x:c>
      <x:c r="J1334" s="67" t="str">
        <x:v>Modeled from live base + Sep-2026 quality ratio</x:v>
      </x:c>
      <x:c r="K1334" s="67" t="str">
        <x:v>https://www.stonealgo.com/diamond-prices/</x:v>
      </x:c>
      <x:c r="L1334" s="67" t="str">
        <x:v>https://www.pricescope.com/blog/natural-diamond-prices-september-2026</x:v>
      </x:c>
    </x:row>
    <x:row r="1335">
      <x:c r="A1335" t="n">
        <x:v>3</x:v>
      </x:c>
      <x:c r="B1335" t="str">
        <x:v>Round</x:v>
      </x:c>
      <x:c r="C1335" t="str">
        <x:v>J</x:v>
      </x:c>
      <x:c r="D1335" t="str">
        <x:v>VS2</x:v>
      </x:c>
      <x:c r="E1335" s="36" t="n">
        <x:v>39105</x:v>
      </x:c>
      <x:c r="F1335" s="36" t="n">
        <x:v>2559</x:v>
      </x:c>
      <x:c r="G1335" s="42" t="n">
        <x:v>0.5489060489060489</x:v>
      </x:c>
      <x:c r="H1335" s="36" t="n">
        <x:f>E1335*G1335</x:f>
        <x:v>21464.971042471043</x:v>
      </x:c>
      <x:c r="I1335" s="36" t="n">
        <x:f>IFERROR(H1335/A1335,0)</x:f>
        <x:v>7154.990347490348</x:v>
      </x:c>
      <x:c r="J1335" s="67" t="str">
        <x:v>Modeled from live base + Sep-2026 quality ratio</x:v>
      </x:c>
      <x:c r="K1335" s="67" t="str">
        <x:v>https://www.stonealgo.com/diamond-prices/</x:v>
      </x:c>
      <x:c r="L1335" s="67" t="str">
        <x:v>https://www.pricescope.com/blog/natural-diamond-prices-september-2026</x:v>
      </x:c>
    </x:row>
    <x:row r="1336">
      <x:c r="A1336" t="n">
        <x:v>3</x:v>
      </x:c>
      <x:c r="B1336" t="str">
        <x:v>Round</x:v>
      </x:c>
      <x:c r="C1336" t="str">
        <x:v>J</x:v>
      </x:c>
      <x:c r="D1336" t="str">
        <x:v>SI1</x:v>
      </x:c>
      <x:c r="E1336" s="36" t="n">
        <x:v>39105</x:v>
      </x:c>
      <x:c r="F1336" s="36" t="n">
        <x:v>2195</x:v>
      </x:c>
      <x:c r="G1336" s="42" t="n">
        <x:v>0.47082797082797084</x:v>
      </x:c>
      <x:c r="H1336" s="36" t="n">
        <x:f>E1336*G1336</x:f>
        <x:v>18411.7277992278</x:v>
      </x:c>
      <x:c r="I1336" s="36" t="n">
        <x:f>IFERROR(H1336/A1336,0)</x:f>
        <x:v>6137.2425997426</x:v>
      </x:c>
      <x:c r="J1336" s="67" t="str">
        <x:v>Modeled from live base + Sep-2026 quality ratio</x:v>
      </x:c>
      <x:c r="K1336" s="67" t="str">
        <x:v>https://www.stonealgo.com/diamond-prices/</x:v>
      </x:c>
      <x:c r="L1336" s="67" t="str">
        <x:v>https://www.pricescope.com/blog/natural-diamond-prices-september-2026</x:v>
      </x:c>
    </x:row>
    <x:row r="1337">
      <x:c r="A1337" t="n">
        <x:v>3</x:v>
      </x:c>
      <x:c r="B1337" t="str">
        <x:v>Round</x:v>
      </x:c>
      <x:c r="C1337" t="str">
        <x:v>J</x:v>
      </x:c>
      <x:c r="D1337" t="str">
        <x:v>SI2</x:v>
      </x:c>
      <x:c r="E1337" s="36" t="n">
        <x:v>39105</x:v>
      </x:c>
      <x:c r="F1337" s="36" t="n">
        <x:v>2079</x:v>
      </x:c>
      <x:c r="G1337" s="42" t="n">
        <x:v>0.44594594594594594</x:v>
      </x:c>
      <x:c r="H1337" s="36" t="n">
        <x:f>E1337*G1337</x:f>
        <x:v>17438.716216216217</x:v>
      </x:c>
      <x:c r="I1337" s="36" t="n">
        <x:f>IFERROR(H1337/A1337,0)</x:f>
        <x:v>5812.905405405406</x:v>
      </x:c>
      <x:c r="J1337" s="67" t="str">
        <x:v>Modeled from live base + Sep-2026 quality ratio</x:v>
      </x:c>
      <x:c r="K1337" s="67" t="str">
        <x:v>https://www.stonealgo.com/diamond-prices/</x:v>
      </x:c>
      <x:c r="L1337" s="67" t="str">
        <x:v>https://www.pricescope.com/blog/natural-diamond-prices-september-2026</x:v>
      </x:c>
    </x:row>
    <x:row r="1338">
      <x:c r="A1338" t="n">
        <x:v>3</x:v>
      </x:c>
      <x:c r="B1338" t="str">
        <x:v>Round</x:v>
      </x:c>
      <x:c r="C1338" t="str">
        <x:v>K</x:v>
      </x:c>
      <x:c r="D1338" t="str">
        <x:v>FL</x:v>
      </x:c>
      <x:c r="E1338" s="36" t="n">
        <x:v>39105</x:v>
      </x:c>
      <x:c r="F1338" s="36" t="n">
        <x:v>2858</x:v>
      </x:c>
      <x:c r="G1338" s="42" t="n">
        <x:v>0.6130416130416131</x:v>
      </x:c>
      <x:c r="H1338" s="36" t="n">
        <x:f>E1338*G1338</x:f>
        <x:v>23972.992277992278</x:v>
      </x:c>
      <x:c r="I1338" s="36" t="n">
        <x:f>IFERROR(H1338/A1338,0)</x:f>
        <x:v>7990.997425997426</x:v>
      </x:c>
      <x:c r="J1338" s="67" t="str">
        <x:v>Modeled from live base + Sep-2026 quality ratio; K/FL quality cell modeled</x:v>
      </x:c>
      <x:c r="K1338" s="67" t="str">
        <x:v>https://www.stonealgo.com/diamond-prices/</x:v>
      </x:c>
      <x:c r="L1338" s="67" t="str">
        <x:v>https://www.pricescope.com/blog/natural-diamond-prices-september-2026</x:v>
      </x:c>
    </x:row>
    <x:row r="1339">
      <x:c r="A1339" t="n">
        <x:v>3</x:v>
      </x:c>
      <x:c r="B1339" t="str">
        <x:v>Round</x:v>
      </x:c>
      <x:c r="C1339" t="str">
        <x:v>K</x:v>
      </x:c>
      <x:c r="D1339" t="str">
        <x:v>IF</x:v>
      </x:c>
      <x:c r="E1339" s="36" t="n">
        <x:v>39105</x:v>
      </x:c>
      <x:c r="F1339" s="36" t="n">
        <x:v>2743</x:v>
      </x:c>
      <x:c r="G1339" s="42" t="n">
        <x:v>0.5883740883740883</x:v>
      </x:c>
      <x:c r="H1339" s="36" t="n">
        <x:f>E1339*G1339</x:f>
        <x:v>23008.368725868724</x:v>
      </x:c>
      <x:c r="I1339" s="36" t="n">
        <x:f>IFERROR(H1339/A1339,0)</x:f>
        <x:v>7669.456241956242</x:v>
      </x:c>
      <x:c r="J1339" s="67" t="str">
        <x:v>Modeled from live base + Sep-2026 quality ratio</x:v>
      </x:c>
      <x:c r="K1339" s="67" t="str">
        <x:v>https://www.stonealgo.com/diamond-prices/</x:v>
      </x:c>
      <x:c r="L1339" s="67" t="str">
        <x:v>https://www.pricescope.com/blog/natural-diamond-prices-september-2026</x:v>
      </x:c>
    </x:row>
    <x:row r="1340">
      <x:c r="A1340" t="n">
        <x:v>3</x:v>
      </x:c>
      <x:c r="B1340" t="str">
        <x:v>Round</x:v>
      </x:c>
      <x:c r="C1340" t="str">
        <x:v>K</x:v>
      </x:c>
      <x:c r="D1340" t="str">
        <x:v>VVS1</x:v>
      </x:c>
      <x:c r="E1340" s="36" t="n">
        <x:v>39105</x:v>
      </x:c>
      <x:c r="F1340" s="36" t="n">
        <x:v>2529</x:v>
      </x:c>
      <x:c r="G1340" s="42" t="n">
        <x:v>0.5424710424710425</x:v>
      </x:c>
      <x:c r="H1340" s="36" t="n">
        <x:f>E1340*G1340</x:f>
        <x:v>21213.33011583012</x:v>
      </x:c>
      <x:c r="I1340" s="36" t="n">
        <x:f>IFERROR(H1340/A1340,0)</x:f>
        <x:v>7071.11003861004</x:v>
      </x:c>
      <x:c r="J1340" s="67" t="str">
        <x:v>Modeled from live base + Sep-2026 quality ratio</x:v>
      </x:c>
      <x:c r="K1340" s="67" t="str">
        <x:v>https://www.stonealgo.com/diamond-prices/</x:v>
      </x:c>
      <x:c r="L1340" s="67" t="str">
        <x:v>https://www.pricescope.com/blog/natural-diamond-prices-september-2026</x:v>
      </x:c>
    </x:row>
    <x:row r="1341">
      <x:c r="A1341" t="n">
        <x:v>3</x:v>
      </x:c>
      <x:c r="B1341" t="str">
        <x:v>Round</x:v>
      </x:c>
      <x:c r="C1341" t="str">
        <x:v>K</x:v>
      </x:c>
      <x:c r="D1341" t="str">
        <x:v>VVS2</x:v>
      </x:c>
      <x:c r="E1341" s="36" t="n">
        <x:v>39105</x:v>
      </x:c>
      <x:c r="F1341" s="36" t="n">
        <x:v>2374</x:v>
      </x:c>
      <x:c r="G1341" s="42" t="n">
        <x:v>0.5092235092235092</x:v>
      </x:c>
      <x:c r="H1341" s="36" t="n">
        <x:f>E1341*G1341</x:f>
        <x:v>19913.18532818533</x:v>
      </x:c>
      <x:c r="I1341" s="36" t="n">
        <x:f>IFERROR(H1341/A1341,0)</x:f>
        <x:v>6637.728442728443</x:v>
      </x:c>
      <x:c r="J1341" s="67" t="str">
        <x:v>Modeled from live base + Sep-2026 quality ratio</x:v>
      </x:c>
      <x:c r="K1341" s="67" t="str">
        <x:v>https://www.stonealgo.com/diamond-prices/</x:v>
      </x:c>
      <x:c r="L1341" s="67" t="str">
        <x:v>https://www.pricescope.com/blog/natural-diamond-prices-september-2026</x:v>
      </x:c>
    </x:row>
    <x:row r="1342">
      <x:c r="A1342" t="n">
        <x:v>3</x:v>
      </x:c>
      <x:c r="B1342" t="str">
        <x:v>Round</x:v>
      </x:c>
      <x:c r="C1342" t="str">
        <x:v>K</x:v>
      </x:c>
      <x:c r="D1342" t="str">
        <x:v>VS1</x:v>
      </x:c>
      <x:c r="E1342" s="36" t="n">
        <x:v>39105</x:v>
      </x:c>
      <x:c r="F1342" s="36" t="n">
        <x:v>2223</x:v>
      </x:c>
      <x:c r="G1342" s="42" t="n">
        <x:v>0.4768339768339768</x:v>
      </x:c>
      <x:c r="H1342" s="36" t="n">
        <x:f>E1342*G1342</x:f>
        <x:v>18646.592664092663</x:v>
      </x:c>
      <x:c r="I1342" s="36" t="n">
        <x:f>IFERROR(H1342/A1342,0)</x:f>
        <x:v>6215.530888030888</x:v>
      </x:c>
      <x:c r="J1342" s="67" t="str">
        <x:v>Modeled from live base + Sep-2026 quality ratio</x:v>
      </x:c>
      <x:c r="K1342" s="67" t="str">
        <x:v>https://www.stonealgo.com/diamond-prices/</x:v>
      </x:c>
      <x:c r="L1342" s="67" t="str">
        <x:v>https://www.pricescope.com/blog/natural-diamond-prices-september-2026</x:v>
      </x:c>
    </x:row>
    <x:row r="1343">
      <x:c r="A1343" t="n">
        <x:v>3</x:v>
      </x:c>
      <x:c r="B1343" t="str">
        <x:v>Round</x:v>
      </x:c>
      <x:c r="C1343" t="str">
        <x:v>K</x:v>
      </x:c>
      <x:c r="D1343" t="str">
        <x:v>VS2</x:v>
      </x:c>
      <x:c r="E1343" s="36" t="n">
        <x:v>39105</x:v>
      </x:c>
      <x:c r="F1343" s="36" t="n">
        <x:v>2098</x:v>
      </x:c>
      <x:c r="G1343" s="42" t="n">
        <x:v>0.45002145002145</x:v>
      </x:c>
      <x:c r="H1343" s="36" t="n">
        <x:f>E1343*G1343</x:f>
        <x:v>17598.0888030888</x:v>
      </x:c>
      <x:c r="I1343" s="36" t="n">
        <x:f>IFERROR(H1343/A1343,0)</x:f>
        <x:v>5866.029601029601</x:v>
      </x:c>
      <x:c r="J1343" s="67" t="str">
        <x:v>Modeled from live base + Sep-2026 quality ratio</x:v>
      </x:c>
      <x:c r="K1343" s="67" t="str">
        <x:v>https://www.stonealgo.com/diamond-prices/</x:v>
      </x:c>
      <x:c r="L1343" s="67" t="str">
        <x:v>https://www.pricescope.com/blog/natural-diamond-prices-september-2026</x:v>
      </x:c>
    </x:row>
    <x:row r="1344">
      <x:c r="A1344" t="n">
        <x:v>3</x:v>
      </x:c>
      <x:c r="B1344" t="str">
        <x:v>Round</x:v>
      </x:c>
      <x:c r="C1344" t="str">
        <x:v>K</x:v>
      </x:c>
      <x:c r="D1344" t="str">
        <x:v>SI1</x:v>
      </x:c>
      <x:c r="E1344" s="36" t="n">
        <x:v>39105</x:v>
      </x:c>
      <x:c r="F1344" s="36" t="n">
        <x:v>1922</x:v>
      </x:c>
      <x:c r="G1344" s="42" t="n">
        <x:v>0.41226941226941227</x:v>
      </x:c>
      <x:c r="H1344" s="36" t="n">
        <x:f>E1344*G1344</x:f>
        <x:v>16121.795366795366</x:v>
      </x:c>
      <x:c r="I1344" s="36" t="n">
        <x:f>IFERROR(H1344/A1344,0)</x:f>
        <x:v>5373.931788931789</x:v>
      </x:c>
      <x:c r="J1344" s="67" t="str">
        <x:v>Modeled from live base + Sep-2026 quality ratio</x:v>
      </x:c>
      <x:c r="K1344" s="67" t="str">
        <x:v>https://www.stonealgo.com/diamond-prices/</x:v>
      </x:c>
      <x:c r="L1344" s="67" t="str">
        <x:v>https://www.pricescope.com/blog/natural-diamond-prices-september-2026</x:v>
      </x:c>
    </x:row>
    <x:row r="1345">
      <x:c r="A1345" t="n">
        <x:v>3</x:v>
      </x:c>
      <x:c r="B1345" t="str">
        <x:v>Round</x:v>
      </x:c>
      <x:c r="C1345" t="str">
        <x:v>K</x:v>
      </x:c>
      <x:c r="D1345" t="str">
        <x:v>SI2</x:v>
      </x:c>
      <x:c r="E1345" s="36" t="n">
        <x:v>39105</x:v>
      </x:c>
      <x:c r="F1345" s="36" t="n">
        <x:v>1764</x:v>
      </x:c>
      <x:c r="G1345" s="42" t="n">
        <x:v>0.3783783783783784</x:v>
      </x:c>
      <x:c r="H1345" s="36" t="n">
        <x:f>E1345*G1345</x:f>
        <x:v>14796.486486486487</x:v>
      </x:c>
      <x:c r="I1345" s="36" t="n">
        <x:f>IFERROR(H1345/A1345,0)</x:f>
        <x:v>4932.1621621621625</x:v>
      </x:c>
      <x:c r="J1345" s="67" t="str">
        <x:v>Modeled from live base + Sep-2026 quality ratio</x:v>
      </x:c>
      <x:c r="K1345" s="67" t="str">
        <x:v>https://www.stonealgo.com/diamond-prices/</x:v>
      </x:c>
      <x:c r="L1345" s="67" t="str">
        <x:v>https://www.pricescope.com/blog/natural-diamond-prices-september-2026</x:v>
      </x:c>
    </x:row>
    <x:row r="1346">
      <x:c r="A1346" t="n">
        <x:v>3</x:v>
      </x:c>
      <x:c r="B1346" t="str">
        <x:v>Oval</x:v>
      </x:c>
      <x:c r="C1346" t="str">
        <x:v>D</x:v>
      </x:c>
      <x:c r="D1346" t="str">
        <x:v>FL</x:v>
      </x:c>
      <x:c r="E1346" s="36" t="n">
        <x:v>46650</x:v>
      </x:c>
      <x:c r="F1346" s="36" t="n">
        <x:v>12665</x:v>
      </x:c>
      <x:c r="G1346" s="42" t="n">
        <x:v>2.7166452166452166</x:v>
      </x:c>
      <x:c r="H1346" s="36" t="n">
        <x:f>E1346*G1346</x:f>
        <x:v>126731.49935649935</x:v>
      </x:c>
      <x:c r="I1346" s="36" t="n">
        <x:f>IFERROR(H1346/A1346,0)</x:f>
        <x:v>42243.833118833114</x:v>
      </x:c>
      <x:c r="J1346" s="67" t="str">
        <x:v>Modeled from live base + Sep-2026 quality ratio</x:v>
      </x:c>
      <x:c r="K1346" s="67" t="str">
        <x:v>https://www.stonealgo.com/diamond-prices/</x:v>
      </x:c>
      <x:c r="L1346" s="67" t="str">
        <x:v>https://www.pricescope.com/blog/natural-diamond-prices-september-2026</x:v>
      </x:c>
    </x:row>
    <x:row r="1347">
      <x:c r="A1347" t="n">
        <x:v>3</x:v>
      </x:c>
      <x:c r="B1347" t="str">
        <x:v>Oval</x:v>
      </x:c>
      <x:c r="C1347" t="str">
        <x:v>D</x:v>
      </x:c>
      <x:c r="D1347" t="str">
        <x:v>IF</x:v>
      </x:c>
      <x:c r="E1347" s="36" t="n">
        <x:v>46650</x:v>
      </x:c>
      <x:c r="F1347" s="36" t="n">
        <x:v>13240</x:v>
      </x:c>
      <x:c r="G1347" s="42" t="n">
        <x:v>2.83998283998284</x:v>
      </x:c>
      <x:c r="H1347" s="36" t="n">
        <x:f>E1347*G1347</x:f>
        <x:v>132485.1994851995</x:v>
      </x:c>
      <x:c r="I1347" s="36" t="n">
        <x:f>IFERROR(H1347/A1347,0)</x:f>
        <x:v>44161.733161733166</x:v>
      </x:c>
      <x:c r="J1347" s="67" t="str">
        <x:v>Modeled from live base + Sep-2026 quality ratio</x:v>
      </x:c>
      <x:c r="K1347" s="67" t="str">
        <x:v>https://www.stonealgo.com/diamond-prices/</x:v>
      </x:c>
      <x:c r="L1347" s="67" t="str">
        <x:v>https://www.pricescope.com/blog/natural-diamond-prices-september-2026</x:v>
      </x:c>
    </x:row>
    <x:row r="1348">
      <x:c r="A1348" t="n">
        <x:v>3</x:v>
      </x:c>
      <x:c r="B1348" t="str">
        <x:v>Oval</x:v>
      </x:c>
      <x:c r="C1348" t="str">
        <x:v>D</x:v>
      </x:c>
      <x:c r="D1348" t="str">
        <x:v>VVS1</x:v>
      </x:c>
      <x:c r="E1348" s="36" t="n">
        <x:v>46650</x:v>
      </x:c>
      <x:c r="F1348" s="36" t="n">
        <x:v>9555</x:v>
      </x:c>
      <x:c r="G1348" s="42" t="n">
        <x:v>2.0495495495495497</x:v>
      </x:c>
      <x:c r="H1348" s="36" t="n">
        <x:f>E1348*G1348</x:f>
        <x:v>95611.4864864865</x:v>
      </x:c>
      <x:c r="I1348" s="36" t="n">
        <x:f>IFERROR(H1348/A1348,0)</x:f>
        <x:v>31870.4954954955</x:v>
      </x:c>
      <x:c r="J1348" s="67" t="str">
        <x:v>Modeled from live base + Sep-2026 quality ratio</x:v>
      </x:c>
      <x:c r="K1348" s="67" t="str">
        <x:v>https://www.stonealgo.com/diamond-prices/</x:v>
      </x:c>
      <x:c r="L1348" s="67" t="str">
        <x:v>https://www.pricescope.com/blog/natural-diamond-prices-september-2026</x:v>
      </x:c>
    </x:row>
    <x:row r="1349">
      <x:c r="A1349" t="n">
        <x:v>3</x:v>
      </x:c>
      <x:c r="B1349" t="str">
        <x:v>Oval</x:v>
      </x:c>
      <x:c r="C1349" t="str">
        <x:v>D</x:v>
      </x:c>
      <x:c r="D1349" t="str">
        <x:v>VVS2</x:v>
      </x:c>
      <x:c r="E1349" s="36" t="n">
        <x:v>46650</x:v>
      </x:c>
      <x:c r="F1349" s="36" t="n">
        <x:v>6660</x:v>
      </x:c>
      <x:c r="G1349" s="42" t="n">
        <x:v>1.4285714285714286</x:v>
      </x:c>
      <x:c r="H1349" s="36" t="n">
        <x:f>E1349*G1349</x:f>
        <x:v>66642.85714285714</x:v>
      </x:c>
      <x:c r="I1349" s="36" t="n">
        <x:f>IFERROR(H1349/A1349,0)</x:f>
        <x:v>22214.285714285714</x:v>
      </x:c>
      <x:c r="J1349" s="67" t="str">
        <x:v>Modeled from live base + Sep-2026 quality ratio</x:v>
      </x:c>
      <x:c r="K1349" s="67" t="str">
        <x:v>https://www.stonealgo.com/diamond-prices/</x:v>
      </x:c>
      <x:c r="L1349" s="67" t="str">
        <x:v>https://www.pricescope.com/blog/natural-diamond-prices-september-2026</x:v>
      </x:c>
    </x:row>
    <x:row r="1350">
      <x:c r="A1350" t="n">
        <x:v>3</x:v>
      </x:c>
      <x:c r="B1350" t="str">
        <x:v>Oval</x:v>
      </x:c>
      <x:c r="C1350" t="str">
        <x:v>D</x:v>
      </x:c>
      <x:c r="D1350" t="str">
        <x:v>VS1</x:v>
      </x:c>
      <x:c r="E1350" s="36" t="n">
        <x:v>46650</x:v>
      </x:c>
      <x:c r="F1350" s="36" t="n">
        <x:v>6247</x:v>
      </x:c>
      <x:c r="G1350" s="42" t="n">
        <x:v>1.33998283998284</x:v>
      </x:c>
      <x:c r="H1350" s="36" t="n">
        <x:f>E1350*G1350</x:f>
        <x:v>62510.19948519948</x:v>
      </x:c>
      <x:c r="I1350" s="36" t="n">
        <x:f>IFERROR(H1350/A1350,0)</x:f>
        <x:v>20836.733161733162</x:v>
      </x:c>
      <x:c r="J1350" s="67" t="str">
        <x:v>Modeled from live base + Sep-2026 quality ratio</x:v>
      </x:c>
      <x:c r="K1350" s="67" t="str">
        <x:v>https://www.stonealgo.com/diamond-prices/</x:v>
      </x:c>
      <x:c r="L1350" s="67" t="str">
        <x:v>https://www.pricescope.com/blog/natural-diamond-prices-september-2026</x:v>
      </x:c>
    </x:row>
    <x:row r="1351">
      <x:c r="A1351" t="n">
        <x:v>3</x:v>
      </x:c>
      <x:c r="B1351" t="str">
        <x:v>Oval</x:v>
      </x:c>
      <x:c r="C1351" t="str">
        <x:v>D</x:v>
      </x:c>
      <x:c r="D1351" t="str">
        <x:v>VS2</x:v>
      </x:c>
      <x:c r="E1351" s="36" t="n">
        <x:v>46650</x:v>
      </x:c>
      <x:c r="F1351" s="36" t="n">
        <x:v>5841</x:v>
      </x:c>
      <x:c r="G1351" s="42" t="n">
        <x:v>1.252895752895753</x:v>
      </x:c>
      <x:c r="H1351" s="36" t="n">
        <x:f>E1351*G1351</x:f>
        <x:v>58447.58687258687</x:v>
      </x:c>
      <x:c r="I1351" s="36" t="n">
        <x:f>IFERROR(H1351/A1351,0)</x:f>
        <x:v>19482.528957528957</x:v>
      </x:c>
      <x:c r="J1351" s="67" t="str">
        <x:v>Modeled from live base + Sep-2026 quality ratio</x:v>
      </x:c>
      <x:c r="K1351" s="67" t="str">
        <x:v>https://www.stonealgo.com/diamond-prices/</x:v>
      </x:c>
      <x:c r="L1351" s="67" t="str">
        <x:v>https://www.pricescope.com/blog/natural-diamond-prices-september-2026</x:v>
      </x:c>
    </x:row>
    <x:row r="1352">
      <x:c r="A1352" t="n">
        <x:v>3</x:v>
      </x:c>
      <x:c r="B1352" t="str">
        <x:v>Oval</x:v>
      </x:c>
      <x:c r="C1352" t="str">
        <x:v>D</x:v>
      </x:c>
      <x:c r="D1352" t="str">
        <x:v>SI1</x:v>
      </x:c>
      <x:c r="E1352" s="36" t="n">
        <x:v>46650</x:v>
      </x:c>
      <x:c r="F1352" s="36" t="n">
        <x:v>3762</x:v>
      </x:c>
      <x:c r="G1352" s="42" t="n">
        <x:v>0.806949806949807</x:v>
      </x:c>
      <x:c r="H1352" s="36" t="n">
        <x:f>E1352*G1352</x:f>
        <x:v>37644.2084942085</x:v>
      </x:c>
      <x:c r="I1352" s="36" t="n">
        <x:f>IFERROR(H1352/A1352,0)</x:f>
        <x:v>12548.069498069499</x:v>
      </x:c>
      <x:c r="J1352" s="67" t="str">
        <x:v>Modeled from live base + Sep-2026 quality ratio</x:v>
      </x:c>
      <x:c r="K1352" s="67" t="str">
        <x:v>https://www.stonealgo.com/diamond-prices/</x:v>
      </x:c>
      <x:c r="L1352" s="67" t="str">
        <x:v>https://www.pricescope.com/blog/natural-diamond-prices-september-2026</x:v>
      </x:c>
    </x:row>
    <x:row r="1353">
      <x:c r="A1353" t="n">
        <x:v>3</x:v>
      </x:c>
      <x:c r="B1353" t="str">
        <x:v>Oval</x:v>
      </x:c>
      <x:c r="C1353" t="str">
        <x:v>D</x:v>
      </x:c>
      <x:c r="D1353" t="str">
        <x:v>SI2</x:v>
      </x:c>
      <x:c r="E1353" s="36" t="n">
        <x:v>46650</x:v>
      </x:c>
      <x:c r="F1353" s="36" t="n">
        <x:v>3026</x:v>
      </x:c>
      <x:c r="G1353" s="42" t="n">
        <x:v>0.6490776490776491</x:v>
      </x:c>
      <x:c r="H1353" s="36" t="n">
        <x:f>E1353*G1353</x:f>
        <x:v>30279.47232947233</x:v>
      </x:c>
      <x:c r="I1353" s="36" t="n">
        <x:f>IFERROR(H1353/A1353,0)</x:f>
        <x:v>10093.157443157443</x:v>
      </x:c>
      <x:c r="J1353" s="67" t="str">
        <x:v>Modeled from live base + Sep-2026 quality ratio</x:v>
      </x:c>
      <x:c r="K1353" s="67" t="str">
        <x:v>https://www.stonealgo.com/diamond-prices/</x:v>
      </x:c>
      <x:c r="L1353" s="67" t="str">
        <x:v>https://www.pricescope.com/blog/natural-diamond-prices-september-2026</x:v>
      </x:c>
    </x:row>
    <x:row r="1354">
      <x:c r="A1354" t="n">
        <x:v>3</x:v>
      </x:c>
      <x:c r="B1354" t="str">
        <x:v>Oval</x:v>
      </x:c>
      <x:c r="C1354" t="str">
        <x:v>E</x:v>
      </x:c>
      <x:c r="D1354" t="str">
        <x:v>FL</x:v>
      </x:c>
      <x:c r="E1354" s="36" t="n">
        <x:v>46650</x:v>
      </x:c>
      <x:c r="F1354" s="36" t="n">
        <x:v>10072</x:v>
      </x:c>
      <x:c r="G1354" s="42" t="n">
        <x:v>2.1604461604461602</x:v>
      </x:c>
      <x:c r="H1354" s="36" t="n">
        <x:f>E1354*G1354</x:f>
        <x:v>100784.81338481337</x:v>
      </x:c>
      <x:c r="I1354" s="36" t="n">
        <x:f>IFERROR(H1354/A1354,0)</x:f>
        <x:v>33594.93779493779</x:v>
      </x:c>
      <x:c r="J1354" s="67" t="str">
        <x:v>Modeled from live base + Sep-2026 quality ratio</x:v>
      </x:c>
      <x:c r="K1354" s="67" t="str">
        <x:v>https://www.stonealgo.com/diamond-prices/</x:v>
      </x:c>
      <x:c r="L1354" s="67" t="str">
        <x:v>https://www.pricescope.com/blog/natural-diamond-prices-september-2026</x:v>
      </x:c>
    </x:row>
    <x:row r="1355">
      <x:c r="A1355" t="n">
        <x:v>3</x:v>
      </x:c>
      <x:c r="B1355" t="str">
        <x:v>Oval</x:v>
      </x:c>
      <x:c r="C1355" t="str">
        <x:v>E</x:v>
      </x:c>
      <x:c r="D1355" t="str">
        <x:v>IF</x:v>
      </x:c>
      <x:c r="E1355" s="36" t="n">
        <x:v>46650</x:v>
      </x:c>
      <x:c r="F1355" s="36" t="n">
        <x:v>8672</x:v>
      </x:c>
      <x:c r="G1355" s="42" t="n">
        <x:v>1.8601458601458603</x:v>
      </x:c>
      <x:c r="H1355" s="36" t="n">
        <x:f>E1355*G1355</x:f>
        <x:v>86775.80437580438</x:v>
      </x:c>
      <x:c r="I1355" s="36" t="n">
        <x:f>IFERROR(H1355/A1355,0)</x:f>
        <x:v>28925.268125268125</x:v>
      </x:c>
      <x:c r="J1355" s="67" t="str">
        <x:v>Modeled from live base + Sep-2026 quality ratio</x:v>
      </x:c>
      <x:c r="K1355" s="67" t="str">
        <x:v>https://www.stonealgo.com/diamond-prices/</x:v>
      </x:c>
      <x:c r="L1355" s="67" t="str">
        <x:v>https://www.pricescope.com/blog/natural-diamond-prices-september-2026</x:v>
      </x:c>
    </x:row>
    <x:row r="1356">
      <x:c r="A1356" t="n">
        <x:v>3</x:v>
      </x:c>
      <x:c r="B1356" t="str">
        <x:v>Oval</x:v>
      </x:c>
      <x:c r="C1356" t="str">
        <x:v>E</x:v>
      </x:c>
      <x:c r="D1356" t="str">
        <x:v>VVS1</x:v>
      </x:c>
      <x:c r="E1356" s="36" t="n">
        <x:v>46650</x:v>
      </x:c>
      <x:c r="F1356" s="36" t="n">
        <x:v>7842</x:v>
      </x:c>
      <x:c r="G1356" s="42" t="n">
        <x:v>1.6821106821106822</x:v>
      </x:c>
      <x:c r="H1356" s="36" t="n">
        <x:f>E1356*G1356</x:f>
        <x:v>78470.46332046333</x:v>
      </x:c>
      <x:c r="I1356" s="36" t="n">
        <x:f>IFERROR(H1356/A1356,0)</x:f>
        <x:v>26156.82110682111</x:v>
      </x:c>
      <x:c r="J1356" s="67" t="str">
        <x:v>Modeled from live base + Sep-2026 quality ratio</x:v>
      </x:c>
      <x:c r="K1356" s="67" t="str">
        <x:v>https://www.stonealgo.com/diamond-prices/</x:v>
      </x:c>
      <x:c r="L1356" s="67" t="str">
        <x:v>https://www.pricescope.com/blog/natural-diamond-prices-september-2026</x:v>
      </x:c>
    </x:row>
    <x:row r="1357">
      <x:c r="A1357" t="n">
        <x:v>3</x:v>
      </x:c>
      <x:c r="B1357" t="str">
        <x:v>Oval</x:v>
      </x:c>
      <x:c r="C1357" t="str">
        <x:v>E</x:v>
      </x:c>
      <x:c r="D1357" t="str">
        <x:v>VVS2</x:v>
      </x:c>
      <x:c r="E1357" s="36" t="n">
        <x:v>46650</x:v>
      </x:c>
      <x:c r="F1357" s="36" t="n">
        <x:v>6880</x:v>
      </x:c>
      <x:c r="G1357" s="42" t="n">
        <x:v>1.4757614757614759</x:v>
      </x:c>
      <x:c r="H1357" s="36" t="n">
        <x:f>E1357*G1357</x:f>
        <x:v>68844.27284427285</x:v>
      </x:c>
      <x:c r="I1357" s="36" t="n">
        <x:f>IFERROR(H1357/A1357,0)</x:f>
        <x:v>22948.09094809095</x:v>
      </x:c>
      <x:c r="J1357" s="67" t="str">
        <x:v>Modeled from live base + Sep-2026 quality ratio</x:v>
      </x:c>
      <x:c r="K1357" s="67" t="str">
        <x:v>https://www.stonealgo.com/diamond-prices/</x:v>
      </x:c>
      <x:c r="L1357" s="67" t="str">
        <x:v>https://www.pricescope.com/blog/natural-diamond-prices-september-2026</x:v>
      </x:c>
    </x:row>
    <x:row r="1358">
      <x:c r="A1358" t="n">
        <x:v>3</x:v>
      </x:c>
      <x:c r="B1358" t="str">
        <x:v>Oval</x:v>
      </x:c>
      <x:c r="C1358" t="str">
        <x:v>E</x:v>
      </x:c>
      <x:c r="D1358" t="str">
        <x:v>VS1</x:v>
      </x:c>
      <x:c r="E1358" s="36" t="n">
        <x:v>46650</x:v>
      </x:c>
      <x:c r="F1358" s="36" t="n">
        <x:v>6307</x:v>
      </x:c>
      <x:c r="G1358" s="42" t="n">
        <x:v>1.352852852852853</x:v>
      </x:c>
      <x:c r="H1358" s="36" t="n">
        <x:f>E1358*G1358</x:f>
        <x:v>63110.58558558559</x:v>
      </x:c>
      <x:c r="I1358" s="36" t="n">
        <x:f>IFERROR(H1358/A1358,0)</x:f>
        <x:v>21036.861861861864</x:v>
      </x:c>
      <x:c r="J1358" s="67" t="str">
        <x:v>Modeled from live base + Sep-2026 quality ratio</x:v>
      </x:c>
      <x:c r="K1358" s="67" t="str">
        <x:v>https://www.stonealgo.com/diamond-prices/</x:v>
      </x:c>
      <x:c r="L1358" s="67" t="str">
        <x:v>https://www.pricescope.com/blog/natural-diamond-prices-september-2026</x:v>
      </x:c>
    </x:row>
    <x:row r="1359">
      <x:c r="A1359" t="n">
        <x:v>3</x:v>
      </x:c>
      <x:c r="B1359" t="str">
        <x:v>Oval</x:v>
      </x:c>
      <x:c r="C1359" t="str">
        <x:v>E</x:v>
      </x:c>
      <x:c r="D1359" t="str">
        <x:v>VS2</x:v>
      </x:c>
      <x:c r="E1359" s="36" t="n">
        <x:v>46650</x:v>
      </x:c>
      <x:c r="F1359" s="36" t="n">
        <x:v>5249</x:v>
      </x:c>
      <x:c r="G1359" s="42" t="n">
        <x:v>1.125911625911626</x:v>
      </x:c>
      <x:c r="H1359" s="36" t="n">
        <x:f>E1359*G1359</x:f>
        <x:v>52523.77734877735</x:v>
      </x:c>
      <x:c r="I1359" s="36" t="n">
        <x:f>IFERROR(H1359/A1359,0)</x:f>
        <x:v>17507.925782925784</x:v>
      </x:c>
      <x:c r="J1359" s="67" t="str">
        <x:v>Modeled from live base + Sep-2026 quality ratio</x:v>
      </x:c>
      <x:c r="K1359" s="67" t="str">
        <x:v>https://www.stonealgo.com/diamond-prices/</x:v>
      </x:c>
      <x:c r="L1359" s="67" t="str">
        <x:v>https://www.pricescope.com/blog/natural-diamond-prices-september-2026</x:v>
      </x:c>
    </x:row>
    <x:row r="1360">
      <x:c r="A1360" t="n">
        <x:v>3</x:v>
      </x:c>
      <x:c r="B1360" t="str">
        <x:v>Oval</x:v>
      </x:c>
      <x:c r="C1360" t="str">
        <x:v>E</x:v>
      </x:c>
      <x:c r="D1360" t="str">
        <x:v>SI1</x:v>
      </x:c>
      <x:c r="E1360" s="36" t="n">
        <x:v>46650</x:v>
      </x:c>
      <x:c r="F1360" s="36" t="n">
        <x:v>3551</x:v>
      </x:c>
      <x:c r="G1360" s="42" t="n">
        <x:v>0.7616902616902617</x:v>
      </x:c>
      <x:c r="H1360" s="36" t="n">
        <x:f>E1360*G1360</x:f>
        <x:v>35532.85070785071</x:v>
      </x:c>
      <x:c r="I1360" s="36" t="n">
        <x:f>IFERROR(H1360/A1360,0)</x:f>
        <x:v>11844.28356928357</x:v>
      </x:c>
      <x:c r="J1360" s="67" t="str">
        <x:v>Modeled from live base + Sep-2026 quality ratio</x:v>
      </x:c>
      <x:c r="K1360" s="67" t="str">
        <x:v>https://www.stonealgo.com/diamond-prices/</x:v>
      </x:c>
      <x:c r="L1360" s="67" t="str">
        <x:v>https://www.pricescope.com/blog/natural-diamond-prices-september-2026</x:v>
      </x:c>
    </x:row>
    <x:row r="1361">
      <x:c r="A1361" t="n">
        <x:v>3</x:v>
      </x:c>
      <x:c r="B1361" t="str">
        <x:v>Oval</x:v>
      </x:c>
      <x:c r="C1361" t="str">
        <x:v>E</x:v>
      </x:c>
      <x:c r="D1361" t="str">
        <x:v>SI2</x:v>
      </x:c>
      <x:c r="E1361" s="36" t="n">
        <x:v>46650</x:v>
      </x:c>
      <x:c r="F1361" s="36" t="n">
        <x:v>2993</x:v>
      </x:c>
      <x:c r="G1361" s="42" t="n">
        <x:v>0.641999141999142</x:v>
      </x:c>
      <x:c r="H1361" s="36" t="n">
        <x:f>E1361*G1361</x:f>
        <x:v>29949.259974259974</x:v>
      </x:c>
      <x:c r="I1361" s="36" t="n">
        <x:f>IFERROR(H1361/A1361,0)</x:f>
        <x:v>9983.086658086659</x:v>
      </x:c>
      <x:c r="J1361" s="67" t="str">
        <x:v>Modeled from live base + Sep-2026 quality ratio</x:v>
      </x:c>
      <x:c r="K1361" s="67" t="str">
        <x:v>https://www.stonealgo.com/diamond-prices/</x:v>
      </x:c>
      <x:c r="L1361" s="67" t="str">
        <x:v>https://www.pricescope.com/blog/natural-diamond-prices-september-2026</x:v>
      </x:c>
    </x:row>
    <x:row r="1362">
      <x:c r="A1362" t="n">
        <x:v>3</x:v>
      </x:c>
      <x:c r="B1362" t="str">
        <x:v>Oval</x:v>
      </x:c>
      <x:c r="C1362" t="str">
        <x:v>F</x:v>
      </x:c>
      <x:c r="D1362" t="str">
        <x:v>FL</x:v>
      </x:c>
      <x:c r="E1362" s="36" t="n">
        <x:v>46650</x:v>
      </x:c>
      <x:c r="F1362" s="36" t="n">
        <x:v>6830</x:v>
      </x:c>
      <x:c r="G1362" s="42" t="n">
        <x:v>1.4650364650364651</x:v>
      </x:c>
      <x:c r="H1362" s="36" t="n">
        <x:f>E1362*G1362</x:f>
        <x:v>68343.9510939511</x:v>
      </x:c>
      <x:c r="I1362" s="36" t="n">
        <x:f>IFERROR(H1362/A1362,0)</x:f>
        <x:v>22781.31703131703</x:v>
      </x:c>
      <x:c r="J1362" s="67" t="str">
        <x:v>Modeled from live base + Sep-2026 quality ratio</x:v>
      </x:c>
      <x:c r="K1362" s="67" t="str">
        <x:v>https://www.stonealgo.com/diamond-prices/</x:v>
      </x:c>
      <x:c r="L1362" s="67" t="str">
        <x:v>https://www.pricescope.com/blog/natural-diamond-prices-september-2026</x:v>
      </x:c>
    </x:row>
    <x:row r="1363">
      <x:c r="A1363" t="n">
        <x:v>3</x:v>
      </x:c>
      <x:c r="B1363" t="str">
        <x:v>Oval</x:v>
      </x:c>
      <x:c r="C1363" t="str">
        <x:v>F</x:v>
      </x:c>
      <x:c r="D1363" t="str">
        <x:v>IF</x:v>
      </x:c>
      <x:c r="E1363" s="36" t="n">
        <x:v>46650</x:v>
      </x:c>
      <x:c r="F1363" s="36" t="n">
        <x:v>7302</x:v>
      </x:c>
      <x:c r="G1363" s="42" t="n">
        <x:v>1.5662805662805663</x:v>
      </x:c>
      <x:c r="H1363" s="36" t="n">
        <x:f>E1363*G1363</x:f>
        <x:v>73066.98841698842</x:v>
      </x:c>
      <x:c r="I1363" s="36" t="n">
        <x:f>IFERROR(H1363/A1363,0)</x:f>
        <x:v>24355.662805662807</x:v>
      </x:c>
      <x:c r="J1363" s="67" t="str">
        <x:v>Modeled from live base + Sep-2026 quality ratio</x:v>
      </x:c>
      <x:c r="K1363" s="67" t="str">
        <x:v>https://www.stonealgo.com/diamond-prices/</x:v>
      </x:c>
      <x:c r="L1363" s="67" t="str">
        <x:v>https://www.pricescope.com/blog/natural-diamond-prices-september-2026</x:v>
      </x:c>
    </x:row>
    <x:row r="1364">
      <x:c r="A1364" t="n">
        <x:v>3</x:v>
      </x:c>
      <x:c r="B1364" t="str">
        <x:v>Oval</x:v>
      </x:c>
      <x:c r="C1364" t="str">
        <x:v>F</x:v>
      </x:c>
      <x:c r="D1364" t="str">
        <x:v>VVS1</x:v>
      </x:c>
      <x:c r="E1364" s="36" t="n">
        <x:v>46650</x:v>
      </x:c>
      <x:c r="F1364" s="36" t="n">
        <x:v>7542</x:v>
      </x:c>
      <x:c r="G1364" s="42" t="n">
        <x:v>1.6177606177606179</x:v>
      </x:c>
      <x:c r="H1364" s="36" t="n">
        <x:f>E1364*G1364</x:f>
        <x:v>75468.53281853283</x:v>
      </x:c>
      <x:c r="I1364" s="36" t="n">
        <x:f>IFERROR(H1364/A1364,0)</x:f>
        <x:v>25156.177606177607</x:v>
      </x:c>
      <x:c r="J1364" s="67" t="str">
        <x:v>Modeled from live base + Sep-2026 quality ratio</x:v>
      </x:c>
      <x:c r="K1364" s="67" t="str">
        <x:v>https://www.stonealgo.com/diamond-prices/</x:v>
      </x:c>
      <x:c r="L1364" s="67" t="str">
        <x:v>https://www.pricescope.com/blog/natural-diamond-prices-september-2026</x:v>
      </x:c>
    </x:row>
    <x:row r="1365">
      <x:c r="A1365" t="n">
        <x:v>3</x:v>
      </x:c>
      <x:c r="B1365" t="str">
        <x:v>Oval</x:v>
      </x:c>
      <x:c r="C1365" t="str">
        <x:v>F</x:v>
      </x:c>
      <x:c r="D1365" t="str">
        <x:v>VVS2</x:v>
      </x:c>
      <x:c r="E1365" s="36" t="n">
        <x:v>46650</x:v>
      </x:c>
      <x:c r="F1365" s="36" t="n">
        <x:v>6352</x:v>
      </x:c>
      <x:c r="G1365" s="42" t="n">
        <x:v>1.3625053625053625</x:v>
      </x:c>
      <x:c r="H1365" s="36" t="n">
        <x:f>E1365*G1365</x:f>
        <x:v>63560.87516087516</x:v>
      </x:c>
      <x:c r="I1365" s="36" t="n">
        <x:f>IFERROR(H1365/A1365,0)</x:f>
        <x:v>21186.958386958388</x:v>
      </x:c>
      <x:c r="J1365" s="67" t="str">
        <x:v>Modeled from live base + Sep-2026 quality ratio</x:v>
      </x:c>
      <x:c r="K1365" s="67" t="str">
        <x:v>https://www.stonealgo.com/diamond-prices/</x:v>
      </x:c>
      <x:c r="L1365" s="67" t="str">
        <x:v>https://www.pricescope.com/blog/natural-diamond-prices-september-2026</x:v>
      </x:c>
    </x:row>
    <x:row r="1366">
      <x:c r="A1366" t="n">
        <x:v>3</x:v>
      </x:c>
      <x:c r="B1366" t="str">
        <x:v>Oval</x:v>
      </x:c>
      <x:c r="C1366" t="str">
        <x:v>F</x:v>
      </x:c>
      <x:c r="D1366" t="str">
        <x:v>VS1</x:v>
      </x:c>
      <x:c r="E1366" s="36" t="n">
        <x:v>46650</x:v>
      </x:c>
      <x:c r="F1366" s="36" t="n">
        <x:v>5647</x:v>
      </x:c>
      <x:c r="G1366" s="42" t="n">
        <x:v>1.2112827112827114</x:v>
      </x:c>
      <x:c r="H1366" s="36" t="n">
        <x:f>E1366*G1366</x:f>
        <x:v>56506.338481338484</x:v>
      </x:c>
      <x:c r="I1366" s="36" t="n">
        <x:f>IFERROR(H1366/A1366,0)</x:f>
        <x:v>18835.44616044616</x:v>
      </x:c>
      <x:c r="J1366" s="67" t="str">
        <x:v>Modeled from live base + Sep-2026 quality ratio</x:v>
      </x:c>
      <x:c r="K1366" s="67" t="str">
        <x:v>https://www.stonealgo.com/diamond-prices/</x:v>
      </x:c>
      <x:c r="L1366" s="67" t="str">
        <x:v>https://www.pricescope.com/blog/natural-diamond-prices-september-2026</x:v>
      </x:c>
    </x:row>
    <x:row r="1367">
      <x:c r="A1367" t="n">
        <x:v>3</x:v>
      </x:c>
      <x:c r="B1367" t="str">
        <x:v>Oval</x:v>
      </x:c>
      <x:c r="C1367" t="str">
        <x:v>F</x:v>
      </x:c>
      <x:c r="D1367" t="str">
        <x:v>VS2</x:v>
      </x:c>
      <x:c r="E1367" s="36" t="n">
        <x:v>46650</x:v>
      </x:c>
      <x:c r="F1367" s="36" t="n">
        <x:v>4730</x:v>
      </x:c>
      <x:c r="G1367" s="42" t="n">
        <x:v>1.0145860145860146</x:v>
      </x:c>
      <x:c r="H1367" s="36" t="n">
        <x:f>E1367*G1367</x:f>
        <x:v>47330.43758043758</x:v>
      </x:c>
      <x:c r="I1367" s="36" t="n">
        <x:f>IFERROR(H1367/A1367,0)</x:f>
        <x:v>15776.812526812528</x:v>
      </x:c>
      <x:c r="J1367" s="67" t="str">
        <x:v>Modeled from live base + Sep-2026 quality ratio</x:v>
      </x:c>
      <x:c r="K1367" s="67" t="str">
        <x:v>https://www.stonealgo.com/diamond-prices/</x:v>
      </x:c>
      <x:c r="L1367" s="67" t="str">
        <x:v>https://www.pricescope.com/blog/natural-diamond-prices-september-2026</x:v>
      </x:c>
    </x:row>
    <x:row r="1368">
      <x:c r="A1368" t="n">
        <x:v>3</x:v>
      </x:c>
      <x:c r="B1368" t="str">
        <x:v>Oval</x:v>
      </x:c>
      <x:c r="C1368" t="str">
        <x:v>F</x:v>
      </x:c>
      <x:c r="D1368" t="str">
        <x:v>SI1</x:v>
      </x:c>
      <x:c r="E1368" s="36" t="n">
        <x:v>46650</x:v>
      </x:c>
      <x:c r="F1368" s="36" t="n">
        <x:v>3331</x:v>
      </x:c>
      <x:c r="G1368" s="42" t="n">
        <x:v>0.7145002145002145</x:v>
      </x:c>
      <x:c r="H1368" s="36" t="n">
        <x:f>E1368*G1368</x:f>
        <x:v>33331.43500643501</x:v>
      </x:c>
      <x:c r="I1368" s="36" t="n">
        <x:f>IFERROR(H1368/A1368,0)</x:f>
        <x:v>11110.478335478336</x:v>
      </x:c>
      <x:c r="J1368" s="67" t="str">
        <x:v>Modeled from live base + Sep-2026 quality ratio</x:v>
      </x:c>
      <x:c r="K1368" s="67" t="str">
        <x:v>https://www.stonealgo.com/diamond-prices/</x:v>
      </x:c>
      <x:c r="L1368" s="67" t="str">
        <x:v>https://www.pricescope.com/blog/natural-diamond-prices-september-2026</x:v>
      </x:c>
    </x:row>
    <x:row r="1369">
      <x:c r="A1369" t="n">
        <x:v>3</x:v>
      </x:c>
      <x:c r="B1369" t="str">
        <x:v>Oval</x:v>
      </x:c>
      <x:c r="C1369" t="str">
        <x:v>F</x:v>
      </x:c>
      <x:c r="D1369" t="str">
        <x:v>SI2</x:v>
      </x:c>
      <x:c r="E1369" s="36" t="n">
        <x:v>46650</x:v>
      </x:c>
      <x:c r="F1369" s="36" t="n">
        <x:v>2733</x:v>
      </x:c>
      <x:c r="G1369" s="42" t="n">
        <x:v>0.5862290862290862</x:v>
      </x:c>
      <x:c r="H1369" s="36" t="n">
        <x:f>E1369*G1369</x:f>
        <x:v>27347.58687258687</x:v>
      </x:c>
      <x:c r="I1369" s="36" t="n">
        <x:f>IFERROR(H1369/A1369,0)</x:f>
        <x:v>9115.862290862291</x:v>
      </x:c>
      <x:c r="J1369" s="67" t="str">
        <x:v>Modeled from live base + Sep-2026 quality ratio</x:v>
      </x:c>
      <x:c r="K1369" s="67" t="str">
        <x:v>https://www.stonealgo.com/diamond-prices/</x:v>
      </x:c>
      <x:c r="L1369" s="67" t="str">
        <x:v>https://www.pricescope.com/blog/natural-diamond-prices-september-2026</x:v>
      </x:c>
    </x:row>
    <x:row r="1370">
      <x:c r="A1370" t="n">
        <x:v>3</x:v>
      </x:c>
      <x:c r="B1370" t="str">
        <x:v>Oval</x:v>
      </x:c>
      <x:c r="C1370" t="str">
        <x:v>G</x:v>
      </x:c>
      <x:c r="D1370" t="str">
        <x:v>FL</x:v>
      </x:c>
      <x:c r="E1370" s="36" t="n">
        <x:v>46650</x:v>
      </x:c>
      <x:c r="F1370" s="36" t="n">
        <x:v>5905</x:v>
      </x:c>
      <x:c r="G1370" s="42" t="n">
        <x:v>1.2666237666237665</x:v>
      </x:c>
      <x:c r="H1370" s="36" t="n">
        <x:f>E1370*G1370</x:f>
        <x:v>59087.998712998706</x:v>
      </x:c>
      <x:c r="I1370" s="36" t="n">
        <x:f>IFERROR(H1370/A1370,0)</x:f>
        <x:v>19695.999570999567</x:v>
      </x:c>
      <x:c r="J1370" s="67" t="str">
        <x:v>Modeled from live base + Sep-2026 quality ratio</x:v>
      </x:c>
      <x:c r="K1370" s="67" t="str">
        <x:v>https://www.stonealgo.com/diamond-prices/</x:v>
      </x:c>
      <x:c r="L1370" s="67" t="str">
        <x:v>https://www.pricescope.com/blog/natural-diamond-prices-september-2026</x:v>
      </x:c>
    </x:row>
    <x:row r="1371">
      <x:c r="A1371" t="n">
        <x:v>3</x:v>
      </x:c>
      <x:c r="B1371" t="str">
        <x:v>Oval</x:v>
      </x:c>
      <x:c r="C1371" t="str">
        <x:v>G</x:v>
      </x:c>
      <x:c r="D1371" t="str">
        <x:v>IF</x:v>
      </x:c>
      <x:c r="E1371" s="36" t="n">
        <x:v>46650</x:v>
      </x:c>
      <x:c r="F1371" s="36" t="n">
        <x:v>5601</x:v>
      </x:c>
      <x:c r="G1371" s="42" t="n">
        <x:v>1.2014157014157014</x:v>
      </x:c>
      <x:c r="H1371" s="36" t="n">
        <x:f>E1371*G1371</x:f>
        <x:v>56046.04247104247</x:v>
      </x:c>
      <x:c r="I1371" s="36" t="n">
        <x:f>IFERROR(H1371/A1371,0)</x:f>
        <x:v>18682.014157014157</x:v>
      </x:c>
      <x:c r="J1371" s="67" t="str">
        <x:v>Modeled from live base + Sep-2026 quality ratio</x:v>
      </x:c>
      <x:c r="K1371" s="67" t="str">
        <x:v>https://www.stonealgo.com/diamond-prices/</x:v>
      </x:c>
      <x:c r="L1371" s="67" t="str">
        <x:v>https://www.pricescope.com/blog/natural-diamond-prices-september-2026</x:v>
      </x:c>
    </x:row>
    <x:row r="1372">
      <x:c r="A1372" t="n">
        <x:v>3</x:v>
      </x:c>
      <x:c r="B1372" t="str">
        <x:v>Oval</x:v>
      </x:c>
      <x:c r="C1372" t="str">
        <x:v>G</x:v>
      </x:c>
      <x:c r="D1372" t="str">
        <x:v>VVS1</x:v>
      </x:c>
      <x:c r="E1372" s="36" t="n">
        <x:v>46650</x:v>
      </x:c>
      <x:c r="F1372" s="36" t="n">
        <x:v>5124</x:v>
      </x:c>
      <x:c r="G1372" s="42" t="n">
        <x:v>1.0990990990990992</x:v>
      </x:c>
      <x:c r="H1372" s="36" t="n">
        <x:f>E1372*G1372</x:f>
        <x:v>51272.97297297298</x:v>
      </x:c>
      <x:c r="I1372" s="36" t="n">
        <x:f>IFERROR(H1372/A1372,0)</x:f>
        <x:v>17090.990990990995</x:v>
      </x:c>
      <x:c r="J1372" s="67" t="str">
        <x:v>Modeled from live base + Sep-2026 quality ratio</x:v>
      </x:c>
      <x:c r="K1372" s="67" t="str">
        <x:v>https://www.stonealgo.com/diamond-prices/</x:v>
      </x:c>
      <x:c r="L1372" s="67" t="str">
        <x:v>https://www.pricescope.com/blog/natural-diamond-prices-september-2026</x:v>
      </x:c>
    </x:row>
    <x:row r="1373">
      <x:c r="A1373" t="n">
        <x:v>3</x:v>
      </x:c>
      <x:c r="B1373" t="str">
        <x:v>Oval</x:v>
      </x:c>
      <x:c r="C1373" t="str">
        <x:v>G</x:v>
      </x:c>
      <x:c r="D1373" t="str">
        <x:v>VVS2</x:v>
      </x:c>
      <x:c r="E1373" s="36" t="n">
        <x:v>46650</x:v>
      </x:c>
      <x:c r="F1373" s="36" t="n">
        <x:v>4962</x:v>
      </x:c>
      <x:c r="G1373" s="42" t="n">
        <x:v>1.0643500643500643</x:v>
      </x:c>
      <x:c r="H1373" s="36" t="n">
        <x:f>E1373*G1373</x:f>
        <x:v>49651.9305019305</x:v>
      </x:c>
      <x:c r="I1373" s="36" t="n">
        <x:f>IFERROR(H1373/A1373,0)</x:f>
        <x:v>16550.643500643502</x:v>
      </x:c>
      <x:c r="J1373" s="67" t="str">
        <x:v>Modeled from live base + Sep-2026 quality ratio</x:v>
      </x:c>
      <x:c r="K1373" s="67" t="str">
        <x:v>https://www.stonealgo.com/diamond-prices/</x:v>
      </x:c>
      <x:c r="L1373" s="67" t="str">
        <x:v>https://www.pricescope.com/blog/natural-diamond-prices-september-2026</x:v>
      </x:c>
    </x:row>
    <x:row r="1374">
      <x:c r="A1374" t="n">
        <x:v>3</x:v>
      </x:c>
      <x:c r="B1374" t="str">
        <x:v>Oval</x:v>
      </x:c>
      <x:c r="C1374" t="str">
        <x:v>G</x:v>
      </x:c>
      <x:c r="D1374" t="str">
        <x:v>VS1</x:v>
      </x:c>
      <x:c r="E1374" s="36" t="n">
        <x:v>46650</x:v>
      </x:c>
      <x:c r="F1374" s="36" t="n">
        <x:v>4615</x:v>
      </x:c>
      <x:c r="G1374" s="42" t="n">
        <x:v>0.98991848991849</x:v>
      </x:c>
      <x:c r="H1374" s="36" t="n">
        <x:f>E1374*G1374</x:f>
        <x:v>46179.69755469756</x:v>
      </x:c>
      <x:c r="I1374" s="36" t="n">
        <x:f>IFERROR(H1374/A1374,0)</x:f>
        <x:v>15393.23251823252</x:v>
      </x:c>
      <x:c r="J1374" s="67" t="str">
        <x:v>Modeled from live base + Sep-2026 quality ratio</x:v>
      </x:c>
      <x:c r="K1374" s="67" t="str">
        <x:v>https://www.stonealgo.com/diamond-prices/</x:v>
      </x:c>
      <x:c r="L1374" s="67" t="str">
        <x:v>https://www.pricescope.com/blog/natural-diamond-prices-september-2026</x:v>
      </x:c>
    </x:row>
    <x:row r="1375">
      <x:c r="A1375" t="n">
        <x:v>3</x:v>
      </x:c>
      <x:c r="B1375" t="str">
        <x:v>Oval</x:v>
      </x:c>
      <x:c r="C1375" t="str">
        <x:v>G</x:v>
      </x:c>
      <x:c r="D1375" t="str">
        <x:v>VS2</x:v>
      </x:c>
      <x:c r="E1375" s="36" t="n">
        <x:v>46650</x:v>
      </x:c>
      <x:c r="F1375" s="36" t="n">
        <x:v>4585</x:v>
      </x:c>
      <x:c r="G1375" s="42" t="n">
        <x:v>0.9834834834834835</x:v>
      </x:c>
      <x:c r="H1375" s="36" t="n">
        <x:f>E1375*G1375</x:f>
        <x:v>45879.504504504504</x:v>
      </x:c>
      <x:c r="I1375" s="36" t="n">
        <x:f>IFERROR(H1375/A1375,0)</x:f>
        <x:v>15293.168168168168</x:v>
      </x:c>
      <x:c r="J1375" s="67" t="str">
        <x:v>Modeled from live base + Sep-2026 quality ratio</x:v>
      </x:c>
      <x:c r="K1375" s="67" t="str">
        <x:v>https://www.stonealgo.com/diamond-prices/</x:v>
      </x:c>
      <x:c r="L1375" s="67" t="str">
        <x:v>https://www.pricescope.com/blog/natural-diamond-prices-september-2026</x:v>
      </x:c>
    </x:row>
    <x:row r="1376">
      <x:c r="A1376" t="n">
        <x:v>3</x:v>
      </x:c>
      <x:c r="B1376" t="str">
        <x:v>Oval</x:v>
      </x:c>
      <x:c r="C1376" t="str">
        <x:v>G</x:v>
      </x:c>
      <x:c r="D1376" t="str">
        <x:v>SI1</x:v>
      </x:c>
      <x:c r="E1376" s="36" t="n">
        <x:v>46650</x:v>
      </x:c>
      <x:c r="F1376" s="36" t="n">
        <x:v>3664</x:v>
      </x:c>
      <x:c r="G1376" s="42" t="n">
        <x:v>0.7859287859287859</x:v>
      </x:c>
      <x:c r="H1376" s="36" t="n">
        <x:f>E1376*G1376</x:f>
        <x:v>36663.57786357786</x:v>
      </x:c>
      <x:c r="I1376" s="36" t="n">
        <x:f>IFERROR(H1376/A1376,0)</x:f>
        <x:v>12221.19262119262</x:v>
      </x:c>
      <x:c r="J1376" s="67" t="str">
        <x:v>Modeled from live base + Sep-2026 quality ratio</x:v>
      </x:c>
      <x:c r="K1376" s="67" t="str">
        <x:v>https://www.stonealgo.com/diamond-prices/</x:v>
      </x:c>
      <x:c r="L1376" s="67" t="str">
        <x:v>https://www.pricescope.com/blog/natural-diamond-prices-september-2026</x:v>
      </x:c>
    </x:row>
    <x:row r="1377">
      <x:c r="A1377" t="n">
        <x:v>3</x:v>
      </x:c>
      <x:c r="B1377" t="str">
        <x:v>Oval</x:v>
      </x:c>
      <x:c r="C1377" t="str">
        <x:v>G</x:v>
      </x:c>
      <x:c r="D1377" t="str">
        <x:v>SI2</x:v>
      </x:c>
      <x:c r="E1377" s="36" t="n">
        <x:v>46650</x:v>
      </x:c>
      <x:c r="F1377" s="36" t="n">
        <x:v>2537</x:v>
      </x:c>
      <x:c r="G1377" s="42" t="n">
        <x:v>0.5441870441870442</x:v>
      </x:c>
      <x:c r="H1377" s="36" t="n">
        <x:f>E1377*G1377</x:f>
        <x:v>25386.325611325614</x:v>
      </x:c>
      <x:c r="I1377" s="36" t="n">
        <x:f>IFERROR(H1377/A1377,0)</x:f>
        <x:v>8462.108537108537</x:v>
      </x:c>
      <x:c r="J1377" s="67" t="str">
        <x:v>Modeled from live base + Sep-2026 quality ratio</x:v>
      </x:c>
      <x:c r="K1377" s="67" t="str">
        <x:v>https://www.stonealgo.com/diamond-prices/</x:v>
      </x:c>
      <x:c r="L1377" s="67" t="str">
        <x:v>https://www.pricescope.com/blog/natural-diamond-prices-september-2026</x:v>
      </x:c>
    </x:row>
    <x:row r="1378">
      <x:c r="A1378" t="n">
        <x:v>3</x:v>
      </x:c>
      <x:c r="B1378" t="str">
        <x:v>Oval</x:v>
      </x:c>
      <x:c r="C1378" t="str">
        <x:v>H</x:v>
      </x:c>
      <x:c r="D1378" t="str">
        <x:v>FL</x:v>
      </x:c>
      <x:c r="E1378" s="36" t="n">
        <x:v>46650</x:v>
      </x:c>
      <x:c r="F1378" s="36" t="n">
        <x:v>4563</x:v>
      </x:c>
      <x:c r="G1378" s="42" t="n">
        <x:v>0.9787644787644788</x:v>
      </x:c>
      <x:c r="H1378" s="36" t="n">
        <x:f>E1378*G1378</x:f>
        <x:v>45659.362934362936</x:v>
      </x:c>
      <x:c r="I1378" s="36" t="n">
        <x:f>IFERROR(H1378/A1378,0)</x:f>
        <x:v>15219.787644787646</x:v>
      </x:c>
      <x:c r="J1378" s="67" t="str">
        <x:v>Modeled from live base + Sep-2026 quality ratio</x:v>
      </x:c>
      <x:c r="K1378" s="67" t="str">
        <x:v>https://www.stonealgo.com/diamond-prices/</x:v>
      </x:c>
      <x:c r="L1378" s="67" t="str">
        <x:v>https://www.pricescope.com/blog/natural-diamond-prices-september-2026</x:v>
      </x:c>
    </x:row>
    <x:row r="1379">
      <x:c r="A1379" t="n">
        <x:v>3</x:v>
      </x:c>
      <x:c r="B1379" t="str">
        <x:v>Oval</x:v>
      </x:c>
      <x:c r="C1379" t="str">
        <x:v>H</x:v>
      </x:c>
      <x:c r="D1379" t="str">
        <x:v>IF</x:v>
      </x:c>
      <x:c r="E1379" s="36" t="n">
        <x:v>46650</x:v>
      </x:c>
      <x:c r="F1379" s="36" t="n">
        <x:v>4809</x:v>
      </x:c>
      <x:c r="G1379" s="42" t="n">
        <x:v>1.0315315315315314</x:v>
      </x:c>
      <x:c r="H1379" s="36" t="n">
        <x:f>E1379*G1379</x:f>
        <x:v>48120.94594594594</x:v>
      </x:c>
      <x:c r="I1379" s="36" t="n">
        <x:f>IFERROR(H1379/A1379,0)</x:f>
        <x:v>16040.315315315313</x:v>
      </x:c>
      <x:c r="J1379" s="67" t="str">
        <x:v>Modeled from live base + Sep-2026 quality ratio</x:v>
      </x:c>
      <x:c r="K1379" s="67" t="str">
        <x:v>https://www.stonealgo.com/diamond-prices/</x:v>
      </x:c>
      <x:c r="L1379" s="67" t="str">
        <x:v>https://www.pricescope.com/blog/natural-diamond-prices-september-2026</x:v>
      </x:c>
    </x:row>
    <x:row r="1380">
      <x:c r="A1380" t="n">
        <x:v>3</x:v>
      </x:c>
      <x:c r="B1380" t="str">
        <x:v>Oval</x:v>
      </x:c>
      <x:c r="C1380" t="str">
        <x:v>H</x:v>
      </x:c>
      <x:c r="D1380" t="str">
        <x:v>VVS1</x:v>
      </x:c>
      <x:c r="E1380" s="36" t="n">
        <x:v>46650</x:v>
      </x:c>
      <x:c r="F1380" s="36" t="n">
        <x:v>4911</x:v>
      </x:c>
      <x:c r="G1380" s="42" t="n">
        <x:v>1.0534105534105533</x:v>
      </x:c>
      <x:c r="H1380" s="36" t="n">
        <x:f>E1380*G1380</x:f>
        <x:v>49141.602316602315</x:v>
      </x:c>
      <x:c r="I1380" s="36" t="n">
        <x:f>IFERROR(H1380/A1380,0)</x:f>
        <x:v>16380.534105534105</x:v>
      </x:c>
      <x:c r="J1380" s="67" t="str">
        <x:v>Modeled from live base + Sep-2026 quality ratio</x:v>
      </x:c>
      <x:c r="K1380" s="67" t="str">
        <x:v>https://www.stonealgo.com/diamond-prices/</x:v>
      </x:c>
      <x:c r="L1380" s="67" t="str">
        <x:v>https://www.pricescope.com/blog/natural-diamond-prices-september-2026</x:v>
      </x:c>
    </x:row>
    <x:row r="1381">
      <x:c r="A1381" t="n">
        <x:v>3</x:v>
      </x:c>
      <x:c r="B1381" t="str">
        <x:v>Oval</x:v>
      </x:c>
      <x:c r="C1381" t="str">
        <x:v>H</x:v>
      </x:c>
      <x:c r="D1381" t="str">
        <x:v>VVS2</x:v>
      </x:c>
      <x:c r="E1381" s="36" t="n">
        <x:v>46650</x:v>
      </x:c>
      <x:c r="F1381" s="36" t="n">
        <x:v>4046</x:v>
      </x:c>
      <x:c r="G1381" s="42" t="n">
        <x:v>0.8678678678678678</x:v>
      </x:c>
      <x:c r="H1381" s="36" t="n">
        <x:f>E1381*G1381</x:f>
        <x:v>40486.036036036036</x:v>
      </x:c>
      <x:c r="I1381" s="36" t="n">
        <x:f>IFERROR(H1381/A1381,0)</x:f>
        <x:v>13495.345345345346</x:v>
      </x:c>
      <x:c r="J1381" s="67" t="str">
        <x:v>Modeled from live base + Sep-2026 quality ratio</x:v>
      </x:c>
      <x:c r="K1381" s="67" t="str">
        <x:v>https://www.stonealgo.com/diamond-prices/</x:v>
      </x:c>
      <x:c r="L1381" s="67" t="str">
        <x:v>https://www.pricescope.com/blog/natural-diamond-prices-september-2026</x:v>
      </x:c>
    </x:row>
    <x:row r="1382">
      <x:c r="A1382" t="n">
        <x:v>3</x:v>
      </x:c>
      <x:c r="B1382" t="str">
        <x:v>Oval</x:v>
      </x:c>
      <x:c r="C1382" t="str">
        <x:v>H</x:v>
      </x:c>
      <x:c r="D1382" t="str">
        <x:v>VS1</x:v>
      </x:c>
      <x:c r="E1382" s="36" t="n">
        <x:v>46650</x:v>
      </x:c>
      <x:c r="F1382" s="36" t="n">
        <x:v>3893</x:v>
      </x:c>
      <x:c r="G1382" s="42" t="n">
        <x:v>0.8350493350493351</x:v>
      </x:c>
      <x:c r="H1382" s="36" t="n">
        <x:f>E1382*G1382</x:f>
        <x:v>38955.05148005148</x:v>
      </x:c>
      <x:c r="I1382" s="36" t="n">
        <x:f>IFERROR(H1382/A1382,0)</x:f>
        <x:v>12985.01716001716</x:v>
      </x:c>
      <x:c r="J1382" s="67" t="str">
        <x:v>Modeled from live base + Sep-2026 quality ratio</x:v>
      </x:c>
      <x:c r="K1382" s="67" t="str">
        <x:v>https://www.stonealgo.com/diamond-prices/</x:v>
      </x:c>
      <x:c r="L1382" s="67" t="str">
        <x:v>https://www.pricescope.com/blog/natural-diamond-prices-september-2026</x:v>
      </x:c>
    </x:row>
    <x:row r="1383">
      <x:c r="A1383" t="n">
        <x:v>3</x:v>
      </x:c>
      <x:c r="B1383" t="str">
        <x:v>Oval</x:v>
      </x:c>
      <x:c r="C1383" t="str">
        <x:v>H</x:v>
      </x:c>
      <x:c r="D1383" t="str">
        <x:v>VS2</x:v>
      </x:c>
      <x:c r="E1383" s="36" t="n">
        <x:v>46650</x:v>
      </x:c>
      <x:c r="F1383" s="36" t="n">
        <x:v>3989</x:v>
      </x:c>
      <x:c r="G1383" s="42" t="n">
        <x:v>0.8556413556413557</x:v>
      </x:c>
      <x:c r="H1383" s="36" t="n">
        <x:f>E1383*G1383</x:f>
        <x:v>39915.669240669245</x:v>
      </x:c>
      <x:c r="I1383" s="36" t="n">
        <x:f>IFERROR(H1383/A1383,0)</x:f>
        <x:v>13305.223080223082</x:v>
      </x:c>
      <x:c r="J1383" s="67" t="str">
        <x:v>Modeled from live base + Sep-2026 quality ratio</x:v>
      </x:c>
      <x:c r="K1383" s="67" t="str">
        <x:v>https://www.stonealgo.com/diamond-prices/</x:v>
      </x:c>
      <x:c r="L1383" s="67" t="str">
        <x:v>https://www.pricescope.com/blog/natural-diamond-prices-september-2026</x:v>
      </x:c>
    </x:row>
    <x:row r="1384">
      <x:c r="A1384" t="n">
        <x:v>3</x:v>
      </x:c>
      <x:c r="B1384" t="str">
        <x:v>Oval</x:v>
      </x:c>
      <x:c r="C1384" t="str">
        <x:v>H</x:v>
      </x:c>
      <x:c r="D1384" t="str">
        <x:v>SI1</x:v>
      </x:c>
      <x:c r="E1384" s="36" t="n">
        <x:v>46650</x:v>
      </x:c>
      <x:c r="F1384" s="36" t="n">
        <x:v>2828</x:v>
      </x:c>
      <x:c r="G1384" s="42" t="n">
        <x:v>0.6066066066066066</x:v>
      </x:c>
      <x:c r="H1384" s="36" t="n">
        <x:f>E1384*G1384</x:f>
        <x:v>28298.1981981982</x:v>
      </x:c>
      <x:c r="I1384" s="36" t="n">
        <x:f>IFERROR(H1384/A1384,0)</x:f>
        <x:v>9432.732732732733</x:v>
      </x:c>
      <x:c r="J1384" s="67" t="str">
        <x:v>Modeled from live base + Sep-2026 quality ratio</x:v>
      </x:c>
      <x:c r="K1384" s="67" t="str">
        <x:v>https://www.stonealgo.com/diamond-prices/</x:v>
      </x:c>
      <x:c r="L1384" s="67" t="str">
        <x:v>https://www.pricescope.com/blog/natural-diamond-prices-september-2026</x:v>
      </x:c>
    </x:row>
    <x:row r="1385">
      <x:c r="A1385" t="n">
        <x:v>3</x:v>
      </x:c>
      <x:c r="B1385" t="str">
        <x:v>Oval</x:v>
      </x:c>
      <x:c r="C1385" t="str">
        <x:v>H</x:v>
      </x:c>
      <x:c r="D1385" t="str">
        <x:v>SI2</x:v>
      </x:c>
      <x:c r="E1385" s="36" t="n">
        <x:v>46650</x:v>
      </x:c>
      <x:c r="F1385" s="36" t="n">
        <x:v>2328</x:v>
      </x:c>
      <x:c r="G1385" s="42" t="n">
        <x:v>0.49935649935649934</x:v>
      </x:c>
      <x:c r="H1385" s="36" t="n">
        <x:f>E1385*G1385</x:f>
        <x:v>23294.980694980695</x:v>
      </x:c>
      <x:c r="I1385" s="36" t="n">
        <x:f>IFERROR(H1385/A1385,0)</x:f>
        <x:v>7764.993564993565</x:v>
      </x:c>
      <x:c r="J1385" s="67" t="str">
        <x:v>Modeled from live base + Sep-2026 quality ratio</x:v>
      </x:c>
      <x:c r="K1385" s="67" t="str">
        <x:v>https://www.stonealgo.com/diamond-prices/</x:v>
      </x:c>
      <x:c r="L1385" s="67" t="str">
        <x:v>https://www.pricescope.com/blog/natural-diamond-prices-september-2026</x:v>
      </x:c>
    </x:row>
    <x:row r="1386">
      <x:c r="A1386" t="n">
        <x:v>3</x:v>
      </x:c>
      <x:c r="B1386" t="str">
        <x:v>Oval</x:v>
      </x:c>
      <x:c r="C1386" t="str">
        <x:v>I</x:v>
      </x:c>
      <x:c r="D1386" t="str">
        <x:v>FL</x:v>
      </x:c>
      <x:c r="E1386" s="36" t="n">
        <x:v>46650</x:v>
      </x:c>
      <x:c r="F1386" s="36" t="n">
        <x:v>4623</x:v>
      </x:c>
      <x:c r="G1386" s="42" t="n">
        <x:v>0.9916344916344917</x:v>
      </x:c>
      <x:c r="H1386" s="36" t="n">
        <x:f>E1386*G1386</x:f>
        <x:v>46259.74903474904</x:v>
      </x:c>
      <x:c r="I1386" s="36" t="n">
        <x:f>IFERROR(H1386/A1386,0)</x:f>
        <x:v>15419.916344916346</x:v>
      </x:c>
      <x:c r="J1386" s="67" t="str">
        <x:v>Modeled from live base + Sep-2026 quality ratio</x:v>
      </x:c>
      <x:c r="K1386" s="67" t="str">
        <x:v>https://www.stonealgo.com/diamond-prices/</x:v>
      </x:c>
      <x:c r="L1386" s="67" t="str">
        <x:v>https://www.pricescope.com/blog/natural-diamond-prices-september-2026</x:v>
      </x:c>
    </x:row>
    <x:row r="1387">
      <x:c r="A1387" t="n">
        <x:v>3</x:v>
      </x:c>
      <x:c r="B1387" t="str">
        <x:v>Oval</x:v>
      </x:c>
      <x:c r="C1387" t="str">
        <x:v>I</x:v>
      </x:c>
      <x:c r="D1387" t="str">
        <x:v>IF</x:v>
      </x:c>
      <x:c r="E1387" s="36" t="n">
        <x:v>46650</x:v>
      </x:c>
      <x:c r="F1387" s="36" t="n">
        <x:v>4005</x:v>
      </x:c>
      <x:c r="G1387" s="42" t="n">
        <x:v>0.859073359073359</x:v>
      </x:c>
      <x:c r="H1387" s="36" t="n">
        <x:f>E1387*G1387</x:f>
        <x:v>40075.7722007722</x:v>
      </x:c>
      <x:c r="I1387" s="36" t="n">
        <x:f>IFERROR(H1387/A1387,0)</x:f>
        <x:v>13358.590733590732</x:v>
      </x:c>
      <x:c r="J1387" s="67" t="str">
        <x:v>Modeled from live base + Sep-2026 quality ratio</x:v>
      </x:c>
      <x:c r="K1387" s="67" t="str">
        <x:v>https://www.stonealgo.com/diamond-prices/</x:v>
      </x:c>
      <x:c r="L1387" s="67" t="str">
        <x:v>https://www.pricescope.com/blog/natural-diamond-prices-september-2026</x:v>
      </x:c>
    </x:row>
    <x:row r="1388">
      <x:c r="A1388" t="n">
        <x:v>3</x:v>
      </x:c>
      <x:c r="B1388" t="str">
        <x:v>Oval</x:v>
      </x:c>
      <x:c r="C1388" t="str">
        <x:v>I</x:v>
      </x:c>
      <x:c r="D1388" t="str">
        <x:v>VVS1</x:v>
      </x:c>
      <x:c r="E1388" s="36" t="n">
        <x:v>46650</x:v>
      </x:c>
      <x:c r="F1388" s="36" t="n">
        <x:v>3670</x:v>
      </x:c>
      <x:c r="G1388" s="42" t="n">
        <x:v>0.7872157872157872</x:v>
      </x:c>
      <x:c r="H1388" s="36" t="n">
        <x:f>E1388*G1388</x:f>
        <x:v>36723.61647361647</x:v>
      </x:c>
      <x:c r="I1388" s="36" t="n">
        <x:f>IFERROR(H1388/A1388,0)</x:f>
        <x:v>12241.20549120549</x:v>
      </x:c>
      <x:c r="J1388" s="67" t="str">
        <x:v>Modeled from live base + Sep-2026 quality ratio</x:v>
      </x:c>
      <x:c r="K1388" s="67" t="str">
        <x:v>https://www.stonealgo.com/diamond-prices/</x:v>
      </x:c>
      <x:c r="L1388" s="67" t="str">
        <x:v>https://www.pricescope.com/blog/natural-diamond-prices-september-2026</x:v>
      </x:c>
    </x:row>
    <x:row r="1389">
      <x:c r="A1389" t="n">
        <x:v>3</x:v>
      </x:c>
      <x:c r="B1389" t="str">
        <x:v>Oval</x:v>
      </x:c>
      <x:c r="C1389" t="str">
        <x:v>I</x:v>
      </x:c>
      <x:c r="D1389" t="str">
        <x:v>VVS2</x:v>
      </x:c>
      <x:c r="E1389" s="36" t="n">
        <x:v>46650</x:v>
      </x:c>
      <x:c r="F1389" s="36" t="n">
        <x:v>3447</x:v>
      </x:c>
      <x:c r="G1389" s="42" t="n">
        <x:v>0.7393822393822393</x:v>
      </x:c>
      <x:c r="H1389" s="36" t="n">
        <x:f>E1389*G1389</x:f>
        <x:v>34492.181467181465</x:v>
      </x:c>
      <x:c r="I1389" s="36" t="n">
        <x:f>IFERROR(H1389/A1389,0)</x:f>
        <x:v>11497.393822393822</x:v>
      </x:c>
      <x:c r="J1389" s="67" t="str">
        <x:v>Modeled from live base + Sep-2026 quality ratio</x:v>
      </x:c>
      <x:c r="K1389" s="67" t="str">
        <x:v>https://www.stonealgo.com/diamond-prices/</x:v>
      </x:c>
      <x:c r="L1389" s="67" t="str">
        <x:v>https://www.pricescope.com/blog/natural-diamond-prices-september-2026</x:v>
      </x:c>
    </x:row>
    <x:row r="1390">
      <x:c r="A1390" t="n">
        <x:v>3</x:v>
      </x:c>
      <x:c r="B1390" t="str">
        <x:v>Oval</x:v>
      </x:c>
      <x:c r="C1390" t="str">
        <x:v>I</x:v>
      </x:c>
      <x:c r="D1390" t="str">
        <x:v>VS1</x:v>
      </x:c>
      <x:c r="E1390" s="36" t="n">
        <x:v>46650</x:v>
      </x:c>
      <x:c r="F1390" s="36" t="n">
        <x:v>3313</x:v>
      </x:c>
      <x:c r="G1390" s="42" t="n">
        <x:v>0.7106392106392107</x:v>
      </x:c>
      <x:c r="H1390" s="36" t="n">
        <x:f>E1390*G1390</x:f>
        <x:v>33151.31917631918</x:v>
      </x:c>
      <x:c r="I1390" s="36" t="n">
        <x:f>IFERROR(H1390/A1390,0)</x:f>
        <x:v>11050.439725439726</x:v>
      </x:c>
      <x:c r="J1390" s="67" t="str">
        <x:v>Modeled from live base + Sep-2026 quality ratio</x:v>
      </x:c>
      <x:c r="K1390" s="67" t="str">
        <x:v>https://www.stonealgo.com/diamond-prices/</x:v>
      </x:c>
      <x:c r="L1390" s="67" t="str">
        <x:v>https://www.pricescope.com/blog/natural-diamond-prices-september-2026</x:v>
      </x:c>
    </x:row>
    <x:row r="1391">
      <x:c r="A1391" t="n">
        <x:v>3</x:v>
      </x:c>
      <x:c r="B1391" t="str">
        <x:v>Oval</x:v>
      </x:c>
      <x:c r="C1391" t="str">
        <x:v>I</x:v>
      </x:c>
      <x:c r="D1391" t="str">
        <x:v>VS2</x:v>
      </x:c>
      <x:c r="E1391" s="36" t="n">
        <x:v>46650</x:v>
      </x:c>
      <x:c r="F1391" s="36" t="n">
        <x:v>3240</x:v>
      </x:c>
      <x:c r="G1391" s="42" t="n">
        <x:v>0.694980694980695</x:v>
      </x:c>
      <x:c r="H1391" s="36" t="n">
        <x:f>E1391*G1391</x:f>
        <x:v>32420.849420849423</x:v>
      </x:c>
      <x:c r="I1391" s="36" t="n">
        <x:f>IFERROR(H1391/A1391,0)</x:f>
        <x:v>10806.949806949808</x:v>
      </x:c>
      <x:c r="J1391" s="67" t="str">
        <x:v>Modeled from live base + Sep-2026 quality ratio</x:v>
      </x:c>
      <x:c r="K1391" s="67" t="str">
        <x:v>https://www.stonealgo.com/diamond-prices/</x:v>
      </x:c>
      <x:c r="L1391" s="67" t="str">
        <x:v>https://www.pricescope.com/blog/natural-diamond-prices-september-2026</x:v>
      </x:c>
    </x:row>
    <x:row r="1392">
      <x:c r="A1392" t="n">
        <x:v>3</x:v>
      </x:c>
      <x:c r="B1392" t="str">
        <x:v>Oval</x:v>
      </x:c>
      <x:c r="C1392" t="str">
        <x:v>I</x:v>
      </x:c>
      <x:c r="D1392" t="str">
        <x:v>SI1</x:v>
      </x:c>
      <x:c r="E1392" s="36" t="n">
        <x:v>46650</x:v>
      </x:c>
      <x:c r="F1392" s="36" t="n">
        <x:v>3199</x:v>
      </x:c>
      <x:c r="G1392" s="42" t="n">
        <x:v>0.6861861861861862</x:v>
      </x:c>
      <x:c r="H1392" s="36" t="n">
        <x:f>E1392*G1392</x:f>
        <x:v>32010.585585585588</x:v>
      </x:c>
      <x:c r="I1392" s="36" t="n">
        <x:f>IFERROR(H1392/A1392,0)</x:f>
        <x:v>10670.195195195196</x:v>
      </x:c>
      <x:c r="J1392" s="67" t="str">
        <x:v>Modeled from live base + Sep-2026 quality ratio</x:v>
      </x:c>
      <x:c r="K1392" s="67" t="str">
        <x:v>https://www.stonealgo.com/diamond-prices/</x:v>
      </x:c>
      <x:c r="L1392" s="67" t="str">
        <x:v>https://www.pricescope.com/blog/natural-diamond-prices-september-2026</x:v>
      </x:c>
    </x:row>
    <x:row r="1393">
      <x:c r="A1393" t="n">
        <x:v>3</x:v>
      </x:c>
      <x:c r="B1393" t="str">
        <x:v>Oval</x:v>
      </x:c>
      <x:c r="C1393" t="str">
        <x:v>I</x:v>
      </x:c>
      <x:c r="D1393" t="str">
        <x:v>SI2</x:v>
      </x:c>
      <x:c r="E1393" s="36" t="n">
        <x:v>46650</x:v>
      </x:c>
      <x:c r="F1393" s="36" t="n">
        <x:v>2874</x:v>
      </x:c>
      <x:c r="G1393" s="42" t="n">
        <x:v>0.6164736164736164</x:v>
      </x:c>
      <x:c r="H1393" s="36" t="n">
        <x:f>E1393*G1393</x:f>
        <x:v>28758.494208494205</x:v>
      </x:c>
      <x:c r="I1393" s="36" t="n">
        <x:f>IFERROR(H1393/A1393,0)</x:f>
        <x:v>9586.164736164736</x:v>
      </x:c>
      <x:c r="J1393" s="67" t="str">
        <x:v>Modeled from live base + Sep-2026 quality ratio</x:v>
      </x:c>
      <x:c r="K1393" s="67" t="str">
        <x:v>https://www.stonealgo.com/diamond-prices/</x:v>
      </x:c>
      <x:c r="L1393" s="67" t="str">
        <x:v>https://www.pricescope.com/blog/natural-diamond-prices-september-2026</x:v>
      </x:c>
    </x:row>
    <x:row r="1394">
      <x:c r="A1394" t="n">
        <x:v>3</x:v>
      </x:c>
      <x:c r="B1394" t="str">
        <x:v>Oval</x:v>
      </x:c>
      <x:c r="C1394" t="str">
        <x:v>J</x:v>
      </x:c>
      <x:c r="D1394" t="str">
        <x:v>FL</x:v>
      </x:c>
      <x:c r="E1394" s="36" t="n">
        <x:v>46650</x:v>
      </x:c>
      <x:c r="F1394" s="36" t="n">
        <x:v>3646</x:v>
      </x:c>
      <x:c r="G1394" s="42" t="n">
        <x:v>0.782067782067782</x:v>
      </x:c>
      <x:c r="H1394" s="36" t="n">
        <x:f>E1394*G1394</x:f>
        <x:v>36483.462033462034</x:v>
      </x:c>
      <x:c r="I1394" s="36" t="n">
        <x:f>IFERROR(H1394/A1394,0)</x:f>
        <x:v>12161.15401115401</x:v>
      </x:c>
      <x:c r="J1394" s="67" t="str">
        <x:v>Modeled from live base + Sep-2026 quality ratio</x:v>
      </x:c>
      <x:c r="K1394" s="67" t="str">
        <x:v>https://www.stonealgo.com/diamond-prices/</x:v>
      </x:c>
      <x:c r="L1394" s="67" t="str">
        <x:v>https://www.pricescope.com/blog/natural-diamond-prices-september-2026</x:v>
      </x:c>
    </x:row>
    <x:row r="1395">
      <x:c r="A1395" t="n">
        <x:v>3</x:v>
      </x:c>
      <x:c r="B1395" t="str">
        <x:v>Oval</x:v>
      </x:c>
      <x:c r="C1395" t="str">
        <x:v>J</x:v>
      </x:c>
      <x:c r="D1395" t="str">
        <x:v>IF</x:v>
      </x:c>
      <x:c r="E1395" s="36" t="n">
        <x:v>46650</x:v>
      </x:c>
      <x:c r="F1395" s="36" t="n">
        <x:v>3368</x:v>
      </x:c>
      <x:c r="G1395" s="42" t="n">
        <x:v>0.7224367224367224</x:v>
      </x:c>
      <x:c r="H1395" s="36" t="n">
        <x:f>E1395*G1395</x:f>
        <x:v>33701.6731016731</x:v>
      </x:c>
      <x:c r="I1395" s="36" t="n">
        <x:f>IFERROR(H1395/A1395,0)</x:f>
        <x:v>11233.891033891034</x:v>
      </x:c>
      <x:c r="J1395" s="67" t="str">
        <x:v>Modeled from live base + Sep-2026 quality ratio</x:v>
      </x:c>
      <x:c r="K1395" s="67" t="str">
        <x:v>https://www.stonealgo.com/diamond-prices/</x:v>
      </x:c>
      <x:c r="L1395" s="67" t="str">
        <x:v>https://www.pricescope.com/blog/natural-diamond-prices-september-2026</x:v>
      </x:c>
    </x:row>
    <x:row r="1396">
      <x:c r="A1396" t="n">
        <x:v>3</x:v>
      </x:c>
      <x:c r="B1396" t="str">
        <x:v>Oval</x:v>
      </x:c>
      <x:c r="C1396" t="str">
        <x:v>J</x:v>
      </x:c>
      <x:c r="D1396" t="str">
        <x:v>VVS1</x:v>
      </x:c>
      <x:c r="E1396" s="36" t="n">
        <x:v>46650</x:v>
      </x:c>
      <x:c r="F1396" s="36" t="n">
        <x:v>2956</x:v>
      </x:c>
      <x:c r="G1396" s="42" t="n">
        <x:v>0.6340626340626341</x:v>
      </x:c>
      <x:c r="H1396" s="36" t="n">
        <x:f>E1396*G1396</x:f>
        <x:v>29579.02187902188</x:v>
      </x:c>
      <x:c r="I1396" s="36" t="n">
        <x:f>IFERROR(H1396/A1396,0)</x:f>
        <x:v>9859.673959673959</x:v>
      </x:c>
      <x:c r="J1396" s="67" t="str">
        <x:v>Modeled from live base + Sep-2026 quality ratio</x:v>
      </x:c>
      <x:c r="K1396" s="67" t="str">
        <x:v>https://www.stonealgo.com/diamond-prices/</x:v>
      </x:c>
      <x:c r="L1396" s="67" t="str">
        <x:v>https://www.pricescope.com/blog/natural-diamond-prices-september-2026</x:v>
      </x:c>
    </x:row>
    <x:row r="1397">
      <x:c r="A1397" t="n">
        <x:v>3</x:v>
      </x:c>
      <x:c r="B1397" t="str">
        <x:v>Oval</x:v>
      </x:c>
      <x:c r="C1397" t="str">
        <x:v>J</x:v>
      </x:c>
      <x:c r="D1397" t="str">
        <x:v>VVS2</x:v>
      </x:c>
      <x:c r="E1397" s="36" t="n">
        <x:v>46650</x:v>
      </x:c>
      <x:c r="F1397" s="36" t="n">
        <x:v>2612</x:v>
      </x:c>
      <x:c r="G1397" s="42" t="n">
        <x:v>0.5602745602745602</x:v>
      </x:c>
      <x:c r="H1397" s="36" t="n">
        <x:f>E1397*G1397</x:f>
        <x:v>26136.808236808236</x:v>
      </x:c>
      <x:c r="I1397" s="36" t="n">
        <x:f>IFERROR(H1397/A1397,0)</x:f>
        <x:v>8712.269412269412</x:v>
      </x:c>
      <x:c r="J1397" s="67" t="str">
        <x:v>Modeled from live base + Sep-2026 quality ratio</x:v>
      </x:c>
      <x:c r="K1397" s="67" t="str">
        <x:v>https://www.stonealgo.com/diamond-prices/</x:v>
      </x:c>
      <x:c r="L1397" s="67" t="str">
        <x:v>https://www.pricescope.com/blog/natural-diamond-prices-september-2026</x:v>
      </x:c>
    </x:row>
    <x:row r="1398">
      <x:c r="A1398" t="n">
        <x:v>3</x:v>
      </x:c>
      <x:c r="B1398" t="str">
        <x:v>Oval</x:v>
      </x:c>
      <x:c r="C1398" t="str">
        <x:v>J</x:v>
      </x:c>
      <x:c r="D1398" t="str">
        <x:v>VS1</x:v>
      </x:c>
      <x:c r="E1398" s="36" t="n">
        <x:v>46650</x:v>
      </x:c>
      <x:c r="F1398" s="36" t="n">
        <x:v>3002</x:v>
      </x:c>
      <x:c r="G1398" s="42" t="n">
        <x:v>0.6439296439296439</x:v>
      </x:c>
      <x:c r="H1398" s="36" t="n">
        <x:f>E1398*G1398</x:f>
        <x:v>30039.31788931789</x:v>
      </x:c>
      <x:c r="I1398" s="36" t="n">
        <x:f>IFERROR(H1398/A1398,0)</x:f>
        <x:v>10013.105963105963</x:v>
      </x:c>
      <x:c r="J1398" s="67" t="str">
        <x:v>Modeled from live base + Sep-2026 quality ratio</x:v>
      </x:c>
      <x:c r="K1398" s="67" t="str">
        <x:v>https://www.stonealgo.com/diamond-prices/</x:v>
      </x:c>
      <x:c r="L1398" s="67" t="str">
        <x:v>https://www.pricescope.com/blog/natural-diamond-prices-september-2026</x:v>
      </x:c>
    </x:row>
    <x:row r="1399">
      <x:c r="A1399" t="n">
        <x:v>3</x:v>
      </x:c>
      <x:c r="B1399" t="str">
        <x:v>Oval</x:v>
      </x:c>
      <x:c r="C1399" t="str">
        <x:v>J</x:v>
      </x:c>
      <x:c r="D1399" t="str">
        <x:v>VS2</x:v>
      </x:c>
      <x:c r="E1399" s="36" t="n">
        <x:v>46650</x:v>
      </x:c>
      <x:c r="F1399" s="36" t="n">
        <x:v>2559</x:v>
      </x:c>
      <x:c r="G1399" s="42" t="n">
        <x:v>0.5489060489060489</x:v>
      </x:c>
      <x:c r="H1399" s="36" t="n">
        <x:f>E1399*G1399</x:f>
        <x:v>25606.467181467182</x:v>
      </x:c>
      <x:c r="I1399" s="36" t="n">
        <x:f>IFERROR(H1399/A1399,0)</x:f>
        <x:v>8535.48906048906</x:v>
      </x:c>
      <x:c r="J1399" s="67" t="str">
        <x:v>Modeled from live base + Sep-2026 quality ratio</x:v>
      </x:c>
      <x:c r="K1399" s="67" t="str">
        <x:v>https://www.stonealgo.com/diamond-prices/</x:v>
      </x:c>
      <x:c r="L1399" s="67" t="str">
        <x:v>https://www.pricescope.com/blog/natural-diamond-prices-september-2026</x:v>
      </x:c>
    </x:row>
    <x:row r="1400">
      <x:c r="A1400" t="n">
        <x:v>3</x:v>
      </x:c>
      <x:c r="B1400" t="str">
        <x:v>Oval</x:v>
      </x:c>
      <x:c r="C1400" t="str">
        <x:v>J</x:v>
      </x:c>
      <x:c r="D1400" t="str">
        <x:v>SI1</x:v>
      </x:c>
      <x:c r="E1400" s="36" t="n">
        <x:v>46650</x:v>
      </x:c>
      <x:c r="F1400" s="36" t="n">
        <x:v>2195</x:v>
      </x:c>
      <x:c r="G1400" s="42" t="n">
        <x:v>0.47082797082797084</x:v>
      </x:c>
      <x:c r="H1400" s="36" t="n">
        <x:f>E1400*G1400</x:f>
        <x:v>21964.12483912484</x:v>
      </x:c>
      <x:c r="I1400" s="36" t="n">
        <x:f>IFERROR(H1400/A1400,0)</x:f>
        <x:v>7321.374946374947</x:v>
      </x:c>
      <x:c r="J1400" s="67" t="str">
        <x:v>Modeled from live base + Sep-2026 quality ratio</x:v>
      </x:c>
      <x:c r="K1400" s="67" t="str">
        <x:v>https://www.stonealgo.com/diamond-prices/</x:v>
      </x:c>
      <x:c r="L1400" s="67" t="str">
        <x:v>https://www.pricescope.com/blog/natural-diamond-prices-september-2026</x:v>
      </x:c>
    </x:row>
    <x:row r="1401">
      <x:c r="A1401" t="n">
        <x:v>3</x:v>
      </x:c>
      <x:c r="B1401" t="str">
        <x:v>Oval</x:v>
      </x:c>
      <x:c r="C1401" t="str">
        <x:v>J</x:v>
      </x:c>
      <x:c r="D1401" t="str">
        <x:v>SI2</x:v>
      </x:c>
      <x:c r="E1401" s="36" t="n">
        <x:v>46650</x:v>
      </x:c>
      <x:c r="F1401" s="36" t="n">
        <x:v>2079</x:v>
      </x:c>
      <x:c r="G1401" s="42" t="n">
        <x:v>0.44594594594594594</x:v>
      </x:c>
      <x:c r="H1401" s="36" t="n">
        <x:f>E1401*G1401</x:f>
        <x:v>20803.378378378377</x:v>
      </x:c>
      <x:c r="I1401" s="36" t="n">
        <x:f>IFERROR(H1401/A1401,0)</x:f>
        <x:v>6934.459459459459</x:v>
      </x:c>
      <x:c r="J1401" s="67" t="str">
        <x:v>Modeled from live base + Sep-2026 quality ratio</x:v>
      </x:c>
      <x:c r="K1401" s="67" t="str">
        <x:v>https://www.stonealgo.com/diamond-prices/</x:v>
      </x:c>
      <x:c r="L1401" s="67" t="str">
        <x:v>https://www.pricescope.com/blog/natural-diamond-prices-september-2026</x:v>
      </x:c>
    </x:row>
    <x:row r="1402">
      <x:c r="A1402" t="n">
        <x:v>3</x:v>
      </x:c>
      <x:c r="B1402" t="str">
        <x:v>Oval</x:v>
      </x:c>
      <x:c r="C1402" t="str">
        <x:v>K</x:v>
      </x:c>
      <x:c r="D1402" t="str">
        <x:v>FL</x:v>
      </x:c>
      <x:c r="E1402" s="36" t="n">
        <x:v>46650</x:v>
      </x:c>
      <x:c r="F1402" s="36" t="n">
        <x:v>2858</x:v>
      </x:c>
      <x:c r="G1402" s="42" t="n">
        <x:v>0.6130416130416131</x:v>
      </x:c>
      <x:c r="H1402" s="36" t="n">
        <x:f>E1402*G1402</x:f>
        <x:v>28598.39124839125</x:v>
      </x:c>
      <x:c r="I1402" s="36" t="n">
        <x:f>IFERROR(H1402/A1402,0)</x:f>
        <x:v>9532.797082797084</x:v>
      </x:c>
      <x:c r="J1402" s="67" t="str">
        <x:v>Modeled from live base + Sep-2026 quality ratio; K/FL quality cell modeled</x:v>
      </x:c>
      <x:c r="K1402" s="67" t="str">
        <x:v>https://www.stonealgo.com/diamond-prices/</x:v>
      </x:c>
      <x:c r="L1402" s="67" t="str">
        <x:v>https://www.pricescope.com/blog/natural-diamond-prices-september-2026</x:v>
      </x:c>
    </x:row>
    <x:row r="1403">
      <x:c r="A1403" t="n">
        <x:v>3</x:v>
      </x:c>
      <x:c r="B1403" t="str">
        <x:v>Oval</x:v>
      </x:c>
      <x:c r="C1403" t="str">
        <x:v>K</x:v>
      </x:c>
      <x:c r="D1403" t="str">
        <x:v>IF</x:v>
      </x:c>
      <x:c r="E1403" s="36" t="n">
        <x:v>46650</x:v>
      </x:c>
      <x:c r="F1403" s="36" t="n">
        <x:v>2743</x:v>
      </x:c>
      <x:c r="G1403" s="42" t="n">
        <x:v>0.5883740883740883</x:v>
      </x:c>
      <x:c r="H1403" s="36" t="n">
        <x:f>E1403*G1403</x:f>
        <x:v>27447.65122265122</x:v>
      </x:c>
      <x:c r="I1403" s="36" t="n">
        <x:f>IFERROR(H1403/A1403,0)</x:f>
        <x:v>9149.217074217073</x:v>
      </x:c>
      <x:c r="J1403" s="67" t="str">
        <x:v>Modeled from live base + Sep-2026 quality ratio</x:v>
      </x:c>
      <x:c r="K1403" s="67" t="str">
        <x:v>https://www.stonealgo.com/diamond-prices/</x:v>
      </x:c>
      <x:c r="L1403" s="67" t="str">
        <x:v>https://www.pricescope.com/blog/natural-diamond-prices-september-2026</x:v>
      </x:c>
    </x:row>
    <x:row r="1404">
      <x:c r="A1404" t="n">
        <x:v>3</x:v>
      </x:c>
      <x:c r="B1404" t="str">
        <x:v>Oval</x:v>
      </x:c>
      <x:c r="C1404" t="str">
        <x:v>K</x:v>
      </x:c>
      <x:c r="D1404" t="str">
        <x:v>VVS1</x:v>
      </x:c>
      <x:c r="E1404" s="36" t="n">
        <x:v>46650</x:v>
      </x:c>
      <x:c r="F1404" s="36" t="n">
        <x:v>2529</x:v>
      </x:c>
      <x:c r="G1404" s="42" t="n">
        <x:v>0.5424710424710425</x:v>
      </x:c>
      <x:c r="H1404" s="36" t="n">
        <x:f>E1404*G1404</x:f>
        <x:v>25306.27413127413</x:v>
      </x:c>
      <x:c r="I1404" s="36" t="n">
        <x:f>IFERROR(H1404/A1404,0)</x:f>
        <x:v>8435.42471042471</x:v>
      </x:c>
      <x:c r="J1404" s="67" t="str">
        <x:v>Modeled from live base + Sep-2026 quality ratio</x:v>
      </x:c>
      <x:c r="K1404" s="67" t="str">
        <x:v>https://www.stonealgo.com/diamond-prices/</x:v>
      </x:c>
      <x:c r="L1404" s="67" t="str">
        <x:v>https://www.pricescope.com/blog/natural-diamond-prices-september-2026</x:v>
      </x:c>
    </x:row>
    <x:row r="1405">
      <x:c r="A1405" t="n">
        <x:v>3</x:v>
      </x:c>
      <x:c r="B1405" t="str">
        <x:v>Oval</x:v>
      </x:c>
      <x:c r="C1405" t="str">
        <x:v>K</x:v>
      </x:c>
      <x:c r="D1405" t="str">
        <x:v>VVS2</x:v>
      </x:c>
      <x:c r="E1405" s="36" t="n">
        <x:v>46650</x:v>
      </x:c>
      <x:c r="F1405" s="36" t="n">
        <x:v>2374</x:v>
      </x:c>
      <x:c r="G1405" s="42" t="n">
        <x:v>0.5092235092235092</x:v>
      </x:c>
      <x:c r="H1405" s="36" t="n">
        <x:f>E1405*G1405</x:f>
        <x:v>23755.276705276705</x:v>
      </x:c>
      <x:c r="I1405" s="36" t="n">
        <x:f>IFERROR(H1405/A1405,0)</x:f>
        <x:v>7918.425568425569</x:v>
      </x:c>
      <x:c r="J1405" s="67" t="str">
        <x:v>Modeled from live base + Sep-2026 quality ratio</x:v>
      </x:c>
      <x:c r="K1405" s="67" t="str">
        <x:v>https://www.stonealgo.com/diamond-prices/</x:v>
      </x:c>
      <x:c r="L1405" s="67" t="str">
        <x:v>https://www.pricescope.com/blog/natural-diamond-prices-september-2026</x:v>
      </x:c>
    </x:row>
    <x:row r="1406">
      <x:c r="A1406" t="n">
        <x:v>3</x:v>
      </x:c>
      <x:c r="B1406" t="str">
        <x:v>Oval</x:v>
      </x:c>
      <x:c r="C1406" t="str">
        <x:v>K</x:v>
      </x:c>
      <x:c r="D1406" t="str">
        <x:v>VS1</x:v>
      </x:c>
      <x:c r="E1406" s="36" t="n">
        <x:v>46650</x:v>
      </x:c>
      <x:c r="F1406" s="36" t="n">
        <x:v>2223</x:v>
      </x:c>
      <x:c r="G1406" s="42" t="n">
        <x:v>0.4768339768339768</x:v>
      </x:c>
      <x:c r="H1406" s="36" t="n">
        <x:f>E1406*G1406</x:f>
        <x:v>22244.30501930502</x:v>
      </x:c>
      <x:c r="I1406" s="36" t="n">
        <x:f>IFERROR(H1406/A1406,0)</x:f>
        <x:v>7414.7683397683395</x:v>
      </x:c>
      <x:c r="J1406" s="67" t="str">
        <x:v>Modeled from live base + Sep-2026 quality ratio</x:v>
      </x:c>
      <x:c r="K1406" s="67" t="str">
        <x:v>https://www.stonealgo.com/diamond-prices/</x:v>
      </x:c>
      <x:c r="L1406" s="67" t="str">
        <x:v>https://www.pricescope.com/blog/natural-diamond-prices-september-2026</x:v>
      </x:c>
    </x:row>
    <x:row r="1407">
      <x:c r="A1407" t="n">
        <x:v>3</x:v>
      </x:c>
      <x:c r="B1407" t="str">
        <x:v>Oval</x:v>
      </x:c>
      <x:c r="C1407" t="str">
        <x:v>K</x:v>
      </x:c>
      <x:c r="D1407" t="str">
        <x:v>VS2</x:v>
      </x:c>
      <x:c r="E1407" s="36" t="n">
        <x:v>46650</x:v>
      </x:c>
      <x:c r="F1407" s="36" t="n">
        <x:v>2098</x:v>
      </x:c>
      <x:c r="G1407" s="42" t="n">
        <x:v>0.45002145002145</x:v>
      </x:c>
      <x:c r="H1407" s="36" t="n">
        <x:f>E1407*G1407</x:f>
        <x:v>20993.500643500643</x:v>
      </x:c>
      <x:c r="I1407" s="36" t="n">
        <x:f>IFERROR(H1407/A1407,0)</x:f>
        <x:v>6997.8335478335475</x:v>
      </x:c>
      <x:c r="J1407" s="67" t="str">
        <x:v>Modeled from live base + Sep-2026 quality ratio</x:v>
      </x:c>
      <x:c r="K1407" s="67" t="str">
        <x:v>https://www.stonealgo.com/diamond-prices/</x:v>
      </x:c>
      <x:c r="L1407" s="67" t="str">
        <x:v>https://www.pricescope.com/blog/natural-diamond-prices-september-2026</x:v>
      </x:c>
    </x:row>
    <x:row r="1408">
      <x:c r="A1408" t="n">
        <x:v>3</x:v>
      </x:c>
      <x:c r="B1408" t="str">
        <x:v>Oval</x:v>
      </x:c>
      <x:c r="C1408" t="str">
        <x:v>K</x:v>
      </x:c>
      <x:c r="D1408" t="str">
        <x:v>SI1</x:v>
      </x:c>
      <x:c r="E1408" s="36" t="n">
        <x:v>46650</x:v>
      </x:c>
      <x:c r="F1408" s="36" t="n">
        <x:v>1922</x:v>
      </x:c>
      <x:c r="G1408" s="42" t="n">
        <x:v>0.41226941226941227</x:v>
      </x:c>
      <x:c r="H1408" s="36" t="n">
        <x:f>E1408*G1408</x:f>
        <x:v>19232.368082368084</x:v>
      </x:c>
      <x:c r="I1408" s="36" t="n">
        <x:f>IFERROR(H1408/A1408,0)</x:f>
        <x:v>6410.789360789361</x:v>
      </x:c>
      <x:c r="J1408" s="67" t="str">
        <x:v>Modeled from live base + Sep-2026 quality ratio</x:v>
      </x:c>
      <x:c r="K1408" s="67" t="str">
        <x:v>https://www.stonealgo.com/diamond-prices/</x:v>
      </x:c>
      <x:c r="L1408" s="67" t="str">
        <x:v>https://www.pricescope.com/blog/natural-diamond-prices-september-2026</x:v>
      </x:c>
    </x:row>
    <x:row r="1409">
      <x:c r="A1409" t="n">
        <x:v>3</x:v>
      </x:c>
      <x:c r="B1409" t="str">
        <x:v>Oval</x:v>
      </x:c>
      <x:c r="C1409" t="str">
        <x:v>K</x:v>
      </x:c>
      <x:c r="D1409" t="str">
        <x:v>SI2</x:v>
      </x:c>
      <x:c r="E1409" s="36" t="n">
        <x:v>46650</x:v>
      </x:c>
      <x:c r="F1409" s="36" t="n">
        <x:v>1764</x:v>
      </x:c>
      <x:c r="G1409" s="42" t="n">
        <x:v>0.3783783783783784</x:v>
      </x:c>
      <x:c r="H1409" s="36" t="n">
        <x:f>E1409*G1409</x:f>
        <x:v>17651.351351351354</x:v>
      </x:c>
      <x:c r="I1409" s="36" t="n">
        <x:f>IFERROR(H1409/A1409,0)</x:f>
        <x:v>5883.783783783784</x:v>
      </x:c>
      <x:c r="J1409" s="67" t="str">
        <x:v>Modeled from live base + Sep-2026 quality ratio</x:v>
      </x:c>
      <x:c r="K1409" s="67" t="str">
        <x:v>https://www.stonealgo.com/diamond-prices/</x:v>
      </x:c>
      <x:c r="L1409" s="67" t="str">
        <x:v>https://www.pricescope.com/blog/natural-diamond-prices-september-2026</x:v>
      </x:c>
    </x:row>
    <x:row r="1410">
      <x:c r="A1410" t="n">
        <x:v>3</x:v>
      </x:c>
      <x:c r="B1410" t="str">
        <x:v>Princess</x:v>
      </x:c>
      <x:c r="C1410" t="str">
        <x:v>D</x:v>
      </x:c>
      <x:c r="D1410" t="str">
        <x:v>FL</x:v>
      </x:c>
      <x:c r="E1410" s="36" t="n">
        <x:v>32900</x:v>
      </x:c>
      <x:c r="F1410" s="36" t="n">
        <x:v>12665</x:v>
      </x:c>
      <x:c r="G1410" s="42" t="n">
        <x:v>2.7166452166452166</x:v>
      </x:c>
      <x:c r="H1410" s="36" t="n">
        <x:f>E1410*G1410</x:f>
        <x:v>89377.62762762763</x:v>
      </x:c>
      <x:c r="I1410" s="36" t="n">
        <x:f>IFERROR(H1410/A1410,0)</x:f>
        <x:v>29792.542542542546</x:v>
      </x:c>
      <x:c r="J1410" s="67" t="str">
        <x:v>Modeled from live base + Sep-2026 quality ratio</x:v>
      </x:c>
      <x:c r="K1410" s="67" t="str">
        <x:v>https://www.stonealgo.com/diamond-prices/</x:v>
      </x:c>
      <x:c r="L1410" s="67" t="str">
        <x:v>https://www.pricescope.com/blog/natural-diamond-prices-september-2026</x:v>
      </x:c>
    </x:row>
    <x:row r="1411">
      <x:c r="A1411" t="n">
        <x:v>3</x:v>
      </x:c>
      <x:c r="B1411" t="str">
        <x:v>Princess</x:v>
      </x:c>
      <x:c r="C1411" t="str">
        <x:v>D</x:v>
      </x:c>
      <x:c r="D1411" t="str">
        <x:v>IF</x:v>
      </x:c>
      <x:c r="E1411" s="36" t="n">
        <x:v>32900</x:v>
      </x:c>
      <x:c r="F1411" s="36" t="n">
        <x:v>13240</x:v>
      </x:c>
      <x:c r="G1411" s="42" t="n">
        <x:v>2.83998283998284</x:v>
      </x:c>
      <x:c r="H1411" s="36" t="n">
        <x:f>E1411*G1411</x:f>
        <x:v>93435.43543543544</x:v>
      </x:c>
      <x:c r="I1411" s="36" t="n">
        <x:f>IFERROR(H1411/A1411,0)</x:f>
        <x:v>31145.145145145147</x:v>
      </x:c>
      <x:c r="J1411" s="67" t="str">
        <x:v>Modeled from live base + Sep-2026 quality ratio</x:v>
      </x:c>
      <x:c r="K1411" s="67" t="str">
        <x:v>https://www.stonealgo.com/diamond-prices/</x:v>
      </x:c>
      <x:c r="L1411" s="67" t="str">
        <x:v>https://www.pricescope.com/blog/natural-diamond-prices-september-2026</x:v>
      </x:c>
    </x:row>
    <x:row r="1412">
      <x:c r="A1412" t="n">
        <x:v>3</x:v>
      </x:c>
      <x:c r="B1412" t="str">
        <x:v>Princess</x:v>
      </x:c>
      <x:c r="C1412" t="str">
        <x:v>D</x:v>
      </x:c>
      <x:c r="D1412" t="str">
        <x:v>VVS1</x:v>
      </x:c>
      <x:c r="E1412" s="36" t="n">
        <x:v>32900</x:v>
      </x:c>
      <x:c r="F1412" s="36" t="n">
        <x:v>9555</x:v>
      </x:c>
      <x:c r="G1412" s="42" t="n">
        <x:v>2.0495495495495497</x:v>
      </x:c>
      <x:c r="H1412" s="36" t="n">
        <x:f>E1412*G1412</x:f>
        <x:v>67430.18018018019</x:v>
      </x:c>
      <x:c r="I1412" s="36" t="n">
        <x:f>IFERROR(H1412/A1412,0)</x:f>
        <x:v>22476.72672672673</x:v>
      </x:c>
      <x:c r="J1412" s="67" t="str">
        <x:v>Modeled from live base + Sep-2026 quality ratio</x:v>
      </x:c>
      <x:c r="K1412" s="67" t="str">
        <x:v>https://www.stonealgo.com/diamond-prices/</x:v>
      </x:c>
      <x:c r="L1412" s="67" t="str">
        <x:v>https://www.pricescope.com/blog/natural-diamond-prices-september-2026</x:v>
      </x:c>
    </x:row>
    <x:row r="1413">
      <x:c r="A1413" t="n">
        <x:v>3</x:v>
      </x:c>
      <x:c r="B1413" t="str">
        <x:v>Princess</x:v>
      </x:c>
      <x:c r="C1413" t="str">
        <x:v>D</x:v>
      </x:c>
      <x:c r="D1413" t="str">
        <x:v>VVS2</x:v>
      </x:c>
      <x:c r="E1413" s="36" t="n">
        <x:v>32900</x:v>
      </x:c>
      <x:c r="F1413" s="36" t="n">
        <x:v>6660</x:v>
      </x:c>
      <x:c r="G1413" s="42" t="n">
        <x:v>1.4285714285714286</x:v>
      </x:c>
      <x:c r="H1413" s="36" t="n">
        <x:f>E1413*G1413</x:f>
        <x:v>47000</x:v>
      </x:c>
      <x:c r="I1413" s="36" t="n">
        <x:f>IFERROR(H1413/A1413,0)</x:f>
        <x:v>15666.666666666666</x:v>
      </x:c>
      <x:c r="J1413" s="67" t="str">
        <x:v>Modeled from live base + Sep-2026 quality ratio</x:v>
      </x:c>
      <x:c r="K1413" s="67" t="str">
        <x:v>https://www.stonealgo.com/diamond-prices/</x:v>
      </x:c>
      <x:c r="L1413" s="67" t="str">
        <x:v>https://www.pricescope.com/blog/natural-diamond-prices-september-2026</x:v>
      </x:c>
    </x:row>
    <x:row r="1414">
      <x:c r="A1414" t="n">
        <x:v>3</x:v>
      </x:c>
      <x:c r="B1414" t="str">
        <x:v>Princess</x:v>
      </x:c>
      <x:c r="C1414" t="str">
        <x:v>D</x:v>
      </x:c>
      <x:c r="D1414" t="str">
        <x:v>VS1</x:v>
      </x:c>
      <x:c r="E1414" s="36" t="n">
        <x:v>32900</x:v>
      </x:c>
      <x:c r="F1414" s="36" t="n">
        <x:v>6247</x:v>
      </x:c>
      <x:c r="G1414" s="42" t="n">
        <x:v>1.33998283998284</x:v>
      </x:c>
      <x:c r="H1414" s="36" t="n">
        <x:f>E1414*G1414</x:f>
        <x:v>44085.43543543544</x:v>
      </x:c>
      <x:c r="I1414" s="36" t="n">
        <x:f>IFERROR(H1414/A1414,0)</x:f>
        <x:v>14695.145145145145</x:v>
      </x:c>
      <x:c r="J1414" s="67" t="str">
        <x:v>Modeled from live base + Sep-2026 quality ratio</x:v>
      </x:c>
      <x:c r="K1414" s="67" t="str">
        <x:v>https://www.stonealgo.com/diamond-prices/</x:v>
      </x:c>
      <x:c r="L1414" s="67" t="str">
        <x:v>https://www.pricescope.com/blog/natural-diamond-prices-september-2026</x:v>
      </x:c>
    </x:row>
    <x:row r="1415">
      <x:c r="A1415" t="n">
        <x:v>3</x:v>
      </x:c>
      <x:c r="B1415" t="str">
        <x:v>Princess</x:v>
      </x:c>
      <x:c r="C1415" t="str">
        <x:v>D</x:v>
      </x:c>
      <x:c r="D1415" t="str">
        <x:v>VS2</x:v>
      </x:c>
      <x:c r="E1415" s="36" t="n">
        <x:v>32900</x:v>
      </x:c>
      <x:c r="F1415" s="36" t="n">
        <x:v>5841</x:v>
      </x:c>
      <x:c r="G1415" s="42" t="n">
        <x:v>1.252895752895753</x:v>
      </x:c>
      <x:c r="H1415" s="36" t="n">
        <x:f>E1415*G1415</x:f>
        <x:v>41220.27027027027</x:v>
      </x:c>
      <x:c r="I1415" s="36" t="n">
        <x:f>IFERROR(H1415/A1415,0)</x:f>
        <x:v>13740.09009009009</x:v>
      </x:c>
      <x:c r="J1415" s="67" t="str">
        <x:v>Modeled from live base + Sep-2026 quality ratio</x:v>
      </x:c>
      <x:c r="K1415" s="67" t="str">
        <x:v>https://www.stonealgo.com/diamond-prices/</x:v>
      </x:c>
      <x:c r="L1415" s="67" t="str">
        <x:v>https://www.pricescope.com/blog/natural-diamond-prices-september-2026</x:v>
      </x:c>
    </x:row>
    <x:row r="1416">
      <x:c r="A1416" t="n">
        <x:v>3</x:v>
      </x:c>
      <x:c r="B1416" t="str">
        <x:v>Princess</x:v>
      </x:c>
      <x:c r="C1416" t="str">
        <x:v>D</x:v>
      </x:c>
      <x:c r="D1416" t="str">
        <x:v>SI1</x:v>
      </x:c>
      <x:c r="E1416" s="36" t="n">
        <x:v>32900</x:v>
      </x:c>
      <x:c r="F1416" s="36" t="n">
        <x:v>3762</x:v>
      </x:c>
      <x:c r="G1416" s="42" t="n">
        <x:v>0.806949806949807</x:v>
      </x:c>
      <x:c r="H1416" s="36" t="n">
        <x:f>E1416*G1416</x:f>
        <x:v>26548.64864864865</x:v>
      </x:c>
      <x:c r="I1416" s="36" t="n">
        <x:f>IFERROR(H1416/A1416,0)</x:f>
        <x:v>8849.54954954955</x:v>
      </x:c>
      <x:c r="J1416" s="67" t="str">
        <x:v>Modeled from live base + Sep-2026 quality ratio</x:v>
      </x:c>
      <x:c r="K1416" s="67" t="str">
        <x:v>https://www.stonealgo.com/diamond-prices/</x:v>
      </x:c>
      <x:c r="L1416" s="67" t="str">
        <x:v>https://www.pricescope.com/blog/natural-diamond-prices-september-2026</x:v>
      </x:c>
    </x:row>
    <x:row r="1417">
      <x:c r="A1417" t="n">
        <x:v>3</x:v>
      </x:c>
      <x:c r="B1417" t="str">
        <x:v>Princess</x:v>
      </x:c>
      <x:c r="C1417" t="str">
        <x:v>D</x:v>
      </x:c>
      <x:c r="D1417" t="str">
        <x:v>SI2</x:v>
      </x:c>
      <x:c r="E1417" s="36" t="n">
        <x:v>32900</x:v>
      </x:c>
      <x:c r="F1417" s="36" t="n">
        <x:v>3026</x:v>
      </x:c>
      <x:c r="G1417" s="42" t="n">
        <x:v>0.6490776490776491</x:v>
      </x:c>
      <x:c r="H1417" s="36" t="n">
        <x:f>E1417*G1417</x:f>
        <x:v>21354.654654654656</x:v>
      </x:c>
      <x:c r="I1417" s="36" t="n">
        <x:f>IFERROR(H1417/A1417,0)</x:f>
        <x:v>7118.218218218219</x:v>
      </x:c>
      <x:c r="J1417" s="67" t="str">
        <x:v>Modeled from live base + Sep-2026 quality ratio</x:v>
      </x:c>
      <x:c r="K1417" s="67" t="str">
        <x:v>https://www.stonealgo.com/diamond-prices/</x:v>
      </x:c>
      <x:c r="L1417" s="67" t="str">
        <x:v>https://www.pricescope.com/blog/natural-diamond-prices-september-2026</x:v>
      </x:c>
    </x:row>
    <x:row r="1418">
      <x:c r="A1418" t="n">
        <x:v>3</x:v>
      </x:c>
      <x:c r="B1418" t="str">
        <x:v>Princess</x:v>
      </x:c>
      <x:c r="C1418" t="str">
        <x:v>E</x:v>
      </x:c>
      <x:c r="D1418" t="str">
        <x:v>FL</x:v>
      </x:c>
      <x:c r="E1418" s="36" t="n">
        <x:v>32900</x:v>
      </x:c>
      <x:c r="F1418" s="36" t="n">
        <x:v>10072</x:v>
      </x:c>
      <x:c r="G1418" s="42" t="n">
        <x:v>2.1604461604461602</x:v>
      </x:c>
      <x:c r="H1418" s="36" t="n">
        <x:f>E1418*G1418</x:f>
        <x:v>71078.67867867867</x:v>
      </x:c>
      <x:c r="I1418" s="36" t="n">
        <x:f>IFERROR(H1418/A1418,0)</x:f>
        <x:v>23692.89289289289</x:v>
      </x:c>
      <x:c r="J1418" s="67" t="str">
        <x:v>Modeled from live base + Sep-2026 quality ratio</x:v>
      </x:c>
      <x:c r="K1418" s="67" t="str">
        <x:v>https://www.stonealgo.com/diamond-prices/</x:v>
      </x:c>
      <x:c r="L1418" s="67" t="str">
        <x:v>https://www.pricescope.com/blog/natural-diamond-prices-september-2026</x:v>
      </x:c>
    </x:row>
    <x:row r="1419">
      <x:c r="A1419" t="n">
        <x:v>3</x:v>
      </x:c>
      <x:c r="B1419" t="str">
        <x:v>Princess</x:v>
      </x:c>
      <x:c r="C1419" t="str">
        <x:v>E</x:v>
      </x:c>
      <x:c r="D1419" t="str">
        <x:v>IF</x:v>
      </x:c>
      <x:c r="E1419" s="36" t="n">
        <x:v>32900</x:v>
      </x:c>
      <x:c r="F1419" s="36" t="n">
        <x:v>8672</x:v>
      </x:c>
      <x:c r="G1419" s="42" t="n">
        <x:v>1.8601458601458603</x:v>
      </x:c>
      <x:c r="H1419" s="36" t="n">
        <x:f>E1419*G1419</x:f>
        <x:v>61198.7987987988</x:v>
      </x:c>
      <x:c r="I1419" s="36" t="n">
        <x:f>IFERROR(H1419/A1419,0)</x:f>
        <x:v>20399.5995995996</x:v>
      </x:c>
      <x:c r="J1419" s="67" t="str">
        <x:v>Modeled from live base + Sep-2026 quality ratio</x:v>
      </x:c>
      <x:c r="K1419" s="67" t="str">
        <x:v>https://www.stonealgo.com/diamond-prices/</x:v>
      </x:c>
      <x:c r="L1419" s="67" t="str">
        <x:v>https://www.pricescope.com/blog/natural-diamond-prices-september-2026</x:v>
      </x:c>
    </x:row>
    <x:row r="1420">
      <x:c r="A1420" t="n">
        <x:v>3</x:v>
      </x:c>
      <x:c r="B1420" t="str">
        <x:v>Princess</x:v>
      </x:c>
      <x:c r="C1420" t="str">
        <x:v>E</x:v>
      </x:c>
      <x:c r="D1420" t="str">
        <x:v>VVS1</x:v>
      </x:c>
      <x:c r="E1420" s="36" t="n">
        <x:v>32900</x:v>
      </x:c>
      <x:c r="F1420" s="36" t="n">
        <x:v>7842</x:v>
      </x:c>
      <x:c r="G1420" s="42" t="n">
        <x:v>1.6821106821106822</x:v>
      </x:c>
      <x:c r="H1420" s="36" t="n">
        <x:f>E1420*G1420</x:f>
        <x:v>55341.44144144144</x:v>
      </x:c>
      <x:c r="I1420" s="36" t="n">
        <x:f>IFERROR(H1420/A1420,0)</x:f>
        <x:v>18447.14714714715</x:v>
      </x:c>
      <x:c r="J1420" s="67" t="str">
        <x:v>Modeled from live base + Sep-2026 quality ratio</x:v>
      </x:c>
      <x:c r="K1420" s="67" t="str">
        <x:v>https://www.stonealgo.com/diamond-prices/</x:v>
      </x:c>
      <x:c r="L1420" s="67" t="str">
        <x:v>https://www.pricescope.com/blog/natural-diamond-prices-september-2026</x:v>
      </x:c>
    </x:row>
    <x:row r="1421">
      <x:c r="A1421" t="n">
        <x:v>3</x:v>
      </x:c>
      <x:c r="B1421" t="str">
        <x:v>Princess</x:v>
      </x:c>
      <x:c r="C1421" t="str">
        <x:v>E</x:v>
      </x:c>
      <x:c r="D1421" t="str">
        <x:v>VVS2</x:v>
      </x:c>
      <x:c r="E1421" s="36" t="n">
        <x:v>32900</x:v>
      </x:c>
      <x:c r="F1421" s="36" t="n">
        <x:v>6880</x:v>
      </x:c>
      <x:c r="G1421" s="42" t="n">
        <x:v>1.4757614757614759</x:v>
      </x:c>
      <x:c r="H1421" s="36" t="n">
        <x:f>E1421*G1421</x:f>
        <x:v>48552.55255255256</x:v>
      </x:c>
      <x:c r="I1421" s="36" t="n">
        <x:f>IFERROR(H1421/A1421,0)</x:f>
        <x:v>16184.184184184187</x:v>
      </x:c>
      <x:c r="J1421" s="67" t="str">
        <x:v>Modeled from live base + Sep-2026 quality ratio</x:v>
      </x:c>
      <x:c r="K1421" s="67" t="str">
        <x:v>https://www.stonealgo.com/diamond-prices/</x:v>
      </x:c>
      <x:c r="L1421" s="67" t="str">
        <x:v>https://www.pricescope.com/blog/natural-diamond-prices-september-2026</x:v>
      </x:c>
    </x:row>
    <x:row r="1422">
      <x:c r="A1422" t="n">
        <x:v>3</x:v>
      </x:c>
      <x:c r="B1422" t="str">
        <x:v>Princess</x:v>
      </x:c>
      <x:c r="C1422" t="str">
        <x:v>E</x:v>
      </x:c>
      <x:c r="D1422" t="str">
        <x:v>VS1</x:v>
      </x:c>
      <x:c r="E1422" s="36" t="n">
        <x:v>32900</x:v>
      </x:c>
      <x:c r="F1422" s="36" t="n">
        <x:v>6307</x:v>
      </x:c>
      <x:c r="G1422" s="42" t="n">
        <x:v>1.352852852852853</x:v>
      </x:c>
      <x:c r="H1422" s="36" t="n">
        <x:f>E1422*G1422</x:f>
        <x:v>44508.85885885886</x:v>
      </x:c>
      <x:c r="I1422" s="36" t="n">
        <x:f>IFERROR(H1422/A1422,0)</x:f>
        <x:v>14836.286286286288</x:v>
      </x:c>
      <x:c r="J1422" s="67" t="str">
        <x:v>Modeled from live base + Sep-2026 quality ratio</x:v>
      </x:c>
      <x:c r="K1422" s="67" t="str">
        <x:v>https://www.stonealgo.com/diamond-prices/</x:v>
      </x:c>
      <x:c r="L1422" s="67" t="str">
        <x:v>https://www.pricescope.com/blog/natural-diamond-prices-september-2026</x:v>
      </x:c>
    </x:row>
    <x:row r="1423">
      <x:c r="A1423" t="n">
        <x:v>3</x:v>
      </x:c>
      <x:c r="B1423" t="str">
        <x:v>Princess</x:v>
      </x:c>
      <x:c r="C1423" t="str">
        <x:v>E</x:v>
      </x:c>
      <x:c r="D1423" t="str">
        <x:v>VS2</x:v>
      </x:c>
      <x:c r="E1423" s="36" t="n">
        <x:v>32900</x:v>
      </x:c>
      <x:c r="F1423" s="36" t="n">
        <x:v>5249</x:v>
      </x:c>
      <x:c r="G1423" s="42" t="n">
        <x:v>1.125911625911626</x:v>
      </x:c>
      <x:c r="H1423" s="36" t="n">
        <x:f>E1423*G1423</x:f>
        <x:v>37042.49249249249</x:v>
      </x:c>
      <x:c r="I1423" s="36" t="n">
        <x:f>IFERROR(H1423/A1423,0)</x:f>
        <x:v>12347.497497497498</x:v>
      </x:c>
      <x:c r="J1423" s="67" t="str">
        <x:v>Modeled from live base + Sep-2026 quality ratio</x:v>
      </x:c>
      <x:c r="K1423" s="67" t="str">
        <x:v>https://www.stonealgo.com/diamond-prices/</x:v>
      </x:c>
      <x:c r="L1423" s="67" t="str">
        <x:v>https://www.pricescope.com/blog/natural-diamond-prices-september-2026</x:v>
      </x:c>
    </x:row>
    <x:row r="1424">
      <x:c r="A1424" t="n">
        <x:v>3</x:v>
      </x:c>
      <x:c r="B1424" t="str">
        <x:v>Princess</x:v>
      </x:c>
      <x:c r="C1424" t="str">
        <x:v>E</x:v>
      </x:c>
      <x:c r="D1424" t="str">
        <x:v>SI1</x:v>
      </x:c>
      <x:c r="E1424" s="36" t="n">
        <x:v>32900</x:v>
      </x:c>
      <x:c r="F1424" s="36" t="n">
        <x:v>3551</x:v>
      </x:c>
      <x:c r="G1424" s="42" t="n">
        <x:v>0.7616902616902617</x:v>
      </x:c>
      <x:c r="H1424" s="36" t="n">
        <x:f>E1424*G1424</x:f>
        <x:v>25059.609609609608</x:v>
      </x:c>
      <x:c r="I1424" s="36" t="n">
        <x:f>IFERROR(H1424/A1424,0)</x:f>
        <x:v>8353.203203203202</x:v>
      </x:c>
      <x:c r="J1424" s="67" t="str">
        <x:v>Modeled from live base + Sep-2026 quality ratio</x:v>
      </x:c>
      <x:c r="K1424" s="67" t="str">
        <x:v>https://www.stonealgo.com/diamond-prices/</x:v>
      </x:c>
      <x:c r="L1424" s="67" t="str">
        <x:v>https://www.pricescope.com/blog/natural-diamond-prices-september-2026</x:v>
      </x:c>
    </x:row>
    <x:row r="1425">
      <x:c r="A1425" t="n">
        <x:v>3</x:v>
      </x:c>
      <x:c r="B1425" t="str">
        <x:v>Princess</x:v>
      </x:c>
      <x:c r="C1425" t="str">
        <x:v>E</x:v>
      </x:c>
      <x:c r="D1425" t="str">
        <x:v>SI2</x:v>
      </x:c>
      <x:c r="E1425" s="36" t="n">
        <x:v>32900</x:v>
      </x:c>
      <x:c r="F1425" s="36" t="n">
        <x:v>2993</x:v>
      </x:c>
      <x:c r="G1425" s="42" t="n">
        <x:v>0.641999141999142</x:v>
      </x:c>
      <x:c r="H1425" s="36" t="n">
        <x:f>E1425*G1425</x:f>
        <x:v>21121.77177177177</x:v>
      </x:c>
      <x:c r="I1425" s="36" t="n">
        <x:f>IFERROR(H1425/A1425,0)</x:f>
        <x:v>7040.59059059059</x:v>
      </x:c>
      <x:c r="J1425" s="67" t="str">
        <x:v>Modeled from live base + Sep-2026 quality ratio</x:v>
      </x:c>
      <x:c r="K1425" s="67" t="str">
        <x:v>https://www.stonealgo.com/diamond-prices/</x:v>
      </x:c>
      <x:c r="L1425" s="67" t="str">
        <x:v>https://www.pricescope.com/blog/natural-diamond-prices-september-2026</x:v>
      </x:c>
    </x:row>
    <x:row r="1426">
      <x:c r="A1426" t="n">
        <x:v>3</x:v>
      </x:c>
      <x:c r="B1426" t="str">
        <x:v>Princess</x:v>
      </x:c>
      <x:c r="C1426" t="str">
        <x:v>F</x:v>
      </x:c>
      <x:c r="D1426" t="str">
        <x:v>FL</x:v>
      </x:c>
      <x:c r="E1426" s="36" t="n">
        <x:v>32900</x:v>
      </x:c>
      <x:c r="F1426" s="36" t="n">
        <x:v>6830</x:v>
      </x:c>
      <x:c r="G1426" s="42" t="n">
        <x:v>1.4650364650364651</x:v>
      </x:c>
      <x:c r="H1426" s="36" t="n">
        <x:f>E1426*G1426</x:f>
        <x:v>48199.699699699704</x:v>
      </x:c>
      <x:c r="I1426" s="36" t="n">
        <x:f>IFERROR(H1426/A1426,0)</x:f>
        <x:v>16066.566566566567</x:v>
      </x:c>
      <x:c r="J1426" s="67" t="str">
        <x:v>Modeled from live base + Sep-2026 quality ratio</x:v>
      </x:c>
      <x:c r="K1426" s="67" t="str">
        <x:v>https://www.stonealgo.com/diamond-prices/</x:v>
      </x:c>
      <x:c r="L1426" s="67" t="str">
        <x:v>https://www.pricescope.com/blog/natural-diamond-prices-september-2026</x:v>
      </x:c>
    </x:row>
    <x:row r="1427">
      <x:c r="A1427" t="n">
        <x:v>3</x:v>
      </x:c>
      <x:c r="B1427" t="str">
        <x:v>Princess</x:v>
      </x:c>
      <x:c r="C1427" t="str">
        <x:v>F</x:v>
      </x:c>
      <x:c r="D1427" t="str">
        <x:v>IF</x:v>
      </x:c>
      <x:c r="E1427" s="36" t="n">
        <x:v>32900</x:v>
      </x:c>
      <x:c r="F1427" s="36" t="n">
        <x:v>7302</x:v>
      </x:c>
      <x:c r="G1427" s="42" t="n">
        <x:v>1.5662805662805663</x:v>
      </x:c>
      <x:c r="H1427" s="36" t="n">
        <x:f>E1427*G1427</x:f>
        <x:v>51530.63063063063</x:v>
      </x:c>
      <x:c r="I1427" s="36" t="n">
        <x:f>IFERROR(H1427/A1427,0)</x:f>
        <x:v>17176.876876876875</x:v>
      </x:c>
      <x:c r="J1427" s="67" t="str">
        <x:v>Modeled from live base + Sep-2026 quality ratio</x:v>
      </x:c>
      <x:c r="K1427" s="67" t="str">
        <x:v>https://www.stonealgo.com/diamond-prices/</x:v>
      </x:c>
      <x:c r="L1427" s="67" t="str">
        <x:v>https://www.pricescope.com/blog/natural-diamond-prices-september-2026</x:v>
      </x:c>
    </x:row>
    <x:row r="1428">
      <x:c r="A1428" t="n">
        <x:v>3</x:v>
      </x:c>
      <x:c r="B1428" t="str">
        <x:v>Princess</x:v>
      </x:c>
      <x:c r="C1428" t="str">
        <x:v>F</x:v>
      </x:c>
      <x:c r="D1428" t="str">
        <x:v>VVS1</x:v>
      </x:c>
      <x:c r="E1428" s="36" t="n">
        <x:v>32900</x:v>
      </x:c>
      <x:c r="F1428" s="36" t="n">
        <x:v>7542</x:v>
      </x:c>
      <x:c r="G1428" s="42" t="n">
        <x:v>1.6177606177606179</x:v>
      </x:c>
      <x:c r="H1428" s="36" t="n">
        <x:f>E1428*G1428</x:f>
        <x:v>53224.32432432433</x:v>
      </x:c>
      <x:c r="I1428" s="36" t="n">
        <x:f>IFERROR(H1428/A1428,0)</x:f>
        <x:v>17741.441441441442</x:v>
      </x:c>
      <x:c r="J1428" s="67" t="str">
        <x:v>Modeled from live base + Sep-2026 quality ratio</x:v>
      </x:c>
      <x:c r="K1428" s="67" t="str">
        <x:v>https://www.stonealgo.com/diamond-prices/</x:v>
      </x:c>
      <x:c r="L1428" s="67" t="str">
        <x:v>https://www.pricescope.com/blog/natural-diamond-prices-september-2026</x:v>
      </x:c>
    </x:row>
    <x:row r="1429">
      <x:c r="A1429" t="n">
        <x:v>3</x:v>
      </x:c>
      <x:c r="B1429" t="str">
        <x:v>Princess</x:v>
      </x:c>
      <x:c r="C1429" t="str">
        <x:v>F</x:v>
      </x:c>
      <x:c r="D1429" t="str">
        <x:v>VVS2</x:v>
      </x:c>
      <x:c r="E1429" s="36" t="n">
        <x:v>32900</x:v>
      </x:c>
      <x:c r="F1429" s="36" t="n">
        <x:v>6352</x:v>
      </x:c>
      <x:c r="G1429" s="42" t="n">
        <x:v>1.3625053625053625</x:v>
      </x:c>
      <x:c r="H1429" s="36" t="n">
        <x:f>E1429*G1429</x:f>
        <x:v>44826.42642642643</x:v>
      </x:c>
      <x:c r="I1429" s="36" t="n">
        <x:f>IFERROR(H1429/A1429,0)</x:f>
        <x:v>14942.142142142142</x:v>
      </x:c>
      <x:c r="J1429" s="67" t="str">
        <x:v>Modeled from live base + Sep-2026 quality ratio</x:v>
      </x:c>
      <x:c r="K1429" s="67" t="str">
        <x:v>https://www.stonealgo.com/diamond-prices/</x:v>
      </x:c>
      <x:c r="L1429" s="67" t="str">
        <x:v>https://www.pricescope.com/blog/natural-diamond-prices-september-2026</x:v>
      </x:c>
    </x:row>
    <x:row r="1430">
      <x:c r="A1430" t="n">
        <x:v>3</x:v>
      </x:c>
      <x:c r="B1430" t="str">
        <x:v>Princess</x:v>
      </x:c>
      <x:c r="C1430" t="str">
        <x:v>F</x:v>
      </x:c>
      <x:c r="D1430" t="str">
        <x:v>VS1</x:v>
      </x:c>
      <x:c r="E1430" s="36" t="n">
        <x:v>32900</x:v>
      </x:c>
      <x:c r="F1430" s="36" t="n">
        <x:v>5647</x:v>
      </x:c>
      <x:c r="G1430" s="42" t="n">
        <x:v>1.2112827112827114</x:v>
      </x:c>
      <x:c r="H1430" s="36" t="n">
        <x:f>E1430*G1430</x:f>
        <x:v>39851.201201201206</x:v>
      </x:c>
      <x:c r="I1430" s="36" t="n">
        <x:f>IFERROR(H1430/A1430,0)</x:f>
        <x:v>13283.733733733736</x:v>
      </x:c>
      <x:c r="J1430" s="67" t="str">
        <x:v>Modeled from live base + Sep-2026 quality ratio</x:v>
      </x:c>
      <x:c r="K1430" s="67" t="str">
        <x:v>https://www.stonealgo.com/diamond-prices/</x:v>
      </x:c>
      <x:c r="L1430" s="67" t="str">
        <x:v>https://www.pricescope.com/blog/natural-diamond-prices-september-2026</x:v>
      </x:c>
    </x:row>
    <x:row r="1431">
      <x:c r="A1431" t="n">
        <x:v>3</x:v>
      </x:c>
      <x:c r="B1431" t="str">
        <x:v>Princess</x:v>
      </x:c>
      <x:c r="C1431" t="str">
        <x:v>F</x:v>
      </x:c>
      <x:c r="D1431" t="str">
        <x:v>VS2</x:v>
      </x:c>
      <x:c r="E1431" s="36" t="n">
        <x:v>32900</x:v>
      </x:c>
      <x:c r="F1431" s="36" t="n">
        <x:v>4730</x:v>
      </x:c>
      <x:c r="G1431" s="42" t="n">
        <x:v>1.0145860145860146</x:v>
      </x:c>
      <x:c r="H1431" s="36" t="n">
        <x:f>E1431*G1431</x:f>
        <x:v>33379.87987987988</x:v>
      </x:c>
      <x:c r="I1431" s="36" t="n">
        <x:f>IFERROR(H1431/A1431,0)</x:f>
        <x:v>11126.626626626627</x:v>
      </x:c>
      <x:c r="J1431" s="67" t="str">
        <x:v>Modeled from live base + Sep-2026 quality ratio</x:v>
      </x:c>
      <x:c r="K1431" s="67" t="str">
        <x:v>https://www.stonealgo.com/diamond-prices/</x:v>
      </x:c>
      <x:c r="L1431" s="67" t="str">
        <x:v>https://www.pricescope.com/blog/natural-diamond-prices-september-2026</x:v>
      </x:c>
    </x:row>
    <x:row r="1432">
      <x:c r="A1432" t="n">
        <x:v>3</x:v>
      </x:c>
      <x:c r="B1432" t="str">
        <x:v>Princess</x:v>
      </x:c>
      <x:c r="C1432" t="str">
        <x:v>F</x:v>
      </x:c>
      <x:c r="D1432" t="str">
        <x:v>SI1</x:v>
      </x:c>
      <x:c r="E1432" s="36" t="n">
        <x:v>32900</x:v>
      </x:c>
      <x:c r="F1432" s="36" t="n">
        <x:v>3331</x:v>
      </x:c>
      <x:c r="G1432" s="42" t="n">
        <x:v>0.7145002145002145</x:v>
      </x:c>
      <x:c r="H1432" s="36" t="n">
        <x:f>E1432*G1432</x:f>
        <x:v>23507.057057057056</x:v>
      </x:c>
      <x:c r="I1432" s="36" t="n">
        <x:f>IFERROR(H1432/A1432,0)</x:f>
        <x:v>7835.685685685686</x:v>
      </x:c>
      <x:c r="J1432" s="67" t="str">
        <x:v>Modeled from live base + Sep-2026 quality ratio</x:v>
      </x:c>
      <x:c r="K1432" s="67" t="str">
        <x:v>https://www.stonealgo.com/diamond-prices/</x:v>
      </x:c>
      <x:c r="L1432" s="67" t="str">
        <x:v>https://www.pricescope.com/blog/natural-diamond-prices-september-2026</x:v>
      </x:c>
    </x:row>
    <x:row r="1433">
      <x:c r="A1433" t="n">
        <x:v>3</x:v>
      </x:c>
      <x:c r="B1433" t="str">
        <x:v>Princess</x:v>
      </x:c>
      <x:c r="C1433" t="str">
        <x:v>F</x:v>
      </x:c>
      <x:c r="D1433" t="str">
        <x:v>SI2</x:v>
      </x:c>
      <x:c r="E1433" s="36" t="n">
        <x:v>32900</x:v>
      </x:c>
      <x:c r="F1433" s="36" t="n">
        <x:v>2733</x:v>
      </x:c>
      <x:c r="G1433" s="42" t="n">
        <x:v>0.5862290862290862</x:v>
      </x:c>
      <x:c r="H1433" s="36" t="n">
        <x:f>E1433*G1433</x:f>
        <x:v>19286.936936936938</x:v>
      </x:c>
      <x:c r="I1433" s="36" t="n">
        <x:f>IFERROR(H1433/A1433,0)</x:f>
        <x:v>6428.978978978979</x:v>
      </x:c>
      <x:c r="J1433" s="67" t="str">
        <x:v>Modeled from live base + Sep-2026 quality ratio</x:v>
      </x:c>
      <x:c r="K1433" s="67" t="str">
        <x:v>https://www.stonealgo.com/diamond-prices/</x:v>
      </x:c>
      <x:c r="L1433" s="67" t="str">
        <x:v>https://www.pricescope.com/blog/natural-diamond-prices-september-2026</x:v>
      </x:c>
    </x:row>
    <x:row r="1434">
      <x:c r="A1434" t="n">
        <x:v>3</x:v>
      </x:c>
      <x:c r="B1434" t="str">
        <x:v>Princess</x:v>
      </x:c>
      <x:c r="C1434" t="str">
        <x:v>G</x:v>
      </x:c>
      <x:c r="D1434" t="str">
        <x:v>FL</x:v>
      </x:c>
      <x:c r="E1434" s="36" t="n">
        <x:v>32900</x:v>
      </x:c>
      <x:c r="F1434" s="36" t="n">
        <x:v>5905</x:v>
      </x:c>
      <x:c r="G1434" s="42" t="n">
        <x:v>1.2666237666237665</x:v>
      </x:c>
      <x:c r="H1434" s="36" t="n">
        <x:f>E1434*G1434</x:f>
        <x:v>41671.921921921916</x:v>
      </x:c>
      <x:c r="I1434" s="36" t="n">
        <x:f>IFERROR(H1434/A1434,0)</x:f>
        <x:v>13890.640640640639</x:v>
      </x:c>
      <x:c r="J1434" s="67" t="str">
        <x:v>Modeled from live base + Sep-2026 quality ratio</x:v>
      </x:c>
      <x:c r="K1434" s="67" t="str">
        <x:v>https://www.stonealgo.com/diamond-prices/</x:v>
      </x:c>
      <x:c r="L1434" s="67" t="str">
        <x:v>https://www.pricescope.com/blog/natural-diamond-prices-september-2026</x:v>
      </x:c>
    </x:row>
    <x:row r="1435">
      <x:c r="A1435" t="n">
        <x:v>3</x:v>
      </x:c>
      <x:c r="B1435" t="str">
        <x:v>Princess</x:v>
      </x:c>
      <x:c r="C1435" t="str">
        <x:v>G</x:v>
      </x:c>
      <x:c r="D1435" t="str">
        <x:v>IF</x:v>
      </x:c>
      <x:c r="E1435" s="36" t="n">
        <x:v>32900</x:v>
      </x:c>
      <x:c r="F1435" s="36" t="n">
        <x:v>5601</x:v>
      </x:c>
      <x:c r="G1435" s="42" t="n">
        <x:v>1.2014157014157014</x:v>
      </x:c>
      <x:c r="H1435" s="36" t="n">
        <x:f>E1435*G1435</x:f>
        <x:v>39526.576576576575</x:v>
      </x:c>
      <x:c r="I1435" s="36" t="n">
        <x:f>IFERROR(H1435/A1435,0)</x:f>
        <x:v>13175.525525525525</x:v>
      </x:c>
      <x:c r="J1435" s="67" t="str">
        <x:v>Modeled from live base + Sep-2026 quality ratio</x:v>
      </x:c>
      <x:c r="K1435" s="67" t="str">
        <x:v>https://www.stonealgo.com/diamond-prices/</x:v>
      </x:c>
      <x:c r="L1435" s="67" t="str">
        <x:v>https://www.pricescope.com/blog/natural-diamond-prices-september-2026</x:v>
      </x:c>
    </x:row>
    <x:row r="1436">
      <x:c r="A1436" t="n">
        <x:v>3</x:v>
      </x:c>
      <x:c r="B1436" t="str">
        <x:v>Princess</x:v>
      </x:c>
      <x:c r="C1436" t="str">
        <x:v>G</x:v>
      </x:c>
      <x:c r="D1436" t="str">
        <x:v>VVS1</x:v>
      </x:c>
      <x:c r="E1436" s="36" t="n">
        <x:v>32900</x:v>
      </x:c>
      <x:c r="F1436" s="36" t="n">
        <x:v>5124</x:v>
      </x:c>
      <x:c r="G1436" s="42" t="n">
        <x:v>1.0990990990990992</x:v>
      </x:c>
      <x:c r="H1436" s="36" t="n">
        <x:f>E1436*G1436</x:f>
        <x:v>36160.36036036036</x:v>
      </x:c>
      <x:c r="I1436" s="36" t="n">
        <x:f>IFERROR(H1436/A1436,0)</x:f>
        <x:v>12053.453453453454</x:v>
      </x:c>
      <x:c r="J1436" s="67" t="str">
        <x:v>Modeled from live base + Sep-2026 quality ratio</x:v>
      </x:c>
      <x:c r="K1436" s="67" t="str">
        <x:v>https://www.stonealgo.com/diamond-prices/</x:v>
      </x:c>
      <x:c r="L1436" s="67" t="str">
        <x:v>https://www.pricescope.com/blog/natural-diamond-prices-september-2026</x:v>
      </x:c>
    </x:row>
    <x:row r="1437">
      <x:c r="A1437" t="n">
        <x:v>3</x:v>
      </x:c>
      <x:c r="B1437" t="str">
        <x:v>Princess</x:v>
      </x:c>
      <x:c r="C1437" t="str">
        <x:v>G</x:v>
      </x:c>
      <x:c r="D1437" t="str">
        <x:v>VVS2</x:v>
      </x:c>
      <x:c r="E1437" s="36" t="n">
        <x:v>32900</x:v>
      </x:c>
      <x:c r="F1437" s="36" t="n">
        <x:v>4962</x:v>
      </x:c>
      <x:c r="G1437" s="42" t="n">
        <x:v>1.0643500643500643</x:v>
      </x:c>
      <x:c r="H1437" s="36" t="n">
        <x:f>E1437*G1437</x:f>
        <x:v>35017.117117117115</x:v>
      </x:c>
      <x:c r="I1437" s="36" t="n">
        <x:f>IFERROR(H1437/A1437,0)</x:f>
        <x:v>11672.372372372372</x:v>
      </x:c>
      <x:c r="J1437" s="67" t="str">
        <x:v>Modeled from live base + Sep-2026 quality ratio</x:v>
      </x:c>
      <x:c r="K1437" s="67" t="str">
        <x:v>https://www.stonealgo.com/diamond-prices/</x:v>
      </x:c>
      <x:c r="L1437" s="67" t="str">
        <x:v>https://www.pricescope.com/blog/natural-diamond-prices-september-2026</x:v>
      </x:c>
    </x:row>
    <x:row r="1438">
      <x:c r="A1438" t="n">
        <x:v>3</x:v>
      </x:c>
      <x:c r="B1438" t="str">
        <x:v>Princess</x:v>
      </x:c>
      <x:c r="C1438" t="str">
        <x:v>G</x:v>
      </x:c>
      <x:c r="D1438" t="str">
        <x:v>VS1</x:v>
      </x:c>
      <x:c r="E1438" s="36" t="n">
        <x:v>32900</x:v>
      </x:c>
      <x:c r="F1438" s="36" t="n">
        <x:v>4615</x:v>
      </x:c>
      <x:c r="G1438" s="42" t="n">
        <x:v>0.98991848991849</x:v>
      </x:c>
      <x:c r="H1438" s="36" t="n">
        <x:f>E1438*G1438</x:f>
        <x:v>32568.31831831832</x:v>
      </x:c>
      <x:c r="I1438" s="36" t="n">
        <x:f>IFERROR(H1438/A1438,0)</x:f>
        <x:v>10856.106106106106</x:v>
      </x:c>
      <x:c r="J1438" s="67" t="str">
        <x:v>Modeled from live base + Sep-2026 quality ratio</x:v>
      </x:c>
      <x:c r="K1438" s="67" t="str">
        <x:v>https://www.stonealgo.com/diamond-prices/</x:v>
      </x:c>
      <x:c r="L1438" s="67" t="str">
        <x:v>https://www.pricescope.com/blog/natural-diamond-prices-september-2026</x:v>
      </x:c>
    </x:row>
    <x:row r="1439">
      <x:c r="A1439" t="n">
        <x:v>3</x:v>
      </x:c>
      <x:c r="B1439" t="str">
        <x:v>Princess</x:v>
      </x:c>
      <x:c r="C1439" t="str">
        <x:v>G</x:v>
      </x:c>
      <x:c r="D1439" t="str">
        <x:v>VS2</x:v>
      </x:c>
      <x:c r="E1439" s="36" t="n">
        <x:v>32900</x:v>
      </x:c>
      <x:c r="F1439" s="36" t="n">
        <x:v>4585</x:v>
      </x:c>
      <x:c r="G1439" s="42" t="n">
        <x:v>0.9834834834834835</x:v>
      </x:c>
      <x:c r="H1439" s="36" t="n">
        <x:f>E1439*G1439</x:f>
        <x:v>32356.606606606605</x:v>
      </x:c>
      <x:c r="I1439" s="36" t="n">
        <x:f>IFERROR(H1439/A1439,0)</x:f>
        <x:v>10785.535535535535</x:v>
      </x:c>
      <x:c r="J1439" s="67" t="str">
        <x:v>Modeled from live base + Sep-2026 quality ratio</x:v>
      </x:c>
      <x:c r="K1439" s="67" t="str">
        <x:v>https://www.stonealgo.com/diamond-prices/</x:v>
      </x:c>
      <x:c r="L1439" s="67" t="str">
        <x:v>https://www.pricescope.com/blog/natural-diamond-prices-september-2026</x:v>
      </x:c>
    </x:row>
    <x:row r="1440">
      <x:c r="A1440" t="n">
        <x:v>3</x:v>
      </x:c>
      <x:c r="B1440" t="str">
        <x:v>Princess</x:v>
      </x:c>
      <x:c r="C1440" t="str">
        <x:v>G</x:v>
      </x:c>
      <x:c r="D1440" t="str">
        <x:v>SI1</x:v>
      </x:c>
      <x:c r="E1440" s="36" t="n">
        <x:v>32900</x:v>
      </x:c>
      <x:c r="F1440" s="36" t="n">
        <x:v>3664</x:v>
      </x:c>
      <x:c r="G1440" s="42" t="n">
        <x:v>0.7859287859287859</x:v>
      </x:c>
      <x:c r="H1440" s="36" t="n">
        <x:f>E1440*G1440</x:f>
        <x:v>25857.057057057056</x:v>
      </x:c>
      <x:c r="I1440" s="36" t="n">
        <x:f>IFERROR(H1440/A1440,0)</x:f>
        <x:v>8619.019019019019</x:v>
      </x:c>
      <x:c r="J1440" s="67" t="str">
        <x:v>Modeled from live base + Sep-2026 quality ratio</x:v>
      </x:c>
      <x:c r="K1440" s="67" t="str">
        <x:v>https://www.stonealgo.com/diamond-prices/</x:v>
      </x:c>
      <x:c r="L1440" s="67" t="str">
        <x:v>https://www.pricescope.com/blog/natural-diamond-prices-september-2026</x:v>
      </x:c>
    </x:row>
    <x:row r="1441">
      <x:c r="A1441" t="n">
        <x:v>3</x:v>
      </x:c>
      <x:c r="B1441" t="str">
        <x:v>Princess</x:v>
      </x:c>
      <x:c r="C1441" t="str">
        <x:v>G</x:v>
      </x:c>
      <x:c r="D1441" t="str">
        <x:v>SI2</x:v>
      </x:c>
      <x:c r="E1441" s="36" t="n">
        <x:v>32900</x:v>
      </x:c>
      <x:c r="F1441" s="36" t="n">
        <x:v>2537</x:v>
      </x:c>
      <x:c r="G1441" s="42" t="n">
        <x:v>0.5441870441870442</x:v>
      </x:c>
      <x:c r="H1441" s="36" t="n">
        <x:f>E1441*G1441</x:f>
        <x:v>17903.753753753754</x:v>
      </x:c>
      <x:c r="I1441" s="36" t="n">
        <x:f>IFERROR(H1441/A1441,0)</x:f>
        <x:v>5967.917917917918</x:v>
      </x:c>
      <x:c r="J1441" s="67" t="str">
        <x:v>Modeled from live base + Sep-2026 quality ratio</x:v>
      </x:c>
      <x:c r="K1441" s="67" t="str">
        <x:v>https://www.stonealgo.com/diamond-prices/</x:v>
      </x:c>
      <x:c r="L1441" s="67" t="str">
        <x:v>https://www.pricescope.com/blog/natural-diamond-prices-september-2026</x:v>
      </x:c>
    </x:row>
    <x:row r="1442">
      <x:c r="A1442" t="n">
        <x:v>3</x:v>
      </x:c>
      <x:c r="B1442" t="str">
        <x:v>Princess</x:v>
      </x:c>
      <x:c r="C1442" t="str">
        <x:v>H</x:v>
      </x:c>
      <x:c r="D1442" t="str">
        <x:v>FL</x:v>
      </x:c>
      <x:c r="E1442" s="36" t="n">
        <x:v>32900</x:v>
      </x:c>
      <x:c r="F1442" s="36" t="n">
        <x:v>4563</x:v>
      </x:c>
      <x:c r="G1442" s="42" t="n">
        <x:v>0.9787644787644788</x:v>
      </x:c>
      <x:c r="H1442" s="36" t="n">
        <x:f>E1442*G1442</x:f>
        <x:v>32201.351351351354</x:v>
      </x:c>
      <x:c r="I1442" s="36" t="n">
        <x:f>IFERROR(H1442/A1442,0)</x:f>
        <x:v>10733.783783783785</x:v>
      </x:c>
      <x:c r="J1442" s="67" t="str">
        <x:v>Modeled from live base + Sep-2026 quality ratio</x:v>
      </x:c>
      <x:c r="K1442" s="67" t="str">
        <x:v>https://www.stonealgo.com/diamond-prices/</x:v>
      </x:c>
      <x:c r="L1442" s="67" t="str">
        <x:v>https://www.pricescope.com/blog/natural-diamond-prices-september-2026</x:v>
      </x:c>
    </x:row>
    <x:row r="1443">
      <x:c r="A1443" t="n">
        <x:v>3</x:v>
      </x:c>
      <x:c r="B1443" t="str">
        <x:v>Princess</x:v>
      </x:c>
      <x:c r="C1443" t="str">
        <x:v>H</x:v>
      </x:c>
      <x:c r="D1443" t="str">
        <x:v>IF</x:v>
      </x:c>
      <x:c r="E1443" s="36" t="n">
        <x:v>32900</x:v>
      </x:c>
      <x:c r="F1443" s="36" t="n">
        <x:v>4809</x:v>
      </x:c>
      <x:c r="G1443" s="42" t="n">
        <x:v>1.0315315315315314</x:v>
      </x:c>
      <x:c r="H1443" s="36" t="n">
        <x:f>E1443*G1443</x:f>
        <x:v>33937.38738738738</x:v>
      </x:c>
      <x:c r="I1443" s="36" t="n">
        <x:f>IFERROR(H1443/A1443,0)</x:f>
        <x:v>11312.462462462461</x:v>
      </x:c>
      <x:c r="J1443" s="67" t="str">
        <x:v>Modeled from live base + Sep-2026 quality ratio</x:v>
      </x:c>
      <x:c r="K1443" s="67" t="str">
        <x:v>https://www.stonealgo.com/diamond-prices/</x:v>
      </x:c>
      <x:c r="L1443" s="67" t="str">
        <x:v>https://www.pricescope.com/blog/natural-diamond-prices-september-2026</x:v>
      </x:c>
    </x:row>
    <x:row r="1444">
      <x:c r="A1444" t="n">
        <x:v>3</x:v>
      </x:c>
      <x:c r="B1444" t="str">
        <x:v>Princess</x:v>
      </x:c>
      <x:c r="C1444" t="str">
        <x:v>H</x:v>
      </x:c>
      <x:c r="D1444" t="str">
        <x:v>VVS1</x:v>
      </x:c>
      <x:c r="E1444" s="36" t="n">
        <x:v>32900</x:v>
      </x:c>
      <x:c r="F1444" s="36" t="n">
        <x:v>4911</x:v>
      </x:c>
      <x:c r="G1444" s="42" t="n">
        <x:v>1.0534105534105533</x:v>
      </x:c>
      <x:c r="H1444" s="36" t="n">
        <x:f>E1444*G1444</x:f>
        <x:v>34657.207207207204</x:v>
      </x:c>
      <x:c r="I1444" s="36" t="n">
        <x:f>IFERROR(H1444/A1444,0)</x:f>
        <x:v>11552.402402402402</x:v>
      </x:c>
      <x:c r="J1444" s="67" t="str">
        <x:v>Modeled from live base + Sep-2026 quality ratio</x:v>
      </x:c>
      <x:c r="K1444" s="67" t="str">
        <x:v>https://www.stonealgo.com/diamond-prices/</x:v>
      </x:c>
      <x:c r="L1444" s="67" t="str">
        <x:v>https://www.pricescope.com/blog/natural-diamond-prices-september-2026</x:v>
      </x:c>
    </x:row>
    <x:row r="1445">
      <x:c r="A1445" t="n">
        <x:v>3</x:v>
      </x:c>
      <x:c r="B1445" t="str">
        <x:v>Princess</x:v>
      </x:c>
      <x:c r="C1445" t="str">
        <x:v>H</x:v>
      </x:c>
      <x:c r="D1445" t="str">
        <x:v>VVS2</x:v>
      </x:c>
      <x:c r="E1445" s="36" t="n">
        <x:v>32900</x:v>
      </x:c>
      <x:c r="F1445" s="36" t="n">
        <x:v>4046</x:v>
      </x:c>
      <x:c r="G1445" s="42" t="n">
        <x:v>0.8678678678678678</x:v>
      </x:c>
      <x:c r="H1445" s="36" t="n">
        <x:f>E1445*G1445</x:f>
        <x:v>28552.85285285285</x:v>
      </x:c>
      <x:c r="I1445" s="36" t="n">
        <x:f>IFERROR(H1445/A1445,0)</x:f>
        <x:v>9517.617617617618</x:v>
      </x:c>
      <x:c r="J1445" s="67" t="str">
        <x:v>Modeled from live base + Sep-2026 quality ratio</x:v>
      </x:c>
      <x:c r="K1445" s="67" t="str">
        <x:v>https://www.stonealgo.com/diamond-prices/</x:v>
      </x:c>
      <x:c r="L1445" s="67" t="str">
        <x:v>https://www.pricescope.com/blog/natural-diamond-prices-september-2026</x:v>
      </x:c>
    </x:row>
    <x:row r="1446">
      <x:c r="A1446" t="n">
        <x:v>3</x:v>
      </x:c>
      <x:c r="B1446" t="str">
        <x:v>Princess</x:v>
      </x:c>
      <x:c r="C1446" t="str">
        <x:v>H</x:v>
      </x:c>
      <x:c r="D1446" t="str">
        <x:v>VS1</x:v>
      </x:c>
      <x:c r="E1446" s="36" t="n">
        <x:v>32900</x:v>
      </x:c>
      <x:c r="F1446" s="36" t="n">
        <x:v>3893</x:v>
      </x:c>
      <x:c r="G1446" s="42" t="n">
        <x:v>0.8350493350493351</x:v>
      </x:c>
      <x:c r="H1446" s="36" t="n">
        <x:f>E1446*G1446</x:f>
        <x:v>27473.123123123125</x:v>
      </x:c>
      <x:c r="I1446" s="36" t="n">
        <x:f>IFERROR(H1446/A1446,0)</x:f>
        <x:v>9157.707707707708</x:v>
      </x:c>
      <x:c r="J1446" s="67" t="str">
        <x:v>Modeled from live base + Sep-2026 quality ratio</x:v>
      </x:c>
      <x:c r="K1446" s="67" t="str">
        <x:v>https://www.stonealgo.com/diamond-prices/</x:v>
      </x:c>
      <x:c r="L1446" s="67" t="str">
        <x:v>https://www.pricescope.com/blog/natural-diamond-prices-september-2026</x:v>
      </x:c>
    </x:row>
    <x:row r="1447">
      <x:c r="A1447" t="n">
        <x:v>3</x:v>
      </x:c>
      <x:c r="B1447" t="str">
        <x:v>Princess</x:v>
      </x:c>
      <x:c r="C1447" t="str">
        <x:v>H</x:v>
      </x:c>
      <x:c r="D1447" t="str">
        <x:v>VS2</x:v>
      </x:c>
      <x:c r="E1447" s="36" t="n">
        <x:v>32900</x:v>
      </x:c>
      <x:c r="F1447" s="36" t="n">
        <x:v>3989</x:v>
      </x:c>
      <x:c r="G1447" s="42" t="n">
        <x:v>0.8556413556413557</x:v>
      </x:c>
      <x:c r="H1447" s="36" t="n">
        <x:f>E1447*G1447</x:f>
        <x:v>28150.600600600603</x:v>
      </x:c>
      <x:c r="I1447" s="36" t="n">
        <x:f>IFERROR(H1447/A1447,0)</x:f>
        <x:v>9383.533533533535</x:v>
      </x:c>
      <x:c r="J1447" s="67" t="str">
        <x:v>Modeled from live base + Sep-2026 quality ratio</x:v>
      </x:c>
      <x:c r="K1447" s="67" t="str">
        <x:v>https://www.stonealgo.com/diamond-prices/</x:v>
      </x:c>
      <x:c r="L1447" s="67" t="str">
        <x:v>https://www.pricescope.com/blog/natural-diamond-prices-september-2026</x:v>
      </x:c>
    </x:row>
    <x:row r="1448">
      <x:c r="A1448" t="n">
        <x:v>3</x:v>
      </x:c>
      <x:c r="B1448" t="str">
        <x:v>Princess</x:v>
      </x:c>
      <x:c r="C1448" t="str">
        <x:v>H</x:v>
      </x:c>
      <x:c r="D1448" t="str">
        <x:v>SI1</x:v>
      </x:c>
      <x:c r="E1448" s="36" t="n">
        <x:v>32900</x:v>
      </x:c>
      <x:c r="F1448" s="36" t="n">
        <x:v>2828</x:v>
      </x:c>
      <x:c r="G1448" s="42" t="n">
        <x:v>0.6066066066066066</x:v>
      </x:c>
      <x:c r="H1448" s="36" t="n">
        <x:f>E1448*G1448</x:f>
        <x:v>19957.357357357356</x:v>
      </x:c>
      <x:c r="I1448" s="36" t="n">
        <x:f>IFERROR(H1448/A1448,0)</x:f>
        <x:v>6652.452452452452</x:v>
      </x:c>
      <x:c r="J1448" s="67" t="str">
        <x:v>Modeled from live base + Sep-2026 quality ratio</x:v>
      </x:c>
      <x:c r="K1448" s="67" t="str">
        <x:v>https://www.stonealgo.com/diamond-prices/</x:v>
      </x:c>
      <x:c r="L1448" s="67" t="str">
        <x:v>https://www.pricescope.com/blog/natural-diamond-prices-september-2026</x:v>
      </x:c>
    </x:row>
    <x:row r="1449">
      <x:c r="A1449" t="n">
        <x:v>3</x:v>
      </x:c>
      <x:c r="B1449" t="str">
        <x:v>Princess</x:v>
      </x:c>
      <x:c r="C1449" t="str">
        <x:v>H</x:v>
      </x:c>
      <x:c r="D1449" t="str">
        <x:v>SI2</x:v>
      </x:c>
      <x:c r="E1449" s="36" t="n">
        <x:v>32900</x:v>
      </x:c>
      <x:c r="F1449" s="36" t="n">
        <x:v>2328</x:v>
      </x:c>
      <x:c r="G1449" s="42" t="n">
        <x:v>0.49935649935649934</x:v>
      </x:c>
      <x:c r="H1449" s="36" t="n">
        <x:f>E1449*G1449</x:f>
        <x:v>16428.828828828828</x:v>
      </x:c>
      <x:c r="I1449" s="36" t="n">
        <x:f>IFERROR(H1449/A1449,0)</x:f>
        <x:v>5476.276276276276</x:v>
      </x:c>
      <x:c r="J1449" s="67" t="str">
        <x:v>Modeled from live base + Sep-2026 quality ratio</x:v>
      </x:c>
      <x:c r="K1449" s="67" t="str">
        <x:v>https://www.stonealgo.com/diamond-prices/</x:v>
      </x:c>
      <x:c r="L1449" s="67" t="str">
        <x:v>https://www.pricescope.com/blog/natural-diamond-prices-september-2026</x:v>
      </x:c>
    </x:row>
    <x:row r="1450">
      <x:c r="A1450" t="n">
        <x:v>3</x:v>
      </x:c>
      <x:c r="B1450" t="str">
        <x:v>Princess</x:v>
      </x:c>
      <x:c r="C1450" t="str">
        <x:v>I</x:v>
      </x:c>
      <x:c r="D1450" t="str">
        <x:v>FL</x:v>
      </x:c>
      <x:c r="E1450" s="36" t="n">
        <x:v>32900</x:v>
      </x:c>
      <x:c r="F1450" s="36" t="n">
        <x:v>4623</x:v>
      </x:c>
      <x:c r="G1450" s="42" t="n">
        <x:v>0.9916344916344917</x:v>
      </x:c>
      <x:c r="H1450" s="36" t="n">
        <x:f>E1450*G1450</x:f>
        <x:v>32624.774774774778</x:v>
      </x:c>
      <x:c r="I1450" s="36" t="n">
        <x:f>IFERROR(H1450/A1450,0)</x:f>
        <x:v>10874.924924924926</x:v>
      </x:c>
      <x:c r="J1450" s="67" t="str">
        <x:v>Modeled from live base + Sep-2026 quality ratio</x:v>
      </x:c>
      <x:c r="K1450" s="67" t="str">
        <x:v>https://www.stonealgo.com/diamond-prices/</x:v>
      </x:c>
      <x:c r="L1450" s="67" t="str">
        <x:v>https://www.pricescope.com/blog/natural-diamond-prices-september-2026</x:v>
      </x:c>
    </x:row>
    <x:row r="1451">
      <x:c r="A1451" t="n">
        <x:v>3</x:v>
      </x:c>
      <x:c r="B1451" t="str">
        <x:v>Princess</x:v>
      </x:c>
      <x:c r="C1451" t="str">
        <x:v>I</x:v>
      </x:c>
      <x:c r="D1451" t="str">
        <x:v>IF</x:v>
      </x:c>
      <x:c r="E1451" s="36" t="n">
        <x:v>32900</x:v>
      </x:c>
      <x:c r="F1451" s="36" t="n">
        <x:v>4005</x:v>
      </x:c>
      <x:c r="G1451" s="42" t="n">
        <x:v>0.859073359073359</x:v>
      </x:c>
      <x:c r="H1451" s="36" t="n">
        <x:f>E1451*G1451</x:f>
        <x:v>28263.513513513513</x:v>
      </x:c>
      <x:c r="I1451" s="36" t="n">
        <x:f>IFERROR(H1451/A1451,0)</x:f>
        <x:v>9421.17117117117</x:v>
      </x:c>
      <x:c r="J1451" s="67" t="str">
        <x:v>Modeled from live base + Sep-2026 quality ratio</x:v>
      </x:c>
      <x:c r="K1451" s="67" t="str">
        <x:v>https://www.stonealgo.com/diamond-prices/</x:v>
      </x:c>
      <x:c r="L1451" s="67" t="str">
        <x:v>https://www.pricescope.com/blog/natural-diamond-prices-september-2026</x:v>
      </x:c>
    </x:row>
    <x:row r="1452">
      <x:c r="A1452" t="n">
        <x:v>3</x:v>
      </x:c>
      <x:c r="B1452" t="str">
        <x:v>Princess</x:v>
      </x:c>
      <x:c r="C1452" t="str">
        <x:v>I</x:v>
      </x:c>
      <x:c r="D1452" t="str">
        <x:v>VVS1</x:v>
      </x:c>
      <x:c r="E1452" s="36" t="n">
        <x:v>32900</x:v>
      </x:c>
      <x:c r="F1452" s="36" t="n">
        <x:v>3670</x:v>
      </x:c>
      <x:c r="G1452" s="42" t="n">
        <x:v>0.7872157872157872</x:v>
      </x:c>
      <x:c r="H1452" s="36" t="n">
        <x:f>E1452*G1452</x:f>
        <x:v>25899.3993993994</x:v>
      </x:c>
      <x:c r="I1452" s="36" t="n">
        <x:f>IFERROR(H1452/A1452,0)</x:f>
        <x:v>8633.133133133133</x:v>
      </x:c>
      <x:c r="J1452" s="67" t="str">
        <x:v>Modeled from live base + Sep-2026 quality ratio</x:v>
      </x:c>
      <x:c r="K1452" s="67" t="str">
        <x:v>https://www.stonealgo.com/diamond-prices/</x:v>
      </x:c>
      <x:c r="L1452" s="67" t="str">
        <x:v>https://www.pricescope.com/blog/natural-diamond-prices-september-2026</x:v>
      </x:c>
    </x:row>
    <x:row r="1453">
      <x:c r="A1453" t="n">
        <x:v>3</x:v>
      </x:c>
      <x:c r="B1453" t="str">
        <x:v>Princess</x:v>
      </x:c>
      <x:c r="C1453" t="str">
        <x:v>I</x:v>
      </x:c>
      <x:c r="D1453" t="str">
        <x:v>VVS2</x:v>
      </x:c>
      <x:c r="E1453" s="36" t="n">
        <x:v>32900</x:v>
      </x:c>
      <x:c r="F1453" s="36" t="n">
        <x:v>3447</x:v>
      </x:c>
      <x:c r="G1453" s="42" t="n">
        <x:v>0.7393822393822393</x:v>
      </x:c>
      <x:c r="H1453" s="36" t="n">
        <x:f>E1453*G1453</x:f>
        <x:v>24325.675675675673</x:v>
      </x:c>
      <x:c r="I1453" s="36" t="n">
        <x:f>IFERROR(H1453/A1453,0)</x:f>
        <x:v>8108.558558558558</x:v>
      </x:c>
      <x:c r="J1453" s="67" t="str">
        <x:v>Modeled from live base + Sep-2026 quality ratio</x:v>
      </x:c>
      <x:c r="K1453" s="67" t="str">
        <x:v>https://www.stonealgo.com/diamond-prices/</x:v>
      </x:c>
      <x:c r="L1453" s="67" t="str">
        <x:v>https://www.pricescope.com/blog/natural-diamond-prices-september-2026</x:v>
      </x:c>
    </x:row>
    <x:row r="1454">
      <x:c r="A1454" t="n">
        <x:v>3</x:v>
      </x:c>
      <x:c r="B1454" t="str">
        <x:v>Princess</x:v>
      </x:c>
      <x:c r="C1454" t="str">
        <x:v>I</x:v>
      </x:c>
      <x:c r="D1454" t="str">
        <x:v>VS1</x:v>
      </x:c>
      <x:c r="E1454" s="36" t="n">
        <x:v>32900</x:v>
      </x:c>
      <x:c r="F1454" s="36" t="n">
        <x:v>3313</x:v>
      </x:c>
      <x:c r="G1454" s="42" t="n">
        <x:v>0.7106392106392107</x:v>
      </x:c>
      <x:c r="H1454" s="36" t="n">
        <x:f>E1454*G1454</x:f>
        <x:v>23380.03003003003</x:v>
      </x:c>
      <x:c r="I1454" s="36" t="n">
        <x:f>IFERROR(H1454/A1454,0)</x:f>
        <x:v>7793.343343343343</x:v>
      </x:c>
      <x:c r="J1454" s="67" t="str">
        <x:v>Modeled from live base + Sep-2026 quality ratio</x:v>
      </x:c>
      <x:c r="K1454" s="67" t="str">
        <x:v>https://www.stonealgo.com/diamond-prices/</x:v>
      </x:c>
      <x:c r="L1454" s="67" t="str">
        <x:v>https://www.pricescope.com/blog/natural-diamond-prices-september-2026</x:v>
      </x:c>
    </x:row>
    <x:row r="1455">
      <x:c r="A1455" t="n">
        <x:v>3</x:v>
      </x:c>
      <x:c r="B1455" t="str">
        <x:v>Princess</x:v>
      </x:c>
      <x:c r="C1455" t="str">
        <x:v>I</x:v>
      </x:c>
      <x:c r="D1455" t="str">
        <x:v>VS2</x:v>
      </x:c>
      <x:c r="E1455" s="36" t="n">
        <x:v>32900</x:v>
      </x:c>
      <x:c r="F1455" s="36" t="n">
        <x:v>3240</x:v>
      </x:c>
      <x:c r="G1455" s="42" t="n">
        <x:v>0.694980694980695</x:v>
      </x:c>
      <x:c r="H1455" s="36" t="n">
        <x:f>E1455*G1455</x:f>
        <x:v>22864.864864864867</x:v>
      </x:c>
      <x:c r="I1455" s="36" t="n">
        <x:f>IFERROR(H1455/A1455,0)</x:f>
        <x:v>7621.621621621623</x:v>
      </x:c>
      <x:c r="J1455" s="67" t="str">
        <x:v>Modeled from live base + Sep-2026 quality ratio</x:v>
      </x:c>
      <x:c r="K1455" s="67" t="str">
        <x:v>https://www.stonealgo.com/diamond-prices/</x:v>
      </x:c>
      <x:c r="L1455" s="67" t="str">
        <x:v>https://www.pricescope.com/blog/natural-diamond-prices-september-2026</x:v>
      </x:c>
    </x:row>
    <x:row r="1456">
      <x:c r="A1456" t="n">
        <x:v>3</x:v>
      </x:c>
      <x:c r="B1456" t="str">
        <x:v>Princess</x:v>
      </x:c>
      <x:c r="C1456" t="str">
        <x:v>I</x:v>
      </x:c>
      <x:c r="D1456" t="str">
        <x:v>SI1</x:v>
      </x:c>
      <x:c r="E1456" s="36" t="n">
        <x:v>32900</x:v>
      </x:c>
      <x:c r="F1456" s="36" t="n">
        <x:v>3199</x:v>
      </x:c>
      <x:c r="G1456" s="42" t="n">
        <x:v>0.6861861861861862</x:v>
      </x:c>
      <x:c r="H1456" s="36" t="n">
        <x:f>E1456*G1456</x:f>
        <x:v>22575.525525525525</x:v>
      </x:c>
      <x:c r="I1456" s="36" t="n">
        <x:f>IFERROR(H1456/A1456,0)</x:f>
        <x:v>7525.175175175175</x:v>
      </x:c>
      <x:c r="J1456" s="67" t="str">
        <x:v>Modeled from live base + Sep-2026 quality ratio</x:v>
      </x:c>
      <x:c r="K1456" s="67" t="str">
        <x:v>https://www.stonealgo.com/diamond-prices/</x:v>
      </x:c>
      <x:c r="L1456" s="67" t="str">
        <x:v>https://www.pricescope.com/blog/natural-diamond-prices-september-2026</x:v>
      </x:c>
    </x:row>
    <x:row r="1457">
      <x:c r="A1457" t="n">
        <x:v>3</x:v>
      </x:c>
      <x:c r="B1457" t="str">
        <x:v>Princess</x:v>
      </x:c>
      <x:c r="C1457" t="str">
        <x:v>I</x:v>
      </x:c>
      <x:c r="D1457" t="str">
        <x:v>SI2</x:v>
      </x:c>
      <x:c r="E1457" s="36" t="n">
        <x:v>32900</x:v>
      </x:c>
      <x:c r="F1457" s="36" t="n">
        <x:v>2874</x:v>
      </x:c>
      <x:c r="G1457" s="42" t="n">
        <x:v>0.6164736164736164</x:v>
      </x:c>
      <x:c r="H1457" s="36" t="n">
        <x:f>E1457*G1457</x:f>
        <x:v>20281.98198198198</x:v>
      </x:c>
      <x:c r="I1457" s="36" t="n">
        <x:f>IFERROR(H1457/A1457,0)</x:f>
        <x:v>6760.660660660659</x:v>
      </x:c>
      <x:c r="J1457" s="67" t="str">
        <x:v>Modeled from live base + Sep-2026 quality ratio</x:v>
      </x:c>
      <x:c r="K1457" s="67" t="str">
        <x:v>https://www.stonealgo.com/diamond-prices/</x:v>
      </x:c>
      <x:c r="L1457" s="67" t="str">
        <x:v>https://www.pricescope.com/blog/natural-diamond-prices-september-2026</x:v>
      </x:c>
    </x:row>
    <x:row r="1458">
      <x:c r="A1458" t="n">
        <x:v>3</x:v>
      </x:c>
      <x:c r="B1458" t="str">
        <x:v>Princess</x:v>
      </x:c>
      <x:c r="C1458" t="str">
        <x:v>J</x:v>
      </x:c>
      <x:c r="D1458" t="str">
        <x:v>FL</x:v>
      </x:c>
      <x:c r="E1458" s="36" t="n">
        <x:v>32900</x:v>
      </x:c>
      <x:c r="F1458" s="36" t="n">
        <x:v>3646</x:v>
      </x:c>
      <x:c r="G1458" s="42" t="n">
        <x:v>0.782067782067782</x:v>
      </x:c>
      <x:c r="H1458" s="36" t="n">
        <x:f>E1458*G1458</x:f>
        <x:v>25730.03003003003</x:v>
      </x:c>
      <x:c r="I1458" s="36" t="n">
        <x:f>IFERROR(H1458/A1458,0)</x:f>
        <x:v>8576.676676676676</x:v>
      </x:c>
      <x:c r="J1458" s="67" t="str">
        <x:v>Modeled from live base + Sep-2026 quality ratio</x:v>
      </x:c>
      <x:c r="K1458" s="67" t="str">
        <x:v>https://www.stonealgo.com/diamond-prices/</x:v>
      </x:c>
      <x:c r="L1458" s="67" t="str">
        <x:v>https://www.pricescope.com/blog/natural-diamond-prices-september-2026</x:v>
      </x:c>
    </x:row>
    <x:row r="1459">
      <x:c r="A1459" t="n">
        <x:v>3</x:v>
      </x:c>
      <x:c r="B1459" t="str">
        <x:v>Princess</x:v>
      </x:c>
      <x:c r="C1459" t="str">
        <x:v>J</x:v>
      </x:c>
      <x:c r="D1459" t="str">
        <x:v>IF</x:v>
      </x:c>
      <x:c r="E1459" s="36" t="n">
        <x:v>32900</x:v>
      </x:c>
      <x:c r="F1459" s="36" t="n">
        <x:v>3368</x:v>
      </x:c>
      <x:c r="G1459" s="42" t="n">
        <x:v>0.7224367224367224</x:v>
      </x:c>
      <x:c r="H1459" s="36" t="n">
        <x:f>E1459*G1459</x:f>
        <x:v>23768.168168168166</x:v>
      </x:c>
      <x:c r="I1459" s="36" t="n">
        <x:f>IFERROR(H1459/A1459,0)</x:f>
        <x:v>7922.722722722722</x:v>
      </x:c>
      <x:c r="J1459" s="67" t="str">
        <x:v>Modeled from live base + Sep-2026 quality ratio</x:v>
      </x:c>
      <x:c r="K1459" s="67" t="str">
        <x:v>https://www.stonealgo.com/diamond-prices/</x:v>
      </x:c>
      <x:c r="L1459" s="67" t="str">
        <x:v>https://www.pricescope.com/blog/natural-diamond-prices-september-2026</x:v>
      </x:c>
    </x:row>
    <x:row r="1460">
      <x:c r="A1460" t="n">
        <x:v>3</x:v>
      </x:c>
      <x:c r="B1460" t="str">
        <x:v>Princess</x:v>
      </x:c>
      <x:c r="C1460" t="str">
        <x:v>J</x:v>
      </x:c>
      <x:c r="D1460" t="str">
        <x:v>VVS1</x:v>
      </x:c>
      <x:c r="E1460" s="36" t="n">
        <x:v>32900</x:v>
      </x:c>
      <x:c r="F1460" s="36" t="n">
        <x:v>2956</x:v>
      </x:c>
      <x:c r="G1460" s="42" t="n">
        <x:v>0.6340626340626341</x:v>
      </x:c>
      <x:c r="H1460" s="36" t="n">
        <x:f>E1460*G1460</x:f>
        <x:v>20860.660660660662</x:v>
      </x:c>
      <x:c r="I1460" s="36" t="n">
        <x:f>IFERROR(H1460/A1460,0)</x:f>
        <x:v>6953.553553553554</x:v>
      </x:c>
      <x:c r="J1460" s="67" t="str">
        <x:v>Modeled from live base + Sep-2026 quality ratio</x:v>
      </x:c>
      <x:c r="K1460" s="67" t="str">
        <x:v>https://www.stonealgo.com/diamond-prices/</x:v>
      </x:c>
      <x:c r="L1460" s="67" t="str">
        <x:v>https://www.pricescope.com/blog/natural-diamond-prices-september-2026</x:v>
      </x:c>
    </x:row>
    <x:row r="1461">
      <x:c r="A1461" t="n">
        <x:v>3</x:v>
      </x:c>
      <x:c r="B1461" t="str">
        <x:v>Princess</x:v>
      </x:c>
      <x:c r="C1461" t="str">
        <x:v>J</x:v>
      </x:c>
      <x:c r="D1461" t="str">
        <x:v>VVS2</x:v>
      </x:c>
      <x:c r="E1461" s="36" t="n">
        <x:v>32900</x:v>
      </x:c>
      <x:c r="F1461" s="36" t="n">
        <x:v>2612</x:v>
      </x:c>
      <x:c r="G1461" s="42" t="n">
        <x:v>0.5602745602745602</x:v>
      </x:c>
      <x:c r="H1461" s="36" t="n">
        <x:f>E1461*G1461</x:f>
        <x:v>18433.033033033033</x:v>
      </x:c>
      <x:c r="I1461" s="36" t="n">
        <x:f>IFERROR(H1461/A1461,0)</x:f>
        <x:v>6144.344344344344</x:v>
      </x:c>
      <x:c r="J1461" s="67" t="str">
        <x:v>Modeled from live base + Sep-2026 quality ratio</x:v>
      </x:c>
      <x:c r="K1461" s="67" t="str">
        <x:v>https://www.stonealgo.com/diamond-prices/</x:v>
      </x:c>
      <x:c r="L1461" s="67" t="str">
        <x:v>https://www.pricescope.com/blog/natural-diamond-prices-september-2026</x:v>
      </x:c>
    </x:row>
    <x:row r="1462">
      <x:c r="A1462" t="n">
        <x:v>3</x:v>
      </x:c>
      <x:c r="B1462" t="str">
        <x:v>Princess</x:v>
      </x:c>
      <x:c r="C1462" t="str">
        <x:v>J</x:v>
      </x:c>
      <x:c r="D1462" t="str">
        <x:v>VS1</x:v>
      </x:c>
      <x:c r="E1462" s="36" t="n">
        <x:v>32900</x:v>
      </x:c>
      <x:c r="F1462" s="36" t="n">
        <x:v>3002</x:v>
      </x:c>
      <x:c r="G1462" s="42" t="n">
        <x:v>0.6439296439296439</x:v>
      </x:c>
      <x:c r="H1462" s="36" t="n">
        <x:f>E1462*G1462</x:f>
        <x:v>21185.285285285285</x:v>
      </x:c>
      <x:c r="I1462" s="36" t="n">
        <x:f>IFERROR(H1462/A1462,0)</x:f>
        <x:v>7061.761761761762</x:v>
      </x:c>
      <x:c r="J1462" s="67" t="str">
        <x:v>Modeled from live base + Sep-2026 quality ratio</x:v>
      </x:c>
      <x:c r="K1462" s="67" t="str">
        <x:v>https://www.stonealgo.com/diamond-prices/</x:v>
      </x:c>
      <x:c r="L1462" s="67" t="str">
        <x:v>https://www.pricescope.com/blog/natural-diamond-prices-september-2026</x:v>
      </x:c>
    </x:row>
    <x:row r="1463">
      <x:c r="A1463" t="n">
        <x:v>3</x:v>
      </x:c>
      <x:c r="B1463" t="str">
        <x:v>Princess</x:v>
      </x:c>
      <x:c r="C1463" t="str">
        <x:v>J</x:v>
      </x:c>
      <x:c r="D1463" t="str">
        <x:v>VS2</x:v>
      </x:c>
      <x:c r="E1463" s="36" t="n">
        <x:v>32900</x:v>
      </x:c>
      <x:c r="F1463" s="36" t="n">
        <x:v>2559</x:v>
      </x:c>
      <x:c r="G1463" s="42" t="n">
        <x:v>0.5489060489060489</x:v>
      </x:c>
      <x:c r="H1463" s="36" t="n">
        <x:f>E1463*G1463</x:f>
        <x:v>18059.00900900901</x:v>
      </x:c>
      <x:c r="I1463" s="36" t="n">
        <x:f>IFERROR(H1463/A1463,0)</x:f>
        <x:v>6019.66966966967</x:v>
      </x:c>
      <x:c r="J1463" s="67" t="str">
        <x:v>Modeled from live base + Sep-2026 quality ratio</x:v>
      </x:c>
      <x:c r="K1463" s="67" t="str">
        <x:v>https://www.stonealgo.com/diamond-prices/</x:v>
      </x:c>
      <x:c r="L1463" s="67" t="str">
        <x:v>https://www.pricescope.com/blog/natural-diamond-prices-september-2026</x:v>
      </x:c>
    </x:row>
    <x:row r="1464">
      <x:c r="A1464" t="n">
        <x:v>3</x:v>
      </x:c>
      <x:c r="B1464" t="str">
        <x:v>Princess</x:v>
      </x:c>
      <x:c r="C1464" t="str">
        <x:v>J</x:v>
      </x:c>
      <x:c r="D1464" t="str">
        <x:v>SI1</x:v>
      </x:c>
      <x:c r="E1464" s="36" t="n">
        <x:v>32900</x:v>
      </x:c>
      <x:c r="F1464" s="36" t="n">
        <x:v>2195</x:v>
      </x:c>
      <x:c r="G1464" s="42" t="n">
        <x:v>0.47082797082797084</x:v>
      </x:c>
      <x:c r="H1464" s="36" t="n">
        <x:f>E1464*G1464</x:f>
        <x:v>15490.24024024024</x:v>
      </x:c>
      <x:c r="I1464" s="36" t="n">
        <x:f>IFERROR(H1464/A1464,0)</x:f>
        <x:v>5163.413413413414</x:v>
      </x:c>
      <x:c r="J1464" s="67" t="str">
        <x:v>Modeled from live base + Sep-2026 quality ratio</x:v>
      </x:c>
      <x:c r="K1464" s="67" t="str">
        <x:v>https://www.stonealgo.com/diamond-prices/</x:v>
      </x:c>
      <x:c r="L1464" s="67" t="str">
        <x:v>https://www.pricescope.com/blog/natural-diamond-prices-september-2026</x:v>
      </x:c>
    </x:row>
    <x:row r="1465">
      <x:c r="A1465" t="n">
        <x:v>3</x:v>
      </x:c>
      <x:c r="B1465" t="str">
        <x:v>Princess</x:v>
      </x:c>
      <x:c r="C1465" t="str">
        <x:v>J</x:v>
      </x:c>
      <x:c r="D1465" t="str">
        <x:v>SI2</x:v>
      </x:c>
      <x:c r="E1465" s="36" t="n">
        <x:v>32900</x:v>
      </x:c>
      <x:c r="F1465" s="36" t="n">
        <x:v>2079</x:v>
      </x:c>
      <x:c r="G1465" s="42" t="n">
        <x:v>0.44594594594594594</x:v>
      </x:c>
      <x:c r="H1465" s="36" t="n">
        <x:f>E1465*G1465</x:f>
        <x:v>14671.621621621622</x:v>
      </x:c>
      <x:c r="I1465" s="36" t="n">
        <x:f>IFERROR(H1465/A1465,0)</x:f>
        <x:v>4890.540540540541</x:v>
      </x:c>
      <x:c r="J1465" s="67" t="str">
        <x:v>Modeled from live base + Sep-2026 quality ratio</x:v>
      </x:c>
      <x:c r="K1465" s="67" t="str">
        <x:v>https://www.stonealgo.com/diamond-prices/</x:v>
      </x:c>
      <x:c r="L1465" s="67" t="str">
        <x:v>https://www.pricescope.com/blog/natural-diamond-prices-september-2026</x:v>
      </x:c>
    </x:row>
    <x:row r="1466">
      <x:c r="A1466" t="n">
        <x:v>3</x:v>
      </x:c>
      <x:c r="B1466" t="str">
        <x:v>Princess</x:v>
      </x:c>
      <x:c r="C1466" t="str">
        <x:v>K</x:v>
      </x:c>
      <x:c r="D1466" t="str">
        <x:v>FL</x:v>
      </x:c>
      <x:c r="E1466" s="36" t="n">
        <x:v>32900</x:v>
      </x:c>
      <x:c r="F1466" s="36" t="n">
        <x:v>2858</x:v>
      </x:c>
      <x:c r="G1466" s="42" t="n">
        <x:v>0.6130416130416131</x:v>
      </x:c>
      <x:c r="H1466" s="36" t="n">
        <x:f>E1466*G1466</x:f>
        <x:v>20169.06906906907</x:v>
      </x:c>
      <x:c r="I1466" s="36" t="n">
        <x:f>IFERROR(H1466/A1466,0)</x:f>
        <x:v>6723.023023023024</x:v>
      </x:c>
      <x:c r="J1466" s="67" t="str">
        <x:v>Modeled from live base + Sep-2026 quality ratio; K/FL quality cell modeled</x:v>
      </x:c>
      <x:c r="K1466" s="67" t="str">
        <x:v>https://www.stonealgo.com/diamond-prices/</x:v>
      </x:c>
      <x:c r="L1466" s="67" t="str">
        <x:v>https://www.pricescope.com/blog/natural-diamond-prices-september-2026</x:v>
      </x:c>
    </x:row>
    <x:row r="1467">
      <x:c r="A1467" t="n">
        <x:v>3</x:v>
      </x:c>
      <x:c r="B1467" t="str">
        <x:v>Princess</x:v>
      </x:c>
      <x:c r="C1467" t="str">
        <x:v>K</x:v>
      </x:c>
      <x:c r="D1467" t="str">
        <x:v>IF</x:v>
      </x:c>
      <x:c r="E1467" s="36" t="n">
        <x:v>32900</x:v>
      </x:c>
      <x:c r="F1467" s="36" t="n">
        <x:v>2743</x:v>
      </x:c>
      <x:c r="G1467" s="42" t="n">
        <x:v>0.5883740883740883</x:v>
      </x:c>
      <x:c r="H1467" s="36" t="n">
        <x:f>E1467*G1467</x:f>
        <x:v>19357.507507507507</x:v>
      </x:c>
      <x:c r="I1467" s="36" t="n">
        <x:f>IFERROR(H1467/A1467,0)</x:f>
        <x:v>6452.5025025025025</x:v>
      </x:c>
      <x:c r="J1467" s="67" t="str">
        <x:v>Modeled from live base + Sep-2026 quality ratio</x:v>
      </x:c>
      <x:c r="K1467" s="67" t="str">
        <x:v>https://www.stonealgo.com/diamond-prices/</x:v>
      </x:c>
      <x:c r="L1467" s="67" t="str">
        <x:v>https://www.pricescope.com/blog/natural-diamond-prices-september-2026</x:v>
      </x:c>
    </x:row>
    <x:row r="1468">
      <x:c r="A1468" t="n">
        <x:v>3</x:v>
      </x:c>
      <x:c r="B1468" t="str">
        <x:v>Princess</x:v>
      </x:c>
      <x:c r="C1468" t="str">
        <x:v>K</x:v>
      </x:c>
      <x:c r="D1468" t="str">
        <x:v>VVS1</x:v>
      </x:c>
      <x:c r="E1468" s="36" t="n">
        <x:v>32900</x:v>
      </x:c>
      <x:c r="F1468" s="36" t="n">
        <x:v>2529</x:v>
      </x:c>
      <x:c r="G1468" s="42" t="n">
        <x:v>0.5424710424710425</x:v>
      </x:c>
      <x:c r="H1468" s="36" t="n">
        <x:f>E1468*G1468</x:f>
        <x:v>17847.297297297297</x:v>
      </x:c>
      <x:c r="I1468" s="36" t="n">
        <x:f>IFERROR(H1468/A1468,0)</x:f>
        <x:v>5949.099099099099</x:v>
      </x:c>
      <x:c r="J1468" s="67" t="str">
        <x:v>Modeled from live base + Sep-2026 quality ratio</x:v>
      </x:c>
      <x:c r="K1468" s="67" t="str">
        <x:v>https://www.stonealgo.com/diamond-prices/</x:v>
      </x:c>
      <x:c r="L1468" s="67" t="str">
        <x:v>https://www.pricescope.com/blog/natural-diamond-prices-september-2026</x:v>
      </x:c>
    </x:row>
    <x:row r="1469">
      <x:c r="A1469" t="n">
        <x:v>3</x:v>
      </x:c>
      <x:c r="B1469" t="str">
        <x:v>Princess</x:v>
      </x:c>
      <x:c r="C1469" t="str">
        <x:v>K</x:v>
      </x:c>
      <x:c r="D1469" t="str">
        <x:v>VVS2</x:v>
      </x:c>
      <x:c r="E1469" s="36" t="n">
        <x:v>32900</x:v>
      </x:c>
      <x:c r="F1469" s="36" t="n">
        <x:v>2374</x:v>
      </x:c>
      <x:c r="G1469" s="42" t="n">
        <x:v>0.5092235092235092</x:v>
      </x:c>
      <x:c r="H1469" s="36" t="n">
        <x:f>E1469*G1469</x:f>
        <x:v>16753.453453453454</x:v>
      </x:c>
      <x:c r="I1469" s="36" t="n">
        <x:f>IFERROR(H1469/A1469,0)</x:f>
        <x:v>5584.484484484485</x:v>
      </x:c>
      <x:c r="J1469" s="67" t="str">
        <x:v>Modeled from live base + Sep-2026 quality ratio</x:v>
      </x:c>
      <x:c r="K1469" s="67" t="str">
        <x:v>https://www.stonealgo.com/diamond-prices/</x:v>
      </x:c>
      <x:c r="L1469" s="67" t="str">
        <x:v>https://www.pricescope.com/blog/natural-diamond-prices-september-2026</x:v>
      </x:c>
    </x:row>
    <x:row r="1470">
      <x:c r="A1470" t="n">
        <x:v>3</x:v>
      </x:c>
      <x:c r="B1470" t="str">
        <x:v>Princess</x:v>
      </x:c>
      <x:c r="C1470" t="str">
        <x:v>K</x:v>
      </x:c>
      <x:c r="D1470" t="str">
        <x:v>VS1</x:v>
      </x:c>
      <x:c r="E1470" s="36" t="n">
        <x:v>32900</x:v>
      </x:c>
      <x:c r="F1470" s="36" t="n">
        <x:v>2223</x:v>
      </x:c>
      <x:c r="G1470" s="42" t="n">
        <x:v>0.4768339768339768</x:v>
      </x:c>
      <x:c r="H1470" s="36" t="n">
        <x:f>E1470*G1470</x:f>
        <x:v>15687.837837837838</x:v>
      </x:c>
      <x:c r="I1470" s="36" t="n">
        <x:f>IFERROR(H1470/A1470,0)</x:f>
        <x:v>5229.27927927928</x:v>
      </x:c>
      <x:c r="J1470" s="67" t="str">
        <x:v>Modeled from live base + Sep-2026 quality ratio</x:v>
      </x:c>
      <x:c r="K1470" s="67" t="str">
        <x:v>https://www.stonealgo.com/diamond-prices/</x:v>
      </x:c>
      <x:c r="L1470" s="67" t="str">
        <x:v>https://www.pricescope.com/blog/natural-diamond-prices-september-2026</x:v>
      </x:c>
    </x:row>
    <x:row r="1471">
      <x:c r="A1471" t="n">
        <x:v>3</x:v>
      </x:c>
      <x:c r="B1471" t="str">
        <x:v>Princess</x:v>
      </x:c>
      <x:c r="C1471" t="str">
        <x:v>K</x:v>
      </x:c>
      <x:c r="D1471" t="str">
        <x:v>VS2</x:v>
      </x:c>
      <x:c r="E1471" s="36" t="n">
        <x:v>32900</x:v>
      </x:c>
      <x:c r="F1471" s="36" t="n">
        <x:v>2098</x:v>
      </x:c>
      <x:c r="G1471" s="42" t="n">
        <x:v>0.45002145002145</x:v>
      </x:c>
      <x:c r="H1471" s="36" t="n">
        <x:f>E1471*G1471</x:f>
        <x:v>14805.705705705705</x:v>
      </x:c>
      <x:c r="I1471" s="36" t="n">
        <x:f>IFERROR(H1471/A1471,0)</x:f>
        <x:v>4935.2352352352345</x:v>
      </x:c>
      <x:c r="J1471" s="67" t="str">
        <x:v>Modeled from live base + Sep-2026 quality ratio</x:v>
      </x:c>
      <x:c r="K1471" s="67" t="str">
        <x:v>https://www.stonealgo.com/diamond-prices/</x:v>
      </x:c>
      <x:c r="L1471" s="67" t="str">
        <x:v>https://www.pricescope.com/blog/natural-diamond-prices-september-2026</x:v>
      </x:c>
    </x:row>
    <x:row r="1472">
      <x:c r="A1472" t="n">
        <x:v>3</x:v>
      </x:c>
      <x:c r="B1472" t="str">
        <x:v>Princess</x:v>
      </x:c>
      <x:c r="C1472" t="str">
        <x:v>K</x:v>
      </x:c>
      <x:c r="D1472" t="str">
        <x:v>SI1</x:v>
      </x:c>
      <x:c r="E1472" s="36" t="n">
        <x:v>32900</x:v>
      </x:c>
      <x:c r="F1472" s="36" t="n">
        <x:v>1922</x:v>
      </x:c>
      <x:c r="G1472" s="42" t="n">
        <x:v>0.41226941226941227</x:v>
      </x:c>
      <x:c r="H1472" s="36" t="n">
        <x:f>E1472*G1472</x:f>
        <x:v>13563.663663663663</x:v>
      </x:c>
      <x:c r="I1472" s="36" t="n">
        <x:f>IFERROR(H1472/A1472,0)</x:f>
        <x:v>4521.221221221221</x:v>
      </x:c>
      <x:c r="J1472" s="67" t="str">
        <x:v>Modeled from live base + Sep-2026 quality ratio</x:v>
      </x:c>
      <x:c r="K1472" s="67" t="str">
        <x:v>https://www.stonealgo.com/diamond-prices/</x:v>
      </x:c>
      <x:c r="L1472" s="67" t="str">
        <x:v>https://www.pricescope.com/blog/natural-diamond-prices-september-2026</x:v>
      </x:c>
    </x:row>
    <x:row r="1473">
      <x:c r="A1473" t="n">
        <x:v>3</x:v>
      </x:c>
      <x:c r="B1473" t="str">
        <x:v>Princess</x:v>
      </x:c>
      <x:c r="C1473" t="str">
        <x:v>K</x:v>
      </x:c>
      <x:c r="D1473" t="str">
        <x:v>SI2</x:v>
      </x:c>
      <x:c r="E1473" s="36" t="n">
        <x:v>32900</x:v>
      </x:c>
      <x:c r="F1473" s="36" t="n">
        <x:v>1764</x:v>
      </x:c>
      <x:c r="G1473" s="42" t="n">
        <x:v>0.3783783783783784</x:v>
      </x:c>
      <x:c r="H1473" s="36" t="n">
        <x:f>E1473*G1473</x:f>
        <x:v>12448.64864864865</x:v>
      </x:c>
      <x:c r="I1473" s="36" t="n">
        <x:f>IFERROR(H1473/A1473,0)</x:f>
        <x:v>4149.54954954955</x:v>
      </x:c>
      <x:c r="J1473" s="67" t="str">
        <x:v>Modeled from live base + Sep-2026 quality ratio</x:v>
      </x:c>
      <x:c r="K1473" s="67" t="str">
        <x:v>https://www.stonealgo.com/diamond-prices/</x:v>
      </x:c>
      <x:c r="L1473" s="67" t="str">
        <x:v>https://www.pricescope.com/blog/natural-diamond-prices-september-2026</x:v>
      </x:c>
    </x:row>
    <x:row r="1474">
      <x:c r="A1474" t="n">
        <x:v>3</x:v>
      </x:c>
      <x:c r="B1474" t="str">
        <x:v>Emerald</x:v>
      </x:c>
      <x:c r="C1474" t="str">
        <x:v>D</x:v>
      </x:c>
      <x:c r="D1474" t="str">
        <x:v>FL</x:v>
      </x:c>
      <x:c r="E1474" s="36" t="n">
        <x:v>38100</x:v>
      </x:c>
      <x:c r="F1474" s="36" t="n">
        <x:v>12665</x:v>
      </x:c>
      <x:c r="G1474" s="42" t="n">
        <x:v>2.7166452166452166</x:v>
      </x:c>
      <x:c r="H1474" s="36" t="n">
        <x:f>E1474*G1474</x:f>
        <x:v>103504.18275418275</x:v>
      </x:c>
      <x:c r="I1474" s="36" t="n">
        <x:f>IFERROR(H1474/A1474,0)</x:f>
        <x:v>34501.39425139425</x:v>
      </x:c>
      <x:c r="J1474" s="67" t="str">
        <x:v>Modeled from live base + Sep-2026 quality ratio</x:v>
      </x:c>
      <x:c r="K1474" s="67" t="str">
        <x:v>https://www.stonealgo.com/diamond-prices/</x:v>
      </x:c>
      <x:c r="L1474" s="67" t="str">
        <x:v>https://www.pricescope.com/blog/natural-diamond-prices-september-2026</x:v>
      </x:c>
    </x:row>
    <x:row r="1475">
      <x:c r="A1475" t="n">
        <x:v>3</x:v>
      </x:c>
      <x:c r="B1475" t="str">
        <x:v>Emerald</x:v>
      </x:c>
      <x:c r="C1475" t="str">
        <x:v>D</x:v>
      </x:c>
      <x:c r="D1475" t="str">
        <x:v>IF</x:v>
      </x:c>
      <x:c r="E1475" s="36" t="n">
        <x:v>38100</x:v>
      </x:c>
      <x:c r="F1475" s="36" t="n">
        <x:v>13240</x:v>
      </x:c>
      <x:c r="G1475" s="42" t="n">
        <x:v>2.83998283998284</x:v>
      </x:c>
      <x:c r="H1475" s="36" t="n">
        <x:f>E1475*G1475</x:f>
        <x:v>108203.34620334621</x:v>
      </x:c>
      <x:c r="I1475" s="36" t="n">
        <x:f>IFERROR(H1475/A1475,0)</x:f>
        <x:v>36067.78206778207</x:v>
      </x:c>
      <x:c r="J1475" s="67" t="str">
        <x:v>Modeled from live base + Sep-2026 quality ratio</x:v>
      </x:c>
      <x:c r="K1475" s="67" t="str">
        <x:v>https://www.stonealgo.com/diamond-prices/</x:v>
      </x:c>
      <x:c r="L1475" s="67" t="str">
        <x:v>https://www.pricescope.com/blog/natural-diamond-prices-september-2026</x:v>
      </x:c>
    </x:row>
    <x:row r="1476">
      <x:c r="A1476" t="n">
        <x:v>3</x:v>
      </x:c>
      <x:c r="B1476" t="str">
        <x:v>Emerald</x:v>
      </x:c>
      <x:c r="C1476" t="str">
        <x:v>D</x:v>
      </x:c>
      <x:c r="D1476" t="str">
        <x:v>VVS1</x:v>
      </x:c>
      <x:c r="E1476" s="36" t="n">
        <x:v>38100</x:v>
      </x:c>
      <x:c r="F1476" s="36" t="n">
        <x:v>9555</x:v>
      </x:c>
      <x:c r="G1476" s="42" t="n">
        <x:v>2.0495495495495497</x:v>
      </x:c>
      <x:c r="H1476" s="36" t="n">
        <x:f>E1476*G1476</x:f>
        <x:v>78087.83783783784</x:v>
      </x:c>
      <x:c r="I1476" s="36" t="n">
        <x:f>IFERROR(H1476/A1476,0)</x:f>
        <x:v>26029.27927927928</x:v>
      </x:c>
      <x:c r="J1476" s="67" t="str">
        <x:v>Modeled from live base + Sep-2026 quality ratio</x:v>
      </x:c>
      <x:c r="K1476" s="67" t="str">
        <x:v>https://www.stonealgo.com/diamond-prices/</x:v>
      </x:c>
      <x:c r="L1476" s="67" t="str">
        <x:v>https://www.pricescope.com/blog/natural-diamond-prices-september-2026</x:v>
      </x:c>
    </x:row>
    <x:row r="1477">
      <x:c r="A1477" t="n">
        <x:v>3</x:v>
      </x:c>
      <x:c r="B1477" t="str">
        <x:v>Emerald</x:v>
      </x:c>
      <x:c r="C1477" t="str">
        <x:v>D</x:v>
      </x:c>
      <x:c r="D1477" t="str">
        <x:v>VVS2</x:v>
      </x:c>
      <x:c r="E1477" s="36" t="n">
        <x:v>38100</x:v>
      </x:c>
      <x:c r="F1477" s="36" t="n">
        <x:v>6660</x:v>
      </x:c>
      <x:c r="G1477" s="42" t="n">
        <x:v>1.4285714285714286</x:v>
      </x:c>
      <x:c r="H1477" s="36" t="n">
        <x:f>E1477*G1477</x:f>
        <x:v>54428.57142857143</x:v>
      </x:c>
      <x:c r="I1477" s="36" t="n">
        <x:f>IFERROR(H1477/A1477,0)</x:f>
        <x:v>18142.85714285714</x:v>
      </x:c>
      <x:c r="J1477" s="67" t="str">
        <x:v>Modeled from live base + Sep-2026 quality ratio</x:v>
      </x:c>
      <x:c r="K1477" s="67" t="str">
        <x:v>https://www.stonealgo.com/diamond-prices/</x:v>
      </x:c>
      <x:c r="L1477" s="67" t="str">
        <x:v>https://www.pricescope.com/blog/natural-diamond-prices-september-2026</x:v>
      </x:c>
    </x:row>
    <x:row r="1478">
      <x:c r="A1478" t="n">
        <x:v>3</x:v>
      </x:c>
      <x:c r="B1478" t="str">
        <x:v>Emerald</x:v>
      </x:c>
      <x:c r="C1478" t="str">
        <x:v>D</x:v>
      </x:c>
      <x:c r="D1478" t="str">
        <x:v>VS1</x:v>
      </x:c>
      <x:c r="E1478" s="36" t="n">
        <x:v>38100</x:v>
      </x:c>
      <x:c r="F1478" s="36" t="n">
        <x:v>6247</x:v>
      </x:c>
      <x:c r="G1478" s="42" t="n">
        <x:v>1.33998283998284</x:v>
      </x:c>
      <x:c r="H1478" s="36" t="n">
        <x:f>E1478*G1478</x:f>
        <x:v>51053.346203346206</x:v>
      </x:c>
      <x:c r="I1478" s="36" t="n">
        <x:f>IFERROR(H1478/A1478,0)</x:f>
        <x:v>17017.782067782067</x:v>
      </x:c>
      <x:c r="J1478" s="67" t="str">
        <x:v>Modeled from live base + Sep-2026 quality ratio</x:v>
      </x:c>
      <x:c r="K1478" s="67" t="str">
        <x:v>https://www.stonealgo.com/diamond-prices/</x:v>
      </x:c>
      <x:c r="L1478" s="67" t="str">
        <x:v>https://www.pricescope.com/blog/natural-diamond-prices-september-2026</x:v>
      </x:c>
    </x:row>
    <x:row r="1479">
      <x:c r="A1479" t="n">
        <x:v>3</x:v>
      </x:c>
      <x:c r="B1479" t="str">
        <x:v>Emerald</x:v>
      </x:c>
      <x:c r="C1479" t="str">
        <x:v>D</x:v>
      </x:c>
      <x:c r="D1479" t="str">
        <x:v>VS2</x:v>
      </x:c>
      <x:c r="E1479" s="36" t="n">
        <x:v>38100</x:v>
      </x:c>
      <x:c r="F1479" s="36" t="n">
        <x:v>5841</x:v>
      </x:c>
      <x:c r="G1479" s="42" t="n">
        <x:v>1.252895752895753</x:v>
      </x:c>
      <x:c r="H1479" s="36" t="n">
        <x:f>E1479*G1479</x:f>
        <x:v>47735.32818532819</x:v>
      </x:c>
      <x:c r="I1479" s="36" t="n">
        <x:f>IFERROR(H1479/A1479,0)</x:f>
        <x:v>15911.776061776063</x:v>
      </x:c>
      <x:c r="J1479" s="67" t="str">
        <x:v>Modeled from live base + Sep-2026 quality ratio</x:v>
      </x:c>
      <x:c r="K1479" s="67" t="str">
        <x:v>https://www.stonealgo.com/diamond-prices/</x:v>
      </x:c>
      <x:c r="L1479" s="67" t="str">
        <x:v>https://www.pricescope.com/blog/natural-diamond-prices-september-2026</x:v>
      </x:c>
    </x:row>
    <x:row r="1480">
      <x:c r="A1480" t="n">
        <x:v>3</x:v>
      </x:c>
      <x:c r="B1480" t="str">
        <x:v>Emerald</x:v>
      </x:c>
      <x:c r="C1480" t="str">
        <x:v>D</x:v>
      </x:c>
      <x:c r="D1480" t="str">
        <x:v>SI1</x:v>
      </x:c>
      <x:c r="E1480" s="36" t="n">
        <x:v>38100</x:v>
      </x:c>
      <x:c r="F1480" s="36" t="n">
        <x:v>3762</x:v>
      </x:c>
      <x:c r="G1480" s="42" t="n">
        <x:v>0.806949806949807</x:v>
      </x:c>
      <x:c r="H1480" s="36" t="n">
        <x:f>E1480*G1480</x:f>
        <x:v>30744.787644787648</x:v>
      </x:c>
      <x:c r="I1480" s="36" t="n">
        <x:f>IFERROR(H1480/A1480,0)</x:f>
        <x:v>10248.26254826255</x:v>
      </x:c>
      <x:c r="J1480" s="67" t="str">
        <x:v>Modeled from live base + Sep-2026 quality ratio</x:v>
      </x:c>
      <x:c r="K1480" s="67" t="str">
        <x:v>https://www.stonealgo.com/diamond-prices/</x:v>
      </x:c>
      <x:c r="L1480" s="67" t="str">
        <x:v>https://www.pricescope.com/blog/natural-diamond-prices-september-2026</x:v>
      </x:c>
    </x:row>
    <x:row r="1481">
      <x:c r="A1481" t="n">
        <x:v>3</x:v>
      </x:c>
      <x:c r="B1481" t="str">
        <x:v>Emerald</x:v>
      </x:c>
      <x:c r="C1481" t="str">
        <x:v>D</x:v>
      </x:c>
      <x:c r="D1481" t="str">
        <x:v>SI2</x:v>
      </x:c>
      <x:c r="E1481" s="36" t="n">
        <x:v>38100</x:v>
      </x:c>
      <x:c r="F1481" s="36" t="n">
        <x:v>3026</x:v>
      </x:c>
      <x:c r="G1481" s="42" t="n">
        <x:v>0.6490776490776491</x:v>
      </x:c>
      <x:c r="H1481" s="36" t="n">
        <x:f>E1481*G1481</x:f>
        <x:v>24729.858429858432</x:v>
      </x:c>
      <x:c r="I1481" s="36" t="n">
        <x:f>IFERROR(H1481/A1481,0)</x:f>
        <x:v>8243.286143286145</x:v>
      </x:c>
      <x:c r="J1481" s="67" t="str">
        <x:v>Modeled from live base + Sep-2026 quality ratio</x:v>
      </x:c>
      <x:c r="K1481" s="67" t="str">
        <x:v>https://www.stonealgo.com/diamond-prices/</x:v>
      </x:c>
      <x:c r="L1481" s="67" t="str">
        <x:v>https://www.pricescope.com/blog/natural-diamond-prices-september-2026</x:v>
      </x:c>
    </x:row>
    <x:row r="1482">
      <x:c r="A1482" t="n">
        <x:v>3</x:v>
      </x:c>
      <x:c r="B1482" t="str">
        <x:v>Emerald</x:v>
      </x:c>
      <x:c r="C1482" t="str">
        <x:v>E</x:v>
      </x:c>
      <x:c r="D1482" t="str">
        <x:v>FL</x:v>
      </x:c>
      <x:c r="E1482" s="36" t="n">
        <x:v>38100</x:v>
      </x:c>
      <x:c r="F1482" s="36" t="n">
        <x:v>10072</x:v>
      </x:c>
      <x:c r="G1482" s="42" t="n">
        <x:v>2.1604461604461602</x:v>
      </x:c>
      <x:c r="H1482" s="36" t="n">
        <x:f>E1482*G1482</x:f>
        <x:v>82312.9987129987</x:v>
      </x:c>
      <x:c r="I1482" s="36" t="n">
        <x:f>IFERROR(H1482/A1482,0)</x:f>
        <x:v>27437.66623766623</x:v>
      </x:c>
      <x:c r="J1482" s="67" t="str">
        <x:v>Modeled from live base + Sep-2026 quality ratio</x:v>
      </x:c>
      <x:c r="K1482" s="67" t="str">
        <x:v>https://www.stonealgo.com/diamond-prices/</x:v>
      </x:c>
      <x:c r="L1482" s="67" t="str">
        <x:v>https://www.pricescope.com/blog/natural-diamond-prices-september-2026</x:v>
      </x:c>
    </x:row>
    <x:row r="1483">
      <x:c r="A1483" t="n">
        <x:v>3</x:v>
      </x:c>
      <x:c r="B1483" t="str">
        <x:v>Emerald</x:v>
      </x:c>
      <x:c r="C1483" t="str">
        <x:v>E</x:v>
      </x:c>
      <x:c r="D1483" t="str">
        <x:v>IF</x:v>
      </x:c>
      <x:c r="E1483" s="36" t="n">
        <x:v>38100</x:v>
      </x:c>
      <x:c r="F1483" s="36" t="n">
        <x:v>8672</x:v>
      </x:c>
      <x:c r="G1483" s="42" t="n">
        <x:v>1.8601458601458603</x:v>
      </x:c>
      <x:c r="H1483" s="36" t="n">
        <x:f>E1483*G1483</x:f>
        <x:v>70871.55727155728</x:v>
      </x:c>
      <x:c r="I1483" s="36" t="n">
        <x:f>IFERROR(H1483/A1483,0)</x:f>
        <x:v>23623.852423852426</x:v>
      </x:c>
      <x:c r="J1483" s="67" t="str">
        <x:v>Modeled from live base + Sep-2026 quality ratio</x:v>
      </x:c>
      <x:c r="K1483" s="67" t="str">
        <x:v>https://www.stonealgo.com/diamond-prices/</x:v>
      </x:c>
      <x:c r="L1483" s="67" t="str">
        <x:v>https://www.pricescope.com/blog/natural-diamond-prices-september-2026</x:v>
      </x:c>
    </x:row>
    <x:row r="1484">
      <x:c r="A1484" t="n">
        <x:v>3</x:v>
      </x:c>
      <x:c r="B1484" t="str">
        <x:v>Emerald</x:v>
      </x:c>
      <x:c r="C1484" t="str">
        <x:v>E</x:v>
      </x:c>
      <x:c r="D1484" t="str">
        <x:v>VVS1</x:v>
      </x:c>
      <x:c r="E1484" s="36" t="n">
        <x:v>38100</x:v>
      </x:c>
      <x:c r="F1484" s="36" t="n">
        <x:v>7842</x:v>
      </x:c>
      <x:c r="G1484" s="42" t="n">
        <x:v>1.6821106821106822</x:v>
      </x:c>
      <x:c r="H1484" s="36" t="n">
        <x:f>E1484*G1484</x:f>
        <x:v>64088.41698841699</x:v>
      </x:c>
      <x:c r="I1484" s="36" t="n">
        <x:f>IFERROR(H1484/A1484,0)</x:f>
        <x:v>21362.805662805662</x:v>
      </x:c>
      <x:c r="J1484" s="67" t="str">
        <x:v>Modeled from live base + Sep-2026 quality ratio</x:v>
      </x:c>
      <x:c r="K1484" s="67" t="str">
        <x:v>https://www.stonealgo.com/diamond-prices/</x:v>
      </x:c>
      <x:c r="L1484" s="67" t="str">
        <x:v>https://www.pricescope.com/blog/natural-diamond-prices-september-2026</x:v>
      </x:c>
    </x:row>
    <x:row r="1485">
      <x:c r="A1485" t="n">
        <x:v>3</x:v>
      </x:c>
      <x:c r="B1485" t="str">
        <x:v>Emerald</x:v>
      </x:c>
      <x:c r="C1485" t="str">
        <x:v>E</x:v>
      </x:c>
      <x:c r="D1485" t="str">
        <x:v>VVS2</x:v>
      </x:c>
      <x:c r="E1485" s="36" t="n">
        <x:v>38100</x:v>
      </x:c>
      <x:c r="F1485" s="36" t="n">
        <x:v>6880</x:v>
      </x:c>
      <x:c r="G1485" s="42" t="n">
        <x:v>1.4757614757614759</x:v>
      </x:c>
      <x:c r="H1485" s="36" t="n">
        <x:f>E1485*G1485</x:f>
        <x:v>56226.51222651223</x:v>
      </x:c>
      <x:c r="I1485" s="36" t="n">
        <x:f>IFERROR(H1485/A1485,0)</x:f>
        <x:v>18742.170742170743</x:v>
      </x:c>
      <x:c r="J1485" s="67" t="str">
        <x:v>Modeled from live base + Sep-2026 quality ratio</x:v>
      </x:c>
      <x:c r="K1485" s="67" t="str">
        <x:v>https://www.stonealgo.com/diamond-prices/</x:v>
      </x:c>
      <x:c r="L1485" s="67" t="str">
        <x:v>https://www.pricescope.com/blog/natural-diamond-prices-september-2026</x:v>
      </x:c>
    </x:row>
    <x:row r="1486">
      <x:c r="A1486" t="n">
        <x:v>3</x:v>
      </x:c>
      <x:c r="B1486" t="str">
        <x:v>Emerald</x:v>
      </x:c>
      <x:c r="C1486" t="str">
        <x:v>E</x:v>
      </x:c>
      <x:c r="D1486" t="str">
        <x:v>VS1</x:v>
      </x:c>
      <x:c r="E1486" s="36" t="n">
        <x:v>38100</x:v>
      </x:c>
      <x:c r="F1486" s="36" t="n">
        <x:v>6307</x:v>
      </x:c>
      <x:c r="G1486" s="42" t="n">
        <x:v>1.352852852852853</x:v>
      </x:c>
      <x:c r="H1486" s="36" t="n">
        <x:f>E1486*G1486</x:f>
        <x:v>51543.6936936937</x:v>
      </x:c>
      <x:c r="I1486" s="36" t="n">
        <x:f>IFERROR(H1486/A1486,0)</x:f>
        <x:v>17181.23123123123</x:v>
      </x:c>
      <x:c r="J1486" s="67" t="str">
        <x:v>Modeled from live base + Sep-2026 quality ratio</x:v>
      </x:c>
      <x:c r="K1486" s="67" t="str">
        <x:v>https://www.stonealgo.com/diamond-prices/</x:v>
      </x:c>
      <x:c r="L1486" s="67" t="str">
        <x:v>https://www.pricescope.com/blog/natural-diamond-prices-september-2026</x:v>
      </x:c>
    </x:row>
    <x:row r="1487">
      <x:c r="A1487" t="n">
        <x:v>3</x:v>
      </x:c>
      <x:c r="B1487" t="str">
        <x:v>Emerald</x:v>
      </x:c>
      <x:c r="C1487" t="str">
        <x:v>E</x:v>
      </x:c>
      <x:c r="D1487" t="str">
        <x:v>VS2</x:v>
      </x:c>
      <x:c r="E1487" s="36" t="n">
        <x:v>38100</x:v>
      </x:c>
      <x:c r="F1487" s="36" t="n">
        <x:v>5249</x:v>
      </x:c>
      <x:c r="G1487" s="42" t="n">
        <x:v>1.125911625911626</x:v>
      </x:c>
      <x:c r="H1487" s="36" t="n">
        <x:f>E1487*G1487</x:f>
        <x:v>42897.23294723295</x:v>
      </x:c>
      <x:c r="I1487" s="36" t="n">
        <x:f>IFERROR(H1487/A1487,0)</x:f>
        <x:v>14299.07764907765</x:v>
      </x:c>
      <x:c r="J1487" s="67" t="str">
        <x:v>Modeled from live base + Sep-2026 quality ratio</x:v>
      </x:c>
      <x:c r="K1487" s="67" t="str">
        <x:v>https://www.stonealgo.com/diamond-prices/</x:v>
      </x:c>
      <x:c r="L1487" s="67" t="str">
        <x:v>https://www.pricescope.com/blog/natural-diamond-prices-september-2026</x:v>
      </x:c>
    </x:row>
    <x:row r="1488">
      <x:c r="A1488" t="n">
        <x:v>3</x:v>
      </x:c>
      <x:c r="B1488" t="str">
        <x:v>Emerald</x:v>
      </x:c>
      <x:c r="C1488" t="str">
        <x:v>E</x:v>
      </x:c>
      <x:c r="D1488" t="str">
        <x:v>SI1</x:v>
      </x:c>
      <x:c r="E1488" s="36" t="n">
        <x:v>38100</x:v>
      </x:c>
      <x:c r="F1488" s="36" t="n">
        <x:v>3551</x:v>
      </x:c>
      <x:c r="G1488" s="42" t="n">
        <x:v>0.7616902616902617</x:v>
      </x:c>
      <x:c r="H1488" s="36" t="n">
        <x:f>E1488*G1488</x:f>
        <x:v>29020.39897039897</x:v>
      </x:c>
      <x:c r="I1488" s="36" t="n">
        <x:f>IFERROR(H1488/A1488,0)</x:f>
        <x:v>9673.466323466322</x:v>
      </x:c>
      <x:c r="J1488" s="67" t="str">
        <x:v>Modeled from live base + Sep-2026 quality ratio</x:v>
      </x:c>
      <x:c r="K1488" s="67" t="str">
        <x:v>https://www.stonealgo.com/diamond-prices/</x:v>
      </x:c>
      <x:c r="L1488" s="67" t="str">
        <x:v>https://www.pricescope.com/blog/natural-diamond-prices-september-2026</x:v>
      </x:c>
    </x:row>
    <x:row r="1489">
      <x:c r="A1489" t="n">
        <x:v>3</x:v>
      </x:c>
      <x:c r="B1489" t="str">
        <x:v>Emerald</x:v>
      </x:c>
      <x:c r="C1489" t="str">
        <x:v>E</x:v>
      </x:c>
      <x:c r="D1489" t="str">
        <x:v>SI2</x:v>
      </x:c>
      <x:c r="E1489" s="36" t="n">
        <x:v>38100</x:v>
      </x:c>
      <x:c r="F1489" s="36" t="n">
        <x:v>2993</x:v>
      </x:c>
      <x:c r="G1489" s="42" t="n">
        <x:v>0.641999141999142</x:v>
      </x:c>
      <x:c r="H1489" s="36" t="n">
        <x:f>E1489*G1489</x:f>
        <x:v>24460.16731016731</x:v>
      </x:c>
      <x:c r="I1489" s="36" t="n">
        <x:f>IFERROR(H1489/A1489,0)</x:f>
        <x:v>8153.389103389104</x:v>
      </x:c>
      <x:c r="J1489" s="67" t="str">
        <x:v>Modeled from live base + Sep-2026 quality ratio</x:v>
      </x:c>
      <x:c r="K1489" s="67" t="str">
        <x:v>https://www.stonealgo.com/diamond-prices/</x:v>
      </x:c>
      <x:c r="L1489" s="67" t="str">
        <x:v>https://www.pricescope.com/blog/natural-diamond-prices-september-2026</x:v>
      </x:c>
    </x:row>
    <x:row r="1490">
      <x:c r="A1490" t="n">
        <x:v>3</x:v>
      </x:c>
      <x:c r="B1490" t="str">
        <x:v>Emerald</x:v>
      </x:c>
      <x:c r="C1490" t="str">
        <x:v>F</x:v>
      </x:c>
      <x:c r="D1490" t="str">
        <x:v>FL</x:v>
      </x:c>
      <x:c r="E1490" s="36" t="n">
        <x:v>38100</x:v>
      </x:c>
      <x:c r="F1490" s="36" t="n">
        <x:v>6830</x:v>
      </x:c>
      <x:c r="G1490" s="42" t="n">
        <x:v>1.4650364650364651</x:v>
      </x:c>
      <x:c r="H1490" s="36" t="n">
        <x:f>E1490*G1490</x:f>
        <x:v>55817.88931788932</x:v>
      </x:c>
      <x:c r="I1490" s="36" t="n">
        <x:f>IFERROR(H1490/A1490,0)</x:f>
        <x:v>18605.963105963106</x:v>
      </x:c>
      <x:c r="J1490" s="67" t="str">
        <x:v>Modeled from live base + Sep-2026 quality ratio</x:v>
      </x:c>
      <x:c r="K1490" s="67" t="str">
        <x:v>https://www.stonealgo.com/diamond-prices/</x:v>
      </x:c>
      <x:c r="L1490" s="67" t="str">
        <x:v>https://www.pricescope.com/blog/natural-diamond-prices-september-2026</x:v>
      </x:c>
    </x:row>
    <x:row r="1491">
      <x:c r="A1491" t="n">
        <x:v>3</x:v>
      </x:c>
      <x:c r="B1491" t="str">
        <x:v>Emerald</x:v>
      </x:c>
      <x:c r="C1491" t="str">
        <x:v>F</x:v>
      </x:c>
      <x:c r="D1491" t="str">
        <x:v>IF</x:v>
      </x:c>
      <x:c r="E1491" s="36" t="n">
        <x:v>38100</x:v>
      </x:c>
      <x:c r="F1491" s="36" t="n">
        <x:v>7302</x:v>
      </x:c>
      <x:c r="G1491" s="42" t="n">
        <x:v>1.5662805662805663</x:v>
      </x:c>
      <x:c r="H1491" s="36" t="n">
        <x:f>E1491*G1491</x:f>
        <x:v>59675.28957528958</x:v>
      </x:c>
      <x:c r="I1491" s="36" t="n">
        <x:f>IFERROR(H1491/A1491,0)</x:f>
        <x:v>19891.76319176319</x:v>
      </x:c>
      <x:c r="J1491" s="67" t="str">
        <x:v>Modeled from live base + Sep-2026 quality ratio</x:v>
      </x:c>
      <x:c r="K1491" s="67" t="str">
        <x:v>https://www.stonealgo.com/diamond-prices/</x:v>
      </x:c>
      <x:c r="L1491" s="67" t="str">
        <x:v>https://www.pricescope.com/blog/natural-diamond-prices-september-2026</x:v>
      </x:c>
    </x:row>
    <x:row r="1492">
      <x:c r="A1492" t="n">
        <x:v>3</x:v>
      </x:c>
      <x:c r="B1492" t="str">
        <x:v>Emerald</x:v>
      </x:c>
      <x:c r="C1492" t="str">
        <x:v>F</x:v>
      </x:c>
      <x:c r="D1492" t="str">
        <x:v>VVS1</x:v>
      </x:c>
      <x:c r="E1492" s="36" t="n">
        <x:v>38100</x:v>
      </x:c>
      <x:c r="F1492" s="36" t="n">
        <x:v>7542</x:v>
      </x:c>
      <x:c r="G1492" s="42" t="n">
        <x:v>1.6177606177606179</x:v>
      </x:c>
      <x:c r="H1492" s="36" t="n">
        <x:f>E1492*G1492</x:f>
        <x:v>61636.67953667954</x:v>
      </x:c>
      <x:c r="I1492" s="36" t="n">
        <x:f>IFERROR(H1492/A1492,0)</x:f>
        <x:v>20545.55984555985</x:v>
      </x:c>
      <x:c r="J1492" s="67" t="str">
        <x:v>Modeled from live base + Sep-2026 quality ratio</x:v>
      </x:c>
      <x:c r="K1492" s="67" t="str">
        <x:v>https://www.stonealgo.com/diamond-prices/</x:v>
      </x:c>
      <x:c r="L1492" s="67" t="str">
        <x:v>https://www.pricescope.com/blog/natural-diamond-prices-september-2026</x:v>
      </x:c>
    </x:row>
    <x:row r="1493">
      <x:c r="A1493" t="n">
        <x:v>3</x:v>
      </x:c>
      <x:c r="B1493" t="str">
        <x:v>Emerald</x:v>
      </x:c>
      <x:c r="C1493" t="str">
        <x:v>F</x:v>
      </x:c>
      <x:c r="D1493" t="str">
        <x:v>VVS2</x:v>
      </x:c>
      <x:c r="E1493" s="36" t="n">
        <x:v>38100</x:v>
      </x:c>
      <x:c r="F1493" s="36" t="n">
        <x:v>6352</x:v>
      </x:c>
      <x:c r="G1493" s="42" t="n">
        <x:v>1.3625053625053625</x:v>
      </x:c>
      <x:c r="H1493" s="36" t="n">
        <x:f>E1493*G1493</x:f>
        <x:v>51911.45431145431</x:v>
      </x:c>
      <x:c r="I1493" s="36" t="n">
        <x:f>IFERROR(H1493/A1493,0)</x:f>
        <x:v>17303.818103818103</x:v>
      </x:c>
      <x:c r="J1493" s="67" t="str">
        <x:v>Modeled from live base + Sep-2026 quality ratio</x:v>
      </x:c>
      <x:c r="K1493" s="67" t="str">
        <x:v>https://www.stonealgo.com/diamond-prices/</x:v>
      </x:c>
      <x:c r="L1493" s="67" t="str">
        <x:v>https://www.pricescope.com/blog/natural-diamond-prices-september-2026</x:v>
      </x:c>
    </x:row>
    <x:row r="1494">
      <x:c r="A1494" t="n">
        <x:v>3</x:v>
      </x:c>
      <x:c r="B1494" t="str">
        <x:v>Emerald</x:v>
      </x:c>
      <x:c r="C1494" t="str">
        <x:v>F</x:v>
      </x:c>
      <x:c r="D1494" t="str">
        <x:v>VS1</x:v>
      </x:c>
      <x:c r="E1494" s="36" t="n">
        <x:v>38100</x:v>
      </x:c>
      <x:c r="F1494" s="36" t="n">
        <x:v>5647</x:v>
      </x:c>
      <x:c r="G1494" s="42" t="n">
        <x:v>1.2112827112827114</x:v>
      </x:c>
      <x:c r="H1494" s="36" t="n">
        <x:f>E1494*G1494</x:f>
        <x:v>46149.8712998713</x:v>
      </x:c>
      <x:c r="I1494" s="36" t="n">
        <x:f>IFERROR(H1494/A1494,0)</x:f>
        <x:v>15383.290433290435</x:v>
      </x:c>
      <x:c r="J1494" s="67" t="str">
        <x:v>Modeled from live base + Sep-2026 quality ratio</x:v>
      </x:c>
      <x:c r="K1494" s="67" t="str">
        <x:v>https://www.stonealgo.com/diamond-prices/</x:v>
      </x:c>
      <x:c r="L1494" s="67" t="str">
        <x:v>https://www.pricescope.com/blog/natural-diamond-prices-september-2026</x:v>
      </x:c>
    </x:row>
    <x:row r="1495">
      <x:c r="A1495" t="n">
        <x:v>3</x:v>
      </x:c>
      <x:c r="B1495" t="str">
        <x:v>Emerald</x:v>
      </x:c>
      <x:c r="C1495" t="str">
        <x:v>F</x:v>
      </x:c>
      <x:c r="D1495" t="str">
        <x:v>VS2</x:v>
      </x:c>
      <x:c r="E1495" s="36" t="n">
        <x:v>38100</x:v>
      </x:c>
      <x:c r="F1495" s="36" t="n">
        <x:v>4730</x:v>
      </x:c>
      <x:c r="G1495" s="42" t="n">
        <x:v>1.0145860145860146</x:v>
      </x:c>
      <x:c r="H1495" s="36" t="n">
        <x:f>E1495*G1495</x:f>
        <x:v>38655.72715572716</x:v>
      </x:c>
      <x:c r="I1495" s="36" t="n">
        <x:f>IFERROR(H1495/A1495,0)</x:f>
        <x:v>12885.242385242387</x:v>
      </x:c>
      <x:c r="J1495" s="67" t="str">
        <x:v>Modeled from live base + Sep-2026 quality ratio</x:v>
      </x:c>
      <x:c r="K1495" s="67" t="str">
        <x:v>https://www.stonealgo.com/diamond-prices/</x:v>
      </x:c>
      <x:c r="L1495" s="67" t="str">
        <x:v>https://www.pricescope.com/blog/natural-diamond-prices-september-2026</x:v>
      </x:c>
    </x:row>
    <x:row r="1496">
      <x:c r="A1496" t="n">
        <x:v>3</x:v>
      </x:c>
      <x:c r="B1496" t="str">
        <x:v>Emerald</x:v>
      </x:c>
      <x:c r="C1496" t="str">
        <x:v>F</x:v>
      </x:c>
      <x:c r="D1496" t="str">
        <x:v>SI1</x:v>
      </x:c>
      <x:c r="E1496" s="36" t="n">
        <x:v>38100</x:v>
      </x:c>
      <x:c r="F1496" s="36" t="n">
        <x:v>3331</x:v>
      </x:c>
      <x:c r="G1496" s="42" t="n">
        <x:v>0.7145002145002145</x:v>
      </x:c>
      <x:c r="H1496" s="36" t="n">
        <x:f>E1496*G1496</x:f>
        <x:v>27222.458172458173</x:v>
      </x:c>
      <x:c r="I1496" s="36" t="n">
        <x:f>IFERROR(H1496/A1496,0)</x:f>
        <x:v>9074.152724152724</x:v>
      </x:c>
      <x:c r="J1496" s="67" t="str">
        <x:v>Modeled from live base + Sep-2026 quality ratio</x:v>
      </x:c>
      <x:c r="K1496" s="67" t="str">
        <x:v>https://www.stonealgo.com/diamond-prices/</x:v>
      </x:c>
      <x:c r="L1496" s="67" t="str">
        <x:v>https://www.pricescope.com/blog/natural-diamond-prices-september-2026</x:v>
      </x:c>
    </x:row>
    <x:row r="1497">
      <x:c r="A1497" t="n">
        <x:v>3</x:v>
      </x:c>
      <x:c r="B1497" t="str">
        <x:v>Emerald</x:v>
      </x:c>
      <x:c r="C1497" t="str">
        <x:v>F</x:v>
      </x:c>
      <x:c r="D1497" t="str">
        <x:v>SI2</x:v>
      </x:c>
      <x:c r="E1497" s="36" t="n">
        <x:v>38100</x:v>
      </x:c>
      <x:c r="F1497" s="36" t="n">
        <x:v>2733</x:v>
      </x:c>
      <x:c r="G1497" s="42" t="n">
        <x:v>0.5862290862290862</x:v>
      </x:c>
      <x:c r="H1497" s="36" t="n">
        <x:f>E1497*G1497</x:f>
        <x:v>22335.328185328184</x:v>
      </x:c>
      <x:c r="I1497" s="36" t="n">
        <x:f>IFERROR(H1497/A1497,0)</x:f>
        <x:v>7445.109395109394</x:v>
      </x:c>
      <x:c r="J1497" s="67" t="str">
        <x:v>Modeled from live base + Sep-2026 quality ratio</x:v>
      </x:c>
      <x:c r="K1497" s="67" t="str">
        <x:v>https://www.stonealgo.com/diamond-prices/</x:v>
      </x:c>
      <x:c r="L1497" s="67" t="str">
        <x:v>https://www.pricescope.com/blog/natural-diamond-prices-september-2026</x:v>
      </x:c>
    </x:row>
    <x:row r="1498">
      <x:c r="A1498" t="n">
        <x:v>3</x:v>
      </x:c>
      <x:c r="B1498" t="str">
        <x:v>Emerald</x:v>
      </x:c>
      <x:c r="C1498" t="str">
        <x:v>G</x:v>
      </x:c>
      <x:c r="D1498" t="str">
        <x:v>FL</x:v>
      </x:c>
      <x:c r="E1498" s="36" t="n">
        <x:v>38100</x:v>
      </x:c>
      <x:c r="F1498" s="36" t="n">
        <x:v>5905</x:v>
      </x:c>
      <x:c r="G1498" s="42" t="n">
        <x:v>1.2666237666237665</x:v>
      </x:c>
      <x:c r="H1498" s="36" t="n">
        <x:f>E1498*G1498</x:f>
        <x:v>48258.3655083655</x:v>
      </x:c>
      <x:c r="I1498" s="36" t="n">
        <x:f>IFERROR(H1498/A1498,0)</x:f>
        <x:v>16086.121836121834</x:v>
      </x:c>
      <x:c r="J1498" s="67" t="str">
        <x:v>Modeled from live base + Sep-2026 quality ratio</x:v>
      </x:c>
      <x:c r="K1498" s="67" t="str">
        <x:v>https://www.stonealgo.com/diamond-prices/</x:v>
      </x:c>
      <x:c r="L1498" s="67" t="str">
        <x:v>https://www.pricescope.com/blog/natural-diamond-prices-september-2026</x:v>
      </x:c>
    </x:row>
    <x:row r="1499">
      <x:c r="A1499" t="n">
        <x:v>3</x:v>
      </x:c>
      <x:c r="B1499" t="str">
        <x:v>Emerald</x:v>
      </x:c>
      <x:c r="C1499" t="str">
        <x:v>G</x:v>
      </x:c>
      <x:c r="D1499" t="str">
        <x:v>IF</x:v>
      </x:c>
      <x:c r="E1499" s="36" t="n">
        <x:v>38100</x:v>
      </x:c>
      <x:c r="F1499" s="36" t="n">
        <x:v>5601</x:v>
      </x:c>
      <x:c r="G1499" s="42" t="n">
        <x:v>1.2014157014157014</x:v>
      </x:c>
      <x:c r="H1499" s="36" t="n">
        <x:f>E1499*G1499</x:f>
        <x:v>45773.938223938225</x:v>
      </x:c>
      <x:c r="I1499" s="36" t="n">
        <x:f>IFERROR(H1499/A1499,0)</x:f>
        <x:v>15257.979407979408</x:v>
      </x:c>
      <x:c r="J1499" s="67" t="str">
        <x:v>Modeled from live base + Sep-2026 quality ratio</x:v>
      </x:c>
      <x:c r="K1499" s="67" t="str">
        <x:v>https://www.stonealgo.com/diamond-prices/</x:v>
      </x:c>
      <x:c r="L1499" s="67" t="str">
        <x:v>https://www.pricescope.com/blog/natural-diamond-prices-september-2026</x:v>
      </x:c>
    </x:row>
    <x:row r="1500">
      <x:c r="A1500" t="n">
        <x:v>3</x:v>
      </x:c>
      <x:c r="B1500" t="str">
        <x:v>Emerald</x:v>
      </x:c>
      <x:c r="C1500" t="str">
        <x:v>G</x:v>
      </x:c>
      <x:c r="D1500" t="str">
        <x:v>VVS1</x:v>
      </x:c>
      <x:c r="E1500" s="36" t="n">
        <x:v>38100</x:v>
      </x:c>
      <x:c r="F1500" s="36" t="n">
        <x:v>5124</x:v>
      </x:c>
      <x:c r="G1500" s="42" t="n">
        <x:v>1.0990990990990992</x:v>
      </x:c>
      <x:c r="H1500" s="36" t="n">
        <x:f>E1500*G1500</x:f>
        <x:v>41875.67567567568</x:v>
      </x:c>
      <x:c r="I1500" s="36" t="n">
        <x:f>IFERROR(H1500/A1500,0)</x:f>
        <x:v>13958.55855855856</x:v>
      </x:c>
      <x:c r="J1500" s="67" t="str">
        <x:v>Modeled from live base + Sep-2026 quality ratio</x:v>
      </x:c>
      <x:c r="K1500" s="67" t="str">
        <x:v>https://www.stonealgo.com/diamond-prices/</x:v>
      </x:c>
      <x:c r="L1500" s="67" t="str">
        <x:v>https://www.pricescope.com/blog/natural-diamond-prices-september-2026</x:v>
      </x:c>
    </x:row>
    <x:row r="1501">
      <x:c r="A1501" t="n">
        <x:v>3</x:v>
      </x:c>
      <x:c r="B1501" t="str">
        <x:v>Emerald</x:v>
      </x:c>
      <x:c r="C1501" t="str">
        <x:v>G</x:v>
      </x:c>
      <x:c r="D1501" t="str">
        <x:v>VVS2</x:v>
      </x:c>
      <x:c r="E1501" s="36" t="n">
        <x:v>38100</x:v>
      </x:c>
      <x:c r="F1501" s="36" t="n">
        <x:v>4962</x:v>
      </x:c>
      <x:c r="G1501" s="42" t="n">
        <x:v>1.0643500643500643</x:v>
      </x:c>
      <x:c r="H1501" s="36" t="n">
        <x:f>E1501*G1501</x:f>
        <x:v>40551.73745173745</x:v>
      </x:c>
      <x:c r="I1501" s="36" t="n">
        <x:f>IFERROR(H1501/A1501,0)</x:f>
        <x:v>13517.245817245815</x:v>
      </x:c>
      <x:c r="J1501" s="67" t="str">
        <x:v>Modeled from live base + Sep-2026 quality ratio</x:v>
      </x:c>
      <x:c r="K1501" s="67" t="str">
        <x:v>https://www.stonealgo.com/diamond-prices/</x:v>
      </x:c>
      <x:c r="L1501" s="67" t="str">
        <x:v>https://www.pricescope.com/blog/natural-diamond-prices-september-2026</x:v>
      </x:c>
    </x:row>
    <x:row r="1502">
      <x:c r="A1502" t="n">
        <x:v>3</x:v>
      </x:c>
      <x:c r="B1502" t="str">
        <x:v>Emerald</x:v>
      </x:c>
      <x:c r="C1502" t="str">
        <x:v>G</x:v>
      </x:c>
      <x:c r="D1502" t="str">
        <x:v>VS1</x:v>
      </x:c>
      <x:c r="E1502" s="36" t="n">
        <x:v>38100</x:v>
      </x:c>
      <x:c r="F1502" s="36" t="n">
        <x:v>4615</x:v>
      </x:c>
      <x:c r="G1502" s="42" t="n">
        <x:v>0.98991848991849</x:v>
      </x:c>
      <x:c r="H1502" s="36" t="n">
        <x:f>E1502*G1502</x:f>
        <x:v>37715.89446589447</x:v>
      </x:c>
      <x:c r="I1502" s="36" t="n">
        <x:f>IFERROR(H1502/A1502,0)</x:f>
        <x:v>12571.964821964822</x:v>
      </x:c>
      <x:c r="J1502" s="67" t="str">
        <x:v>Modeled from live base + Sep-2026 quality ratio</x:v>
      </x:c>
      <x:c r="K1502" s="67" t="str">
        <x:v>https://www.stonealgo.com/diamond-prices/</x:v>
      </x:c>
      <x:c r="L1502" s="67" t="str">
        <x:v>https://www.pricescope.com/blog/natural-diamond-prices-september-2026</x:v>
      </x:c>
    </x:row>
    <x:row r="1503">
      <x:c r="A1503" t="n">
        <x:v>3</x:v>
      </x:c>
      <x:c r="B1503" t="str">
        <x:v>Emerald</x:v>
      </x:c>
      <x:c r="C1503" t="str">
        <x:v>G</x:v>
      </x:c>
      <x:c r="D1503" t="str">
        <x:v>VS2</x:v>
      </x:c>
      <x:c r="E1503" s="36" t="n">
        <x:v>38100</x:v>
      </x:c>
      <x:c r="F1503" s="36" t="n">
        <x:v>4585</x:v>
      </x:c>
      <x:c r="G1503" s="42" t="n">
        <x:v>0.9834834834834835</x:v>
      </x:c>
      <x:c r="H1503" s="36" t="n">
        <x:f>E1503*G1503</x:f>
        <x:v>37470.72072072072</x:v>
      </x:c>
      <x:c r="I1503" s="36" t="n">
        <x:f>IFERROR(H1503/A1503,0)</x:f>
        <x:v>12490.240240240239</x:v>
      </x:c>
      <x:c r="J1503" s="67" t="str">
        <x:v>Modeled from live base + Sep-2026 quality ratio</x:v>
      </x:c>
      <x:c r="K1503" s="67" t="str">
        <x:v>https://www.stonealgo.com/diamond-prices/</x:v>
      </x:c>
      <x:c r="L1503" s="67" t="str">
        <x:v>https://www.pricescope.com/blog/natural-diamond-prices-september-2026</x:v>
      </x:c>
    </x:row>
    <x:row r="1504">
      <x:c r="A1504" t="n">
        <x:v>3</x:v>
      </x:c>
      <x:c r="B1504" t="str">
        <x:v>Emerald</x:v>
      </x:c>
      <x:c r="C1504" t="str">
        <x:v>G</x:v>
      </x:c>
      <x:c r="D1504" t="str">
        <x:v>SI1</x:v>
      </x:c>
      <x:c r="E1504" s="36" t="n">
        <x:v>38100</x:v>
      </x:c>
      <x:c r="F1504" s="36" t="n">
        <x:v>3664</x:v>
      </x:c>
      <x:c r="G1504" s="42" t="n">
        <x:v>0.7859287859287859</x:v>
      </x:c>
      <x:c r="H1504" s="36" t="n">
        <x:f>E1504*G1504</x:f>
        <x:v>29943.886743886742</x:v>
      </x:c>
      <x:c r="I1504" s="36" t="n">
        <x:f>IFERROR(H1504/A1504,0)</x:f>
        <x:v>9981.29558129558</x:v>
      </x:c>
      <x:c r="J1504" s="67" t="str">
        <x:v>Modeled from live base + Sep-2026 quality ratio</x:v>
      </x:c>
      <x:c r="K1504" s="67" t="str">
        <x:v>https://www.stonealgo.com/diamond-prices/</x:v>
      </x:c>
      <x:c r="L1504" s="67" t="str">
        <x:v>https://www.pricescope.com/blog/natural-diamond-prices-september-2026</x:v>
      </x:c>
    </x:row>
    <x:row r="1505">
      <x:c r="A1505" t="n">
        <x:v>3</x:v>
      </x:c>
      <x:c r="B1505" t="str">
        <x:v>Emerald</x:v>
      </x:c>
      <x:c r="C1505" t="str">
        <x:v>G</x:v>
      </x:c>
      <x:c r="D1505" t="str">
        <x:v>SI2</x:v>
      </x:c>
      <x:c r="E1505" s="36" t="n">
        <x:v>38100</x:v>
      </x:c>
      <x:c r="F1505" s="36" t="n">
        <x:v>2537</x:v>
      </x:c>
      <x:c r="G1505" s="42" t="n">
        <x:v>0.5441870441870442</x:v>
      </x:c>
      <x:c r="H1505" s="36" t="n">
        <x:f>E1505*G1505</x:f>
        <x:v>20733.526383526383</x:v>
      </x:c>
      <x:c r="I1505" s="36" t="n">
        <x:f>IFERROR(H1505/A1505,0)</x:f>
        <x:v>6911.175461175461</x:v>
      </x:c>
      <x:c r="J1505" s="67" t="str">
        <x:v>Modeled from live base + Sep-2026 quality ratio</x:v>
      </x:c>
      <x:c r="K1505" s="67" t="str">
        <x:v>https://www.stonealgo.com/diamond-prices/</x:v>
      </x:c>
      <x:c r="L1505" s="67" t="str">
        <x:v>https://www.pricescope.com/blog/natural-diamond-prices-september-2026</x:v>
      </x:c>
    </x:row>
    <x:row r="1506">
      <x:c r="A1506" t="n">
        <x:v>3</x:v>
      </x:c>
      <x:c r="B1506" t="str">
        <x:v>Emerald</x:v>
      </x:c>
      <x:c r="C1506" t="str">
        <x:v>H</x:v>
      </x:c>
      <x:c r="D1506" t="str">
        <x:v>FL</x:v>
      </x:c>
      <x:c r="E1506" s="36" t="n">
        <x:v>38100</x:v>
      </x:c>
      <x:c r="F1506" s="36" t="n">
        <x:v>4563</x:v>
      </x:c>
      <x:c r="G1506" s="42" t="n">
        <x:v>0.9787644787644788</x:v>
      </x:c>
      <x:c r="H1506" s="36" t="n">
        <x:f>E1506*G1506</x:f>
        <x:v>37290.92664092664</x:v>
      </x:c>
      <x:c r="I1506" s="36" t="n">
        <x:f>IFERROR(H1506/A1506,0)</x:f>
        <x:v>12430.308880308881</x:v>
      </x:c>
      <x:c r="J1506" s="67" t="str">
        <x:v>Modeled from live base + Sep-2026 quality ratio</x:v>
      </x:c>
      <x:c r="K1506" s="67" t="str">
        <x:v>https://www.stonealgo.com/diamond-prices/</x:v>
      </x:c>
      <x:c r="L1506" s="67" t="str">
        <x:v>https://www.pricescope.com/blog/natural-diamond-prices-september-2026</x:v>
      </x:c>
    </x:row>
    <x:row r="1507">
      <x:c r="A1507" t="n">
        <x:v>3</x:v>
      </x:c>
      <x:c r="B1507" t="str">
        <x:v>Emerald</x:v>
      </x:c>
      <x:c r="C1507" t="str">
        <x:v>H</x:v>
      </x:c>
      <x:c r="D1507" t="str">
        <x:v>IF</x:v>
      </x:c>
      <x:c r="E1507" s="36" t="n">
        <x:v>38100</x:v>
      </x:c>
      <x:c r="F1507" s="36" t="n">
        <x:v>4809</x:v>
      </x:c>
      <x:c r="G1507" s="42" t="n">
        <x:v>1.0315315315315314</x:v>
      </x:c>
      <x:c r="H1507" s="36" t="n">
        <x:f>E1507*G1507</x:f>
        <x:v>39301.351351351346</x:v>
      </x:c>
      <x:c r="I1507" s="36" t="n">
        <x:f>IFERROR(H1507/A1507,0)</x:f>
        <x:v>13100.45045045045</x:v>
      </x:c>
      <x:c r="J1507" s="67" t="str">
        <x:v>Modeled from live base + Sep-2026 quality ratio</x:v>
      </x:c>
      <x:c r="K1507" s="67" t="str">
        <x:v>https://www.stonealgo.com/diamond-prices/</x:v>
      </x:c>
      <x:c r="L1507" s="67" t="str">
        <x:v>https://www.pricescope.com/blog/natural-diamond-prices-september-2026</x:v>
      </x:c>
    </x:row>
    <x:row r="1508">
      <x:c r="A1508" t="n">
        <x:v>3</x:v>
      </x:c>
      <x:c r="B1508" t="str">
        <x:v>Emerald</x:v>
      </x:c>
      <x:c r="C1508" t="str">
        <x:v>H</x:v>
      </x:c>
      <x:c r="D1508" t="str">
        <x:v>VVS1</x:v>
      </x:c>
      <x:c r="E1508" s="36" t="n">
        <x:v>38100</x:v>
      </x:c>
      <x:c r="F1508" s="36" t="n">
        <x:v>4911</x:v>
      </x:c>
      <x:c r="G1508" s="42" t="n">
        <x:v>1.0534105534105533</x:v>
      </x:c>
      <x:c r="H1508" s="36" t="n">
        <x:f>E1508*G1508</x:f>
        <x:v>40134.942084942086</x:v>
      </x:c>
      <x:c r="I1508" s="36" t="n">
        <x:f>IFERROR(H1508/A1508,0)</x:f>
        <x:v>13378.31402831403</x:v>
      </x:c>
      <x:c r="J1508" s="67" t="str">
        <x:v>Modeled from live base + Sep-2026 quality ratio</x:v>
      </x:c>
      <x:c r="K1508" s="67" t="str">
        <x:v>https://www.stonealgo.com/diamond-prices/</x:v>
      </x:c>
      <x:c r="L1508" s="67" t="str">
        <x:v>https://www.pricescope.com/blog/natural-diamond-prices-september-2026</x:v>
      </x:c>
    </x:row>
    <x:row r="1509">
      <x:c r="A1509" t="n">
        <x:v>3</x:v>
      </x:c>
      <x:c r="B1509" t="str">
        <x:v>Emerald</x:v>
      </x:c>
      <x:c r="C1509" t="str">
        <x:v>H</x:v>
      </x:c>
      <x:c r="D1509" t="str">
        <x:v>VVS2</x:v>
      </x:c>
      <x:c r="E1509" s="36" t="n">
        <x:v>38100</x:v>
      </x:c>
      <x:c r="F1509" s="36" t="n">
        <x:v>4046</x:v>
      </x:c>
      <x:c r="G1509" s="42" t="n">
        <x:v>0.8678678678678678</x:v>
      </x:c>
      <x:c r="H1509" s="36" t="n">
        <x:f>E1509*G1509</x:f>
        <x:v>33065.76576576576</x:v>
      </x:c>
      <x:c r="I1509" s="36" t="n">
        <x:f>IFERROR(H1509/A1509,0)</x:f>
        <x:v>11021.921921921921</x:v>
      </x:c>
      <x:c r="J1509" s="67" t="str">
        <x:v>Modeled from live base + Sep-2026 quality ratio</x:v>
      </x:c>
      <x:c r="K1509" s="67" t="str">
        <x:v>https://www.stonealgo.com/diamond-prices/</x:v>
      </x:c>
      <x:c r="L1509" s="67" t="str">
        <x:v>https://www.pricescope.com/blog/natural-diamond-prices-september-2026</x:v>
      </x:c>
    </x:row>
    <x:row r="1510">
      <x:c r="A1510" t="n">
        <x:v>3</x:v>
      </x:c>
      <x:c r="B1510" t="str">
        <x:v>Emerald</x:v>
      </x:c>
      <x:c r="C1510" t="str">
        <x:v>H</x:v>
      </x:c>
      <x:c r="D1510" t="str">
        <x:v>VS1</x:v>
      </x:c>
      <x:c r="E1510" s="36" t="n">
        <x:v>38100</x:v>
      </x:c>
      <x:c r="F1510" s="36" t="n">
        <x:v>3893</x:v>
      </x:c>
      <x:c r="G1510" s="42" t="n">
        <x:v>0.8350493350493351</x:v>
      </x:c>
      <x:c r="H1510" s="36" t="n">
        <x:f>E1510*G1510</x:f>
        <x:v>31815.379665379667</x:v>
      </x:c>
      <x:c r="I1510" s="36" t="n">
        <x:f>IFERROR(H1510/A1510,0)</x:f>
        <x:v>10605.126555126555</x:v>
      </x:c>
      <x:c r="J1510" s="67" t="str">
        <x:v>Modeled from live base + Sep-2026 quality ratio</x:v>
      </x:c>
      <x:c r="K1510" s="67" t="str">
        <x:v>https://www.stonealgo.com/diamond-prices/</x:v>
      </x:c>
      <x:c r="L1510" s="67" t="str">
        <x:v>https://www.pricescope.com/blog/natural-diamond-prices-september-2026</x:v>
      </x:c>
    </x:row>
    <x:row r="1511">
      <x:c r="A1511" t="n">
        <x:v>3</x:v>
      </x:c>
      <x:c r="B1511" t="str">
        <x:v>Emerald</x:v>
      </x:c>
      <x:c r="C1511" t="str">
        <x:v>H</x:v>
      </x:c>
      <x:c r="D1511" t="str">
        <x:v>VS2</x:v>
      </x:c>
      <x:c r="E1511" s="36" t="n">
        <x:v>38100</x:v>
      </x:c>
      <x:c r="F1511" s="36" t="n">
        <x:v>3989</x:v>
      </x:c>
      <x:c r="G1511" s="42" t="n">
        <x:v>0.8556413556413557</x:v>
      </x:c>
      <x:c r="H1511" s="36" t="n">
        <x:f>E1511*G1511</x:f>
        <x:v>32599.93564993565</x:v>
      </x:c>
      <x:c r="I1511" s="36" t="n">
        <x:f>IFERROR(H1511/A1511,0)</x:f>
        <x:v>10866.645216645216</x:v>
      </x:c>
      <x:c r="J1511" s="67" t="str">
        <x:v>Modeled from live base + Sep-2026 quality ratio</x:v>
      </x:c>
      <x:c r="K1511" s="67" t="str">
        <x:v>https://www.stonealgo.com/diamond-prices/</x:v>
      </x:c>
      <x:c r="L1511" s="67" t="str">
        <x:v>https://www.pricescope.com/blog/natural-diamond-prices-september-2026</x:v>
      </x:c>
    </x:row>
    <x:row r="1512">
      <x:c r="A1512" t="n">
        <x:v>3</x:v>
      </x:c>
      <x:c r="B1512" t="str">
        <x:v>Emerald</x:v>
      </x:c>
      <x:c r="C1512" t="str">
        <x:v>H</x:v>
      </x:c>
      <x:c r="D1512" t="str">
        <x:v>SI1</x:v>
      </x:c>
      <x:c r="E1512" s="36" t="n">
        <x:v>38100</x:v>
      </x:c>
      <x:c r="F1512" s="36" t="n">
        <x:v>2828</x:v>
      </x:c>
      <x:c r="G1512" s="42" t="n">
        <x:v>0.6066066066066066</x:v>
      </x:c>
      <x:c r="H1512" s="36" t="n">
        <x:f>E1512*G1512</x:f>
        <x:v>23111.711711711712</x:v>
      </x:c>
      <x:c r="I1512" s="36" t="n">
        <x:f>IFERROR(H1512/A1512,0)</x:f>
        <x:v>7703.903903903904</x:v>
      </x:c>
      <x:c r="J1512" s="67" t="str">
        <x:v>Modeled from live base + Sep-2026 quality ratio</x:v>
      </x:c>
      <x:c r="K1512" s="67" t="str">
        <x:v>https://www.stonealgo.com/diamond-prices/</x:v>
      </x:c>
      <x:c r="L1512" s="67" t="str">
        <x:v>https://www.pricescope.com/blog/natural-diamond-prices-september-2026</x:v>
      </x:c>
    </x:row>
    <x:row r="1513">
      <x:c r="A1513" t="n">
        <x:v>3</x:v>
      </x:c>
      <x:c r="B1513" t="str">
        <x:v>Emerald</x:v>
      </x:c>
      <x:c r="C1513" t="str">
        <x:v>H</x:v>
      </x:c>
      <x:c r="D1513" t="str">
        <x:v>SI2</x:v>
      </x:c>
      <x:c r="E1513" s="36" t="n">
        <x:v>38100</x:v>
      </x:c>
      <x:c r="F1513" s="36" t="n">
        <x:v>2328</x:v>
      </x:c>
      <x:c r="G1513" s="42" t="n">
        <x:v>0.49935649935649934</x:v>
      </x:c>
      <x:c r="H1513" s="36" t="n">
        <x:f>E1513*G1513</x:f>
        <x:v>19025.482625482626</x:v>
      </x:c>
      <x:c r="I1513" s="36" t="n">
        <x:f>IFERROR(H1513/A1513,0)</x:f>
        <x:v>6341.827541827542</x:v>
      </x:c>
      <x:c r="J1513" s="67" t="str">
        <x:v>Modeled from live base + Sep-2026 quality ratio</x:v>
      </x:c>
      <x:c r="K1513" s="67" t="str">
        <x:v>https://www.stonealgo.com/diamond-prices/</x:v>
      </x:c>
      <x:c r="L1513" s="67" t="str">
        <x:v>https://www.pricescope.com/blog/natural-diamond-prices-september-2026</x:v>
      </x:c>
    </x:row>
    <x:row r="1514">
      <x:c r="A1514" t="n">
        <x:v>3</x:v>
      </x:c>
      <x:c r="B1514" t="str">
        <x:v>Emerald</x:v>
      </x:c>
      <x:c r="C1514" t="str">
        <x:v>I</x:v>
      </x:c>
      <x:c r="D1514" t="str">
        <x:v>FL</x:v>
      </x:c>
      <x:c r="E1514" s="36" t="n">
        <x:v>38100</x:v>
      </x:c>
      <x:c r="F1514" s="36" t="n">
        <x:v>4623</x:v>
      </x:c>
      <x:c r="G1514" s="42" t="n">
        <x:v>0.9916344916344917</x:v>
      </x:c>
      <x:c r="H1514" s="36" t="n">
        <x:f>E1514*G1514</x:f>
        <x:v>37781.274131274135</x:v>
      </x:c>
      <x:c r="I1514" s="36" t="n">
        <x:f>IFERROR(H1514/A1514,0)</x:f>
        <x:v>12593.758043758045</x:v>
      </x:c>
      <x:c r="J1514" s="67" t="str">
        <x:v>Modeled from live base + Sep-2026 quality ratio</x:v>
      </x:c>
      <x:c r="K1514" s="67" t="str">
        <x:v>https://www.stonealgo.com/diamond-prices/</x:v>
      </x:c>
      <x:c r="L1514" s="67" t="str">
        <x:v>https://www.pricescope.com/blog/natural-diamond-prices-september-2026</x:v>
      </x:c>
    </x:row>
    <x:row r="1515">
      <x:c r="A1515" t="n">
        <x:v>3</x:v>
      </x:c>
      <x:c r="B1515" t="str">
        <x:v>Emerald</x:v>
      </x:c>
      <x:c r="C1515" t="str">
        <x:v>I</x:v>
      </x:c>
      <x:c r="D1515" t="str">
        <x:v>IF</x:v>
      </x:c>
      <x:c r="E1515" s="36" t="n">
        <x:v>38100</x:v>
      </x:c>
      <x:c r="F1515" s="36" t="n">
        <x:v>4005</x:v>
      </x:c>
      <x:c r="G1515" s="42" t="n">
        <x:v>0.859073359073359</x:v>
      </x:c>
      <x:c r="H1515" s="36" t="n">
        <x:f>E1515*G1515</x:f>
        <x:v>32730.694980694978</x:v>
      </x:c>
      <x:c r="I1515" s="36" t="n">
        <x:f>IFERROR(H1515/A1515,0)</x:f>
        <x:v>10910.231660231659</x:v>
      </x:c>
      <x:c r="J1515" s="67" t="str">
        <x:v>Modeled from live base + Sep-2026 quality ratio</x:v>
      </x:c>
      <x:c r="K1515" s="67" t="str">
        <x:v>https://www.stonealgo.com/diamond-prices/</x:v>
      </x:c>
      <x:c r="L1515" s="67" t="str">
        <x:v>https://www.pricescope.com/blog/natural-diamond-prices-september-2026</x:v>
      </x:c>
    </x:row>
    <x:row r="1516">
      <x:c r="A1516" t="n">
        <x:v>3</x:v>
      </x:c>
      <x:c r="B1516" t="str">
        <x:v>Emerald</x:v>
      </x:c>
      <x:c r="C1516" t="str">
        <x:v>I</x:v>
      </x:c>
      <x:c r="D1516" t="str">
        <x:v>VVS1</x:v>
      </x:c>
      <x:c r="E1516" s="36" t="n">
        <x:v>38100</x:v>
      </x:c>
      <x:c r="F1516" s="36" t="n">
        <x:v>3670</x:v>
      </x:c>
      <x:c r="G1516" s="42" t="n">
        <x:v>0.7872157872157872</x:v>
      </x:c>
      <x:c r="H1516" s="36" t="n">
        <x:f>E1516*G1516</x:f>
        <x:v>29992.921492921494</x:v>
      </x:c>
      <x:c r="I1516" s="36" t="n">
        <x:f>IFERROR(H1516/A1516,0)</x:f>
        <x:v>9997.640497640497</x:v>
      </x:c>
      <x:c r="J1516" s="67" t="str">
        <x:v>Modeled from live base + Sep-2026 quality ratio</x:v>
      </x:c>
      <x:c r="K1516" s="67" t="str">
        <x:v>https://www.stonealgo.com/diamond-prices/</x:v>
      </x:c>
      <x:c r="L1516" s="67" t="str">
        <x:v>https://www.pricescope.com/blog/natural-diamond-prices-september-2026</x:v>
      </x:c>
    </x:row>
    <x:row r="1517">
      <x:c r="A1517" t="n">
        <x:v>3</x:v>
      </x:c>
      <x:c r="B1517" t="str">
        <x:v>Emerald</x:v>
      </x:c>
      <x:c r="C1517" t="str">
        <x:v>I</x:v>
      </x:c>
      <x:c r="D1517" t="str">
        <x:v>VVS2</x:v>
      </x:c>
      <x:c r="E1517" s="36" t="n">
        <x:v>38100</x:v>
      </x:c>
      <x:c r="F1517" s="36" t="n">
        <x:v>3447</x:v>
      </x:c>
      <x:c r="G1517" s="42" t="n">
        <x:v>0.7393822393822393</x:v>
      </x:c>
      <x:c r="H1517" s="36" t="n">
        <x:f>E1517*G1517</x:f>
        <x:v>28170.463320463317</x:v>
      </x:c>
      <x:c r="I1517" s="36" t="n">
        <x:f>IFERROR(H1517/A1517,0)</x:f>
        <x:v>9390.15444015444</x:v>
      </x:c>
      <x:c r="J1517" s="67" t="str">
        <x:v>Modeled from live base + Sep-2026 quality ratio</x:v>
      </x:c>
      <x:c r="K1517" s="67" t="str">
        <x:v>https://www.stonealgo.com/diamond-prices/</x:v>
      </x:c>
      <x:c r="L1517" s="67" t="str">
        <x:v>https://www.pricescope.com/blog/natural-diamond-prices-september-2026</x:v>
      </x:c>
    </x:row>
    <x:row r="1518">
      <x:c r="A1518" t="n">
        <x:v>3</x:v>
      </x:c>
      <x:c r="B1518" t="str">
        <x:v>Emerald</x:v>
      </x:c>
      <x:c r="C1518" t="str">
        <x:v>I</x:v>
      </x:c>
      <x:c r="D1518" t="str">
        <x:v>VS1</x:v>
      </x:c>
      <x:c r="E1518" s="36" t="n">
        <x:v>38100</x:v>
      </x:c>
      <x:c r="F1518" s="36" t="n">
        <x:v>3313</x:v>
      </x:c>
      <x:c r="G1518" s="42" t="n">
        <x:v>0.7106392106392107</x:v>
      </x:c>
      <x:c r="H1518" s="36" t="n">
        <x:f>E1518*G1518</x:f>
        <x:v>27075.353925353927</x:v>
      </x:c>
      <x:c r="I1518" s="36" t="n">
        <x:f>IFERROR(H1518/A1518,0)</x:f>
        <x:v>9025.117975117975</x:v>
      </x:c>
      <x:c r="J1518" s="67" t="str">
        <x:v>Modeled from live base + Sep-2026 quality ratio</x:v>
      </x:c>
      <x:c r="K1518" s="67" t="str">
        <x:v>https://www.stonealgo.com/diamond-prices/</x:v>
      </x:c>
      <x:c r="L1518" s="67" t="str">
        <x:v>https://www.pricescope.com/blog/natural-diamond-prices-september-2026</x:v>
      </x:c>
    </x:row>
    <x:row r="1519">
      <x:c r="A1519" t="n">
        <x:v>3</x:v>
      </x:c>
      <x:c r="B1519" t="str">
        <x:v>Emerald</x:v>
      </x:c>
      <x:c r="C1519" t="str">
        <x:v>I</x:v>
      </x:c>
      <x:c r="D1519" t="str">
        <x:v>VS2</x:v>
      </x:c>
      <x:c r="E1519" s="36" t="n">
        <x:v>38100</x:v>
      </x:c>
      <x:c r="F1519" s="36" t="n">
        <x:v>3240</x:v>
      </x:c>
      <x:c r="G1519" s="42" t="n">
        <x:v>0.694980694980695</x:v>
      </x:c>
      <x:c r="H1519" s="36" t="n">
        <x:f>E1519*G1519</x:f>
        <x:v>26478.764478764482</x:v>
      </x:c>
      <x:c r="I1519" s="36" t="n">
        <x:f>IFERROR(H1519/A1519,0)</x:f>
        <x:v>8826.254826254828</x:v>
      </x:c>
      <x:c r="J1519" s="67" t="str">
        <x:v>Modeled from live base + Sep-2026 quality ratio</x:v>
      </x:c>
      <x:c r="K1519" s="67" t="str">
        <x:v>https://www.stonealgo.com/diamond-prices/</x:v>
      </x:c>
      <x:c r="L1519" s="67" t="str">
        <x:v>https://www.pricescope.com/blog/natural-diamond-prices-september-2026</x:v>
      </x:c>
    </x:row>
    <x:row r="1520">
      <x:c r="A1520" t="n">
        <x:v>3</x:v>
      </x:c>
      <x:c r="B1520" t="str">
        <x:v>Emerald</x:v>
      </x:c>
      <x:c r="C1520" t="str">
        <x:v>I</x:v>
      </x:c>
      <x:c r="D1520" t="str">
        <x:v>SI1</x:v>
      </x:c>
      <x:c r="E1520" s="36" t="n">
        <x:v>38100</x:v>
      </x:c>
      <x:c r="F1520" s="36" t="n">
        <x:v>3199</x:v>
      </x:c>
      <x:c r="G1520" s="42" t="n">
        <x:v>0.6861861861861862</x:v>
      </x:c>
      <x:c r="H1520" s="36" t="n">
        <x:f>E1520*G1520</x:f>
        <x:v>26143.693693693695</x:v>
      </x:c>
      <x:c r="I1520" s="36" t="n">
        <x:f>IFERROR(H1520/A1520,0)</x:f>
        <x:v>8714.564564564565</x:v>
      </x:c>
      <x:c r="J1520" s="67" t="str">
        <x:v>Modeled from live base + Sep-2026 quality ratio</x:v>
      </x:c>
      <x:c r="K1520" s="67" t="str">
        <x:v>https://www.stonealgo.com/diamond-prices/</x:v>
      </x:c>
      <x:c r="L1520" s="67" t="str">
        <x:v>https://www.pricescope.com/blog/natural-diamond-prices-september-2026</x:v>
      </x:c>
    </x:row>
    <x:row r="1521">
      <x:c r="A1521" t="n">
        <x:v>3</x:v>
      </x:c>
      <x:c r="B1521" t="str">
        <x:v>Emerald</x:v>
      </x:c>
      <x:c r="C1521" t="str">
        <x:v>I</x:v>
      </x:c>
      <x:c r="D1521" t="str">
        <x:v>SI2</x:v>
      </x:c>
      <x:c r="E1521" s="36" t="n">
        <x:v>38100</x:v>
      </x:c>
      <x:c r="F1521" s="36" t="n">
        <x:v>2874</x:v>
      </x:c>
      <x:c r="G1521" s="42" t="n">
        <x:v>0.6164736164736164</x:v>
      </x:c>
      <x:c r="H1521" s="36" t="n">
        <x:f>E1521*G1521</x:f>
        <x:v>23487.644787644786</x:v>
      </x:c>
      <x:c r="I1521" s="36" t="n">
        <x:f>IFERROR(H1521/A1521,0)</x:f>
        <x:v>7829.214929214929</x:v>
      </x:c>
      <x:c r="J1521" s="67" t="str">
        <x:v>Modeled from live base + Sep-2026 quality ratio</x:v>
      </x:c>
      <x:c r="K1521" s="67" t="str">
        <x:v>https://www.stonealgo.com/diamond-prices/</x:v>
      </x:c>
      <x:c r="L1521" s="67" t="str">
        <x:v>https://www.pricescope.com/blog/natural-diamond-prices-september-2026</x:v>
      </x:c>
    </x:row>
    <x:row r="1522">
      <x:c r="A1522" t="n">
        <x:v>3</x:v>
      </x:c>
      <x:c r="B1522" t="str">
        <x:v>Emerald</x:v>
      </x:c>
      <x:c r="C1522" t="str">
        <x:v>J</x:v>
      </x:c>
      <x:c r="D1522" t="str">
        <x:v>FL</x:v>
      </x:c>
      <x:c r="E1522" s="36" t="n">
        <x:v>38100</x:v>
      </x:c>
      <x:c r="F1522" s="36" t="n">
        <x:v>3646</x:v>
      </x:c>
      <x:c r="G1522" s="42" t="n">
        <x:v>0.782067782067782</x:v>
      </x:c>
      <x:c r="H1522" s="36" t="n">
        <x:f>E1522*G1522</x:f>
        <x:v>29796.782496782496</x:v>
      </x:c>
      <x:c r="I1522" s="36" t="n">
        <x:f>IFERROR(H1522/A1522,0)</x:f>
        <x:v>9932.260832260832</x:v>
      </x:c>
      <x:c r="J1522" s="67" t="str">
        <x:v>Modeled from live base + Sep-2026 quality ratio</x:v>
      </x:c>
      <x:c r="K1522" s="67" t="str">
        <x:v>https://www.stonealgo.com/diamond-prices/</x:v>
      </x:c>
      <x:c r="L1522" s="67" t="str">
        <x:v>https://www.pricescope.com/blog/natural-diamond-prices-september-2026</x:v>
      </x:c>
    </x:row>
    <x:row r="1523">
      <x:c r="A1523" t="n">
        <x:v>3</x:v>
      </x:c>
      <x:c r="B1523" t="str">
        <x:v>Emerald</x:v>
      </x:c>
      <x:c r="C1523" t="str">
        <x:v>J</x:v>
      </x:c>
      <x:c r="D1523" t="str">
        <x:v>IF</x:v>
      </x:c>
      <x:c r="E1523" s="36" t="n">
        <x:v>38100</x:v>
      </x:c>
      <x:c r="F1523" s="36" t="n">
        <x:v>3368</x:v>
      </x:c>
      <x:c r="G1523" s="42" t="n">
        <x:v>0.7224367224367224</x:v>
      </x:c>
      <x:c r="H1523" s="36" t="n">
        <x:f>E1523*G1523</x:f>
        <x:v>27524.839124839124</x:v>
      </x:c>
      <x:c r="I1523" s="36" t="n">
        <x:f>IFERROR(H1523/A1523,0)</x:f>
        <x:v>9174.946374946374</x:v>
      </x:c>
      <x:c r="J1523" s="67" t="str">
        <x:v>Modeled from live base + Sep-2026 quality ratio</x:v>
      </x:c>
      <x:c r="K1523" s="67" t="str">
        <x:v>https://www.stonealgo.com/diamond-prices/</x:v>
      </x:c>
      <x:c r="L1523" s="67" t="str">
        <x:v>https://www.pricescope.com/blog/natural-diamond-prices-september-2026</x:v>
      </x:c>
    </x:row>
    <x:row r="1524">
      <x:c r="A1524" t="n">
        <x:v>3</x:v>
      </x:c>
      <x:c r="B1524" t="str">
        <x:v>Emerald</x:v>
      </x:c>
      <x:c r="C1524" t="str">
        <x:v>J</x:v>
      </x:c>
      <x:c r="D1524" t="str">
        <x:v>VVS1</x:v>
      </x:c>
      <x:c r="E1524" s="36" t="n">
        <x:v>38100</x:v>
      </x:c>
      <x:c r="F1524" s="36" t="n">
        <x:v>2956</x:v>
      </x:c>
      <x:c r="G1524" s="42" t="n">
        <x:v>0.6340626340626341</x:v>
      </x:c>
      <x:c r="H1524" s="36" t="n">
        <x:f>E1524*G1524</x:f>
        <x:v>24157.786357786357</x:v>
      </x:c>
      <x:c r="I1524" s="36" t="n">
        <x:f>IFERROR(H1524/A1524,0)</x:f>
        <x:v>8052.595452595452</x:v>
      </x:c>
      <x:c r="J1524" s="67" t="str">
        <x:v>Modeled from live base + Sep-2026 quality ratio</x:v>
      </x:c>
      <x:c r="K1524" s="67" t="str">
        <x:v>https://www.stonealgo.com/diamond-prices/</x:v>
      </x:c>
      <x:c r="L1524" s="67" t="str">
        <x:v>https://www.pricescope.com/blog/natural-diamond-prices-september-2026</x:v>
      </x:c>
    </x:row>
    <x:row r="1525">
      <x:c r="A1525" t="n">
        <x:v>3</x:v>
      </x:c>
      <x:c r="B1525" t="str">
        <x:v>Emerald</x:v>
      </x:c>
      <x:c r="C1525" t="str">
        <x:v>J</x:v>
      </x:c>
      <x:c r="D1525" t="str">
        <x:v>VVS2</x:v>
      </x:c>
      <x:c r="E1525" s="36" t="n">
        <x:v>38100</x:v>
      </x:c>
      <x:c r="F1525" s="36" t="n">
        <x:v>2612</x:v>
      </x:c>
      <x:c r="G1525" s="42" t="n">
        <x:v>0.5602745602745602</x:v>
      </x:c>
      <x:c r="H1525" s="36" t="n">
        <x:f>E1525*G1525</x:f>
        <x:v>21346.460746460743</x:v>
      </x:c>
      <x:c r="I1525" s="36" t="n">
        <x:f>IFERROR(H1525/A1525,0)</x:f>
        <x:v>7115.486915486915</x:v>
      </x:c>
      <x:c r="J1525" s="67" t="str">
        <x:v>Modeled from live base + Sep-2026 quality ratio</x:v>
      </x:c>
      <x:c r="K1525" s="67" t="str">
        <x:v>https://www.stonealgo.com/diamond-prices/</x:v>
      </x:c>
      <x:c r="L1525" s="67" t="str">
        <x:v>https://www.pricescope.com/blog/natural-diamond-prices-september-2026</x:v>
      </x:c>
    </x:row>
    <x:row r="1526">
      <x:c r="A1526" t="n">
        <x:v>3</x:v>
      </x:c>
      <x:c r="B1526" t="str">
        <x:v>Emerald</x:v>
      </x:c>
      <x:c r="C1526" t="str">
        <x:v>J</x:v>
      </x:c>
      <x:c r="D1526" t="str">
        <x:v>VS1</x:v>
      </x:c>
      <x:c r="E1526" s="36" t="n">
        <x:v>38100</x:v>
      </x:c>
      <x:c r="F1526" s="36" t="n">
        <x:v>3002</x:v>
      </x:c>
      <x:c r="G1526" s="42" t="n">
        <x:v>0.6439296439296439</x:v>
      </x:c>
      <x:c r="H1526" s="36" t="n">
        <x:f>E1526*G1526</x:f>
        <x:v>24533.719433719434</x:v>
      </x:c>
      <x:c r="I1526" s="36" t="n">
        <x:f>IFERROR(H1526/A1526,0)</x:f>
        <x:v>8177.906477906478</x:v>
      </x:c>
      <x:c r="J1526" s="67" t="str">
        <x:v>Modeled from live base + Sep-2026 quality ratio</x:v>
      </x:c>
      <x:c r="K1526" s="67" t="str">
        <x:v>https://www.stonealgo.com/diamond-prices/</x:v>
      </x:c>
      <x:c r="L1526" s="67" t="str">
        <x:v>https://www.pricescope.com/blog/natural-diamond-prices-september-2026</x:v>
      </x:c>
    </x:row>
    <x:row r="1527">
      <x:c r="A1527" t="n">
        <x:v>3</x:v>
      </x:c>
      <x:c r="B1527" t="str">
        <x:v>Emerald</x:v>
      </x:c>
      <x:c r="C1527" t="str">
        <x:v>J</x:v>
      </x:c>
      <x:c r="D1527" t="str">
        <x:v>VS2</x:v>
      </x:c>
      <x:c r="E1527" s="36" t="n">
        <x:v>38100</x:v>
      </x:c>
      <x:c r="F1527" s="36" t="n">
        <x:v>2559</x:v>
      </x:c>
      <x:c r="G1527" s="42" t="n">
        <x:v>0.5489060489060489</x:v>
      </x:c>
      <x:c r="H1527" s="36" t="n">
        <x:f>E1527*G1527</x:f>
        <x:v>20913.320463320462</x:v>
      </x:c>
      <x:c r="I1527" s="36" t="n">
        <x:f>IFERROR(H1527/A1527,0)</x:f>
        <x:v>6971.1068211068205</x:v>
      </x:c>
      <x:c r="J1527" s="67" t="str">
        <x:v>Modeled from live base + Sep-2026 quality ratio</x:v>
      </x:c>
      <x:c r="K1527" s="67" t="str">
        <x:v>https://www.stonealgo.com/diamond-prices/</x:v>
      </x:c>
      <x:c r="L1527" s="67" t="str">
        <x:v>https://www.pricescope.com/blog/natural-diamond-prices-september-2026</x:v>
      </x:c>
    </x:row>
    <x:row r="1528">
      <x:c r="A1528" t="n">
        <x:v>3</x:v>
      </x:c>
      <x:c r="B1528" t="str">
        <x:v>Emerald</x:v>
      </x:c>
      <x:c r="C1528" t="str">
        <x:v>J</x:v>
      </x:c>
      <x:c r="D1528" t="str">
        <x:v>SI1</x:v>
      </x:c>
      <x:c r="E1528" s="36" t="n">
        <x:v>38100</x:v>
      </x:c>
      <x:c r="F1528" s="36" t="n">
        <x:v>2195</x:v>
      </x:c>
      <x:c r="G1528" s="42" t="n">
        <x:v>0.47082797082797084</x:v>
      </x:c>
      <x:c r="H1528" s="36" t="n">
        <x:f>E1528*G1528</x:f>
        <x:v>17938.545688545688</x:v>
      </x:c>
      <x:c r="I1528" s="36" t="n">
        <x:f>IFERROR(H1528/A1528,0)</x:f>
        <x:v>5979.515229515229</x:v>
      </x:c>
      <x:c r="J1528" s="67" t="str">
        <x:v>Modeled from live base + Sep-2026 quality ratio</x:v>
      </x:c>
      <x:c r="K1528" s="67" t="str">
        <x:v>https://www.stonealgo.com/diamond-prices/</x:v>
      </x:c>
      <x:c r="L1528" s="67" t="str">
        <x:v>https://www.pricescope.com/blog/natural-diamond-prices-september-2026</x:v>
      </x:c>
    </x:row>
    <x:row r="1529">
      <x:c r="A1529" t="n">
        <x:v>3</x:v>
      </x:c>
      <x:c r="B1529" t="str">
        <x:v>Emerald</x:v>
      </x:c>
      <x:c r="C1529" t="str">
        <x:v>J</x:v>
      </x:c>
      <x:c r="D1529" t="str">
        <x:v>SI2</x:v>
      </x:c>
      <x:c r="E1529" s="36" t="n">
        <x:v>38100</x:v>
      </x:c>
      <x:c r="F1529" s="36" t="n">
        <x:v>2079</x:v>
      </x:c>
      <x:c r="G1529" s="42" t="n">
        <x:v>0.44594594594594594</x:v>
      </x:c>
      <x:c r="H1529" s="36" t="n">
        <x:f>E1529*G1529</x:f>
        <x:v>16990.54054054054</x:v>
      </x:c>
      <x:c r="I1529" s="36" t="n">
        <x:f>IFERROR(H1529/A1529,0)</x:f>
        <x:v>5663.513513513513</x:v>
      </x:c>
      <x:c r="J1529" s="67" t="str">
        <x:v>Modeled from live base + Sep-2026 quality ratio</x:v>
      </x:c>
      <x:c r="K1529" s="67" t="str">
        <x:v>https://www.stonealgo.com/diamond-prices/</x:v>
      </x:c>
      <x:c r="L1529" s="67" t="str">
        <x:v>https://www.pricescope.com/blog/natural-diamond-prices-september-2026</x:v>
      </x:c>
    </x:row>
    <x:row r="1530">
      <x:c r="A1530" t="n">
        <x:v>3</x:v>
      </x:c>
      <x:c r="B1530" t="str">
        <x:v>Emerald</x:v>
      </x:c>
      <x:c r="C1530" t="str">
        <x:v>K</x:v>
      </x:c>
      <x:c r="D1530" t="str">
        <x:v>FL</x:v>
      </x:c>
      <x:c r="E1530" s="36" t="n">
        <x:v>38100</x:v>
      </x:c>
      <x:c r="F1530" s="36" t="n">
        <x:v>2858</x:v>
      </x:c>
      <x:c r="G1530" s="42" t="n">
        <x:v>0.6130416130416131</x:v>
      </x:c>
      <x:c r="H1530" s="36" t="n">
        <x:f>E1530*G1530</x:f>
        <x:v>23356.88545688546</x:v>
      </x:c>
      <x:c r="I1530" s="36" t="n">
        <x:f>IFERROR(H1530/A1530,0)</x:f>
        <x:v>7785.6284856284865</x:v>
      </x:c>
      <x:c r="J1530" s="67" t="str">
        <x:v>Modeled from live base + Sep-2026 quality ratio; K/FL quality cell modeled</x:v>
      </x:c>
      <x:c r="K1530" s="67" t="str">
        <x:v>https://www.stonealgo.com/diamond-prices/</x:v>
      </x:c>
      <x:c r="L1530" s="67" t="str">
        <x:v>https://www.pricescope.com/blog/natural-diamond-prices-september-2026</x:v>
      </x:c>
    </x:row>
    <x:row r="1531">
      <x:c r="A1531" t="n">
        <x:v>3</x:v>
      </x:c>
      <x:c r="B1531" t="str">
        <x:v>Emerald</x:v>
      </x:c>
      <x:c r="C1531" t="str">
        <x:v>K</x:v>
      </x:c>
      <x:c r="D1531" t="str">
        <x:v>IF</x:v>
      </x:c>
      <x:c r="E1531" s="36" t="n">
        <x:v>38100</x:v>
      </x:c>
      <x:c r="F1531" s="36" t="n">
        <x:v>2743</x:v>
      </x:c>
      <x:c r="G1531" s="42" t="n">
        <x:v>0.5883740883740883</x:v>
      </x:c>
      <x:c r="H1531" s="36" t="n">
        <x:f>E1531*G1531</x:f>
        <x:v>22417.052767052766</x:v>
      </x:c>
      <x:c r="I1531" s="36" t="n">
        <x:f>IFERROR(H1531/A1531,0)</x:f>
        <x:v>7472.350922350922</x:v>
      </x:c>
      <x:c r="J1531" s="67" t="str">
        <x:v>Modeled from live base + Sep-2026 quality ratio</x:v>
      </x:c>
      <x:c r="K1531" s="67" t="str">
        <x:v>https://www.stonealgo.com/diamond-prices/</x:v>
      </x:c>
      <x:c r="L1531" s="67" t="str">
        <x:v>https://www.pricescope.com/blog/natural-diamond-prices-september-2026</x:v>
      </x:c>
    </x:row>
    <x:row r="1532">
      <x:c r="A1532" t="n">
        <x:v>3</x:v>
      </x:c>
      <x:c r="B1532" t="str">
        <x:v>Emerald</x:v>
      </x:c>
      <x:c r="C1532" t="str">
        <x:v>K</x:v>
      </x:c>
      <x:c r="D1532" t="str">
        <x:v>VVS1</x:v>
      </x:c>
      <x:c r="E1532" s="36" t="n">
        <x:v>38100</x:v>
      </x:c>
      <x:c r="F1532" s="36" t="n">
        <x:v>2529</x:v>
      </x:c>
      <x:c r="G1532" s="42" t="n">
        <x:v>0.5424710424710425</x:v>
      </x:c>
      <x:c r="H1532" s="36" t="n">
        <x:f>E1532*G1532</x:f>
        <x:v>20668.14671814672</x:v>
      </x:c>
      <x:c r="I1532" s="36" t="n">
        <x:f>IFERROR(H1532/A1532,0)</x:f>
        <x:v>6889.38223938224</x:v>
      </x:c>
      <x:c r="J1532" s="67" t="str">
        <x:v>Modeled from live base + Sep-2026 quality ratio</x:v>
      </x:c>
      <x:c r="K1532" s="67" t="str">
        <x:v>https://www.stonealgo.com/diamond-prices/</x:v>
      </x:c>
      <x:c r="L1532" s="67" t="str">
        <x:v>https://www.pricescope.com/blog/natural-diamond-prices-september-2026</x:v>
      </x:c>
    </x:row>
    <x:row r="1533">
      <x:c r="A1533" t="n">
        <x:v>3</x:v>
      </x:c>
      <x:c r="B1533" t="str">
        <x:v>Emerald</x:v>
      </x:c>
      <x:c r="C1533" t="str">
        <x:v>K</x:v>
      </x:c>
      <x:c r="D1533" t="str">
        <x:v>VVS2</x:v>
      </x:c>
      <x:c r="E1533" s="36" t="n">
        <x:v>38100</x:v>
      </x:c>
      <x:c r="F1533" s="36" t="n">
        <x:v>2374</x:v>
      </x:c>
      <x:c r="G1533" s="42" t="n">
        <x:v>0.5092235092235092</x:v>
      </x:c>
      <x:c r="H1533" s="36" t="n">
        <x:f>E1533*G1533</x:f>
        <x:v>19401.415701415703</x:v>
      </x:c>
      <x:c r="I1533" s="36" t="n">
        <x:f>IFERROR(H1533/A1533,0)</x:f>
        <x:v>6467.138567138568</x:v>
      </x:c>
      <x:c r="J1533" s="67" t="str">
        <x:v>Modeled from live base + Sep-2026 quality ratio</x:v>
      </x:c>
      <x:c r="K1533" s="67" t="str">
        <x:v>https://www.stonealgo.com/diamond-prices/</x:v>
      </x:c>
      <x:c r="L1533" s="67" t="str">
        <x:v>https://www.pricescope.com/blog/natural-diamond-prices-september-2026</x:v>
      </x:c>
    </x:row>
    <x:row r="1534">
      <x:c r="A1534" t="n">
        <x:v>3</x:v>
      </x:c>
      <x:c r="B1534" t="str">
        <x:v>Emerald</x:v>
      </x:c>
      <x:c r="C1534" t="str">
        <x:v>K</x:v>
      </x:c>
      <x:c r="D1534" t="str">
        <x:v>VS1</x:v>
      </x:c>
      <x:c r="E1534" s="36" t="n">
        <x:v>38100</x:v>
      </x:c>
      <x:c r="F1534" s="36" t="n">
        <x:v>2223</x:v>
      </x:c>
      <x:c r="G1534" s="42" t="n">
        <x:v>0.4768339768339768</x:v>
      </x:c>
      <x:c r="H1534" s="36" t="n">
        <x:f>E1534*G1534</x:f>
        <x:v>18167.374517374516</x:v>
      </x:c>
      <x:c r="I1534" s="36" t="n">
        <x:f>IFERROR(H1534/A1534,0)</x:f>
        <x:v>6055.791505791505</x:v>
      </x:c>
      <x:c r="J1534" s="67" t="str">
        <x:v>Modeled from live base + Sep-2026 quality ratio</x:v>
      </x:c>
      <x:c r="K1534" s="67" t="str">
        <x:v>https://www.stonealgo.com/diamond-prices/</x:v>
      </x:c>
      <x:c r="L1534" s="67" t="str">
        <x:v>https://www.pricescope.com/blog/natural-diamond-prices-september-2026</x:v>
      </x:c>
    </x:row>
    <x:row r="1535">
      <x:c r="A1535" t="n">
        <x:v>3</x:v>
      </x:c>
      <x:c r="B1535" t="str">
        <x:v>Emerald</x:v>
      </x:c>
      <x:c r="C1535" t="str">
        <x:v>K</x:v>
      </x:c>
      <x:c r="D1535" t="str">
        <x:v>VS2</x:v>
      </x:c>
      <x:c r="E1535" s="36" t="n">
        <x:v>38100</x:v>
      </x:c>
      <x:c r="F1535" s="36" t="n">
        <x:v>2098</x:v>
      </x:c>
      <x:c r="G1535" s="42" t="n">
        <x:v>0.45002145002145</x:v>
      </x:c>
      <x:c r="H1535" s="36" t="n">
        <x:f>E1535*G1535</x:f>
        <x:v>17145.817245817245</x:v>
      </x:c>
      <x:c r="I1535" s="36" t="n">
        <x:f>IFERROR(H1535/A1535,0)</x:f>
        <x:v>5715.272415272415</x:v>
      </x:c>
      <x:c r="J1535" s="67" t="str">
        <x:v>Modeled from live base + Sep-2026 quality ratio</x:v>
      </x:c>
      <x:c r="K1535" s="67" t="str">
        <x:v>https://www.stonealgo.com/diamond-prices/</x:v>
      </x:c>
      <x:c r="L1535" s="67" t="str">
        <x:v>https://www.pricescope.com/blog/natural-diamond-prices-september-2026</x:v>
      </x:c>
    </x:row>
    <x:row r="1536">
      <x:c r="A1536" t="n">
        <x:v>3</x:v>
      </x:c>
      <x:c r="B1536" t="str">
        <x:v>Emerald</x:v>
      </x:c>
      <x:c r="C1536" t="str">
        <x:v>K</x:v>
      </x:c>
      <x:c r="D1536" t="str">
        <x:v>SI1</x:v>
      </x:c>
      <x:c r="E1536" s="36" t="n">
        <x:v>38100</x:v>
      </x:c>
      <x:c r="F1536" s="36" t="n">
        <x:v>1922</x:v>
      </x:c>
      <x:c r="G1536" s="42" t="n">
        <x:v>0.41226941226941227</x:v>
      </x:c>
      <x:c r="H1536" s="36" t="n">
        <x:f>E1536*G1536</x:f>
        <x:v>15707.464607464608</x:v>
      </x:c>
      <x:c r="I1536" s="36" t="n">
        <x:f>IFERROR(H1536/A1536,0)</x:f>
        <x:v>5235.821535821536</x:v>
      </x:c>
      <x:c r="J1536" s="67" t="str">
        <x:v>Modeled from live base + Sep-2026 quality ratio</x:v>
      </x:c>
      <x:c r="K1536" s="67" t="str">
        <x:v>https://www.stonealgo.com/diamond-prices/</x:v>
      </x:c>
      <x:c r="L1536" s="67" t="str">
        <x:v>https://www.pricescope.com/blog/natural-diamond-prices-september-2026</x:v>
      </x:c>
    </x:row>
    <x:row r="1537">
      <x:c r="A1537" t="n">
        <x:v>3</x:v>
      </x:c>
      <x:c r="B1537" t="str">
        <x:v>Emerald</x:v>
      </x:c>
      <x:c r="C1537" t="str">
        <x:v>K</x:v>
      </x:c>
      <x:c r="D1537" t="str">
        <x:v>SI2</x:v>
      </x:c>
      <x:c r="E1537" s="36" t="n">
        <x:v>38100</x:v>
      </x:c>
      <x:c r="F1537" s="36" t="n">
        <x:v>1764</x:v>
      </x:c>
      <x:c r="G1537" s="42" t="n">
        <x:v>0.3783783783783784</x:v>
      </x:c>
      <x:c r="H1537" s="36" t="n">
        <x:f>E1537*G1537</x:f>
        <x:v>14416.216216216217</x:v>
      </x:c>
      <x:c r="I1537" s="36" t="n">
        <x:f>IFERROR(H1537/A1537,0)</x:f>
        <x:v>4805.405405405406</x:v>
      </x:c>
      <x:c r="J1537" s="67" t="str">
        <x:v>Modeled from live base + Sep-2026 quality ratio</x:v>
      </x:c>
      <x:c r="K1537" s="67" t="str">
        <x:v>https://www.stonealgo.com/diamond-prices/</x:v>
      </x:c>
      <x:c r="L1537" s="67" t="str">
        <x:v>https://www.pricescope.com/blog/natural-diamond-prices-september-2026</x:v>
      </x:c>
    </x:row>
    <x:row r="1538">
      <x:c r="A1538" t="n">
        <x:v>3</x:v>
      </x:c>
      <x:c r="B1538" t="str">
        <x:v>Cushion</x:v>
      </x:c>
      <x:c r="C1538" t="str">
        <x:v>D</x:v>
      </x:c>
      <x:c r="D1538" t="str">
        <x:v>FL</x:v>
      </x:c>
      <x:c r="E1538" s="36" t="n">
        <x:v>38000</x:v>
      </x:c>
      <x:c r="F1538" s="36" t="n">
        <x:v>12665</x:v>
      </x:c>
      <x:c r="G1538" s="42" t="n">
        <x:v>2.7166452166452166</x:v>
      </x:c>
      <x:c r="H1538" s="36" t="n">
        <x:f>E1538*G1538</x:f>
        <x:v>103232.51823251822</x:v>
      </x:c>
      <x:c r="I1538" s="36" t="n">
        <x:f>IFERROR(H1538/A1538,0)</x:f>
        <x:v>34410.839410839406</x:v>
      </x:c>
      <x:c r="J1538" s="67" t="str">
        <x:v>Modeled from live base + Sep-2026 quality ratio</x:v>
      </x:c>
      <x:c r="K1538" s="67" t="str">
        <x:v>https://www.stonealgo.com/diamond-prices/</x:v>
      </x:c>
      <x:c r="L1538" s="67" t="str">
        <x:v>https://www.pricescope.com/blog/natural-diamond-prices-september-2026</x:v>
      </x:c>
    </x:row>
    <x:row r="1539">
      <x:c r="A1539" t="n">
        <x:v>3</x:v>
      </x:c>
      <x:c r="B1539" t="str">
        <x:v>Cushion</x:v>
      </x:c>
      <x:c r="C1539" t="str">
        <x:v>D</x:v>
      </x:c>
      <x:c r="D1539" t="str">
        <x:v>IF</x:v>
      </x:c>
      <x:c r="E1539" s="36" t="n">
        <x:v>38000</x:v>
      </x:c>
      <x:c r="F1539" s="36" t="n">
        <x:v>13240</x:v>
      </x:c>
      <x:c r="G1539" s="42" t="n">
        <x:v>2.83998283998284</x:v>
      </x:c>
      <x:c r="H1539" s="36" t="n">
        <x:f>E1539*G1539</x:f>
        <x:v>107919.34791934793</x:v>
      </x:c>
      <x:c r="I1539" s="36" t="n">
        <x:f>IFERROR(H1539/A1539,0)</x:f>
        <x:v>35973.11597311598</x:v>
      </x:c>
      <x:c r="J1539" s="67" t="str">
        <x:v>Modeled from live base + Sep-2026 quality ratio</x:v>
      </x:c>
      <x:c r="K1539" s="67" t="str">
        <x:v>https://www.stonealgo.com/diamond-prices/</x:v>
      </x:c>
      <x:c r="L1539" s="67" t="str">
        <x:v>https://www.pricescope.com/blog/natural-diamond-prices-september-2026</x:v>
      </x:c>
    </x:row>
    <x:row r="1540">
      <x:c r="A1540" t="n">
        <x:v>3</x:v>
      </x:c>
      <x:c r="B1540" t="str">
        <x:v>Cushion</x:v>
      </x:c>
      <x:c r="C1540" t="str">
        <x:v>D</x:v>
      </x:c>
      <x:c r="D1540" t="str">
        <x:v>VVS1</x:v>
      </x:c>
      <x:c r="E1540" s="36" t="n">
        <x:v>38000</x:v>
      </x:c>
      <x:c r="F1540" s="36" t="n">
        <x:v>9555</x:v>
      </x:c>
      <x:c r="G1540" s="42" t="n">
        <x:v>2.0495495495495497</x:v>
      </x:c>
      <x:c r="H1540" s="36" t="n">
        <x:f>E1540*G1540</x:f>
        <x:v>77882.88288288288</x:v>
      </x:c>
      <x:c r="I1540" s="36" t="n">
        <x:f>IFERROR(H1540/A1540,0)</x:f>
        <x:v>25960.96096096096</x:v>
      </x:c>
      <x:c r="J1540" s="67" t="str">
        <x:v>Modeled from live base + Sep-2026 quality ratio</x:v>
      </x:c>
      <x:c r="K1540" s="67" t="str">
        <x:v>https://www.stonealgo.com/diamond-prices/</x:v>
      </x:c>
      <x:c r="L1540" s="67" t="str">
        <x:v>https://www.pricescope.com/blog/natural-diamond-prices-september-2026</x:v>
      </x:c>
    </x:row>
    <x:row r="1541">
      <x:c r="A1541" t="n">
        <x:v>3</x:v>
      </x:c>
      <x:c r="B1541" t="str">
        <x:v>Cushion</x:v>
      </x:c>
      <x:c r="C1541" t="str">
        <x:v>D</x:v>
      </x:c>
      <x:c r="D1541" t="str">
        <x:v>VVS2</x:v>
      </x:c>
      <x:c r="E1541" s="36" t="n">
        <x:v>38000</x:v>
      </x:c>
      <x:c r="F1541" s="36" t="n">
        <x:v>6660</x:v>
      </x:c>
      <x:c r="G1541" s="42" t="n">
        <x:v>1.4285714285714286</x:v>
      </x:c>
      <x:c r="H1541" s="36" t="n">
        <x:f>E1541*G1541</x:f>
        <x:v>54285.71428571429</x:v>
      </x:c>
      <x:c r="I1541" s="36" t="n">
        <x:f>IFERROR(H1541/A1541,0)</x:f>
        <x:v>18095.238095238095</x:v>
      </x:c>
      <x:c r="J1541" s="67" t="str">
        <x:v>Modeled from live base + Sep-2026 quality ratio</x:v>
      </x:c>
      <x:c r="K1541" s="67" t="str">
        <x:v>https://www.stonealgo.com/diamond-prices/</x:v>
      </x:c>
      <x:c r="L1541" s="67" t="str">
        <x:v>https://www.pricescope.com/blog/natural-diamond-prices-september-2026</x:v>
      </x:c>
    </x:row>
    <x:row r="1542">
      <x:c r="A1542" t="n">
        <x:v>3</x:v>
      </x:c>
      <x:c r="B1542" t="str">
        <x:v>Cushion</x:v>
      </x:c>
      <x:c r="C1542" t="str">
        <x:v>D</x:v>
      </x:c>
      <x:c r="D1542" t="str">
        <x:v>VS1</x:v>
      </x:c>
      <x:c r="E1542" s="36" t="n">
        <x:v>38000</x:v>
      </x:c>
      <x:c r="F1542" s="36" t="n">
        <x:v>6247</x:v>
      </x:c>
      <x:c r="G1542" s="42" t="n">
        <x:v>1.33998283998284</x:v>
      </x:c>
      <x:c r="H1542" s="36" t="n">
        <x:f>E1542*G1542</x:f>
        <x:v>50919.34791934792</x:v>
      </x:c>
      <x:c r="I1542" s="36" t="n">
        <x:f>IFERROR(H1542/A1542,0)</x:f>
        <x:v>16973.115973115975</x:v>
      </x:c>
      <x:c r="J1542" s="67" t="str">
        <x:v>Modeled from live base + Sep-2026 quality ratio</x:v>
      </x:c>
      <x:c r="K1542" s="67" t="str">
        <x:v>https://www.stonealgo.com/diamond-prices/</x:v>
      </x:c>
      <x:c r="L1542" s="67" t="str">
        <x:v>https://www.pricescope.com/blog/natural-diamond-prices-september-2026</x:v>
      </x:c>
    </x:row>
    <x:row r="1543">
      <x:c r="A1543" t="n">
        <x:v>3</x:v>
      </x:c>
      <x:c r="B1543" t="str">
        <x:v>Cushion</x:v>
      </x:c>
      <x:c r="C1543" t="str">
        <x:v>D</x:v>
      </x:c>
      <x:c r="D1543" t="str">
        <x:v>VS2</x:v>
      </x:c>
      <x:c r="E1543" s="36" t="n">
        <x:v>38000</x:v>
      </x:c>
      <x:c r="F1543" s="36" t="n">
        <x:v>5841</x:v>
      </x:c>
      <x:c r="G1543" s="42" t="n">
        <x:v>1.252895752895753</x:v>
      </x:c>
      <x:c r="H1543" s="36" t="n">
        <x:f>E1543*G1543</x:f>
        <x:v>47610.03861003861</x:v>
      </x:c>
      <x:c r="I1543" s="36" t="n">
        <x:f>IFERROR(H1543/A1543,0)</x:f>
        <x:v>15870.01287001287</x:v>
      </x:c>
      <x:c r="J1543" s="67" t="str">
        <x:v>Modeled from live base + Sep-2026 quality ratio</x:v>
      </x:c>
      <x:c r="K1543" s="67" t="str">
        <x:v>https://www.stonealgo.com/diamond-prices/</x:v>
      </x:c>
      <x:c r="L1543" s="67" t="str">
        <x:v>https://www.pricescope.com/blog/natural-diamond-prices-september-2026</x:v>
      </x:c>
    </x:row>
    <x:row r="1544">
      <x:c r="A1544" t="n">
        <x:v>3</x:v>
      </x:c>
      <x:c r="B1544" t="str">
        <x:v>Cushion</x:v>
      </x:c>
      <x:c r="C1544" t="str">
        <x:v>D</x:v>
      </x:c>
      <x:c r="D1544" t="str">
        <x:v>SI1</x:v>
      </x:c>
      <x:c r="E1544" s="36" t="n">
        <x:v>38000</x:v>
      </x:c>
      <x:c r="F1544" s="36" t="n">
        <x:v>3762</x:v>
      </x:c>
      <x:c r="G1544" s="42" t="n">
        <x:v>0.806949806949807</x:v>
      </x:c>
      <x:c r="H1544" s="36" t="n">
        <x:f>E1544*G1544</x:f>
        <x:v>30664.092664092666</x:v>
      </x:c>
      <x:c r="I1544" s="36" t="n">
        <x:f>IFERROR(H1544/A1544,0)</x:f>
        <x:v>10221.364221364222</x:v>
      </x:c>
      <x:c r="J1544" s="67" t="str">
        <x:v>Modeled from live base + Sep-2026 quality ratio</x:v>
      </x:c>
      <x:c r="K1544" s="67" t="str">
        <x:v>https://www.stonealgo.com/diamond-prices/</x:v>
      </x:c>
      <x:c r="L1544" s="67" t="str">
        <x:v>https://www.pricescope.com/blog/natural-diamond-prices-september-2026</x:v>
      </x:c>
    </x:row>
    <x:row r="1545">
      <x:c r="A1545" t="n">
        <x:v>3</x:v>
      </x:c>
      <x:c r="B1545" t="str">
        <x:v>Cushion</x:v>
      </x:c>
      <x:c r="C1545" t="str">
        <x:v>D</x:v>
      </x:c>
      <x:c r="D1545" t="str">
        <x:v>SI2</x:v>
      </x:c>
      <x:c r="E1545" s="36" t="n">
        <x:v>38000</x:v>
      </x:c>
      <x:c r="F1545" s="36" t="n">
        <x:v>3026</x:v>
      </x:c>
      <x:c r="G1545" s="42" t="n">
        <x:v>0.6490776490776491</x:v>
      </x:c>
      <x:c r="H1545" s="36" t="n">
        <x:f>E1545*G1545</x:f>
        <x:v>24664.950664950666</x:v>
      </x:c>
      <x:c r="I1545" s="36" t="n">
        <x:f>IFERROR(H1545/A1545,0)</x:f>
        <x:v>8221.650221650221</x:v>
      </x:c>
      <x:c r="J1545" s="67" t="str">
        <x:v>Modeled from live base + Sep-2026 quality ratio</x:v>
      </x:c>
      <x:c r="K1545" s="67" t="str">
        <x:v>https://www.stonealgo.com/diamond-prices/</x:v>
      </x:c>
      <x:c r="L1545" s="67" t="str">
        <x:v>https://www.pricescope.com/blog/natural-diamond-prices-september-2026</x:v>
      </x:c>
    </x:row>
    <x:row r="1546">
      <x:c r="A1546" t="n">
        <x:v>3</x:v>
      </x:c>
      <x:c r="B1546" t="str">
        <x:v>Cushion</x:v>
      </x:c>
      <x:c r="C1546" t="str">
        <x:v>E</x:v>
      </x:c>
      <x:c r="D1546" t="str">
        <x:v>FL</x:v>
      </x:c>
      <x:c r="E1546" s="36" t="n">
        <x:v>38000</x:v>
      </x:c>
      <x:c r="F1546" s="36" t="n">
        <x:v>10072</x:v>
      </x:c>
      <x:c r="G1546" s="42" t="n">
        <x:v>2.1604461604461602</x:v>
      </x:c>
      <x:c r="H1546" s="36" t="n">
        <x:f>E1546*G1546</x:f>
        <x:v>82096.95409695408</x:v>
      </x:c>
      <x:c r="I1546" s="36" t="n">
        <x:f>IFERROR(H1546/A1546,0)</x:f>
        <x:v>27365.65136565136</x:v>
      </x:c>
      <x:c r="J1546" s="67" t="str">
        <x:v>Modeled from live base + Sep-2026 quality ratio</x:v>
      </x:c>
      <x:c r="K1546" s="67" t="str">
        <x:v>https://www.stonealgo.com/diamond-prices/</x:v>
      </x:c>
      <x:c r="L1546" s="67" t="str">
        <x:v>https://www.pricescope.com/blog/natural-diamond-prices-september-2026</x:v>
      </x:c>
    </x:row>
    <x:row r="1547">
      <x:c r="A1547" t="n">
        <x:v>3</x:v>
      </x:c>
      <x:c r="B1547" t="str">
        <x:v>Cushion</x:v>
      </x:c>
      <x:c r="C1547" t="str">
        <x:v>E</x:v>
      </x:c>
      <x:c r="D1547" t="str">
        <x:v>IF</x:v>
      </x:c>
      <x:c r="E1547" s="36" t="n">
        <x:v>38000</x:v>
      </x:c>
      <x:c r="F1547" s="36" t="n">
        <x:v>8672</x:v>
      </x:c>
      <x:c r="G1547" s="42" t="n">
        <x:v>1.8601458601458603</x:v>
      </x:c>
      <x:c r="H1547" s="36" t="n">
        <x:f>E1547*G1547</x:f>
        <x:v>70685.54268554269</x:v>
      </x:c>
      <x:c r="I1547" s="36" t="n">
        <x:f>IFERROR(H1547/A1547,0)</x:f>
        <x:v>23561.847561847564</x:v>
      </x:c>
      <x:c r="J1547" s="67" t="str">
        <x:v>Modeled from live base + Sep-2026 quality ratio</x:v>
      </x:c>
      <x:c r="K1547" s="67" t="str">
        <x:v>https://www.stonealgo.com/diamond-prices/</x:v>
      </x:c>
      <x:c r="L1547" s="67" t="str">
        <x:v>https://www.pricescope.com/blog/natural-diamond-prices-september-2026</x:v>
      </x:c>
    </x:row>
    <x:row r="1548">
      <x:c r="A1548" t="n">
        <x:v>3</x:v>
      </x:c>
      <x:c r="B1548" t="str">
        <x:v>Cushion</x:v>
      </x:c>
      <x:c r="C1548" t="str">
        <x:v>E</x:v>
      </x:c>
      <x:c r="D1548" t="str">
        <x:v>VVS1</x:v>
      </x:c>
      <x:c r="E1548" s="36" t="n">
        <x:v>38000</x:v>
      </x:c>
      <x:c r="F1548" s="36" t="n">
        <x:v>7842</x:v>
      </x:c>
      <x:c r="G1548" s="42" t="n">
        <x:v>1.6821106821106822</x:v>
      </x:c>
      <x:c r="H1548" s="36" t="n">
        <x:f>E1548*G1548</x:f>
        <x:v>63920.205920205924</x:v>
      </x:c>
      <x:c r="I1548" s="36" t="n">
        <x:f>IFERROR(H1548/A1548,0)</x:f>
        <x:v>21306.735306735307</x:v>
      </x:c>
      <x:c r="J1548" s="67" t="str">
        <x:v>Modeled from live base + Sep-2026 quality ratio</x:v>
      </x:c>
      <x:c r="K1548" s="67" t="str">
        <x:v>https://www.stonealgo.com/diamond-prices/</x:v>
      </x:c>
      <x:c r="L1548" s="67" t="str">
        <x:v>https://www.pricescope.com/blog/natural-diamond-prices-september-2026</x:v>
      </x:c>
    </x:row>
    <x:row r="1549">
      <x:c r="A1549" t="n">
        <x:v>3</x:v>
      </x:c>
      <x:c r="B1549" t="str">
        <x:v>Cushion</x:v>
      </x:c>
      <x:c r="C1549" t="str">
        <x:v>E</x:v>
      </x:c>
      <x:c r="D1549" t="str">
        <x:v>VVS2</x:v>
      </x:c>
      <x:c r="E1549" s="36" t="n">
        <x:v>38000</x:v>
      </x:c>
      <x:c r="F1549" s="36" t="n">
        <x:v>6880</x:v>
      </x:c>
      <x:c r="G1549" s="42" t="n">
        <x:v>1.4757614757614759</x:v>
      </x:c>
      <x:c r="H1549" s="36" t="n">
        <x:f>E1549*G1549</x:f>
        <x:v>56078.93607893608</x:v>
      </x:c>
      <x:c r="I1549" s="36" t="n">
        <x:f>IFERROR(H1549/A1549,0)</x:f>
        <x:v>18692.978692978693</x:v>
      </x:c>
      <x:c r="J1549" s="67" t="str">
        <x:v>Modeled from live base + Sep-2026 quality ratio</x:v>
      </x:c>
      <x:c r="K1549" s="67" t="str">
        <x:v>https://www.stonealgo.com/diamond-prices/</x:v>
      </x:c>
      <x:c r="L1549" s="67" t="str">
        <x:v>https://www.pricescope.com/blog/natural-diamond-prices-september-2026</x:v>
      </x:c>
    </x:row>
    <x:row r="1550">
      <x:c r="A1550" t="n">
        <x:v>3</x:v>
      </x:c>
      <x:c r="B1550" t="str">
        <x:v>Cushion</x:v>
      </x:c>
      <x:c r="C1550" t="str">
        <x:v>E</x:v>
      </x:c>
      <x:c r="D1550" t="str">
        <x:v>VS1</x:v>
      </x:c>
      <x:c r="E1550" s="36" t="n">
        <x:v>38000</x:v>
      </x:c>
      <x:c r="F1550" s="36" t="n">
        <x:v>6307</x:v>
      </x:c>
      <x:c r="G1550" s="42" t="n">
        <x:v>1.352852852852853</x:v>
      </x:c>
      <x:c r="H1550" s="36" t="n">
        <x:f>E1550*G1550</x:f>
        <x:v>51408.40840840841</x:v>
      </x:c>
      <x:c r="I1550" s="36" t="n">
        <x:f>IFERROR(H1550/A1550,0)</x:f>
        <x:v>17136.136136136138</x:v>
      </x:c>
      <x:c r="J1550" s="67" t="str">
        <x:v>Modeled from live base + Sep-2026 quality ratio</x:v>
      </x:c>
      <x:c r="K1550" s="67" t="str">
        <x:v>https://www.stonealgo.com/diamond-prices/</x:v>
      </x:c>
      <x:c r="L1550" s="67" t="str">
        <x:v>https://www.pricescope.com/blog/natural-diamond-prices-september-2026</x:v>
      </x:c>
    </x:row>
    <x:row r="1551">
      <x:c r="A1551" t="n">
        <x:v>3</x:v>
      </x:c>
      <x:c r="B1551" t="str">
        <x:v>Cushion</x:v>
      </x:c>
      <x:c r="C1551" t="str">
        <x:v>E</x:v>
      </x:c>
      <x:c r="D1551" t="str">
        <x:v>VS2</x:v>
      </x:c>
      <x:c r="E1551" s="36" t="n">
        <x:v>38000</x:v>
      </x:c>
      <x:c r="F1551" s="36" t="n">
        <x:v>5249</x:v>
      </x:c>
      <x:c r="G1551" s="42" t="n">
        <x:v>1.125911625911626</x:v>
      </x:c>
      <x:c r="H1551" s="36" t="n">
        <x:f>E1551*G1551</x:f>
        <x:v>42784.64178464179</x:v>
      </x:c>
      <x:c r="I1551" s="36" t="n">
        <x:f>IFERROR(H1551/A1551,0)</x:f>
        <x:v>14261.547261547263</x:v>
      </x:c>
      <x:c r="J1551" s="67" t="str">
        <x:v>Modeled from live base + Sep-2026 quality ratio</x:v>
      </x:c>
      <x:c r="K1551" s="67" t="str">
        <x:v>https://www.stonealgo.com/diamond-prices/</x:v>
      </x:c>
      <x:c r="L1551" s="67" t="str">
        <x:v>https://www.pricescope.com/blog/natural-diamond-prices-september-2026</x:v>
      </x:c>
    </x:row>
    <x:row r="1552">
      <x:c r="A1552" t="n">
        <x:v>3</x:v>
      </x:c>
      <x:c r="B1552" t="str">
        <x:v>Cushion</x:v>
      </x:c>
      <x:c r="C1552" t="str">
        <x:v>E</x:v>
      </x:c>
      <x:c r="D1552" t="str">
        <x:v>SI1</x:v>
      </x:c>
      <x:c r="E1552" s="36" t="n">
        <x:v>38000</x:v>
      </x:c>
      <x:c r="F1552" s="36" t="n">
        <x:v>3551</x:v>
      </x:c>
      <x:c r="G1552" s="42" t="n">
        <x:v>0.7616902616902617</x:v>
      </x:c>
      <x:c r="H1552" s="36" t="n">
        <x:f>E1552*G1552</x:f>
        <x:v>28944.229944229945</x:v>
      </x:c>
      <x:c r="I1552" s="36" t="n">
        <x:f>IFERROR(H1552/A1552,0)</x:f>
        <x:v>9648.076648076649</x:v>
      </x:c>
      <x:c r="J1552" s="67" t="str">
        <x:v>Modeled from live base + Sep-2026 quality ratio</x:v>
      </x:c>
      <x:c r="K1552" s="67" t="str">
        <x:v>https://www.stonealgo.com/diamond-prices/</x:v>
      </x:c>
      <x:c r="L1552" s="67" t="str">
        <x:v>https://www.pricescope.com/blog/natural-diamond-prices-september-2026</x:v>
      </x:c>
    </x:row>
    <x:row r="1553">
      <x:c r="A1553" t="n">
        <x:v>3</x:v>
      </x:c>
      <x:c r="B1553" t="str">
        <x:v>Cushion</x:v>
      </x:c>
      <x:c r="C1553" t="str">
        <x:v>E</x:v>
      </x:c>
      <x:c r="D1553" t="str">
        <x:v>SI2</x:v>
      </x:c>
      <x:c r="E1553" s="36" t="n">
        <x:v>38000</x:v>
      </x:c>
      <x:c r="F1553" s="36" t="n">
        <x:v>2993</x:v>
      </x:c>
      <x:c r="G1553" s="42" t="n">
        <x:v>0.641999141999142</x:v>
      </x:c>
      <x:c r="H1553" s="36" t="n">
        <x:f>E1553*G1553</x:f>
        <x:v>24395.967395967396</x:v>
      </x:c>
      <x:c r="I1553" s="36" t="n">
        <x:f>IFERROR(H1553/A1553,0)</x:f>
        <x:v>8131.989131989132</x:v>
      </x:c>
      <x:c r="J1553" s="67" t="str">
        <x:v>Modeled from live base + Sep-2026 quality ratio</x:v>
      </x:c>
      <x:c r="K1553" s="67" t="str">
        <x:v>https://www.stonealgo.com/diamond-prices/</x:v>
      </x:c>
      <x:c r="L1553" s="67" t="str">
        <x:v>https://www.pricescope.com/blog/natural-diamond-prices-september-2026</x:v>
      </x:c>
    </x:row>
    <x:row r="1554">
      <x:c r="A1554" t="n">
        <x:v>3</x:v>
      </x:c>
      <x:c r="B1554" t="str">
        <x:v>Cushion</x:v>
      </x:c>
      <x:c r="C1554" t="str">
        <x:v>F</x:v>
      </x:c>
      <x:c r="D1554" t="str">
        <x:v>FL</x:v>
      </x:c>
      <x:c r="E1554" s="36" t="n">
        <x:v>38000</x:v>
      </x:c>
      <x:c r="F1554" s="36" t="n">
        <x:v>6830</x:v>
      </x:c>
      <x:c r="G1554" s="42" t="n">
        <x:v>1.4650364650364651</x:v>
      </x:c>
      <x:c r="H1554" s="36" t="n">
        <x:f>E1554*G1554</x:f>
        <x:v>55671.38567138567</x:v>
      </x:c>
      <x:c r="I1554" s="36" t="n">
        <x:f>IFERROR(H1554/A1554,0)</x:f>
        <x:v>18557.12855712856</x:v>
      </x:c>
      <x:c r="J1554" s="67" t="str">
        <x:v>Modeled from live base + Sep-2026 quality ratio</x:v>
      </x:c>
      <x:c r="K1554" s="67" t="str">
        <x:v>https://www.stonealgo.com/diamond-prices/</x:v>
      </x:c>
      <x:c r="L1554" s="67" t="str">
        <x:v>https://www.pricescope.com/blog/natural-diamond-prices-september-2026</x:v>
      </x:c>
    </x:row>
    <x:row r="1555">
      <x:c r="A1555" t="n">
        <x:v>3</x:v>
      </x:c>
      <x:c r="B1555" t="str">
        <x:v>Cushion</x:v>
      </x:c>
      <x:c r="C1555" t="str">
        <x:v>F</x:v>
      </x:c>
      <x:c r="D1555" t="str">
        <x:v>IF</x:v>
      </x:c>
      <x:c r="E1555" s="36" t="n">
        <x:v>38000</x:v>
      </x:c>
      <x:c r="F1555" s="36" t="n">
        <x:v>7302</x:v>
      </x:c>
      <x:c r="G1555" s="42" t="n">
        <x:v>1.5662805662805663</x:v>
      </x:c>
      <x:c r="H1555" s="36" t="n">
        <x:f>E1555*G1555</x:f>
        <x:v>59518.66151866152</x:v>
      </x:c>
      <x:c r="I1555" s="36" t="n">
        <x:f>IFERROR(H1555/A1555,0)</x:f>
        <x:v>19839.553839553842</x:v>
      </x:c>
      <x:c r="J1555" s="67" t="str">
        <x:v>Modeled from live base + Sep-2026 quality ratio</x:v>
      </x:c>
      <x:c r="K1555" s="67" t="str">
        <x:v>https://www.stonealgo.com/diamond-prices/</x:v>
      </x:c>
      <x:c r="L1555" s="67" t="str">
        <x:v>https://www.pricescope.com/blog/natural-diamond-prices-september-2026</x:v>
      </x:c>
    </x:row>
    <x:row r="1556">
      <x:c r="A1556" t="n">
        <x:v>3</x:v>
      </x:c>
      <x:c r="B1556" t="str">
        <x:v>Cushion</x:v>
      </x:c>
      <x:c r="C1556" t="str">
        <x:v>F</x:v>
      </x:c>
      <x:c r="D1556" t="str">
        <x:v>VVS1</x:v>
      </x:c>
      <x:c r="E1556" s="36" t="n">
        <x:v>38000</x:v>
      </x:c>
      <x:c r="F1556" s="36" t="n">
        <x:v>7542</x:v>
      </x:c>
      <x:c r="G1556" s="42" t="n">
        <x:v>1.6177606177606179</x:v>
      </x:c>
      <x:c r="H1556" s="36" t="n">
        <x:f>E1556*G1556</x:f>
        <x:v>61474.903474903476</x:v>
      </x:c>
      <x:c r="I1556" s="36" t="n">
        <x:f>IFERROR(H1556/A1556,0)</x:f>
        <x:v>20491.634491634493</x:v>
      </x:c>
      <x:c r="J1556" s="67" t="str">
        <x:v>Modeled from live base + Sep-2026 quality ratio</x:v>
      </x:c>
      <x:c r="K1556" s="67" t="str">
        <x:v>https://www.stonealgo.com/diamond-prices/</x:v>
      </x:c>
      <x:c r="L1556" s="67" t="str">
        <x:v>https://www.pricescope.com/blog/natural-diamond-prices-september-2026</x:v>
      </x:c>
    </x:row>
    <x:row r="1557">
      <x:c r="A1557" t="n">
        <x:v>3</x:v>
      </x:c>
      <x:c r="B1557" t="str">
        <x:v>Cushion</x:v>
      </x:c>
      <x:c r="C1557" t="str">
        <x:v>F</x:v>
      </x:c>
      <x:c r="D1557" t="str">
        <x:v>VVS2</x:v>
      </x:c>
      <x:c r="E1557" s="36" t="n">
        <x:v>38000</x:v>
      </x:c>
      <x:c r="F1557" s="36" t="n">
        <x:v>6352</x:v>
      </x:c>
      <x:c r="G1557" s="42" t="n">
        <x:v>1.3625053625053625</x:v>
      </x:c>
      <x:c r="H1557" s="36" t="n">
        <x:f>E1557*G1557</x:f>
        <x:v>51775.20377520377</x:v>
      </x:c>
      <x:c r="I1557" s="36" t="n">
        <x:f>IFERROR(H1557/A1557,0)</x:f>
        <x:v>17258.401258401256</x:v>
      </x:c>
      <x:c r="J1557" s="67" t="str">
        <x:v>Modeled from live base + Sep-2026 quality ratio</x:v>
      </x:c>
      <x:c r="K1557" s="67" t="str">
        <x:v>https://www.stonealgo.com/diamond-prices/</x:v>
      </x:c>
      <x:c r="L1557" s="67" t="str">
        <x:v>https://www.pricescope.com/blog/natural-diamond-prices-september-2026</x:v>
      </x:c>
    </x:row>
    <x:row r="1558">
      <x:c r="A1558" t="n">
        <x:v>3</x:v>
      </x:c>
      <x:c r="B1558" t="str">
        <x:v>Cushion</x:v>
      </x:c>
      <x:c r="C1558" t="str">
        <x:v>F</x:v>
      </x:c>
      <x:c r="D1558" t="str">
        <x:v>VS1</x:v>
      </x:c>
      <x:c r="E1558" s="36" t="n">
        <x:v>38000</x:v>
      </x:c>
      <x:c r="F1558" s="36" t="n">
        <x:v>5647</x:v>
      </x:c>
      <x:c r="G1558" s="42" t="n">
        <x:v>1.2112827112827114</x:v>
      </x:c>
      <x:c r="H1558" s="36" t="n">
        <x:f>E1558*G1558</x:f>
        <x:v>46028.74302874303</x:v>
      </x:c>
      <x:c r="I1558" s="36" t="n">
        <x:f>IFERROR(H1558/A1558,0)</x:f>
        <x:v>15342.914342914344</x:v>
      </x:c>
      <x:c r="J1558" s="67" t="str">
        <x:v>Modeled from live base + Sep-2026 quality ratio</x:v>
      </x:c>
      <x:c r="K1558" s="67" t="str">
        <x:v>https://www.stonealgo.com/diamond-prices/</x:v>
      </x:c>
      <x:c r="L1558" s="67" t="str">
        <x:v>https://www.pricescope.com/blog/natural-diamond-prices-september-2026</x:v>
      </x:c>
    </x:row>
    <x:row r="1559">
      <x:c r="A1559" t="n">
        <x:v>3</x:v>
      </x:c>
      <x:c r="B1559" t="str">
        <x:v>Cushion</x:v>
      </x:c>
      <x:c r="C1559" t="str">
        <x:v>F</x:v>
      </x:c>
      <x:c r="D1559" t="str">
        <x:v>VS2</x:v>
      </x:c>
      <x:c r="E1559" s="36" t="n">
        <x:v>38000</x:v>
      </x:c>
      <x:c r="F1559" s="36" t="n">
        <x:v>4730</x:v>
      </x:c>
      <x:c r="G1559" s="42" t="n">
        <x:v>1.0145860145860146</x:v>
      </x:c>
      <x:c r="H1559" s="36" t="n">
        <x:f>E1559*G1559</x:f>
        <x:v>38554.26855426856</x:v>
      </x:c>
      <x:c r="I1559" s="36" t="n">
        <x:f>IFERROR(H1559/A1559,0)</x:f>
        <x:v>12851.422851422853</x:v>
      </x:c>
      <x:c r="J1559" s="67" t="str">
        <x:v>Modeled from live base + Sep-2026 quality ratio</x:v>
      </x:c>
      <x:c r="K1559" s="67" t="str">
        <x:v>https://www.stonealgo.com/diamond-prices/</x:v>
      </x:c>
      <x:c r="L1559" s="67" t="str">
        <x:v>https://www.pricescope.com/blog/natural-diamond-prices-september-2026</x:v>
      </x:c>
    </x:row>
    <x:row r="1560">
      <x:c r="A1560" t="n">
        <x:v>3</x:v>
      </x:c>
      <x:c r="B1560" t="str">
        <x:v>Cushion</x:v>
      </x:c>
      <x:c r="C1560" t="str">
        <x:v>F</x:v>
      </x:c>
      <x:c r="D1560" t="str">
        <x:v>SI1</x:v>
      </x:c>
      <x:c r="E1560" s="36" t="n">
        <x:v>38000</x:v>
      </x:c>
      <x:c r="F1560" s="36" t="n">
        <x:v>3331</x:v>
      </x:c>
      <x:c r="G1560" s="42" t="n">
        <x:v>0.7145002145002145</x:v>
      </x:c>
      <x:c r="H1560" s="36" t="n">
        <x:f>E1560*G1560</x:f>
        <x:v>27151.00815100815</x:v>
      </x:c>
      <x:c r="I1560" s="36" t="n">
        <x:f>IFERROR(H1560/A1560,0)</x:f>
        <x:v>9050.33605033605</x:v>
      </x:c>
      <x:c r="J1560" s="67" t="str">
        <x:v>Modeled from live base + Sep-2026 quality ratio</x:v>
      </x:c>
      <x:c r="K1560" s="67" t="str">
        <x:v>https://www.stonealgo.com/diamond-prices/</x:v>
      </x:c>
      <x:c r="L1560" s="67" t="str">
        <x:v>https://www.pricescope.com/blog/natural-diamond-prices-september-2026</x:v>
      </x:c>
    </x:row>
    <x:row r="1561">
      <x:c r="A1561" t="n">
        <x:v>3</x:v>
      </x:c>
      <x:c r="B1561" t="str">
        <x:v>Cushion</x:v>
      </x:c>
      <x:c r="C1561" t="str">
        <x:v>F</x:v>
      </x:c>
      <x:c r="D1561" t="str">
        <x:v>SI2</x:v>
      </x:c>
      <x:c r="E1561" s="36" t="n">
        <x:v>38000</x:v>
      </x:c>
      <x:c r="F1561" s="36" t="n">
        <x:v>2733</x:v>
      </x:c>
      <x:c r="G1561" s="42" t="n">
        <x:v>0.5862290862290862</x:v>
      </x:c>
      <x:c r="H1561" s="36" t="n">
        <x:f>E1561*G1561</x:f>
        <x:v>22276.705276705277</x:v>
      </x:c>
      <x:c r="I1561" s="36" t="n">
        <x:f>IFERROR(H1561/A1561,0)</x:f>
        <x:v>7425.5684255684255</x:v>
      </x:c>
      <x:c r="J1561" s="67" t="str">
        <x:v>Modeled from live base + Sep-2026 quality ratio</x:v>
      </x:c>
      <x:c r="K1561" s="67" t="str">
        <x:v>https://www.stonealgo.com/diamond-prices/</x:v>
      </x:c>
      <x:c r="L1561" s="67" t="str">
        <x:v>https://www.pricescope.com/blog/natural-diamond-prices-september-2026</x:v>
      </x:c>
    </x:row>
    <x:row r="1562">
      <x:c r="A1562" t="n">
        <x:v>3</x:v>
      </x:c>
      <x:c r="B1562" t="str">
        <x:v>Cushion</x:v>
      </x:c>
      <x:c r="C1562" t="str">
        <x:v>G</x:v>
      </x:c>
      <x:c r="D1562" t="str">
        <x:v>FL</x:v>
      </x:c>
      <x:c r="E1562" s="36" t="n">
        <x:v>38000</x:v>
      </x:c>
      <x:c r="F1562" s="36" t="n">
        <x:v>5905</x:v>
      </x:c>
      <x:c r="G1562" s="42" t="n">
        <x:v>1.2666237666237665</x:v>
      </x:c>
      <x:c r="H1562" s="36" t="n">
        <x:f>E1562*G1562</x:f>
        <x:v>48131.70313170313</x:v>
      </x:c>
      <x:c r="I1562" s="36" t="n">
        <x:f>IFERROR(H1562/A1562,0)</x:f>
        <x:v>16043.901043901044</x:v>
      </x:c>
      <x:c r="J1562" s="67" t="str">
        <x:v>Modeled from live base + Sep-2026 quality ratio</x:v>
      </x:c>
      <x:c r="K1562" s="67" t="str">
        <x:v>https://www.stonealgo.com/diamond-prices/</x:v>
      </x:c>
      <x:c r="L1562" s="67" t="str">
        <x:v>https://www.pricescope.com/blog/natural-diamond-prices-september-2026</x:v>
      </x:c>
    </x:row>
    <x:row r="1563">
      <x:c r="A1563" t="n">
        <x:v>3</x:v>
      </x:c>
      <x:c r="B1563" t="str">
        <x:v>Cushion</x:v>
      </x:c>
      <x:c r="C1563" t="str">
        <x:v>G</x:v>
      </x:c>
      <x:c r="D1563" t="str">
        <x:v>IF</x:v>
      </x:c>
      <x:c r="E1563" s="36" t="n">
        <x:v>38000</x:v>
      </x:c>
      <x:c r="F1563" s="36" t="n">
        <x:v>5601</x:v>
      </x:c>
      <x:c r="G1563" s="42" t="n">
        <x:v>1.2014157014157014</x:v>
      </x:c>
      <x:c r="H1563" s="36" t="n">
        <x:f>E1563*G1563</x:f>
        <x:v>45653.79665379666</x:v>
      </x:c>
      <x:c r="I1563" s="36" t="n">
        <x:f>IFERROR(H1563/A1563,0)</x:f>
        <x:v>15217.932217932219</x:v>
      </x:c>
      <x:c r="J1563" s="67" t="str">
        <x:v>Modeled from live base + Sep-2026 quality ratio</x:v>
      </x:c>
      <x:c r="K1563" s="67" t="str">
        <x:v>https://www.stonealgo.com/diamond-prices/</x:v>
      </x:c>
      <x:c r="L1563" s="67" t="str">
        <x:v>https://www.pricescope.com/blog/natural-diamond-prices-september-2026</x:v>
      </x:c>
    </x:row>
    <x:row r="1564">
      <x:c r="A1564" t="n">
        <x:v>3</x:v>
      </x:c>
      <x:c r="B1564" t="str">
        <x:v>Cushion</x:v>
      </x:c>
      <x:c r="C1564" t="str">
        <x:v>G</x:v>
      </x:c>
      <x:c r="D1564" t="str">
        <x:v>VVS1</x:v>
      </x:c>
      <x:c r="E1564" s="36" t="n">
        <x:v>38000</x:v>
      </x:c>
      <x:c r="F1564" s="36" t="n">
        <x:v>5124</x:v>
      </x:c>
      <x:c r="G1564" s="42" t="n">
        <x:v>1.0990990990990992</x:v>
      </x:c>
      <x:c r="H1564" s="36" t="n">
        <x:f>E1564*G1564</x:f>
        <x:v>41765.76576576577</x:v>
      </x:c>
      <x:c r="I1564" s="36" t="n">
        <x:f>IFERROR(H1564/A1564,0)</x:f>
        <x:v>13921.921921921923</x:v>
      </x:c>
      <x:c r="J1564" s="67" t="str">
        <x:v>Modeled from live base + Sep-2026 quality ratio</x:v>
      </x:c>
      <x:c r="K1564" s="67" t="str">
        <x:v>https://www.stonealgo.com/diamond-prices/</x:v>
      </x:c>
      <x:c r="L1564" s="67" t="str">
        <x:v>https://www.pricescope.com/blog/natural-diamond-prices-september-2026</x:v>
      </x:c>
    </x:row>
    <x:row r="1565">
      <x:c r="A1565" t="n">
        <x:v>3</x:v>
      </x:c>
      <x:c r="B1565" t="str">
        <x:v>Cushion</x:v>
      </x:c>
      <x:c r="C1565" t="str">
        <x:v>G</x:v>
      </x:c>
      <x:c r="D1565" t="str">
        <x:v>VVS2</x:v>
      </x:c>
      <x:c r="E1565" s="36" t="n">
        <x:v>38000</x:v>
      </x:c>
      <x:c r="F1565" s="36" t="n">
        <x:v>4962</x:v>
      </x:c>
      <x:c r="G1565" s="42" t="n">
        <x:v>1.0643500643500643</x:v>
      </x:c>
      <x:c r="H1565" s="36" t="n">
        <x:f>E1565*G1565</x:f>
        <x:v>40445.30244530244</x:v>
      </x:c>
      <x:c r="I1565" s="36" t="n">
        <x:f>IFERROR(H1565/A1565,0)</x:f>
        <x:v>13481.76748176748</x:v>
      </x:c>
      <x:c r="J1565" s="67" t="str">
        <x:v>Modeled from live base + Sep-2026 quality ratio</x:v>
      </x:c>
      <x:c r="K1565" s="67" t="str">
        <x:v>https://www.stonealgo.com/diamond-prices/</x:v>
      </x:c>
      <x:c r="L1565" s="67" t="str">
        <x:v>https://www.pricescope.com/blog/natural-diamond-prices-september-2026</x:v>
      </x:c>
    </x:row>
    <x:row r="1566">
      <x:c r="A1566" t="n">
        <x:v>3</x:v>
      </x:c>
      <x:c r="B1566" t="str">
        <x:v>Cushion</x:v>
      </x:c>
      <x:c r="C1566" t="str">
        <x:v>G</x:v>
      </x:c>
      <x:c r="D1566" t="str">
        <x:v>VS1</x:v>
      </x:c>
      <x:c r="E1566" s="36" t="n">
        <x:v>38000</x:v>
      </x:c>
      <x:c r="F1566" s="36" t="n">
        <x:v>4615</x:v>
      </x:c>
      <x:c r="G1566" s="42" t="n">
        <x:v>0.98991848991849</x:v>
      </x:c>
      <x:c r="H1566" s="36" t="n">
        <x:f>E1566*G1566</x:f>
        <x:v>37616.90261690262</x:v>
      </x:c>
      <x:c r="I1566" s="36" t="n">
        <x:f>IFERROR(H1566/A1566,0)</x:f>
        <x:v>12538.96753896754</x:v>
      </x:c>
      <x:c r="J1566" s="67" t="str">
        <x:v>Modeled from live base + Sep-2026 quality ratio</x:v>
      </x:c>
      <x:c r="K1566" s="67" t="str">
        <x:v>https://www.stonealgo.com/diamond-prices/</x:v>
      </x:c>
      <x:c r="L1566" s="67" t="str">
        <x:v>https://www.pricescope.com/blog/natural-diamond-prices-september-2026</x:v>
      </x:c>
    </x:row>
    <x:row r="1567">
      <x:c r="A1567" t="n">
        <x:v>3</x:v>
      </x:c>
      <x:c r="B1567" t="str">
        <x:v>Cushion</x:v>
      </x:c>
      <x:c r="C1567" t="str">
        <x:v>G</x:v>
      </x:c>
      <x:c r="D1567" t="str">
        <x:v>VS2</x:v>
      </x:c>
      <x:c r="E1567" s="36" t="n">
        <x:v>38000</x:v>
      </x:c>
      <x:c r="F1567" s="36" t="n">
        <x:v>4585</x:v>
      </x:c>
      <x:c r="G1567" s="42" t="n">
        <x:v>0.9834834834834835</x:v>
      </x:c>
      <x:c r="H1567" s="36" t="n">
        <x:f>E1567*G1567</x:f>
        <x:v>37372.372372372374</x:v>
      </x:c>
      <x:c r="I1567" s="36" t="n">
        <x:f>IFERROR(H1567/A1567,0)</x:f>
        <x:v>12457.457457457458</x:v>
      </x:c>
      <x:c r="J1567" s="67" t="str">
        <x:v>Modeled from live base + Sep-2026 quality ratio</x:v>
      </x:c>
      <x:c r="K1567" s="67" t="str">
        <x:v>https://www.stonealgo.com/diamond-prices/</x:v>
      </x:c>
      <x:c r="L1567" s="67" t="str">
        <x:v>https://www.pricescope.com/blog/natural-diamond-prices-september-2026</x:v>
      </x:c>
    </x:row>
    <x:row r="1568">
      <x:c r="A1568" t="n">
        <x:v>3</x:v>
      </x:c>
      <x:c r="B1568" t="str">
        <x:v>Cushion</x:v>
      </x:c>
      <x:c r="C1568" t="str">
        <x:v>G</x:v>
      </x:c>
      <x:c r="D1568" t="str">
        <x:v>SI1</x:v>
      </x:c>
      <x:c r="E1568" s="36" t="n">
        <x:v>38000</x:v>
      </x:c>
      <x:c r="F1568" s="36" t="n">
        <x:v>3664</x:v>
      </x:c>
      <x:c r="G1568" s="42" t="n">
        <x:v>0.7859287859287859</x:v>
      </x:c>
      <x:c r="H1568" s="36" t="n">
        <x:f>E1568*G1568</x:f>
        <x:v>29865.293865293865</x:v>
      </x:c>
      <x:c r="I1568" s="36" t="n">
        <x:f>IFERROR(H1568/A1568,0)</x:f>
        <x:v>9955.097955097955</x:v>
      </x:c>
      <x:c r="J1568" s="67" t="str">
        <x:v>Modeled from live base + Sep-2026 quality ratio</x:v>
      </x:c>
      <x:c r="K1568" s="67" t="str">
        <x:v>https://www.stonealgo.com/diamond-prices/</x:v>
      </x:c>
      <x:c r="L1568" s="67" t="str">
        <x:v>https://www.pricescope.com/blog/natural-diamond-prices-september-2026</x:v>
      </x:c>
    </x:row>
    <x:row r="1569">
      <x:c r="A1569" t="n">
        <x:v>3</x:v>
      </x:c>
      <x:c r="B1569" t="str">
        <x:v>Cushion</x:v>
      </x:c>
      <x:c r="C1569" t="str">
        <x:v>G</x:v>
      </x:c>
      <x:c r="D1569" t="str">
        <x:v>SI2</x:v>
      </x:c>
      <x:c r="E1569" s="36" t="n">
        <x:v>38000</x:v>
      </x:c>
      <x:c r="F1569" s="36" t="n">
        <x:v>2537</x:v>
      </x:c>
      <x:c r="G1569" s="42" t="n">
        <x:v>0.5441870441870442</x:v>
      </x:c>
      <x:c r="H1569" s="36" t="n">
        <x:f>E1569*G1569</x:f>
        <x:v>20679.10767910768</x:v>
      </x:c>
      <x:c r="I1569" s="36" t="n">
        <x:f>IFERROR(H1569/A1569,0)</x:f>
        <x:v>6893.035893035893</x:v>
      </x:c>
      <x:c r="J1569" s="67" t="str">
        <x:v>Modeled from live base + Sep-2026 quality ratio</x:v>
      </x:c>
      <x:c r="K1569" s="67" t="str">
        <x:v>https://www.stonealgo.com/diamond-prices/</x:v>
      </x:c>
      <x:c r="L1569" s="67" t="str">
        <x:v>https://www.pricescope.com/blog/natural-diamond-prices-september-2026</x:v>
      </x:c>
    </x:row>
    <x:row r="1570">
      <x:c r="A1570" t="n">
        <x:v>3</x:v>
      </x:c>
      <x:c r="B1570" t="str">
        <x:v>Cushion</x:v>
      </x:c>
      <x:c r="C1570" t="str">
        <x:v>H</x:v>
      </x:c>
      <x:c r="D1570" t="str">
        <x:v>FL</x:v>
      </x:c>
      <x:c r="E1570" s="36" t="n">
        <x:v>38000</x:v>
      </x:c>
      <x:c r="F1570" s="36" t="n">
        <x:v>4563</x:v>
      </x:c>
      <x:c r="G1570" s="42" t="n">
        <x:v>0.9787644787644788</x:v>
      </x:c>
      <x:c r="H1570" s="36" t="n">
        <x:f>E1570*G1570</x:f>
        <x:v>37193.05019305019</x:v>
      </x:c>
      <x:c r="I1570" s="36" t="n">
        <x:f>IFERROR(H1570/A1570,0)</x:f>
        <x:v>12397.683397683397</x:v>
      </x:c>
      <x:c r="J1570" s="67" t="str">
        <x:v>Modeled from live base + Sep-2026 quality ratio</x:v>
      </x:c>
      <x:c r="K1570" s="67" t="str">
        <x:v>https://www.stonealgo.com/diamond-prices/</x:v>
      </x:c>
      <x:c r="L1570" s="67" t="str">
        <x:v>https://www.pricescope.com/blog/natural-diamond-prices-september-2026</x:v>
      </x:c>
    </x:row>
    <x:row r="1571">
      <x:c r="A1571" t="n">
        <x:v>3</x:v>
      </x:c>
      <x:c r="B1571" t="str">
        <x:v>Cushion</x:v>
      </x:c>
      <x:c r="C1571" t="str">
        <x:v>H</x:v>
      </x:c>
      <x:c r="D1571" t="str">
        <x:v>IF</x:v>
      </x:c>
      <x:c r="E1571" s="36" t="n">
        <x:v>38000</x:v>
      </x:c>
      <x:c r="F1571" s="36" t="n">
        <x:v>4809</x:v>
      </x:c>
      <x:c r="G1571" s="42" t="n">
        <x:v>1.0315315315315314</x:v>
      </x:c>
      <x:c r="H1571" s="36" t="n">
        <x:f>E1571*G1571</x:f>
        <x:v>39198.198198198195</x:v>
      </x:c>
      <x:c r="I1571" s="36" t="n">
        <x:f>IFERROR(H1571/A1571,0)</x:f>
        <x:v>13066.066066066065</x:v>
      </x:c>
      <x:c r="J1571" s="67" t="str">
        <x:v>Modeled from live base + Sep-2026 quality ratio</x:v>
      </x:c>
      <x:c r="K1571" s="67" t="str">
        <x:v>https://www.stonealgo.com/diamond-prices/</x:v>
      </x:c>
      <x:c r="L1571" s="67" t="str">
        <x:v>https://www.pricescope.com/blog/natural-diamond-prices-september-2026</x:v>
      </x:c>
    </x:row>
    <x:row r="1572">
      <x:c r="A1572" t="n">
        <x:v>3</x:v>
      </x:c>
      <x:c r="B1572" t="str">
        <x:v>Cushion</x:v>
      </x:c>
      <x:c r="C1572" t="str">
        <x:v>H</x:v>
      </x:c>
      <x:c r="D1572" t="str">
        <x:v>VVS1</x:v>
      </x:c>
      <x:c r="E1572" s="36" t="n">
        <x:v>38000</x:v>
      </x:c>
      <x:c r="F1572" s="36" t="n">
        <x:v>4911</x:v>
      </x:c>
      <x:c r="G1572" s="42" t="n">
        <x:v>1.0534105534105533</x:v>
      </x:c>
      <x:c r="H1572" s="36" t="n">
        <x:f>E1572*G1572</x:f>
        <x:v>40029.60102960103</x:v>
      </x:c>
      <x:c r="I1572" s="36" t="n">
        <x:f>IFERROR(H1572/A1572,0)</x:f>
        <x:v>13343.200343200342</x:v>
      </x:c>
      <x:c r="J1572" s="67" t="str">
        <x:v>Modeled from live base + Sep-2026 quality ratio</x:v>
      </x:c>
      <x:c r="K1572" s="67" t="str">
        <x:v>https://www.stonealgo.com/diamond-prices/</x:v>
      </x:c>
      <x:c r="L1572" s="67" t="str">
        <x:v>https://www.pricescope.com/blog/natural-diamond-prices-september-2026</x:v>
      </x:c>
    </x:row>
    <x:row r="1573">
      <x:c r="A1573" t="n">
        <x:v>3</x:v>
      </x:c>
      <x:c r="B1573" t="str">
        <x:v>Cushion</x:v>
      </x:c>
      <x:c r="C1573" t="str">
        <x:v>H</x:v>
      </x:c>
      <x:c r="D1573" t="str">
        <x:v>VVS2</x:v>
      </x:c>
      <x:c r="E1573" s="36" t="n">
        <x:v>38000</x:v>
      </x:c>
      <x:c r="F1573" s="36" t="n">
        <x:v>4046</x:v>
      </x:c>
      <x:c r="G1573" s="42" t="n">
        <x:v>0.8678678678678678</x:v>
      </x:c>
      <x:c r="H1573" s="36" t="n">
        <x:f>E1573*G1573</x:f>
        <x:v>32978.97897897898</x:v>
      </x:c>
      <x:c r="I1573" s="36" t="n">
        <x:f>IFERROR(H1573/A1573,0)</x:f>
        <x:v>10992.992992992993</x:v>
      </x:c>
      <x:c r="J1573" s="67" t="str">
        <x:v>Modeled from live base + Sep-2026 quality ratio</x:v>
      </x:c>
      <x:c r="K1573" s="67" t="str">
        <x:v>https://www.stonealgo.com/diamond-prices/</x:v>
      </x:c>
      <x:c r="L1573" s="67" t="str">
        <x:v>https://www.pricescope.com/blog/natural-diamond-prices-september-2026</x:v>
      </x:c>
    </x:row>
    <x:row r="1574">
      <x:c r="A1574" t="n">
        <x:v>3</x:v>
      </x:c>
      <x:c r="B1574" t="str">
        <x:v>Cushion</x:v>
      </x:c>
      <x:c r="C1574" t="str">
        <x:v>H</x:v>
      </x:c>
      <x:c r="D1574" t="str">
        <x:v>VS1</x:v>
      </x:c>
      <x:c r="E1574" s="36" t="n">
        <x:v>38000</x:v>
      </x:c>
      <x:c r="F1574" s="36" t="n">
        <x:v>3893</x:v>
      </x:c>
      <x:c r="G1574" s="42" t="n">
        <x:v>0.8350493350493351</x:v>
      </x:c>
      <x:c r="H1574" s="36" t="n">
        <x:f>E1574*G1574</x:f>
        <x:v>31731.874731874734</x:v>
      </x:c>
      <x:c r="I1574" s="36" t="n">
        <x:f>IFERROR(H1574/A1574,0)</x:f>
        <x:v>10577.291577291579</x:v>
      </x:c>
      <x:c r="J1574" s="67" t="str">
        <x:v>Modeled from live base + Sep-2026 quality ratio</x:v>
      </x:c>
      <x:c r="K1574" s="67" t="str">
        <x:v>https://www.stonealgo.com/diamond-prices/</x:v>
      </x:c>
      <x:c r="L1574" s="67" t="str">
        <x:v>https://www.pricescope.com/blog/natural-diamond-prices-september-2026</x:v>
      </x:c>
    </x:row>
    <x:row r="1575">
      <x:c r="A1575" t="n">
        <x:v>3</x:v>
      </x:c>
      <x:c r="B1575" t="str">
        <x:v>Cushion</x:v>
      </x:c>
      <x:c r="C1575" t="str">
        <x:v>H</x:v>
      </x:c>
      <x:c r="D1575" t="str">
        <x:v>VS2</x:v>
      </x:c>
      <x:c r="E1575" s="36" t="n">
        <x:v>38000</x:v>
      </x:c>
      <x:c r="F1575" s="36" t="n">
        <x:v>3989</x:v>
      </x:c>
      <x:c r="G1575" s="42" t="n">
        <x:v>0.8556413556413557</x:v>
      </x:c>
      <x:c r="H1575" s="36" t="n">
        <x:f>E1575*G1575</x:f>
        <x:v>32514.371514371516</x:v>
      </x:c>
      <x:c r="I1575" s="36" t="n">
        <x:f>IFERROR(H1575/A1575,0)</x:f>
        <x:v>10838.123838123838</x:v>
      </x:c>
      <x:c r="J1575" s="67" t="str">
        <x:v>Modeled from live base + Sep-2026 quality ratio</x:v>
      </x:c>
      <x:c r="K1575" s="67" t="str">
        <x:v>https://www.stonealgo.com/diamond-prices/</x:v>
      </x:c>
      <x:c r="L1575" s="67" t="str">
        <x:v>https://www.pricescope.com/blog/natural-diamond-prices-september-2026</x:v>
      </x:c>
    </x:row>
    <x:row r="1576">
      <x:c r="A1576" t="n">
        <x:v>3</x:v>
      </x:c>
      <x:c r="B1576" t="str">
        <x:v>Cushion</x:v>
      </x:c>
      <x:c r="C1576" t="str">
        <x:v>H</x:v>
      </x:c>
      <x:c r="D1576" t="str">
        <x:v>SI1</x:v>
      </x:c>
      <x:c r="E1576" s="36" t="n">
        <x:v>38000</x:v>
      </x:c>
      <x:c r="F1576" s="36" t="n">
        <x:v>2828</x:v>
      </x:c>
      <x:c r="G1576" s="42" t="n">
        <x:v>0.6066066066066066</x:v>
      </x:c>
      <x:c r="H1576" s="36" t="n">
        <x:f>E1576*G1576</x:f>
        <x:v>23051.05105105105</x:v>
      </x:c>
      <x:c r="I1576" s="36" t="n">
        <x:f>IFERROR(H1576/A1576,0)</x:f>
        <x:v>7683.683683683684</x:v>
      </x:c>
      <x:c r="J1576" s="67" t="str">
        <x:v>Modeled from live base + Sep-2026 quality ratio</x:v>
      </x:c>
      <x:c r="K1576" s="67" t="str">
        <x:v>https://www.stonealgo.com/diamond-prices/</x:v>
      </x:c>
      <x:c r="L1576" s="67" t="str">
        <x:v>https://www.pricescope.com/blog/natural-diamond-prices-september-2026</x:v>
      </x:c>
    </x:row>
    <x:row r="1577">
      <x:c r="A1577" t="n">
        <x:v>3</x:v>
      </x:c>
      <x:c r="B1577" t="str">
        <x:v>Cushion</x:v>
      </x:c>
      <x:c r="C1577" t="str">
        <x:v>H</x:v>
      </x:c>
      <x:c r="D1577" t="str">
        <x:v>SI2</x:v>
      </x:c>
      <x:c r="E1577" s="36" t="n">
        <x:v>38000</x:v>
      </x:c>
      <x:c r="F1577" s="36" t="n">
        <x:v>2328</x:v>
      </x:c>
      <x:c r="G1577" s="42" t="n">
        <x:v>0.49935649935649934</x:v>
      </x:c>
      <x:c r="H1577" s="36" t="n">
        <x:f>E1577*G1577</x:f>
        <x:v>18975.546975546975</x:v>
      </x:c>
      <x:c r="I1577" s="36" t="n">
        <x:f>IFERROR(H1577/A1577,0)</x:f>
        <x:v>6325.182325182325</x:v>
      </x:c>
      <x:c r="J1577" s="67" t="str">
        <x:v>Modeled from live base + Sep-2026 quality ratio</x:v>
      </x:c>
      <x:c r="K1577" s="67" t="str">
        <x:v>https://www.stonealgo.com/diamond-prices/</x:v>
      </x:c>
      <x:c r="L1577" s="67" t="str">
        <x:v>https://www.pricescope.com/blog/natural-diamond-prices-september-2026</x:v>
      </x:c>
    </x:row>
    <x:row r="1578">
      <x:c r="A1578" t="n">
        <x:v>3</x:v>
      </x:c>
      <x:c r="B1578" t="str">
        <x:v>Cushion</x:v>
      </x:c>
      <x:c r="C1578" t="str">
        <x:v>I</x:v>
      </x:c>
      <x:c r="D1578" t="str">
        <x:v>FL</x:v>
      </x:c>
      <x:c r="E1578" s="36" t="n">
        <x:v>38000</x:v>
      </x:c>
      <x:c r="F1578" s="36" t="n">
        <x:v>4623</x:v>
      </x:c>
      <x:c r="G1578" s="42" t="n">
        <x:v>0.9916344916344917</x:v>
      </x:c>
      <x:c r="H1578" s="36" t="n">
        <x:f>E1578*G1578</x:f>
        <x:v>37682.11068211069</x:v>
      </x:c>
      <x:c r="I1578" s="36" t="n">
        <x:f>IFERROR(H1578/A1578,0)</x:f>
        <x:v>12560.703560703563</x:v>
      </x:c>
      <x:c r="J1578" s="67" t="str">
        <x:v>Modeled from live base + Sep-2026 quality ratio</x:v>
      </x:c>
      <x:c r="K1578" s="67" t="str">
        <x:v>https://www.stonealgo.com/diamond-prices/</x:v>
      </x:c>
      <x:c r="L1578" s="67" t="str">
        <x:v>https://www.pricescope.com/blog/natural-diamond-prices-september-2026</x:v>
      </x:c>
    </x:row>
    <x:row r="1579">
      <x:c r="A1579" t="n">
        <x:v>3</x:v>
      </x:c>
      <x:c r="B1579" t="str">
        <x:v>Cushion</x:v>
      </x:c>
      <x:c r="C1579" t="str">
        <x:v>I</x:v>
      </x:c>
      <x:c r="D1579" t="str">
        <x:v>IF</x:v>
      </x:c>
      <x:c r="E1579" s="36" t="n">
        <x:v>38000</x:v>
      </x:c>
      <x:c r="F1579" s="36" t="n">
        <x:v>4005</x:v>
      </x:c>
      <x:c r="G1579" s="42" t="n">
        <x:v>0.859073359073359</x:v>
      </x:c>
      <x:c r="H1579" s="36" t="n">
        <x:f>E1579*G1579</x:f>
        <x:v>32644.787644787644</x:v>
      </x:c>
      <x:c r="I1579" s="36" t="n">
        <x:f>IFERROR(H1579/A1579,0)</x:f>
        <x:v>10881.595881595882</x:v>
      </x:c>
      <x:c r="J1579" s="67" t="str">
        <x:v>Modeled from live base + Sep-2026 quality ratio</x:v>
      </x:c>
      <x:c r="K1579" s="67" t="str">
        <x:v>https://www.stonealgo.com/diamond-prices/</x:v>
      </x:c>
      <x:c r="L1579" s="67" t="str">
        <x:v>https://www.pricescope.com/blog/natural-diamond-prices-september-2026</x:v>
      </x:c>
    </x:row>
    <x:row r="1580">
      <x:c r="A1580" t="n">
        <x:v>3</x:v>
      </x:c>
      <x:c r="B1580" t="str">
        <x:v>Cushion</x:v>
      </x:c>
      <x:c r="C1580" t="str">
        <x:v>I</x:v>
      </x:c>
      <x:c r="D1580" t="str">
        <x:v>VVS1</x:v>
      </x:c>
      <x:c r="E1580" s="36" t="n">
        <x:v>38000</x:v>
      </x:c>
      <x:c r="F1580" s="36" t="n">
        <x:v>3670</x:v>
      </x:c>
      <x:c r="G1580" s="42" t="n">
        <x:v>0.7872157872157872</x:v>
      </x:c>
      <x:c r="H1580" s="36" t="n">
        <x:f>E1580*G1580</x:f>
        <x:v>29914.199914199915</x:v>
      </x:c>
      <x:c r="I1580" s="36" t="n">
        <x:f>IFERROR(H1580/A1580,0)</x:f>
        <x:v>9971.399971399971</x:v>
      </x:c>
      <x:c r="J1580" s="67" t="str">
        <x:v>Modeled from live base + Sep-2026 quality ratio</x:v>
      </x:c>
      <x:c r="K1580" s="67" t="str">
        <x:v>https://www.stonealgo.com/diamond-prices/</x:v>
      </x:c>
      <x:c r="L1580" s="67" t="str">
        <x:v>https://www.pricescope.com/blog/natural-diamond-prices-september-2026</x:v>
      </x:c>
    </x:row>
    <x:row r="1581">
      <x:c r="A1581" t="n">
        <x:v>3</x:v>
      </x:c>
      <x:c r="B1581" t="str">
        <x:v>Cushion</x:v>
      </x:c>
      <x:c r="C1581" t="str">
        <x:v>I</x:v>
      </x:c>
      <x:c r="D1581" t="str">
        <x:v>VVS2</x:v>
      </x:c>
      <x:c r="E1581" s="36" t="n">
        <x:v>38000</x:v>
      </x:c>
      <x:c r="F1581" s="36" t="n">
        <x:v>3447</x:v>
      </x:c>
      <x:c r="G1581" s="42" t="n">
        <x:v>0.7393822393822393</x:v>
      </x:c>
      <x:c r="H1581" s="36" t="n">
        <x:f>E1581*G1581</x:f>
        <x:v>28096.525096525096</x:v>
      </x:c>
      <x:c r="I1581" s="36" t="n">
        <x:f>IFERROR(H1581/A1581,0)</x:f>
        <x:v>9365.508365508365</x:v>
      </x:c>
      <x:c r="J1581" s="67" t="str">
        <x:v>Modeled from live base + Sep-2026 quality ratio</x:v>
      </x:c>
      <x:c r="K1581" s="67" t="str">
        <x:v>https://www.stonealgo.com/diamond-prices/</x:v>
      </x:c>
      <x:c r="L1581" s="67" t="str">
        <x:v>https://www.pricescope.com/blog/natural-diamond-prices-september-2026</x:v>
      </x:c>
    </x:row>
    <x:row r="1582">
      <x:c r="A1582" t="n">
        <x:v>3</x:v>
      </x:c>
      <x:c r="B1582" t="str">
        <x:v>Cushion</x:v>
      </x:c>
      <x:c r="C1582" t="str">
        <x:v>I</x:v>
      </x:c>
      <x:c r="D1582" t="str">
        <x:v>VS1</x:v>
      </x:c>
      <x:c r="E1582" s="36" t="n">
        <x:v>38000</x:v>
      </x:c>
      <x:c r="F1582" s="36" t="n">
        <x:v>3313</x:v>
      </x:c>
      <x:c r="G1582" s="42" t="n">
        <x:v>0.7106392106392107</x:v>
      </x:c>
      <x:c r="H1582" s="36" t="n">
        <x:f>E1582*G1582</x:f>
        <x:v>27004.290004290004</x:v>
      </x:c>
      <x:c r="I1582" s="36" t="n">
        <x:f>IFERROR(H1582/A1582,0)</x:f>
        <x:v>9001.43000143</x:v>
      </x:c>
      <x:c r="J1582" s="67" t="str">
        <x:v>Modeled from live base + Sep-2026 quality ratio</x:v>
      </x:c>
      <x:c r="K1582" s="67" t="str">
        <x:v>https://www.stonealgo.com/diamond-prices/</x:v>
      </x:c>
      <x:c r="L1582" s="67" t="str">
        <x:v>https://www.pricescope.com/blog/natural-diamond-prices-september-2026</x:v>
      </x:c>
    </x:row>
    <x:row r="1583">
      <x:c r="A1583" t="n">
        <x:v>3</x:v>
      </x:c>
      <x:c r="B1583" t="str">
        <x:v>Cushion</x:v>
      </x:c>
      <x:c r="C1583" t="str">
        <x:v>I</x:v>
      </x:c>
      <x:c r="D1583" t="str">
        <x:v>VS2</x:v>
      </x:c>
      <x:c r="E1583" s="36" t="n">
        <x:v>38000</x:v>
      </x:c>
      <x:c r="F1583" s="36" t="n">
        <x:v>3240</x:v>
      </x:c>
      <x:c r="G1583" s="42" t="n">
        <x:v>0.694980694980695</x:v>
      </x:c>
      <x:c r="H1583" s="36" t="n">
        <x:f>E1583*G1583</x:f>
        <x:v>26409.266409266413</x:v>
      </x:c>
      <x:c r="I1583" s="36" t="n">
        <x:f>IFERROR(H1583/A1583,0)</x:f>
        <x:v>8803.088803088804</x:v>
      </x:c>
      <x:c r="J1583" s="67" t="str">
        <x:v>Modeled from live base + Sep-2026 quality ratio</x:v>
      </x:c>
      <x:c r="K1583" s="67" t="str">
        <x:v>https://www.stonealgo.com/diamond-prices/</x:v>
      </x:c>
      <x:c r="L1583" s="67" t="str">
        <x:v>https://www.pricescope.com/blog/natural-diamond-prices-september-2026</x:v>
      </x:c>
    </x:row>
    <x:row r="1584">
      <x:c r="A1584" t="n">
        <x:v>3</x:v>
      </x:c>
      <x:c r="B1584" t="str">
        <x:v>Cushion</x:v>
      </x:c>
      <x:c r="C1584" t="str">
        <x:v>I</x:v>
      </x:c>
      <x:c r="D1584" t="str">
        <x:v>SI1</x:v>
      </x:c>
      <x:c r="E1584" s="36" t="n">
        <x:v>38000</x:v>
      </x:c>
      <x:c r="F1584" s="36" t="n">
        <x:v>3199</x:v>
      </x:c>
      <x:c r="G1584" s="42" t="n">
        <x:v>0.6861861861861862</x:v>
      </x:c>
      <x:c r="H1584" s="36" t="n">
        <x:f>E1584*G1584</x:f>
        <x:v>26075.075075075078</x:v>
      </x:c>
      <x:c r="I1584" s="36" t="n">
        <x:f>IFERROR(H1584/A1584,0)</x:f>
        <x:v>8691.691691691693</x:v>
      </x:c>
      <x:c r="J1584" s="67" t="str">
        <x:v>Modeled from live base + Sep-2026 quality ratio</x:v>
      </x:c>
      <x:c r="K1584" s="67" t="str">
        <x:v>https://www.stonealgo.com/diamond-prices/</x:v>
      </x:c>
      <x:c r="L1584" s="67" t="str">
        <x:v>https://www.pricescope.com/blog/natural-diamond-prices-september-2026</x:v>
      </x:c>
    </x:row>
    <x:row r="1585">
      <x:c r="A1585" t="n">
        <x:v>3</x:v>
      </x:c>
      <x:c r="B1585" t="str">
        <x:v>Cushion</x:v>
      </x:c>
      <x:c r="C1585" t="str">
        <x:v>I</x:v>
      </x:c>
      <x:c r="D1585" t="str">
        <x:v>SI2</x:v>
      </x:c>
      <x:c r="E1585" s="36" t="n">
        <x:v>38000</x:v>
      </x:c>
      <x:c r="F1585" s="36" t="n">
        <x:v>2874</x:v>
      </x:c>
      <x:c r="G1585" s="42" t="n">
        <x:v>0.6164736164736164</x:v>
      </x:c>
      <x:c r="H1585" s="36" t="n">
        <x:f>E1585*G1585</x:f>
        <x:v>23425.997425997422</x:v>
      </x:c>
      <x:c r="I1585" s="36" t="n">
        <x:f>IFERROR(H1585/A1585,0)</x:f>
        <x:v>7808.665808665807</x:v>
      </x:c>
      <x:c r="J1585" s="67" t="str">
        <x:v>Modeled from live base + Sep-2026 quality ratio</x:v>
      </x:c>
      <x:c r="K1585" s="67" t="str">
        <x:v>https://www.stonealgo.com/diamond-prices/</x:v>
      </x:c>
      <x:c r="L1585" s="67" t="str">
        <x:v>https://www.pricescope.com/blog/natural-diamond-prices-september-2026</x:v>
      </x:c>
    </x:row>
    <x:row r="1586">
      <x:c r="A1586" t="n">
        <x:v>3</x:v>
      </x:c>
      <x:c r="B1586" t="str">
        <x:v>Cushion</x:v>
      </x:c>
      <x:c r="C1586" t="str">
        <x:v>J</x:v>
      </x:c>
      <x:c r="D1586" t="str">
        <x:v>FL</x:v>
      </x:c>
      <x:c r="E1586" s="36" t="n">
        <x:v>38000</x:v>
      </x:c>
      <x:c r="F1586" s="36" t="n">
        <x:v>3646</x:v>
      </x:c>
      <x:c r="G1586" s="42" t="n">
        <x:v>0.782067782067782</x:v>
      </x:c>
      <x:c r="H1586" s="36" t="n">
        <x:f>E1586*G1586</x:f>
        <x:v>29718.575718575717</x:v>
      </x:c>
      <x:c r="I1586" s="36" t="n">
        <x:f>IFERROR(H1586/A1586,0)</x:f>
        <x:v>9906.191906191905</x:v>
      </x:c>
      <x:c r="J1586" s="67" t="str">
        <x:v>Modeled from live base + Sep-2026 quality ratio</x:v>
      </x:c>
      <x:c r="K1586" s="67" t="str">
        <x:v>https://www.stonealgo.com/diamond-prices/</x:v>
      </x:c>
      <x:c r="L1586" s="67" t="str">
        <x:v>https://www.pricescope.com/blog/natural-diamond-prices-september-2026</x:v>
      </x:c>
    </x:row>
    <x:row r="1587">
      <x:c r="A1587" t="n">
        <x:v>3</x:v>
      </x:c>
      <x:c r="B1587" t="str">
        <x:v>Cushion</x:v>
      </x:c>
      <x:c r="C1587" t="str">
        <x:v>J</x:v>
      </x:c>
      <x:c r="D1587" t="str">
        <x:v>IF</x:v>
      </x:c>
      <x:c r="E1587" s="36" t="n">
        <x:v>38000</x:v>
      </x:c>
      <x:c r="F1587" s="36" t="n">
        <x:v>3368</x:v>
      </x:c>
      <x:c r="G1587" s="42" t="n">
        <x:v>0.7224367224367224</x:v>
      </x:c>
      <x:c r="H1587" s="36" t="n">
        <x:f>E1587*G1587</x:f>
        <x:v>27452.59545259545</x:v>
      </x:c>
      <x:c r="I1587" s="36" t="n">
        <x:f>IFERROR(H1587/A1587,0)</x:f>
        <x:v>9150.865150865151</x:v>
      </x:c>
      <x:c r="J1587" s="67" t="str">
        <x:v>Modeled from live base + Sep-2026 quality ratio</x:v>
      </x:c>
      <x:c r="K1587" s="67" t="str">
        <x:v>https://www.stonealgo.com/diamond-prices/</x:v>
      </x:c>
      <x:c r="L1587" s="67" t="str">
        <x:v>https://www.pricescope.com/blog/natural-diamond-prices-september-2026</x:v>
      </x:c>
    </x:row>
    <x:row r="1588">
      <x:c r="A1588" t="n">
        <x:v>3</x:v>
      </x:c>
      <x:c r="B1588" t="str">
        <x:v>Cushion</x:v>
      </x:c>
      <x:c r="C1588" t="str">
        <x:v>J</x:v>
      </x:c>
      <x:c r="D1588" t="str">
        <x:v>VVS1</x:v>
      </x:c>
      <x:c r="E1588" s="36" t="n">
        <x:v>38000</x:v>
      </x:c>
      <x:c r="F1588" s="36" t="n">
        <x:v>2956</x:v>
      </x:c>
      <x:c r="G1588" s="42" t="n">
        <x:v>0.6340626340626341</x:v>
      </x:c>
      <x:c r="H1588" s="36" t="n">
        <x:f>E1588*G1588</x:f>
        <x:v>24094.380094380096</x:v>
      </x:c>
      <x:c r="I1588" s="36" t="n">
        <x:f>IFERROR(H1588/A1588,0)</x:f>
        <x:v>8031.460031460032</x:v>
      </x:c>
      <x:c r="J1588" s="67" t="str">
        <x:v>Modeled from live base + Sep-2026 quality ratio</x:v>
      </x:c>
      <x:c r="K1588" s="67" t="str">
        <x:v>https://www.stonealgo.com/diamond-prices/</x:v>
      </x:c>
      <x:c r="L1588" s="67" t="str">
        <x:v>https://www.pricescope.com/blog/natural-diamond-prices-september-2026</x:v>
      </x:c>
    </x:row>
    <x:row r="1589">
      <x:c r="A1589" t="n">
        <x:v>3</x:v>
      </x:c>
      <x:c r="B1589" t="str">
        <x:v>Cushion</x:v>
      </x:c>
      <x:c r="C1589" t="str">
        <x:v>J</x:v>
      </x:c>
      <x:c r="D1589" t="str">
        <x:v>VVS2</x:v>
      </x:c>
      <x:c r="E1589" s="36" t="n">
        <x:v>38000</x:v>
      </x:c>
      <x:c r="F1589" s="36" t="n">
        <x:v>2612</x:v>
      </x:c>
      <x:c r="G1589" s="42" t="n">
        <x:v>0.5602745602745602</x:v>
      </x:c>
      <x:c r="H1589" s="36" t="n">
        <x:f>E1589*G1589</x:f>
        <x:v>21290.433290433288</x:v>
      </x:c>
      <x:c r="I1589" s="36" t="n">
        <x:f>IFERROR(H1589/A1589,0)</x:f>
        <x:v>7096.811096811096</x:v>
      </x:c>
      <x:c r="J1589" s="67" t="str">
        <x:v>Modeled from live base + Sep-2026 quality ratio</x:v>
      </x:c>
      <x:c r="K1589" s="67" t="str">
        <x:v>https://www.stonealgo.com/diamond-prices/</x:v>
      </x:c>
      <x:c r="L1589" s="67" t="str">
        <x:v>https://www.pricescope.com/blog/natural-diamond-prices-september-2026</x:v>
      </x:c>
    </x:row>
    <x:row r="1590">
      <x:c r="A1590" t="n">
        <x:v>3</x:v>
      </x:c>
      <x:c r="B1590" t="str">
        <x:v>Cushion</x:v>
      </x:c>
      <x:c r="C1590" t="str">
        <x:v>J</x:v>
      </x:c>
      <x:c r="D1590" t="str">
        <x:v>VS1</x:v>
      </x:c>
      <x:c r="E1590" s="36" t="n">
        <x:v>38000</x:v>
      </x:c>
      <x:c r="F1590" s="36" t="n">
        <x:v>3002</x:v>
      </x:c>
      <x:c r="G1590" s="42" t="n">
        <x:v>0.6439296439296439</x:v>
      </x:c>
      <x:c r="H1590" s="36" t="n">
        <x:f>E1590*G1590</x:f>
        <x:v>24469.32646932647</x:v>
      </x:c>
      <x:c r="I1590" s="36" t="n">
        <x:f>IFERROR(H1590/A1590,0)</x:f>
        <x:v>8156.442156442156</x:v>
      </x:c>
      <x:c r="J1590" s="67" t="str">
        <x:v>Modeled from live base + Sep-2026 quality ratio</x:v>
      </x:c>
      <x:c r="K1590" s="67" t="str">
        <x:v>https://www.stonealgo.com/diamond-prices/</x:v>
      </x:c>
      <x:c r="L1590" s="67" t="str">
        <x:v>https://www.pricescope.com/blog/natural-diamond-prices-september-2026</x:v>
      </x:c>
    </x:row>
    <x:row r="1591">
      <x:c r="A1591" t="n">
        <x:v>3</x:v>
      </x:c>
      <x:c r="B1591" t="str">
        <x:v>Cushion</x:v>
      </x:c>
      <x:c r="C1591" t="str">
        <x:v>J</x:v>
      </x:c>
      <x:c r="D1591" t="str">
        <x:v>VS2</x:v>
      </x:c>
      <x:c r="E1591" s="36" t="n">
        <x:v>38000</x:v>
      </x:c>
      <x:c r="F1591" s="36" t="n">
        <x:v>2559</x:v>
      </x:c>
      <x:c r="G1591" s="42" t="n">
        <x:v>0.5489060489060489</x:v>
      </x:c>
      <x:c r="H1591" s="36" t="n">
        <x:f>E1591*G1591</x:f>
        <x:v>20858.429858429856</x:v>
      </x:c>
      <x:c r="I1591" s="36" t="n">
        <x:f>IFERROR(H1591/A1591,0)</x:f>
        <x:v>6952.809952809952</x:v>
      </x:c>
      <x:c r="J1591" s="67" t="str">
        <x:v>Modeled from live base + Sep-2026 quality ratio</x:v>
      </x:c>
      <x:c r="K1591" s="67" t="str">
        <x:v>https://www.stonealgo.com/diamond-prices/</x:v>
      </x:c>
      <x:c r="L1591" s="67" t="str">
        <x:v>https://www.pricescope.com/blog/natural-diamond-prices-september-2026</x:v>
      </x:c>
    </x:row>
    <x:row r="1592">
      <x:c r="A1592" t="n">
        <x:v>3</x:v>
      </x:c>
      <x:c r="B1592" t="str">
        <x:v>Cushion</x:v>
      </x:c>
      <x:c r="C1592" t="str">
        <x:v>J</x:v>
      </x:c>
      <x:c r="D1592" t="str">
        <x:v>SI1</x:v>
      </x:c>
      <x:c r="E1592" s="36" t="n">
        <x:v>38000</x:v>
      </x:c>
      <x:c r="F1592" s="36" t="n">
        <x:v>2195</x:v>
      </x:c>
      <x:c r="G1592" s="42" t="n">
        <x:v>0.47082797082797084</x:v>
      </x:c>
      <x:c r="H1592" s="36" t="n">
        <x:f>E1592*G1592</x:f>
        <x:v>17891.462891462892</x:v>
      </x:c>
      <x:c r="I1592" s="36" t="n">
        <x:f>IFERROR(H1592/A1592,0)</x:f>
        <x:v>5963.820963820964</x:v>
      </x:c>
      <x:c r="J1592" s="67" t="str">
        <x:v>Modeled from live base + Sep-2026 quality ratio</x:v>
      </x:c>
      <x:c r="K1592" s="67" t="str">
        <x:v>https://www.stonealgo.com/diamond-prices/</x:v>
      </x:c>
      <x:c r="L1592" s="67" t="str">
        <x:v>https://www.pricescope.com/blog/natural-diamond-prices-september-2026</x:v>
      </x:c>
    </x:row>
    <x:row r="1593">
      <x:c r="A1593" t="n">
        <x:v>3</x:v>
      </x:c>
      <x:c r="B1593" t="str">
        <x:v>Cushion</x:v>
      </x:c>
      <x:c r="C1593" t="str">
        <x:v>J</x:v>
      </x:c>
      <x:c r="D1593" t="str">
        <x:v>SI2</x:v>
      </x:c>
      <x:c r="E1593" s="36" t="n">
        <x:v>38000</x:v>
      </x:c>
      <x:c r="F1593" s="36" t="n">
        <x:v>2079</x:v>
      </x:c>
      <x:c r="G1593" s="42" t="n">
        <x:v>0.44594594594594594</x:v>
      </x:c>
      <x:c r="H1593" s="36" t="n">
        <x:f>E1593*G1593</x:f>
        <x:v>16945.945945945947</x:v>
      </x:c>
      <x:c r="I1593" s="36" t="n">
        <x:f>IFERROR(H1593/A1593,0)</x:f>
        <x:v>5648.648648648649</x:v>
      </x:c>
      <x:c r="J1593" s="67" t="str">
        <x:v>Modeled from live base + Sep-2026 quality ratio</x:v>
      </x:c>
      <x:c r="K1593" s="67" t="str">
        <x:v>https://www.stonealgo.com/diamond-prices/</x:v>
      </x:c>
      <x:c r="L1593" s="67" t="str">
        <x:v>https://www.pricescope.com/blog/natural-diamond-prices-september-2026</x:v>
      </x:c>
    </x:row>
    <x:row r="1594">
      <x:c r="A1594" t="n">
        <x:v>3</x:v>
      </x:c>
      <x:c r="B1594" t="str">
        <x:v>Cushion</x:v>
      </x:c>
      <x:c r="C1594" t="str">
        <x:v>K</x:v>
      </x:c>
      <x:c r="D1594" t="str">
        <x:v>FL</x:v>
      </x:c>
      <x:c r="E1594" s="36" t="n">
        <x:v>38000</x:v>
      </x:c>
      <x:c r="F1594" s="36" t="n">
        <x:v>2858</x:v>
      </x:c>
      <x:c r="G1594" s="42" t="n">
        <x:v>0.6130416130416131</x:v>
      </x:c>
      <x:c r="H1594" s="36" t="n">
        <x:f>E1594*G1594</x:f>
        <x:v>23295.581295581298</x:v>
      </x:c>
      <x:c r="I1594" s="36" t="n">
        <x:f>IFERROR(H1594/A1594,0)</x:f>
        <x:v>7765.193765193766</x:v>
      </x:c>
      <x:c r="J1594" s="67" t="str">
        <x:v>Modeled from live base + Sep-2026 quality ratio; K/FL quality cell modeled</x:v>
      </x:c>
      <x:c r="K1594" s="67" t="str">
        <x:v>https://www.stonealgo.com/diamond-prices/</x:v>
      </x:c>
      <x:c r="L1594" s="67" t="str">
        <x:v>https://www.pricescope.com/blog/natural-diamond-prices-september-2026</x:v>
      </x:c>
    </x:row>
    <x:row r="1595">
      <x:c r="A1595" t="n">
        <x:v>3</x:v>
      </x:c>
      <x:c r="B1595" t="str">
        <x:v>Cushion</x:v>
      </x:c>
      <x:c r="C1595" t="str">
        <x:v>K</x:v>
      </x:c>
      <x:c r="D1595" t="str">
        <x:v>IF</x:v>
      </x:c>
      <x:c r="E1595" s="36" t="n">
        <x:v>38000</x:v>
      </x:c>
      <x:c r="F1595" s="36" t="n">
        <x:v>2743</x:v>
      </x:c>
      <x:c r="G1595" s="42" t="n">
        <x:v>0.5883740883740883</x:v>
      </x:c>
      <x:c r="H1595" s="36" t="n">
        <x:f>E1595*G1595</x:f>
        <x:v>22358.215358215355</x:v>
      </x:c>
      <x:c r="I1595" s="36" t="n">
        <x:f>IFERROR(H1595/A1595,0)</x:f>
        <x:v>7452.738452738452</x:v>
      </x:c>
      <x:c r="J1595" s="67" t="str">
        <x:v>Modeled from live base + Sep-2026 quality ratio</x:v>
      </x:c>
      <x:c r="K1595" s="67" t="str">
        <x:v>https://www.stonealgo.com/diamond-prices/</x:v>
      </x:c>
      <x:c r="L1595" s="67" t="str">
        <x:v>https://www.pricescope.com/blog/natural-diamond-prices-september-2026</x:v>
      </x:c>
    </x:row>
    <x:row r="1596">
      <x:c r="A1596" t="n">
        <x:v>3</x:v>
      </x:c>
      <x:c r="B1596" t="str">
        <x:v>Cushion</x:v>
      </x:c>
      <x:c r="C1596" t="str">
        <x:v>K</x:v>
      </x:c>
      <x:c r="D1596" t="str">
        <x:v>VVS1</x:v>
      </x:c>
      <x:c r="E1596" s="36" t="n">
        <x:v>38000</x:v>
      </x:c>
      <x:c r="F1596" s="36" t="n">
        <x:v>2529</x:v>
      </x:c>
      <x:c r="G1596" s="42" t="n">
        <x:v>0.5424710424710425</x:v>
      </x:c>
      <x:c r="H1596" s="36" t="n">
        <x:f>E1596*G1596</x:f>
        <x:v>20613.899613899615</x:v>
      </x:c>
      <x:c r="I1596" s="36" t="n">
        <x:f>IFERROR(H1596/A1596,0)</x:f>
        <x:v>6871.2998712998715</x:v>
      </x:c>
      <x:c r="J1596" s="67" t="str">
        <x:v>Modeled from live base + Sep-2026 quality ratio</x:v>
      </x:c>
      <x:c r="K1596" s="67" t="str">
        <x:v>https://www.stonealgo.com/diamond-prices/</x:v>
      </x:c>
      <x:c r="L1596" s="67" t="str">
        <x:v>https://www.pricescope.com/blog/natural-diamond-prices-september-2026</x:v>
      </x:c>
    </x:row>
    <x:row r="1597">
      <x:c r="A1597" t="n">
        <x:v>3</x:v>
      </x:c>
      <x:c r="B1597" t="str">
        <x:v>Cushion</x:v>
      </x:c>
      <x:c r="C1597" t="str">
        <x:v>K</x:v>
      </x:c>
      <x:c r="D1597" t="str">
        <x:v>VVS2</x:v>
      </x:c>
      <x:c r="E1597" s="36" t="n">
        <x:v>38000</x:v>
      </x:c>
      <x:c r="F1597" s="36" t="n">
        <x:v>2374</x:v>
      </x:c>
      <x:c r="G1597" s="42" t="n">
        <x:v>0.5092235092235092</x:v>
      </x:c>
      <x:c r="H1597" s="36" t="n">
        <x:f>E1597*G1597</x:f>
        <x:v>19350.49335049335</x:v>
      </x:c>
      <x:c r="I1597" s="36" t="n">
        <x:f>IFERROR(H1597/A1597,0)</x:f>
        <x:v>6450.1644501644505</x:v>
      </x:c>
      <x:c r="J1597" s="67" t="str">
        <x:v>Modeled from live base + Sep-2026 quality ratio</x:v>
      </x:c>
      <x:c r="K1597" s="67" t="str">
        <x:v>https://www.stonealgo.com/diamond-prices/</x:v>
      </x:c>
      <x:c r="L1597" s="67" t="str">
        <x:v>https://www.pricescope.com/blog/natural-diamond-prices-september-2026</x:v>
      </x:c>
    </x:row>
    <x:row r="1598">
      <x:c r="A1598" t="n">
        <x:v>3</x:v>
      </x:c>
      <x:c r="B1598" t="str">
        <x:v>Cushion</x:v>
      </x:c>
      <x:c r="C1598" t="str">
        <x:v>K</x:v>
      </x:c>
      <x:c r="D1598" t="str">
        <x:v>VS1</x:v>
      </x:c>
      <x:c r="E1598" s="36" t="n">
        <x:v>38000</x:v>
      </x:c>
      <x:c r="F1598" s="36" t="n">
        <x:v>2223</x:v>
      </x:c>
      <x:c r="G1598" s="42" t="n">
        <x:v>0.4768339768339768</x:v>
      </x:c>
      <x:c r="H1598" s="36" t="n">
        <x:f>E1598*G1598</x:f>
        <x:v>18119.69111969112</x:v>
      </x:c>
      <x:c r="I1598" s="36" t="n">
        <x:f>IFERROR(H1598/A1598,0)</x:f>
        <x:v>6039.8970398970405</x:v>
      </x:c>
      <x:c r="J1598" s="67" t="str">
        <x:v>Modeled from live base + Sep-2026 quality ratio</x:v>
      </x:c>
      <x:c r="K1598" s="67" t="str">
        <x:v>https://www.stonealgo.com/diamond-prices/</x:v>
      </x:c>
      <x:c r="L1598" s="67" t="str">
        <x:v>https://www.pricescope.com/blog/natural-diamond-prices-september-2026</x:v>
      </x:c>
    </x:row>
    <x:row r="1599">
      <x:c r="A1599" t="n">
        <x:v>3</x:v>
      </x:c>
      <x:c r="B1599" t="str">
        <x:v>Cushion</x:v>
      </x:c>
      <x:c r="C1599" t="str">
        <x:v>K</x:v>
      </x:c>
      <x:c r="D1599" t="str">
        <x:v>VS2</x:v>
      </x:c>
      <x:c r="E1599" s="36" t="n">
        <x:v>38000</x:v>
      </x:c>
      <x:c r="F1599" s="36" t="n">
        <x:v>2098</x:v>
      </x:c>
      <x:c r="G1599" s="42" t="n">
        <x:v>0.45002145002145</x:v>
      </x:c>
      <x:c r="H1599" s="36" t="n">
        <x:f>E1599*G1599</x:f>
        <x:v>17100.8151008151</x:v>
      </x:c>
      <x:c r="I1599" s="36" t="n">
        <x:f>IFERROR(H1599/A1599,0)</x:f>
        <x:v>5700.2717002717</x:v>
      </x:c>
      <x:c r="J1599" s="67" t="str">
        <x:v>Modeled from live base + Sep-2026 quality ratio</x:v>
      </x:c>
      <x:c r="K1599" s="67" t="str">
        <x:v>https://www.stonealgo.com/diamond-prices/</x:v>
      </x:c>
      <x:c r="L1599" s="67" t="str">
        <x:v>https://www.pricescope.com/blog/natural-diamond-prices-september-2026</x:v>
      </x:c>
    </x:row>
    <x:row r="1600">
      <x:c r="A1600" t="n">
        <x:v>3</x:v>
      </x:c>
      <x:c r="B1600" t="str">
        <x:v>Cushion</x:v>
      </x:c>
      <x:c r="C1600" t="str">
        <x:v>K</x:v>
      </x:c>
      <x:c r="D1600" t="str">
        <x:v>SI1</x:v>
      </x:c>
      <x:c r="E1600" s="36" t="n">
        <x:v>38000</x:v>
      </x:c>
      <x:c r="F1600" s="36" t="n">
        <x:v>1922</x:v>
      </x:c>
      <x:c r="G1600" s="42" t="n">
        <x:v>0.41226941226941227</x:v>
      </x:c>
      <x:c r="H1600" s="36" t="n">
        <x:f>E1600*G1600</x:f>
        <x:v>15666.237666237666</x:v>
      </x:c>
      <x:c r="I1600" s="36" t="n">
        <x:f>IFERROR(H1600/A1600,0)</x:f>
        <x:v>5222.079222079222</x:v>
      </x:c>
      <x:c r="J1600" s="67" t="str">
        <x:v>Modeled from live base + Sep-2026 quality ratio</x:v>
      </x:c>
      <x:c r="K1600" s="67" t="str">
        <x:v>https://www.stonealgo.com/diamond-prices/</x:v>
      </x:c>
      <x:c r="L1600" s="67" t="str">
        <x:v>https://www.pricescope.com/blog/natural-diamond-prices-september-2026</x:v>
      </x:c>
    </x:row>
    <x:row r="1601">
      <x:c r="A1601" t="n">
        <x:v>3</x:v>
      </x:c>
      <x:c r="B1601" t="str">
        <x:v>Cushion</x:v>
      </x:c>
      <x:c r="C1601" t="str">
        <x:v>K</x:v>
      </x:c>
      <x:c r="D1601" t="str">
        <x:v>SI2</x:v>
      </x:c>
      <x:c r="E1601" s="36" t="n">
        <x:v>38000</x:v>
      </x:c>
      <x:c r="F1601" s="36" t="n">
        <x:v>1764</x:v>
      </x:c>
      <x:c r="G1601" s="42" t="n">
        <x:v>0.3783783783783784</x:v>
      </x:c>
      <x:c r="H1601" s="36" t="n">
        <x:f>E1601*G1601</x:f>
        <x:v>14378.378378378378</x:v>
      </x:c>
      <x:c r="I1601" s="36" t="n">
        <x:f>IFERROR(H1601/A1601,0)</x:f>
        <x:v>4792.792792792793</x:v>
      </x:c>
      <x:c r="J1601" s="67" t="str">
        <x:v>Modeled from live base + Sep-2026 quality ratio</x:v>
      </x:c>
      <x:c r="K1601" s="67" t="str">
        <x:v>https://www.stonealgo.com/diamond-prices/</x:v>
      </x:c>
      <x:c r="L1601" s="67" t="str">
        <x:v>https://www.pricescope.com/blog/natural-diamond-prices-september-2026</x:v>
      </x:c>
    </x:row>
    <x:row r="1602">
      <x:c r="A1602" t="n">
        <x:v>3</x:v>
      </x:c>
      <x:c r="B1602" t="str">
        <x:v>Radiant</x:v>
      </x:c>
      <x:c r="C1602" t="str">
        <x:v>D</x:v>
      </x:c>
      <x:c r="D1602" t="str">
        <x:v>FL</x:v>
      </x:c>
      <x:c r="E1602" s="36" t="n">
        <x:v>37700</x:v>
      </x:c>
      <x:c r="F1602" s="36" t="n">
        <x:v>12665</x:v>
      </x:c>
      <x:c r="G1602" s="42" t="n">
        <x:v>2.7166452166452166</x:v>
      </x:c>
      <x:c r="H1602" s="36" t="n">
        <x:f>E1602*G1602</x:f>
        <x:v>102417.52466752466</x:v>
      </x:c>
      <x:c r="I1602" s="36" t="n">
        <x:f>IFERROR(H1602/A1602,0)</x:f>
        <x:v>34139.17488917489</x:v>
      </x:c>
      <x:c r="J1602" s="67" t="str">
        <x:v>Modeled from live base + Sep-2026 quality ratio</x:v>
      </x:c>
      <x:c r="K1602" s="67" t="str">
        <x:v>https://www.stonealgo.com/diamond-prices/</x:v>
      </x:c>
      <x:c r="L1602" s="67" t="str">
        <x:v>https://www.pricescope.com/blog/natural-diamond-prices-september-2026</x:v>
      </x:c>
    </x:row>
    <x:row r="1603">
      <x:c r="A1603" t="n">
        <x:v>3</x:v>
      </x:c>
      <x:c r="B1603" t="str">
        <x:v>Radiant</x:v>
      </x:c>
      <x:c r="C1603" t="str">
        <x:v>D</x:v>
      </x:c>
      <x:c r="D1603" t="str">
        <x:v>IF</x:v>
      </x:c>
      <x:c r="E1603" s="36" t="n">
        <x:v>37700</x:v>
      </x:c>
      <x:c r="F1603" s="36" t="n">
        <x:v>13240</x:v>
      </x:c>
      <x:c r="G1603" s="42" t="n">
        <x:v>2.83998283998284</x:v>
      </x:c>
      <x:c r="H1603" s="36" t="n">
        <x:f>E1603*G1603</x:f>
        <x:v>107067.35306735308</x:v>
      </x:c>
      <x:c r="I1603" s="36" t="n">
        <x:f>IFERROR(H1603/A1603,0)</x:f>
        <x:v>35689.117689117695</x:v>
      </x:c>
      <x:c r="J1603" s="67" t="str">
        <x:v>Modeled from live base + Sep-2026 quality ratio</x:v>
      </x:c>
      <x:c r="K1603" s="67" t="str">
        <x:v>https://www.stonealgo.com/diamond-prices/</x:v>
      </x:c>
      <x:c r="L1603" s="67" t="str">
        <x:v>https://www.pricescope.com/blog/natural-diamond-prices-september-2026</x:v>
      </x:c>
    </x:row>
    <x:row r="1604">
      <x:c r="A1604" t="n">
        <x:v>3</x:v>
      </x:c>
      <x:c r="B1604" t="str">
        <x:v>Radiant</x:v>
      </x:c>
      <x:c r="C1604" t="str">
        <x:v>D</x:v>
      </x:c>
      <x:c r="D1604" t="str">
        <x:v>VVS1</x:v>
      </x:c>
      <x:c r="E1604" s="36" t="n">
        <x:v>37700</x:v>
      </x:c>
      <x:c r="F1604" s="36" t="n">
        <x:v>9555</x:v>
      </x:c>
      <x:c r="G1604" s="42" t="n">
        <x:v>2.0495495495495497</x:v>
      </x:c>
      <x:c r="H1604" s="36" t="n">
        <x:f>E1604*G1604</x:f>
        <x:v>77268.01801801802</x:v>
      </x:c>
      <x:c r="I1604" s="36" t="n">
        <x:f>IFERROR(H1604/A1604,0)</x:f>
        <x:v>25756.006006006006</x:v>
      </x:c>
      <x:c r="J1604" s="67" t="str">
        <x:v>Modeled from live base + Sep-2026 quality ratio</x:v>
      </x:c>
      <x:c r="K1604" s="67" t="str">
        <x:v>https://www.stonealgo.com/diamond-prices/</x:v>
      </x:c>
      <x:c r="L1604" s="67" t="str">
        <x:v>https://www.pricescope.com/blog/natural-diamond-prices-september-2026</x:v>
      </x:c>
    </x:row>
    <x:row r="1605">
      <x:c r="A1605" t="n">
        <x:v>3</x:v>
      </x:c>
      <x:c r="B1605" t="str">
        <x:v>Radiant</x:v>
      </x:c>
      <x:c r="C1605" t="str">
        <x:v>D</x:v>
      </x:c>
      <x:c r="D1605" t="str">
        <x:v>VVS2</x:v>
      </x:c>
      <x:c r="E1605" s="36" t="n">
        <x:v>37700</x:v>
      </x:c>
      <x:c r="F1605" s="36" t="n">
        <x:v>6660</x:v>
      </x:c>
      <x:c r="G1605" s="42" t="n">
        <x:v>1.4285714285714286</x:v>
      </x:c>
      <x:c r="H1605" s="36" t="n">
        <x:f>E1605*G1605</x:f>
        <x:v>53857.142857142855</x:v>
      </x:c>
      <x:c r="I1605" s="36" t="n">
        <x:f>IFERROR(H1605/A1605,0)</x:f>
        <x:v>17952.38095238095</x:v>
      </x:c>
      <x:c r="J1605" s="67" t="str">
        <x:v>Modeled from live base + Sep-2026 quality ratio</x:v>
      </x:c>
      <x:c r="K1605" s="67" t="str">
        <x:v>https://www.stonealgo.com/diamond-prices/</x:v>
      </x:c>
      <x:c r="L1605" s="67" t="str">
        <x:v>https://www.pricescope.com/blog/natural-diamond-prices-september-2026</x:v>
      </x:c>
    </x:row>
    <x:row r="1606">
      <x:c r="A1606" t="n">
        <x:v>3</x:v>
      </x:c>
      <x:c r="B1606" t="str">
        <x:v>Radiant</x:v>
      </x:c>
      <x:c r="C1606" t="str">
        <x:v>D</x:v>
      </x:c>
      <x:c r="D1606" t="str">
        <x:v>VS1</x:v>
      </x:c>
      <x:c r="E1606" s="36" t="n">
        <x:v>37700</x:v>
      </x:c>
      <x:c r="F1606" s="36" t="n">
        <x:v>6247</x:v>
      </x:c>
      <x:c r="G1606" s="42" t="n">
        <x:v>1.33998283998284</x:v>
      </x:c>
      <x:c r="H1606" s="36" t="n">
        <x:f>E1606*G1606</x:f>
        <x:v>50517.35306735307</x:v>
      </x:c>
      <x:c r="I1606" s="36" t="n">
        <x:f>IFERROR(H1606/A1606,0)</x:f>
        <x:v>16839.11768911769</x:v>
      </x:c>
      <x:c r="J1606" s="67" t="str">
        <x:v>Modeled from live base + Sep-2026 quality ratio</x:v>
      </x:c>
      <x:c r="K1606" s="67" t="str">
        <x:v>https://www.stonealgo.com/diamond-prices/</x:v>
      </x:c>
      <x:c r="L1606" s="67" t="str">
        <x:v>https://www.pricescope.com/blog/natural-diamond-prices-september-2026</x:v>
      </x:c>
    </x:row>
    <x:row r="1607">
      <x:c r="A1607" t="n">
        <x:v>3</x:v>
      </x:c>
      <x:c r="B1607" t="str">
        <x:v>Radiant</x:v>
      </x:c>
      <x:c r="C1607" t="str">
        <x:v>D</x:v>
      </x:c>
      <x:c r="D1607" t="str">
        <x:v>VS2</x:v>
      </x:c>
      <x:c r="E1607" s="36" t="n">
        <x:v>37700</x:v>
      </x:c>
      <x:c r="F1607" s="36" t="n">
        <x:v>5841</x:v>
      </x:c>
      <x:c r="G1607" s="42" t="n">
        <x:v>1.252895752895753</x:v>
      </x:c>
      <x:c r="H1607" s="36" t="n">
        <x:f>E1607*G1607</x:f>
        <x:v>47234.16988416989</x:v>
      </x:c>
      <x:c r="I1607" s="36" t="n">
        <x:f>IFERROR(H1607/A1607,0)</x:f>
        <x:v>15744.723294723297</x:v>
      </x:c>
      <x:c r="J1607" s="67" t="str">
        <x:v>Modeled from live base + Sep-2026 quality ratio</x:v>
      </x:c>
      <x:c r="K1607" s="67" t="str">
        <x:v>https://www.stonealgo.com/diamond-prices/</x:v>
      </x:c>
      <x:c r="L1607" s="67" t="str">
        <x:v>https://www.pricescope.com/blog/natural-diamond-prices-september-2026</x:v>
      </x:c>
    </x:row>
    <x:row r="1608">
      <x:c r="A1608" t="n">
        <x:v>3</x:v>
      </x:c>
      <x:c r="B1608" t="str">
        <x:v>Radiant</x:v>
      </x:c>
      <x:c r="C1608" t="str">
        <x:v>D</x:v>
      </x:c>
      <x:c r="D1608" t="str">
        <x:v>SI1</x:v>
      </x:c>
      <x:c r="E1608" s="36" t="n">
        <x:v>37700</x:v>
      </x:c>
      <x:c r="F1608" s="36" t="n">
        <x:v>3762</x:v>
      </x:c>
      <x:c r="G1608" s="42" t="n">
        <x:v>0.806949806949807</x:v>
      </x:c>
      <x:c r="H1608" s="36" t="n">
        <x:f>E1608*G1608</x:f>
        <x:v>30422.007722007726</x:v>
      </x:c>
      <x:c r="I1608" s="36" t="n">
        <x:f>IFERROR(H1608/A1608,0)</x:f>
        <x:v>10140.669240669242</x:v>
      </x:c>
      <x:c r="J1608" s="67" t="str">
        <x:v>Modeled from live base + Sep-2026 quality ratio</x:v>
      </x:c>
      <x:c r="K1608" s="67" t="str">
        <x:v>https://www.stonealgo.com/diamond-prices/</x:v>
      </x:c>
      <x:c r="L1608" s="67" t="str">
        <x:v>https://www.pricescope.com/blog/natural-diamond-prices-september-2026</x:v>
      </x:c>
    </x:row>
    <x:row r="1609">
      <x:c r="A1609" t="n">
        <x:v>3</x:v>
      </x:c>
      <x:c r="B1609" t="str">
        <x:v>Radiant</x:v>
      </x:c>
      <x:c r="C1609" t="str">
        <x:v>D</x:v>
      </x:c>
      <x:c r="D1609" t="str">
        <x:v>SI2</x:v>
      </x:c>
      <x:c r="E1609" s="36" t="n">
        <x:v>37700</x:v>
      </x:c>
      <x:c r="F1609" s="36" t="n">
        <x:v>3026</x:v>
      </x:c>
      <x:c r="G1609" s="42" t="n">
        <x:v>0.6490776490776491</x:v>
      </x:c>
      <x:c r="H1609" s="36" t="n">
        <x:f>E1609*G1609</x:f>
        <x:v>24470.22737022737</x:v>
      </x:c>
      <x:c r="I1609" s="36" t="n">
        <x:f>IFERROR(H1609/A1609,0)</x:f>
        <x:v>8156.742456742457</x:v>
      </x:c>
      <x:c r="J1609" s="67" t="str">
        <x:v>Modeled from live base + Sep-2026 quality ratio</x:v>
      </x:c>
      <x:c r="K1609" s="67" t="str">
        <x:v>https://www.stonealgo.com/diamond-prices/</x:v>
      </x:c>
      <x:c r="L1609" s="67" t="str">
        <x:v>https://www.pricescope.com/blog/natural-diamond-prices-september-2026</x:v>
      </x:c>
    </x:row>
    <x:row r="1610">
      <x:c r="A1610" t="n">
        <x:v>3</x:v>
      </x:c>
      <x:c r="B1610" t="str">
        <x:v>Radiant</x:v>
      </x:c>
      <x:c r="C1610" t="str">
        <x:v>E</x:v>
      </x:c>
      <x:c r="D1610" t="str">
        <x:v>FL</x:v>
      </x:c>
      <x:c r="E1610" s="36" t="n">
        <x:v>37700</x:v>
      </x:c>
      <x:c r="F1610" s="36" t="n">
        <x:v>10072</x:v>
      </x:c>
      <x:c r="G1610" s="42" t="n">
        <x:v>2.1604461604461602</x:v>
      </x:c>
      <x:c r="H1610" s="36" t="n">
        <x:f>E1610*G1610</x:f>
        <x:v>81448.82024882024</x:v>
      </x:c>
      <x:c r="I1610" s="36" t="n">
        <x:f>IFERROR(H1610/A1610,0)</x:f>
        <x:v>27149.606749606744</x:v>
      </x:c>
      <x:c r="J1610" s="67" t="str">
        <x:v>Modeled from live base + Sep-2026 quality ratio</x:v>
      </x:c>
      <x:c r="K1610" s="67" t="str">
        <x:v>https://www.stonealgo.com/diamond-prices/</x:v>
      </x:c>
      <x:c r="L1610" s="67" t="str">
        <x:v>https://www.pricescope.com/blog/natural-diamond-prices-september-2026</x:v>
      </x:c>
    </x:row>
    <x:row r="1611">
      <x:c r="A1611" t="n">
        <x:v>3</x:v>
      </x:c>
      <x:c r="B1611" t="str">
        <x:v>Radiant</x:v>
      </x:c>
      <x:c r="C1611" t="str">
        <x:v>E</x:v>
      </x:c>
      <x:c r="D1611" t="str">
        <x:v>IF</x:v>
      </x:c>
      <x:c r="E1611" s="36" t="n">
        <x:v>37700</x:v>
      </x:c>
      <x:c r="F1611" s="36" t="n">
        <x:v>8672</x:v>
      </x:c>
      <x:c r="G1611" s="42" t="n">
        <x:v>1.8601458601458603</x:v>
      </x:c>
      <x:c r="H1611" s="36" t="n">
        <x:f>E1611*G1611</x:f>
        <x:v>70127.49892749893</x:v>
      </x:c>
      <x:c r="I1611" s="36" t="n">
        <x:f>IFERROR(H1611/A1611,0)</x:f>
        <x:v>23375.83297583298</x:v>
      </x:c>
      <x:c r="J1611" s="67" t="str">
        <x:v>Modeled from live base + Sep-2026 quality ratio</x:v>
      </x:c>
      <x:c r="K1611" s="67" t="str">
        <x:v>https://www.stonealgo.com/diamond-prices/</x:v>
      </x:c>
      <x:c r="L1611" s="67" t="str">
        <x:v>https://www.pricescope.com/blog/natural-diamond-prices-september-2026</x:v>
      </x:c>
    </x:row>
    <x:row r="1612">
      <x:c r="A1612" t="n">
        <x:v>3</x:v>
      </x:c>
      <x:c r="B1612" t="str">
        <x:v>Radiant</x:v>
      </x:c>
      <x:c r="C1612" t="str">
        <x:v>E</x:v>
      </x:c>
      <x:c r="D1612" t="str">
        <x:v>VVS1</x:v>
      </x:c>
      <x:c r="E1612" s="36" t="n">
        <x:v>37700</x:v>
      </x:c>
      <x:c r="F1612" s="36" t="n">
        <x:v>7842</x:v>
      </x:c>
      <x:c r="G1612" s="42" t="n">
        <x:v>1.6821106821106822</x:v>
      </x:c>
      <x:c r="H1612" s="36" t="n">
        <x:f>E1612*G1612</x:f>
        <x:v>63415.572715572715</x:v>
      </x:c>
      <x:c r="I1612" s="36" t="n">
        <x:f>IFERROR(H1612/A1612,0)</x:f>
        <x:v>21138.524238524238</x:v>
      </x:c>
      <x:c r="J1612" s="67" t="str">
        <x:v>Modeled from live base + Sep-2026 quality ratio</x:v>
      </x:c>
      <x:c r="K1612" s="67" t="str">
        <x:v>https://www.stonealgo.com/diamond-prices/</x:v>
      </x:c>
      <x:c r="L1612" s="67" t="str">
        <x:v>https://www.pricescope.com/blog/natural-diamond-prices-september-2026</x:v>
      </x:c>
    </x:row>
    <x:row r="1613">
      <x:c r="A1613" t="n">
        <x:v>3</x:v>
      </x:c>
      <x:c r="B1613" t="str">
        <x:v>Radiant</x:v>
      </x:c>
      <x:c r="C1613" t="str">
        <x:v>E</x:v>
      </x:c>
      <x:c r="D1613" t="str">
        <x:v>VVS2</x:v>
      </x:c>
      <x:c r="E1613" s="36" t="n">
        <x:v>37700</x:v>
      </x:c>
      <x:c r="F1613" s="36" t="n">
        <x:v>6880</x:v>
      </x:c>
      <x:c r="G1613" s="42" t="n">
        <x:v>1.4757614757614759</x:v>
      </x:c>
      <x:c r="H1613" s="36" t="n">
        <x:f>E1613*G1613</x:f>
        <x:v>55636.20763620764</x:v>
      </x:c>
      <x:c r="I1613" s="36" t="n">
        <x:f>IFERROR(H1613/A1613,0)</x:f>
        <x:v>18545.402545402547</x:v>
      </x:c>
      <x:c r="J1613" s="67" t="str">
        <x:v>Modeled from live base + Sep-2026 quality ratio</x:v>
      </x:c>
      <x:c r="K1613" s="67" t="str">
        <x:v>https://www.stonealgo.com/diamond-prices/</x:v>
      </x:c>
      <x:c r="L1613" s="67" t="str">
        <x:v>https://www.pricescope.com/blog/natural-diamond-prices-september-2026</x:v>
      </x:c>
    </x:row>
    <x:row r="1614">
      <x:c r="A1614" t="n">
        <x:v>3</x:v>
      </x:c>
      <x:c r="B1614" t="str">
        <x:v>Radiant</x:v>
      </x:c>
      <x:c r="C1614" t="str">
        <x:v>E</x:v>
      </x:c>
      <x:c r="D1614" t="str">
        <x:v>VS1</x:v>
      </x:c>
      <x:c r="E1614" s="36" t="n">
        <x:v>37700</x:v>
      </x:c>
      <x:c r="F1614" s="36" t="n">
        <x:v>6307</x:v>
      </x:c>
      <x:c r="G1614" s="42" t="n">
        <x:v>1.352852852852853</x:v>
      </x:c>
      <x:c r="H1614" s="36" t="n">
        <x:f>E1614*G1614</x:f>
        <x:v>51002.55255255256</x:v>
      </x:c>
      <x:c r="I1614" s="36" t="n">
        <x:f>IFERROR(H1614/A1614,0)</x:f>
        <x:v>17000.850850850853</x:v>
      </x:c>
      <x:c r="J1614" s="67" t="str">
        <x:v>Modeled from live base + Sep-2026 quality ratio</x:v>
      </x:c>
      <x:c r="K1614" s="67" t="str">
        <x:v>https://www.stonealgo.com/diamond-prices/</x:v>
      </x:c>
      <x:c r="L1614" s="67" t="str">
        <x:v>https://www.pricescope.com/blog/natural-diamond-prices-september-2026</x:v>
      </x:c>
    </x:row>
    <x:row r="1615">
      <x:c r="A1615" t="n">
        <x:v>3</x:v>
      </x:c>
      <x:c r="B1615" t="str">
        <x:v>Radiant</x:v>
      </x:c>
      <x:c r="C1615" t="str">
        <x:v>E</x:v>
      </x:c>
      <x:c r="D1615" t="str">
        <x:v>VS2</x:v>
      </x:c>
      <x:c r="E1615" s="36" t="n">
        <x:v>37700</x:v>
      </x:c>
      <x:c r="F1615" s="36" t="n">
        <x:v>5249</x:v>
      </x:c>
      <x:c r="G1615" s="42" t="n">
        <x:v>1.125911625911626</x:v>
      </x:c>
      <x:c r="H1615" s="36" t="n">
        <x:f>E1615*G1615</x:f>
        <x:v>42446.8682968683</x:v>
      </x:c>
      <x:c r="I1615" s="36" t="n">
        <x:f>IFERROR(H1615/A1615,0)</x:f>
        <x:v>14148.9560989561</x:v>
      </x:c>
      <x:c r="J1615" s="67" t="str">
        <x:v>Modeled from live base + Sep-2026 quality ratio</x:v>
      </x:c>
      <x:c r="K1615" s="67" t="str">
        <x:v>https://www.stonealgo.com/diamond-prices/</x:v>
      </x:c>
      <x:c r="L1615" s="67" t="str">
        <x:v>https://www.pricescope.com/blog/natural-diamond-prices-september-2026</x:v>
      </x:c>
    </x:row>
    <x:row r="1616">
      <x:c r="A1616" t="n">
        <x:v>3</x:v>
      </x:c>
      <x:c r="B1616" t="str">
        <x:v>Radiant</x:v>
      </x:c>
      <x:c r="C1616" t="str">
        <x:v>E</x:v>
      </x:c>
      <x:c r="D1616" t="str">
        <x:v>SI1</x:v>
      </x:c>
      <x:c r="E1616" s="36" t="n">
        <x:v>37700</x:v>
      </x:c>
      <x:c r="F1616" s="36" t="n">
        <x:v>3551</x:v>
      </x:c>
      <x:c r="G1616" s="42" t="n">
        <x:v>0.7616902616902617</x:v>
      </x:c>
      <x:c r="H1616" s="36" t="n">
        <x:f>E1616*G1616</x:f>
        <x:v>28715.722865722866</x:v>
      </x:c>
      <x:c r="I1616" s="36" t="n">
        <x:f>IFERROR(H1616/A1616,0)</x:f>
        <x:v>9571.907621907621</x:v>
      </x:c>
      <x:c r="J1616" s="67" t="str">
        <x:v>Modeled from live base + Sep-2026 quality ratio</x:v>
      </x:c>
      <x:c r="K1616" s="67" t="str">
        <x:v>https://www.stonealgo.com/diamond-prices/</x:v>
      </x:c>
      <x:c r="L1616" s="67" t="str">
        <x:v>https://www.pricescope.com/blog/natural-diamond-prices-september-2026</x:v>
      </x:c>
    </x:row>
    <x:row r="1617">
      <x:c r="A1617" t="n">
        <x:v>3</x:v>
      </x:c>
      <x:c r="B1617" t="str">
        <x:v>Radiant</x:v>
      </x:c>
      <x:c r="C1617" t="str">
        <x:v>E</x:v>
      </x:c>
      <x:c r="D1617" t="str">
        <x:v>SI2</x:v>
      </x:c>
      <x:c r="E1617" s="36" t="n">
        <x:v>37700</x:v>
      </x:c>
      <x:c r="F1617" s="36" t="n">
        <x:v>2993</x:v>
      </x:c>
      <x:c r="G1617" s="42" t="n">
        <x:v>0.641999141999142</x:v>
      </x:c>
      <x:c r="H1617" s="36" t="n">
        <x:f>E1617*G1617</x:f>
        <x:v>24203.36765336765</x:v>
      </x:c>
      <x:c r="I1617" s="36" t="n">
        <x:f>IFERROR(H1617/A1617,0)</x:f>
        <x:v>8067.789217789217</x:v>
      </x:c>
      <x:c r="J1617" s="67" t="str">
        <x:v>Modeled from live base + Sep-2026 quality ratio</x:v>
      </x:c>
      <x:c r="K1617" s="67" t="str">
        <x:v>https://www.stonealgo.com/diamond-prices/</x:v>
      </x:c>
      <x:c r="L1617" s="67" t="str">
        <x:v>https://www.pricescope.com/blog/natural-diamond-prices-september-2026</x:v>
      </x:c>
    </x:row>
    <x:row r="1618">
      <x:c r="A1618" t="n">
        <x:v>3</x:v>
      </x:c>
      <x:c r="B1618" t="str">
        <x:v>Radiant</x:v>
      </x:c>
      <x:c r="C1618" t="str">
        <x:v>F</x:v>
      </x:c>
      <x:c r="D1618" t="str">
        <x:v>FL</x:v>
      </x:c>
      <x:c r="E1618" s="36" t="n">
        <x:v>37700</x:v>
      </x:c>
      <x:c r="F1618" s="36" t="n">
        <x:v>6830</x:v>
      </x:c>
      <x:c r="G1618" s="42" t="n">
        <x:v>1.4650364650364651</x:v>
      </x:c>
      <x:c r="H1618" s="36" t="n">
        <x:f>E1618*G1618</x:f>
        <x:v>55231.874731874734</x:v>
      </x:c>
      <x:c r="I1618" s="36" t="n">
        <x:f>IFERROR(H1618/A1618,0)</x:f>
        <x:v>18410.624910624912</x:v>
      </x:c>
      <x:c r="J1618" s="67" t="str">
        <x:v>Modeled from live base + Sep-2026 quality ratio</x:v>
      </x:c>
      <x:c r="K1618" s="67" t="str">
        <x:v>https://www.stonealgo.com/diamond-prices/</x:v>
      </x:c>
      <x:c r="L1618" s="67" t="str">
        <x:v>https://www.pricescope.com/blog/natural-diamond-prices-september-2026</x:v>
      </x:c>
    </x:row>
    <x:row r="1619">
      <x:c r="A1619" t="n">
        <x:v>3</x:v>
      </x:c>
      <x:c r="B1619" t="str">
        <x:v>Radiant</x:v>
      </x:c>
      <x:c r="C1619" t="str">
        <x:v>F</x:v>
      </x:c>
      <x:c r="D1619" t="str">
        <x:v>IF</x:v>
      </x:c>
      <x:c r="E1619" s="36" t="n">
        <x:v>37700</x:v>
      </x:c>
      <x:c r="F1619" s="36" t="n">
        <x:v>7302</x:v>
      </x:c>
      <x:c r="G1619" s="42" t="n">
        <x:v>1.5662805662805663</x:v>
      </x:c>
      <x:c r="H1619" s="36" t="n">
        <x:f>E1619*G1619</x:f>
        <x:v>59048.77734877735</x:v>
      </x:c>
      <x:c r="I1619" s="36" t="n">
        <x:f>IFERROR(H1619/A1619,0)</x:f>
        <x:v>19682.925782925784</x:v>
      </x:c>
      <x:c r="J1619" s="67" t="str">
        <x:v>Modeled from live base + Sep-2026 quality ratio</x:v>
      </x:c>
      <x:c r="K1619" s="67" t="str">
        <x:v>https://www.stonealgo.com/diamond-prices/</x:v>
      </x:c>
      <x:c r="L1619" s="67" t="str">
        <x:v>https://www.pricescope.com/blog/natural-diamond-prices-september-2026</x:v>
      </x:c>
    </x:row>
    <x:row r="1620">
      <x:c r="A1620" t="n">
        <x:v>3</x:v>
      </x:c>
      <x:c r="B1620" t="str">
        <x:v>Radiant</x:v>
      </x:c>
      <x:c r="C1620" t="str">
        <x:v>F</x:v>
      </x:c>
      <x:c r="D1620" t="str">
        <x:v>VVS1</x:v>
      </x:c>
      <x:c r="E1620" s="36" t="n">
        <x:v>37700</x:v>
      </x:c>
      <x:c r="F1620" s="36" t="n">
        <x:v>7542</x:v>
      </x:c>
      <x:c r="G1620" s="42" t="n">
        <x:v>1.6177606177606179</x:v>
      </x:c>
      <x:c r="H1620" s="36" t="n">
        <x:f>E1620*G1620</x:f>
        <x:v>60989.575289575296</x:v>
      </x:c>
      <x:c r="I1620" s="36" t="n">
        <x:f>IFERROR(H1620/A1620,0)</x:f>
        <x:v>20329.858429858432</x:v>
      </x:c>
      <x:c r="J1620" s="67" t="str">
        <x:v>Modeled from live base + Sep-2026 quality ratio</x:v>
      </x:c>
      <x:c r="K1620" s="67" t="str">
        <x:v>https://www.stonealgo.com/diamond-prices/</x:v>
      </x:c>
      <x:c r="L1620" s="67" t="str">
        <x:v>https://www.pricescope.com/blog/natural-diamond-prices-september-2026</x:v>
      </x:c>
    </x:row>
    <x:row r="1621">
      <x:c r="A1621" t="n">
        <x:v>3</x:v>
      </x:c>
      <x:c r="B1621" t="str">
        <x:v>Radiant</x:v>
      </x:c>
      <x:c r="C1621" t="str">
        <x:v>F</x:v>
      </x:c>
      <x:c r="D1621" t="str">
        <x:v>VVS2</x:v>
      </x:c>
      <x:c r="E1621" s="36" t="n">
        <x:v>37700</x:v>
      </x:c>
      <x:c r="F1621" s="36" t="n">
        <x:v>6352</x:v>
      </x:c>
      <x:c r="G1621" s="42" t="n">
        <x:v>1.3625053625053625</x:v>
      </x:c>
      <x:c r="H1621" s="36" t="n">
        <x:f>E1621*G1621</x:f>
        <x:v>51366.45216645217</x:v>
      </x:c>
      <x:c r="I1621" s="36" t="n">
        <x:f>IFERROR(H1621/A1621,0)</x:f>
        <x:v>17122.150722150724</x:v>
      </x:c>
      <x:c r="J1621" s="67" t="str">
        <x:v>Modeled from live base + Sep-2026 quality ratio</x:v>
      </x:c>
      <x:c r="K1621" s="67" t="str">
        <x:v>https://www.stonealgo.com/diamond-prices/</x:v>
      </x:c>
      <x:c r="L1621" s="67" t="str">
        <x:v>https://www.pricescope.com/blog/natural-diamond-prices-september-2026</x:v>
      </x:c>
    </x:row>
    <x:row r="1622">
      <x:c r="A1622" t="n">
        <x:v>3</x:v>
      </x:c>
      <x:c r="B1622" t="str">
        <x:v>Radiant</x:v>
      </x:c>
      <x:c r="C1622" t="str">
        <x:v>F</x:v>
      </x:c>
      <x:c r="D1622" t="str">
        <x:v>VS1</x:v>
      </x:c>
      <x:c r="E1622" s="36" t="n">
        <x:v>37700</x:v>
      </x:c>
      <x:c r="F1622" s="36" t="n">
        <x:v>5647</x:v>
      </x:c>
      <x:c r="G1622" s="42" t="n">
        <x:v>1.2112827112827114</x:v>
      </x:c>
      <x:c r="H1622" s="36" t="n">
        <x:f>E1622*G1622</x:f>
        <x:v>45665.35821535822</x:v>
      </x:c>
      <x:c r="I1622" s="36" t="n">
        <x:f>IFERROR(H1622/A1622,0)</x:f>
        <x:v>15221.786071786073</x:v>
      </x:c>
      <x:c r="J1622" s="67" t="str">
        <x:v>Modeled from live base + Sep-2026 quality ratio</x:v>
      </x:c>
      <x:c r="K1622" s="67" t="str">
        <x:v>https://www.stonealgo.com/diamond-prices/</x:v>
      </x:c>
      <x:c r="L1622" s="67" t="str">
        <x:v>https://www.pricescope.com/blog/natural-diamond-prices-september-2026</x:v>
      </x:c>
    </x:row>
    <x:row r="1623">
      <x:c r="A1623" t="n">
        <x:v>3</x:v>
      </x:c>
      <x:c r="B1623" t="str">
        <x:v>Radiant</x:v>
      </x:c>
      <x:c r="C1623" t="str">
        <x:v>F</x:v>
      </x:c>
      <x:c r="D1623" t="str">
        <x:v>VS2</x:v>
      </x:c>
      <x:c r="E1623" s="36" t="n">
        <x:v>37700</x:v>
      </x:c>
      <x:c r="F1623" s="36" t="n">
        <x:v>4730</x:v>
      </x:c>
      <x:c r="G1623" s="42" t="n">
        <x:v>1.0145860145860146</x:v>
      </x:c>
      <x:c r="H1623" s="36" t="n">
        <x:f>E1623*G1623</x:f>
        <x:v>38249.89274989275</x:v>
      </x:c>
      <x:c r="I1623" s="36" t="n">
        <x:f>IFERROR(H1623/A1623,0)</x:f>
        <x:v>12749.96424996425</x:v>
      </x:c>
      <x:c r="J1623" s="67" t="str">
        <x:v>Modeled from live base + Sep-2026 quality ratio</x:v>
      </x:c>
      <x:c r="K1623" s="67" t="str">
        <x:v>https://www.stonealgo.com/diamond-prices/</x:v>
      </x:c>
      <x:c r="L1623" s="67" t="str">
        <x:v>https://www.pricescope.com/blog/natural-diamond-prices-september-2026</x:v>
      </x:c>
    </x:row>
    <x:row r="1624">
      <x:c r="A1624" t="n">
        <x:v>3</x:v>
      </x:c>
      <x:c r="B1624" t="str">
        <x:v>Radiant</x:v>
      </x:c>
      <x:c r="C1624" t="str">
        <x:v>F</x:v>
      </x:c>
      <x:c r="D1624" t="str">
        <x:v>SI1</x:v>
      </x:c>
      <x:c r="E1624" s="36" t="n">
        <x:v>37700</x:v>
      </x:c>
      <x:c r="F1624" s="36" t="n">
        <x:v>3331</x:v>
      </x:c>
      <x:c r="G1624" s="42" t="n">
        <x:v>0.7145002145002145</x:v>
      </x:c>
      <x:c r="H1624" s="36" t="n">
        <x:f>E1624*G1624</x:f>
        <x:v>26936.658086658088</x:v>
      </x:c>
      <x:c r="I1624" s="36" t="n">
        <x:f>IFERROR(H1624/A1624,0)</x:f>
        <x:v>8978.886028886029</x:v>
      </x:c>
      <x:c r="J1624" s="67" t="str">
        <x:v>Modeled from live base + Sep-2026 quality ratio</x:v>
      </x:c>
      <x:c r="K1624" s="67" t="str">
        <x:v>https://www.stonealgo.com/diamond-prices/</x:v>
      </x:c>
      <x:c r="L1624" s="67" t="str">
        <x:v>https://www.pricescope.com/blog/natural-diamond-prices-september-2026</x:v>
      </x:c>
    </x:row>
    <x:row r="1625">
      <x:c r="A1625" t="n">
        <x:v>3</x:v>
      </x:c>
      <x:c r="B1625" t="str">
        <x:v>Radiant</x:v>
      </x:c>
      <x:c r="C1625" t="str">
        <x:v>F</x:v>
      </x:c>
      <x:c r="D1625" t="str">
        <x:v>SI2</x:v>
      </x:c>
      <x:c r="E1625" s="36" t="n">
        <x:v>37700</x:v>
      </x:c>
      <x:c r="F1625" s="36" t="n">
        <x:v>2733</x:v>
      </x:c>
      <x:c r="G1625" s="42" t="n">
        <x:v>0.5862290862290862</x:v>
      </x:c>
      <x:c r="H1625" s="36" t="n">
        <x:f>E1625*G1625</x:f>
        <x:v>22100.83655083655</x:v>
      </x:c>
      <x:c r="I1625" s="36" t="n">
        <x:f>IFERROR(H1625/A1625,0)</x:f>
        <x:v>7366.945516945517</x:v>
      </x:c>
      <x:c r="J1625" s="67" t="str">
        <x:v>Modeled from live base + Sep-2026 quality ratio</x:v>
      </x:c>
      <x:c r="K1625" s="67" t="str">
        <x:v>https://www.stonealgo.com/diamond-prices/</x:v>
      </x:c>
      <x:c r="L1625" s="67" t="str">
        <x:v>https://www.pricescope.com/blog/natural-diamond-prices-september-2026</x:v>
      </x:c>
    </x:row>
    <x:row r="1626">
      <x:c r="A1626" t="n">
        <x:v>3</x:v>
      </x:c>
      <x:c r="B1626" t="str">
        <x:v>Radiant</x:v>
      </x:c>
      <x:c r="C1626" t="str">
        <x:v>G</x:v>
      </x:c>
      <x:c r="D1626" t="str">
        <x:v>FL</x:v>
      </x:c>
      <x:c r="E1626" s="36" t="n">
        <x:v>37700</x:v>
      </x:c>
      <x:c r="F1626" s="36" t="n">
        <x:v>5905</x:v>
      </x:c>
      <x:c r="G1626" s="42" t="n">
        <x:v>1.2666237666237665</x:v>
      </x:c>
      <x:c r="H1626" s="36" t="n">
        <x:f>E1626*G1626</x:f>
        <x:v>47751.716001716</x:v>
      </x:c>
      <x:c r="I1626" s="36" t="n">
        <x:f>IFERROR(H1626/A1626,0)</x:f>
        <x:v>15917.238667238666</x:v>
      </x:c>
      <x:c r="J1626" s="67" t="str">
        <x:v>Modeled from live base + Sep-2026 quality ratio</x:v>
      </x:c>
      <x:c r="K1626" s="67" t="str">
        <x:v>https://www.stonealgo.com/diamond-prices/</x:v>
      </x:c>
      <x:c r="L1626" s="67" t="str">
        <x:v>https://www.pricescope.com/blog/natural-diamond-prices-september-2026</x:v>
      </x:c>
    </x:row>
    <x:row r="1627">
      <x:c r="A1627" t="n">
        <x:v>3</x:v>
      </x:c>
      <x:c r="B1627" t="str">
        <x:v>Radiant</x:v>
      </x:c>
      <x:c r="C1627" t="str">
        <x:v>G</x:v>
      </x:c>
      <x:c r="D1627" t="str">
        <x:v>IF</x:v>
      </x:c>
      <x:c r="E1627" s="36" t="n">
        <x:v>37700</x:v>
      </x:c>
      <x:c r="F1627" s="36" t="n">
        <x:v>5601</x:v>
      </x:c>
      <x:c r="G1627" s="42" t="n">
        <x:v>1.2014157014157014</x:v>
      </x:c>
      <x:c r="H1627" s="36" t="n">
        <x:f>E1627*G1627</x:f>
        <x:v>45293.371943371945</x:v>
      </x:c>
      <x:c r="I1627" s="36" t="n">
        <x:f>IFERROR(H1627/A1627,0)</x:f>
        <x:v>15097.790647790649</x:v>
      </x:c>
      <x:c r="J1627" s="67" t="str">
        <x:v>Modeled from live base + Sep-2026 quality ratio</x:v>
      </x:c>
      <x:c r="K1627" s="67" t="str">
        <x:v>https://www.stonealgo.com/diamond-prices/</x:v>
      </x:c>
      <x:c r="L1627" s="67" t="str">
        <x:v>https://www.pricescope.com/blog/natural-diamond-prices-september-2026</x:v>
      </x:c>
    </x:row>
    <x:row r="1628">
      <x:c r="A1628" t="n">
        <x:v>3</x:v>
      </x:c>
      <x:c r="B1628" t="str">
        <x:v>Radiant</x:v>
      </x:c>
      <x:c r="C1628" t="str">
        <x:v>G</x:v>
      </x:c>
      <x:c r="D1628" t="str">
        <x:v>VVS1</x:v>
      </x:c>
      <x:c r="E1628" s="36" t="n">
        <x:v>37700</x:v>
      </x:c>
      <x:c r="F1628" s="36" t="n">
        <x:v>5124</x:v>
      </x:c>
      <x:c r="G1628" s="42" t="n">
        <x:v>1.0990990990990992</x:v>
      </x:c>
      <x:c r="H1628" s="36" t="n">
        <x:f>E1628*G1628</x:f>
        <x:v>41436.03603603604</x:v>
      </x:c>
      <x:c r="I1628" s="36" t="n">
        <x:f>IFERROR(H1628/A1628,0)</x:f>
        <x:v>13812.012012012014</x:v>
      </x:c>
      <x:c r="J1628" s="67" t="str">
        <x:v>Modeled from live base + Sep-2026 quality ratio</x:v>
      </x:c>
      <x:c r="K1628" s="67" t="str">
        <x:v>https://www.stonealgo.com/diamond-prices/</x:v>
      </x:c>
      <x:c r="L1628" s="67" t="str">
        <x:v>https://www.pricescope.com/blog/natural-diamond-prices-september-2026</x:v>
      </x:c>
    </x:row>
    <x:row r="1629">
      <x:c r="A1629" t="n">
        <x:v>3</x:v>
      </x:c>
      <x:c r="B1629" t="str">
        <x:v>Radiant</x:v>
      </x:c>
      <x:c r="C1629" t="str">
        <x:v>G</x:v>
      </x:c>
      <x:c r="D1629" t="str">
        <x:v>VVS2</x:v>
      </x:c>
      <x:c r="E1629" s="36" t="n">
        <x:v>37700</x:v>
      </x:c>
      <x:c r="F1629" s="36" t="n">
        <x:v>4962</x:v>
      </x:c>
      <x:c r="G1629" s="42" t="n">
        <x:v>1.0643500643500643</x:v>
      </x:c>
      <x:c r="H1629" s="36" t="n">
        <x:f>E1629*G1629</x:f>
        <x:v>40125.997425997426</x:v>
      </x:c>
      <x:c r="I1629" s="36" t="n">
        <x:f>IFERROR(H1629/A1629,0)</x:f>
        <x:v>13375.332475332476</x:v>
      </x:c>
      <x:c r="J1629" s="67" t="str">
        <x:v>Modeled from live base + Sep-2026 quality ratio</x:v>
      </x:c>
      <x:c r="K1629" s="67" t="str">
        <x:v>https://www.stonealgo.com/diamond-prices/</x:v>
      </x:c>
      <x:c r="L1629" s="67" t="str">
        <x:v>https://www.pricescope.com/blog/natural-diamond-prices-september-2026</x:v>
      </x:c>
    </x:row>
    <x:row r="1630">
      <x:c r="A1630" t="n">
        <x:v>3</x:v>
      </x:c>
      <x:c r="B1630" t="str">
        <x:v>Radiant</x:v>
      </x:c>
      <x:c r="C1630" t="str">
        <x:v>G</x:v>
      </x:c>
      <x:c r="D1630" t="str">
        <x:v>VS1</x:v>
      </x:c>
      <x:c r="E1630" s="36" t="n">
        <x:v>37700</x:v>
      </x:c>
      <x:c r="F1630" s="36" t="n">
        <x:v>4615</x:v>
      </x:c>
      <x:c r="G1630" s="42" t="n">
        <x:v>0.98991848991849</x:v>
      </x:c>
      <x:c r="H1630" s="36" t="n">
        <x:f>E1630*G1630</x:f>
        <x:v>37319.92706992707</x:v>
      </x:c>
      <x:c r="I1630" s="36" t="n">
        <x:f>IFERROR(H1630/A1630,0)</x:f>
        <x:v>12439.97568997569</x:v>
      </x:c>
      <x:c r="J1630" s="67" t="str">
        <x:v>Modeled from live base + Sep-2026 quality ratio</x:v>
      </x:c>
      <x:c r="K1630" s="67" t="str">
        <x:v>https://www.stonealgo.com/diamond-prices/</x:v>
      </x:c>
      <x:c r="L1630" s="67" t="str">
        <x:v>https://www.pricescope.com/blog/natural-diamond-prices-september-2026</x:v>
      </x:c>
    </x:row>
    <x:row r="1631">
      <x:c r="A1631" t="n">
        <x:v>3</x:v>
      </x:c>
      <x:c r="B1631" t="str">
        <x:v>Radiant</x:v>
      </x:c>
      <x:c r="C1631" t="str">
        <x:v>G</x:v>
      </x:c>
      <x:c r="D1631" t="str">
        <x:v>VS2</x:v>
      </x:c>
      <x:c r="E1631" s="36" t="n">
        <x:v>37700</x:v>
      </x:c>
      <x:c r="F1631" s="36" t="n">
        <x:v>4585</x:v>
      </x:c>
      <x:c r="G1631" s="42" t="n">
        <x:v>0.9834834834834835</x:v>
      </x:c>
      <x:c r="H1631" s="36" t="n">
        <x:f>E1631*G1631</x:f>
        <x:v>37077.32732732733</x:v>
      </x:c>
      <x:c r="I1631" s="36" t="n">
        <x:f>IFERROR(H1631/A1631,0)</x:f>
        <x:v>12359.10910910911</x:v>
      </x:c>
      <x:c r="J1631" s="67" t="str">
        <x:v>Modeled from live base + Sep-2026 quality ratio</x:v>
      </x:c>
      <x:c r="K1631" s="67" t="str">
        <x:v>https://www.stonealgo.com/diamond-prices/</x:v>
      </x:c>
      <x:c r="L1631" s="67" t="str">
        <x:v>https://www.pricescope.com/blog/natural-diamond-prices-september-2026</x:v>
      </x:c>
    </x:row>
    <x:row r="1632">
      <x:c r="A1632" t="n">
        <x:v>3</x:v>
      </x:c>
      <x:c r="B1632" t="str">
        <x:v>Radiant</x:v>
      </x:c>
      <x:c r="C1632" t="str">
        <x:v>G</x:v>
      </x:c>
      <x:c r="D1632" t="str">
        <x:v>SI1</x:v>
      </x:c>
      <x:c r="E1632" s="36" t="n">
        <x:v>37700</x:v>
      </x:c>
      <x:c r="F1632" s="36" t="n">
        <x:v>3664</x:v>
      </x:c>
      <x:c r="G1632" s="42" t="n">
        <x:v>0.7859287859287859</x:v>
      </x:c>
      <x:c r="H1632" s="36" t="n">
        <x:f>E1632*G1632</x:f>
        <x:v>29629.51522951523</x:v>
      </x:c>
      <x:c r="I1632" s="36" t="n">
        <x:f>IFERROR(H1632/A1632,0)</x:f>
        <x:v>9876.505076505076</x:v>
      </x:c>
      <x:c r="J1632" s="67" t="str">
        <x:v>Modeled from live base + Sep-2026 quality ratio</x:v>
      </x:c>
      <x:c r="K1632" s="67" t="str">
        <x:v>https://www.stonealgo.com/diamond-prices/</x:v>
      </x:c>
      <x:c r="L1632" s="67" t="str">
        <x:v>https://www.pricescope.com/blog/natural-diamond-prices-september-2026</x:v>
      </x:c>
    </x:row>
    <x:row r="1633">
      <x:c r="A1633" t="n">
        <x:v>3</x:v>
      </x:c>
      <x:c r="B1633" t="str">
        <x:v>Radiant</x:v>
      </x:c>
      <x:c r="C1633" t="str">
        <x:v>G</x:v>
      </x:c>
      <x:c r="D1633" t="str">
        <x:v>SI2</x:v>
      </x:c>
      <x:c r="E1633" s="36" t="n">
        <x:v>37700</x:v>
      </x:c>
      <x:c r="F1633" s="36" t="n">
        <x:v>2537</x:v>
      </x:c>
      <x:c r="G1633" s="42" t="n">
        <x:v>0.5441870441870442</x:v>
      </x:c>
      <x:c r="H1633" s="36" t="n">
        <x:f>E1633*G1633</x:f>
        <x:v>20515.851565851568</x:v>
      </x:c>
      <x:c r="I1633" s="36" t="n">
        <x:f>IFERROR(H1633/A1633,0)</x:f>
        <x:v>6838.61718861719</x:v>
      </x:c>
      <x:c r="J1633" s="67" t="str">
        <x:v>Modeled from live base + Sep-2026 quality ratio</x:v>
      </x:c>
      <x:c r="K1633" s="67" t="str">
        <x:v>https://www.stonealgo.com/diamond-prices/</x:v>
      </x:c>
      <x:c r="L1633" s="67" t="str">
        <x:v>https://www.pricescope.com/blog/natural-diamond-prices-september-2026</x:v>
      </x:c>
    </x:row>
    <x:row r="1634">
      <x:c r="A1634" t="n">
        <x:v>3</x:v>
      </x:c>
      <x:c r="B1634" t="str">
        <x:v>Radiant</x:v>
      </x:c>
      <x:c r="C1634" t="str">
        <x:v>H</x:v>
      </x:c>
      <x:c r="D1634" t="str">
        <x:v>FL</x:v>
      </x:c>
      <x:c r="E1634" s="36" t="n">
        <x:v>37700</x:v>
      </x:c>
      <x:c r="F1634" s="36" t="n">
        <x:v>4563</x:v>
      </x:c>
      <x:c r="G1634" s="42" t="n">
        <x:v>0.9787644787644788</x:v>
      </x:c>
      <x:c r="H1634" s="36" t="n">
        <x:f>E1634*G1634</x:f>
        <x:v>36899.42084942085</x:v>
      </x:c>
      <x:c r="I1634" s="36" t="n">
        <x:f>IFERROR(H1634/A1634,0)</x:f>
        <x:v>12299.80694980695</x:v>
      </x:c>
      <x:c r="J1634" s="67" t="str">
        <x:v>Modeled from live base + Sep-2026 quality ratio</x:v>
      </x:c>
      <x:c r="K1634" s="67" t="str">
        <x:v>https://www.stonealgo.com/diamond-prices/</x:v>
      </x:c>
      <x:c r="L1634" s="67" t="str">
        <x:v>https://www.pricescope.com/blog/natural-diamond-prices-september-2026</x:v>
      </x:c>
    </x:row>
    <x:row r="1635">
      <x:c r="A1635" t="n">
        <x:v>3</x:v>
      </x:c>
      <x:c r="B1635" t="str">
        <x:v>Radiant</x:v>
      </x:c>
      <x:c r="C1635" t="str">
        <x:v>H</x:v>
      </x:c>
      <x:c r="D1635" t="str">
        <x:v>IF</x:v>
      </x:c>
      <x:c r="E1635" s="36" t="n">
        <x:v>37700</x:v>
      </x:c>
      <x:c r="F1635" s="36" t="n">
        <x:v>4809</x:v>
      </x:c>
      <x:c r="G1635" s="42" t="n">
        <x:v>1.0315315315315314</x:v>
      </x:c>
      <x:c r="H1635" s="36" t="n">
        <x:f>E1635*G1635</x:f>
        <x:v>38888.738738738735</x:v>
      </x:c>
      <x:c r="I1635" s="36" t="n">
        <x:f>IFERROR(H1635/A1635,0)</x:f>
        <x:v>12962.912912912912</x:v>
      </x:c>
      <x:c r="J1635" s="67" t="str">
        <x:v>Modeled from live base + Sep-2026 quality ratio</x:v>
      </x:c>
      <x:c r="K1635" s="67" t="str">
        <x:v>https://www.stonealgo.com/diamond-prices/</x:v>
      </x:c>
      <x:c r="L1635" s="67" t="str">
        <x:v>https://www.pricescope.com/blog/natural-diamond-prices-september-2026</x:v>
      </x:c>
    </x:row>
    <x:row r="1636">
      <x:c r="A1636" t="n">
        <x:v>3</x:v>
      </x:c>
      <x:c r="B1636" t="str">
        <x:v>Radiant</x:v>
      </x:c>
      <x:c r="C1636" t="str">
        <x:v>H</x:v>
      </x:c>
      <x:c r="D1636" t="str">
        <x:v>VVS1</x:v>
      </x:c>
      <x:c r="E1636" s="36" t="n">
        <x:v>37700</x:v>
      </x:c>
      <x:c r="F1636" s="36" t="n">
        <x:v>4911</x:v>
      </x:c>
      <x:c r="G1636" s="42" t="n">
        <x:v>1.0534105534105533</x:v>
      </x:c>
      <x:c r="H1636" s="36" t="n">
        <x:f>E1636*G1636</x:f>
        <x:v>39713.57786357786</x:v>
      </x:c>
      <x:c r="I1636" s="36" t="n">
        <x:f>IFERROR(H1636/A1636,0)</x:f>
        <x:v>13237.859287859288</x:v>
      </x:c>
      <x:c r="J1636" s="67" t="str">
        <x:v>Modeled from live base + Sep-2026 quality ratio</x:v>
      </x:c>
      <x:c r="K1636" s="67" t="str">
        <x:v>https://www.stonealgo.com/diamond-prices/</x:v>
      </x:c>
      <x:c r="L1636" s="67" t="str">
        <x:v>https://www.pricescope.com/blog/natural-diamond-prices-september-2026</x:v>
      </x:c>
    </x:row>
    <x:row r="1637">
      <x:c r="A1637" t="n">
        <x:v>3</x:v>
      </x:c>
      <x:c r="B1637" t="str">
        <x:v>Radiant</x:v>
      </x:c>
      <x:c r="C1637" t="str">
        <x:v>H</x:v>
      </x:c>
      <x:c r="D1637" t="str">
        <x:v>VVS2</x:v>
      </x:c>
      <x:c r="E1637" s="36" t="n">
        <x:v>37700</x:v>
      </x:c>
      <x:c r="F1637" s="36" t="n">
        <x:v>4046</x:v>
      </x:c>
      <x:c r="G1637" s="42" t="n">
        <x:v>0.8678678678678678</x:v>
      </x:c>
      <x:c r="H1637" s="36" t="n">
        <x:f>E1637*G1637</x:f>
        <x:v>32718.618618618617</x:v>
      </x:c>
      <x:c r="I1637" s="36" t="n">
        <x:f>IFERROR(H1637/A1637,0)</x:f>
        <x:v>10906.206206206205</x:v>
      </x:c>
      <x:c r="J1637" s="67" t="str">
        <x:v>Modeled from live base + Sep-2026 quality ratio</x:v>
      </x:c>
      <x:c r="K1637" s="67" t="str">
        <x:v>https://www.stonealgo.com/diamond-prices/</x:v>
      </x:c>
      <x:c r="L1637" s="67" t="str">
        <x:v>https://www.pricescope.com/blog/natural-diamond-prices-september-2026</x:v>
      </x:c>
    </x:row>
    <x:row r="1638">
      <x:c r="A1638" t="n">
        <x:v>3</x:v>
      </x:c>
      <x:c r="B1638" t="str">
        <x:v>Radiant</x:v>
      </x:c>
      <x:c r="C1638" t="str">
        <x:v>H</x:v>
      </x:c>
      <x:c r="D1638" t="str">
        <x:v>VS1</x:v>
      </x:c>
      <x:c r="E1638" s="36" t="n">
        <x:v>37700</x:v>
      </x:c>
      <x:c r="F1638" s="36" t="n">
        <x:v>3893</x:v>
      </x:c>
      <x:c r="G1638" s="42" t="n">
        <x:v>0.8350493350493351</x:v>
      </x:c>
      <x:c r="H1638" s="36" t="n">
        <x:f>E1638*G1638</x:f>
        <x:v>31481.359931359933</x:v>
      </x:c>
      <x:c r="I1638" s="36" t="n">
        <x:f>IFERROR(H1638/A1638,0)</x:f>
        <x:v>10493.786643786645</x:v>
      </x:c>
      <x:c r="J1638" s="67" t="str">
        <x:v>Modeled from live base + Sep-2026 quality ratio</x:v>
      </x:c>
      <x:c r="K1638" s="67" t="str">
        <x:v>https://www.stonealgo.com/diamond-prices/</x:v>
      </x:c>
      <x:c r="L1638" s="67" t="str">
        <x:v>https://www.pricescope.com/blog/natural-diamond-prices-september-2026</x:v>
      </x:c>
    </x:row>
    <x:row r="1639">
      <x:c r="A1639" t="n">
        <x:v>3</x:v>
      </x:c>
      <x:c r="B1639" t="str">
        <x:v>Radiant</x:v>
      </x:c>
      <x:c r="C1639" t="str">
        <x:v>H</x:v>
      </x:c>
      <x:c r="D1639" t="str">
        <x:v>VS2</x:v>
      </x:c>
      <x:c r="E1639" s="36" t="n">
        <x:v>37700</x:v>
      </x:c>
      <x:c r="F1639" s="36" t="n">
        <x:v>3989</x:v>
      </x:c>
      <x:c r="G1639" s="42" t="n">
        <x:v>0.8556413556413557</x:v>
      </x:c>
      <x:c r="H1639" s="36" t="n">
        <x:f>E1639*G1639</x:f>
        <x:v>32257.67910767911</x:v>
      </x:c>
      <x:c r="I1639" s="36" t="n">
        <x:f>IFERROR(H1639/A1639,0)</x:f>
        <x:v>10752.559702559704</x:v>
      </x:c>
      <x:c r="J1639" s="67" t="str">
        <x:v>Modeled from live base + Sep-2026 quality ratio</x:v>
      </x:c>
      <x:c r="K1639" s="67" t="str">
        <x:v>https://www.stonealgo.com/diamond-prices/</x:v>
      </x:c>
      <x:c r="L1639" s="67" t="str">
        <x:v>https://www.pricescope.com/blog/natural-diamond-prices-september-2026</x:v>
      </x:c>
    </x:row>
    <x:row r="1640">
      <x:c r="A1640" t="n">
        <x:v>3</x:v>
      </x:c>
      <x:c r="B1640" t="str">
        <x:v>Radiant</x:v>
      </x:c>
      <x:c r="C1640" t="str">
        <x:v>H</x:v>
      </x:c>
      <x:c r="D1640" t="str">
        <x:v>SI1</x:v>
      </x:c>
      <x:c r="E1640" s="36" t="n">
        <x:v>37700</x:v>
      </x:c>
      <x:c r="F1640" s="36" t="n">
        <x:v>2828</x:v>
      </x:c>
      <x:c r="G1640" s="42" t="n">
        <x:v>0.6066066066066066</x:v>
      </x:c>
      <x:c r="H1640" s="36" t="n">
        <x:f>E1640*G1640</x:f>
        <x:v>22869.069069069068</x:v>
      </x:c>
      <x:c r="I1640" s="36" t="n">
        <x:f>IFERROR(H1640/A1640,0)</x:f>
        <x:v>7623.023023023023</x:v>
      </x:c>
      <x:c r="J1640" s="67" t="str">
        <x:v>Modeled from live base + Sep-2026 quality ratio</x:v>
      </x:c>
      <x:c r="K1640" s="67" t="str">
        <x:v>https://www.stonealgo.com/diamond-prices/</x:v>
      </x:c>
      <x:c r="L1640" s="67" t="str">
        <x:v>https://www.pricescope.com/blog/natural-diamond-prices-september-2026</x:v>
      </x:c>
    </x:row>
    <x:row r="1641">
      <x:c r="A1641" t="n">
        <x:v>3</x:v>
      </x:c>
      <x:c r="B1641" t="str">
        <x:v>Radiant</x:v>
      </x:c>
      <x:c r="C1641" t="str">
        <x:v>H</x:v>
      </x:c>
      <x:c r="D1641" t="str">
        <x:v>SI2</x:v>
      </x:c>
      <x:c r="E1641" s="36" t="n">
        <x:v>37700</x:v>
      </x:c>
      <x:c r="F1641" s="36" t="n">
        <x:v>2328</x:v>
      </x:c>
      <x:c r="G1641" s="42" t="n">
        <x:v>0.49935649935649934</x:v>
      </x:c>
      <x:c r="H1641" s="36" t="n">
        <x:f>E1641*G1641</x:f>
        <x:v>18825.740025740026</x:v>
      </x:c>
      <x:c r="I1641" s="36" t="n">
        <x:f>IFERROR(H1641/A1641,0)</x:f>
        <x:v>6275.246675246675</x:v>
      </x:c>
      <x:c r="J1641" s="67" t="str">
        <x:v>Modeled from live base + Sep-2026 quality ratio</x:v>
      </x:c>
      <x:c r="K1641" s="67" t="str">
        <x:v>https://www.stonealgo.com/diamond-prices/</x:v>
      </x:c>
      <x:c r="L1641" s="67" t="str">
        <x:v>https://www.pricescope.com/blog/natural-diamond-prices-september-2026</x:v>
      </x:c>
    </x:row>
    <x:row r="1642">
      <x:c r="A1642" t="n">
        <x:v>3</x:v>
      </x:c>
      <x:c r="B1642" t="str">
        <x:v>Radiant</x:v>
      </x:c>
      <x:c r="C1642" t="str">
        <x:v>I</x:v>
      </x:c>
      <x:c r="D1642" t="str">
        <x:v>FL</x:v>
      </x:c>
      <x:c r="E1642" s="36" t="n">
        <x:v>37700</x:v>
      </x:c>
      <x:c r="F1642" s="36" t="n">
        <x:v>4623</x:v>
      </x:c>
      <x:c r="G1642" s="42" t="n">
        <x:v>0.9916344916344917</x:v>
      </x:c>
      <x:c r="H1642" s="36" t="n">
        <x:f>E1642*G1642</x:f>
        <x:v>37384.62033462034</x:v>
      </x:c>
      <x:c r="I1642" s="36" t="n">
        <x:f>IFERROR(H1642/A1642,0)</x:f>
        <x:v>12461.540111540113</x:v>
      </x:c>
      <x:c r="J1642" s="67" t="str">
        <x:v>Modeled from live base + Sep-2026 quality ratio</x:v>
      </x:c>
      <x:c r="K1642" s="67" t="str">
        <x:v>https://www.stonealgo.com/diamond-prices/</x:v>
      </x:c>
      <x:c r="L1642" s="67" t="str">
        <x:v>https://www.pricescope.com/blog/natural-diamond-prices-september-2026</x:v>
      </x:c>
    </x:row>
    <x:row r="1643">
      <x:c r="A1643" t="n">
        <x:v>3</x:v>
      </x:c>
      <x:c r="B1643" t="str">
        <x:v>Radiant</x:v>
      </x:c>
      <x:c r="C1643" t="str">
        <x:v>I</x:v>
      </x:c>
      <x:c r="D1643" t="str">
        <x:v>IF</x:v>
      </x:c>
      <x:c r="E1643" s="36" t="n">
        <x:v>37700</x:v>
      </x:c>
      <x:c r="F1643" s="36" t="n">
        <x:v>4005</x:v>
      </x:c>
      <x:c r="G1643" s="42" t="n">
        <x:v>0.859073359073359</x:v>
      </x:c>
      <x:c r="H1643" s="36" t="n">
        <x:f>E1643*G1643</x:f>
        <x:v>32387.065637065636</x:v>
      </x:c>
      <x:c r="I1643" s="36" t="n">
        <x:f>IFERROR(H1643/A1643,0)</x:f>
        <x:v>10795.688545688545</x:v>
      </x:c>
      <x:c r="J1643" s="67" t="str">
        <x:v>Modeled from live base + Sep-2026 quality ratio</x:v>
      </x:c>
      <x:c r="K1643" s="67" t="str">
        <x:v>https://www.stonealgo.com/diamond-prices/</x:v>
      </x:c>
      <x:c r="L1643" s="67" t="str">
        <x:v>https://www.pricescope.com/blog/natural-diamond-prices-september-2026</x:v>
      </x:c>
    </x:row>
    <x:row r="1644">
      <x:c r="A1644" t="n">
        <x:v>3</x:v>
      </x:c>
      <x:c r="B1644" t="str">
        <x:v>Radiant</x:v>
      </x:c>
      <x:c r="C1644" t="str">
        <x:v>I</x:v>
      </x:c>
      <x:c r="D1644" t="str">
        <x:v>VVS1</x:v>
      </x:c>
      <x:c r="E1644" s="36" t="n">
        <x:v>37700</x:v>
      </x:c>
      <x:c r="F1644" s="36" t="n">
        <x:v>3670</x:v>
      </x:c>
      <x:c r="G1644" s="42" t="n">
        <x:v>0.7872157872157872</x:v>
      </x:c>
      <x:c r="H1644" s="36" t="n">
        <x:f>E1644*G1644</x:f>
        <x:v>29678.035178035178</x:v>
      </x:c>
      <x:c r="I1644" s="36" t="n">
        <x:f>IFERROR(H1644/A1644,0)</x:f>
        <x:v>9892.678392678392</x:v>
      </x:c>
      <x:c r="J1644" s="67" t="str">
        <x:v>Modeled from live base + Sep-2026 quality ratio</x:v>
      </x:c>
      <x:c r="K1644" s="67" t="str">
        <x:v>https://www.stonealgo.com/diamond-prices/</x:v>
      </x:c>
      <x:c r="L1644" s="67" t="str">
        <x:v>https://www.pricescope.com/blog/natural-diamond-prices-september-2026</x:v>
      </x:c>
    </x:row>
    <x:row r="1645">
      <x:c r="A1645" t="n">
        <x:v>3</x:v>
      </x:c>
      <x:c r="B1645" t="str">
        <x:v>Radiant</x:v>
      </x:c>
      <x:c r="C1645" t="str">
        <x:v>I</x:v>
      </x:c>
      <x:c r="D1645" t="str">
        <x:v>VVS2</x:v>
      </x:c>
      <x:c r="E1645" s="36" t="n">
        <x:v>37700</x:v>
      </x:c>
      <x:c r="F1645" s="36" t="n">
        <x:v>3447</x:v>
      </x:c>
      <x:c r="G1645" s="42" t="n">
        <x:v>0.7393822393822393</x:v>
      </x:c>
      <x:c r="H1645" s="36" t="n">
        <x:f>E1645*G1645</x:f>
        <x:v>27874.71042471042</x:v>
      </x:c>
      <x:c r="I1645" s="36" t="n">
        <x:f>IFERROR(H1645/A1645,0)</x:f>
        <x:v>9291.57014157014</x:v>
      </x:c>
      <x:c r="J1645" s="67" t="str">
        <x:v>Modeled from live base + Sep-2026 quality ratio</x:v>
      </x:c>
      <x:c r="K1645" s="67" t="str">
        <x:v>https://www.stonealgo.com/diamond-prices/</x:v>
      </x:c>
      <x:c r="L1645" s="67" t="str">
        <x:v>https://www.pricescope.com/blog/natural-diamond-prices-september-2026</x:v>
      </x:c>
    </x:row>
    <x:row r="1646">
      <x:c r="A1646" t="n">
        <x:v>3</x:v>
      </x:c>
      <x:c r="B1646" t="str">
        <x:v>Radiant</x:v>
      </x:c>
      <x:c r="C1646" t="str">
        <x:v>I</x:v>
      </x:c>
      <x:c r="D1646" t="str">
        <x:v>VS1</x:v>
      </x:c>
      <x:c r="E1646" s="36" t="n">
        <x:v>37700</x:v>
      </x:c>
      <x:c r="F1646" s="36" t="n">
        <x:v>3313</x:v>
      </x:c>
      <x:c r="G1646" s="42" t="n">
        <x:v>0.7106392106392107</x:v>
      </x:c>
      <x:c r="H1646" s="36" t="n">
        <x:f>E1646*G1646</x:f>
        <x:v>26791.098241098243</x:v>
      </x:c>
      <x:c r="I1646" s="36" t="n">
        <x:f>IFERROR(H1646/A1646,0)</x:f>
        <x:v>8930.36608036608</x:v>
      </x:c>
      <x:c r="J1646" s="67" t="str">
        <x:v>Modeled from live base + Sep-2026 quality ratio</x:v>
      </x:c>
      <x:c r="K1646" s="67" t="str">
        <x:v>https://www.stonealgo.com/diamond-prices/</x:v>
      </x:c>
      <x:c r="L1646" s="67" t="str">
        <x:v>https://www.pricescope.com/blog/natural-diamond-prices-september-2026</x:v>
      </x:c>
    </x:row>
    <x:row r="1647">
      <x:c r="A1647" t="n">
        <x:v>3</x:v>
      </x:c>
      <x:c r="B1647" t="str">
        <x:v>Radiant</x:v>
      </x:c>
      <x:c r="C1647" t="str">
        <x:v>I</x:v>
      </x:c>
      <x:c r="D1647" t="str">
        <x:v>VS2</x:v>
      </x:c>
      <x:c r="E1647" s="36" t="n">
        <x:v>37700</x:v>
      </x:c>
      <x:c r="F1647" s="36" t="n">
        <x:v>3240</x:v>
      </x:c>
      <x:c r="G1647" s="42" t="n">
        <x:v>0.694980694980695</x:v>
      </x:c>
      <x:c r="H1647" s="36" t="n">
        <x:f>E1647*G1647</x:f>
        <x:v>26200.772200772204</x:v>
      </x:c>
      <x:c r="I1647" s="36" t="n">
        <x:f>IFERROR(H1647/A1647,0)</x:f>
        <x:v>8733.590733590734</x:v>
      </x:c>
      <x:c r="J1647" s="67" t="str">
        <x:v>Modeled from live base + Sep-2026 quality ratio</x:v>
      </x:c>
      <x:c r="K1647" s="67" t="str">
        <x:v>https://www.stonealgo.com/diamond-prices/</x:v>
      </x:c>
      <x:c r="L1647" s="67" t="str">
        <x:v>https://www.pricescope.com/blog/natural-diamond-prices-september-2026</x:v>
      </x:c>
    </x:row>
    <x:row r="1648">
      <x:c r="A1648" t="n">
        <x:v>3</x:v>
      </x:c>
      <x:c r="B1648" t="str">
        <x:v>Radiant</x:v>
      </x:c>
      <x:c r="C1648" t="str">
        <x:v>I</x:v>
      </x:c>
      <x:c r="D1648" t="str">
        <x:v>SI1</x:v>
      </x:c>
      <x:c r="E1648" s="36" t="n">
        <x:v>37700</x:v>
      </x:c>
      <x:c r="F1648" s="36" t="n">
        <x:v>3199</x:v>
      </x:c>
      <x:c r="G1648" s="42" t="n">
        <x:v>0.6861861861861862</x:v>
      </x:c>
      <x:c r="H1648" s="36" t="n">
        <x:f>E1648*G1648</x:f>
        <x:v>25869.21921921922</x:v>
      </x:c>
      <x:c r="I1648" s="36" t="n">
        <x:f>IFERROR(H1648/A1648,0)</x:f>
        <x:v>8623.073073073074</x:v>
      </x:c>
      <x:c r="J1648" s="67" t="str">
        <x:v>Modeled from live base + Sep-2026 quality ratio</x:v>
      </x:c>
      <x:c r="K1648" s="67" t="str">
        <x:v>https://www.stonealgo.com/diamond-prices/</x:v>
      </x:c>
      <x:c r="L1648" s="67" t="str">
        <x:v>https://www.pricescope.com/blog/natural-diamond-prices-september-2026</x:v>
      </x:c>
    </x:row>
    <x:row r="1649">
      <x:c r="A1649" t="n">
        <x:v>3</x:v>
      </x:c>
      <x:c r="B1649" t="str">
        <x:v>Radiant</x:v>
      </x:c>
      <x:c r="C1649" t="str">
        <x:v>I</x:v>
      </x:c>
      <x:c r="D1649" t="str">
        <x:v>SI2</x:v>
      </x:c>
      <x:c r="E1649" s="36" t="n">
        <x:v>37700</x:v>
      </x:c>
      <x:c r="F1649" s="36" t="n">
        <x:v>2874</x:v>
      </x:c>
      <x:c r="G1649" s="42" t="n">
        <x:v>0.6164736164736164</x:v>
      </x:c>
      <x:c r="H1649" s="36" t="n">
        <x:f>E1649*G1649</x:f>
        <x:v>23241.05534105534</x:v>
      </x:c>
      <x:c r="I1649" s="36" t="n">
        <x:f>IFERROR(H1649/A1649,0)</x:f>
        <x:v>7747.018447018447</x:v>
      </x:c>
      <x:c r="J1649" s="67" t="str">
        <x:v>Modeled from live base + Sep-2026 quality ratio</x:v>
      </x:c>
      <x:c r="K1649" s="67" t="str">
        <x:v>https://www.stonealgo.com/diamond-prices/</x:v>
      </x:c>
      <x:c r="L1649" s="67" t="str">
        <x:v>https://www.pricescope.com/blog/natural-diamond-prices-september-2026</x:v>
      </x:c>
    </x:row>
    <x:row r="1650">
      <x:c r="A1650" t="n">
        <x:v>3</x:v>
      </x:c>
      <x:c r="B1650" t="str">
        <x:v>Radiant</x:v>
      </x:c>
      <x:c r="C1650" t="str">
        <x:v>J</x:v>
      </x:c>
      <x:c r="D1650" t="str">
        <x:v>FL</x:v>
      </x:c>
      <x:c r="E1650" s="36" t="n">
        <x:v>37700</x:v>
      </x:c>
      <x:c r="F1650" s="36" t="n">
        <x:v>3646</x:v>
      </x:c>
      <x:c r="G1650" s="42" t="n">
        <x:v>0.782067782067782</x:v>
      </x:c>
      <x:c r="H1650" s="36" t="n">
        <x:f>E1650*G1650</x:f>
        <x:v>29483.955383955385</x:v>
      </x:c>
      <x:c r="I1650" s="36" t="n">
        <x:f>IFERROR(H1650/A1650,0)</x:f>
        <x:v>9827.985127985128</x:v>
      </x:c>
      <x:c r="J1650" s="67" t="str">
        <x:v>Modeled from live base + Sep-2026 quality ratio</x:v>
      </x:c>
      <x:c r="K1650" s="67" t="str">
        <x:v>https://www.stonealgo.com/diamond-prices/</x:v>
      </x:c>
      <x:c r="L1650" s="67" t="str">
        <x:v>https://www.pricescope.com/blog/natural-diamond-prices-september-2026</x:v>
      </x:c>
    </x:row>
    <x:row r="1651">
      <x:c r="A1651" t="n">
        <x:v>3</x:v>
      </x:c>
      <x:c r="B1651" t="str">
        <x:v>Radiant</x:v>
      </x:c>
      <x:c r="C1651" t="str">
        <x:v>J</x:v>
      </x:c>
      <x:c r="D1651" t="str">
        <x:v>IF</x:v>
      </x:c>
      <x:c r="E1651" s="36" t="n">
        <x:v>37700</x:v>
      </x:c>
      <x:c r="F1651" s="36" t="n">
        <x:v>3368</x:v>
      </x:c>
      <x:c r="G1651" s="42" t="n">
        <x:v>0.7224367224367224</x:v>
      </x:c>
      <x:c r="H1651" s="36" t="n">
        <x:f>E1651*G1651</x:f>
        <x:v>27235.864435864434</x:v>
      </x:c>
      <x:c r="I1651" s="36" t="n">
        <x:f>IFERROR(H1651/A1651,0)</x:f>
        <x:v>9078.621478621479</x:v>
      </x:c>
      <x:c r="J1651" s="67" t="str">
        <x:v>Modeled from live base + Sep-2026 quality ratio</x:v>
      </x:c>
      <x:c r="K1651" s="67" t="str">
        <x:v>https://www.stonealgo.com/diamond-prices/</x:v>
      </x:c>
      <x:c r="L1651" s="67" t="str">
        <x:v>https://www.pricescope.com/blog/natural-diamond-prices-september-2026</x:v>
      </x:c>
    </x:row>
    <x:row r="1652">
      <x:c r="A1652" t="n">
        <x:v>3</x:v>
      </x:c>
      <x:c r="B1652" t="str">
        <x:v>Radiant</x:v>
      </x:c>
      <x:c r="C1652" t="str">
        <x:v>J</x:v>
      </x:c>
      <x:c r="D1652" t="str">
        <x:v>VVS1</x:v>
      </x:c>
      <x:c r="E1652" s="36" t="n">
        <x:v>37700</x:v>
      </x:c>
      <x:c r="F1652" s="36" t="n">
        <x:v>2956</x:v>
      </x:c>
      <x:c r="G1652" s="42" t="n">
        <x:v>0.6340626340626341</x:v>
      </x:c>
      <x:c r="H1652" s="36" t="n">
        <x:f>E1652*G1652</x:f>
        <x:v>23904.161304161305</x:v>
      </x:c>
      <x:c r="I1652" s="36" t="n">
        <x:f>IFERROR(H1652/A1652,0)</x:f>
        <x:v>7968.053768053768</x:v>
      </x:c>
      <x:c r="J1652" s="67" t="str">
        <x:v>Modeled from live base + Sep-2026 quality ratio</x:v>
      </x:c>
      <x:c r="K1652" s="67" t="str">
        <x:v>https://www.stonealgo.com/diamond-prices/</x:v>
      </x:c>
      <x:c r="L1652" s="67" t="str">
        <x:v>https://www.pricescope.com/blog/natural-diamond-prices-september-2026</x:v>
      </x:c>
    </x:row>
    <x:row r="1653">
      <x:c r="A1653" t="n">
        <x:v>3</x:v>
      </x:c>
      <x:c r="B1653" t="str">
        <x:v>Radiant</x:v>
      </x:c>
      <x:c r="C1653" t="str">
        <x:v>J</x:v>
      </x:c>
      <x:c r="D1653" t="str">
        <x:v>VVS2</x:v>
      </x:c>
      <x:c r="E1653" s="36" t="n">
        <x:v>37700</x:v>
      </x:c>
      <x:c r="F1653" s="36" t="n">
        <x:v>2612</x:v>
      </x:c>
      <x:c r="G1653" s="42" t="n">
        <x:v>0.5602745602745602</x:v>
      </x:c>
      <x:c r="H1653" s="36" t="n">
        <x:f>E1653*G1653</x:f>
        <x:v>21122.35092235092</x:v>
      </x:c>
      <x:c r="I1653" s="36" t="n">
        <x:f>IFERROR(H1653/A1653,0)</x:f>
        <x:v>7040.78364078364</x:v>
      </x:c>
      <x:c r="J1653" s="67" t="str">
        <x:v>Modeled from live base + Sep-2026 quality ratio</x:v>
      </x:c>
      <x:c r="K1653" s="67" t="str">
        <x:v>https://www.stonealgo.com/diamond-prices/</x:v>
      </x:c>
      <x:c r="L1653" s="67" t="str">
        <x:v>https://www.pricescope.com/blog/natural-diamond-prices-september-2026</x:v>
      </x:c>
    </x:row>
    <x:row r="1654">
      <x:c r="A1654" t="n">
        <x:v>3</x:v>
      </x:c>
      <x:c r="B1654" t="str">
        <x:v>Radiant</x:v>
      </x:c>
      <x:c r="C1654" t="str">
        <x:v>J</x:v>
      </x:c>
      <x:c r="D1654" t="str">
        <x:v>VS1</x:v>
      </x:c>
      <x:c r="E1654" s="36" t="n">
        <x:v>37700</x:v>
      </x:c>
      <x:c r="F1654" s="36" t="n">
        <x:v>3002</x:v>
      </x:c>
      <x:c r="G1654" s="42" t="n">
        <x:v>0.6439296439296439</x:v>
      </x:c>
      <x:c r="H1654" s="36" t="n">
        <x:f>E1654*G1654</x:f>
        <x:v>24276.147576147574</x:v>
      </x:c>
      <x:c r="I1654" s="36" t="n">
        <x:f>IFERROR(H1654/A1654,0)</x:f>
        <x:v>8092.049192049191</x:v>
      </x:c>
      <x:c r="J1654" s="67" t="str">
        <x:v>Modeled from live base + Sep-2026 quality ratio</x:v>
      </x:c>
      <x:c r="K1654" s="67" t="str">
        <x:v>https://www.stonealgo.com/diamond-prices/</x:v>
      </x:c>
      <x:c r="L1654" s="67" t="str">
        <x:v>https://www.pricescope.com/blog/natural-diamond-prices-september-2026</x:v>
      </x:c>
    </x:row>
    <x:row r="1655">
      <x:c r="A1655" t="n">
        <x:v>3</x:v>
      </x:c>
      <x:c r="B1655" t="str">
        <x:v>Radiant</x:v>
      </x:c>
      <x:c r="C1655" t="str">
        <x:v>J</x:v>
      </x:c>
      <x:c r="D1655" t="str">
        <x:v>VS2</x:v>
      </x:c>
      <x:c r="E1655" s="36" t="n">
        <x:v>37700</x:v>
      </x:c>
      <x:c r="F1655" s="36" t="n">
        <x:v>2559</x:v>
      </x:c>
      <x:c r="G1655" s="42" t="n">
        <x:v>0.5489060489060489</x:v>
      </x:c>
      <x:c r="H1655" s="36" t="n">
        <x:f>E1655*G1655</x:f>
        <x:v>20693.758043758044</x:v>
      </x:c>
      <x:c r="I1655" s="36" t="n">
        <x:f>IFERROR(H1655/A1655,0)</x:f>
        <x:v>6897.919347919348</x:v>
      </x:c>
      <x:c r="J1655" s="67" t="str">
        <x:v>Modeled from live base + Sep-2026 quality ratio</x:v>
      </x:c>
      <x:c r="K1655" s="67" t="str">
        <x:v>https://www.stonealgo.com/diamond-prices/</x:v>
      </x:c>
      <x:c r="L1655" s="67" t="str">
        <x:v>https://www.pricescope.com/blog/natural-diamond-prices-september-2026</x:v>
      </x:c>
    </x:row>
    <x:row r="1656">
      <x:c r="A1656" t="n">
        <x:v>3</x:v>
      </x:c>
      <x:c r="B1656" t="str">
        <x:v>Radiant</x:v>
      </x:c>
      <x:c r="C1656" t="str">
        <x:v>J</x:v>
      </x:c>
      <x:c r="D1656" t="str">
        <x:v>SI1</x:v>
      </x:c>
      <x:c r="E1656" s="36" t="n">
        <x:v>37700</x:v>
      </x:c>
      <x:c r="F1656" s="36" t="n">
        <x:v>2195</x:v>
      </x:c>
      <x:c r="G1656" s="42" t="n">
        <x:v>0.47082797082797084</x:v>
      </x:c>
      <x:c r="H1656" s="36" t="n">
        <x:f>E1656*G1656</x:f>
        <x:v>17750.2145002145</x:v>
      </x:c>
      <x:c r="I1656" s="36" t="n">
        <x:f>IFERROR(H1656/A1656,0)</x:f>
        <x:v>5916.738166738167</x:v>
      </x:c>
      <x:c r="J1656" s="67" t="str">
        <x:v>Modeled from live base + Sep-2026 quality ratio</x:v>
      </x:c>
      <x:c r="K1656" s="67" t="str">
        <x:v>https://www.stonealgo.com/diamond-prices/</x:v>
      </x:c>
      <x:c r="L1656" s="67" t="str">
        <x:v>https://www.pricescope.com/blog/natural-diamond-prices-september-2026</x:v>
      </x:c>
    </x:row>
    <x:row r="1657">
      <x:c r="A1657" t="n">
        <x:v>3</x:v>
      </x:c>
      <x:c r="B1657" t="str">
        <x:v>Radiant</x:v>
      </x:c>
      <x:c r="C1657" t="str">
        <x:v>J</x:v>
      </x:c>
      <x:c r="D1657" t="str">
        <x:v>SI2</x:v>
      </x:c>
      <x:c r="E1657" s="36" t="n">
        <x:v>37700</x:v>
      </x:c>
      <x:c r="F1657" s="36" t="n">
        <x:v>2079</x:v>
      </x:c>
      <x:c r="G1657" s="42" t="n">
        <x:v>0.44594594594594594</x:v>
      </x:c>
      <x:c r="H1657" s="36" t="n">
        <x:f>E1657*G1657</x:f>
        <x:v>16812.162162162163</x:v>
      </x:c>
      <x:c r="I1657" s="36" t="n">
        <x:f>IFERROR(H1657/A1657,0)</x:f>
        <x:v>5604.054054054054</x:v>
      </x:c>
      <x:c r="J1657" s="67" t="str">
        <x:v>Modeled from live base + Sep-2026 quality ratio</x:v>
      </x:c>
      <x:c r="K1657" s="67" t="str">
        <x:v>https://www.stonealgo.com/diamond-prices/</x:v>
      </x:c>
      <x:c r="L1657" s="67" t="str">
        <x:v>https://www.pricescope.com/blog/natural-diamond-prices-september-2026</x:v>
      </x:c>
    </x:row>
    <x:row r="1658">
      <x:c r="A1658" t="n">
        <x:v>3</x:v>
      </x:c>
      <x:c r="B1658" t="str">
        <x:v>Radiant</x:v>
      </x:c>
      <x:c r="C1658" t="str">
        <x:v>K</x:v>
      </x:c>
      <x:c r="D1658" t="str">
        <x:v>FL</x:v>
      </x:c>
      <x:c r="E1658" s="36" t="n">
        <x:v>37700</x:v>
      </x:c>
      <x:c r="F1658" s="36" t="n">
        <x:v>2858</x:v>
      </x:c>
      <x:c r="G1658" s="42" t="n">
        <x:v>0.6130416130416131</x:v>
      </x:c>
      <x:c r="H1658" s="36" t="n">
        <x:f>E1658*G1658</x:f>
        <x:v>23111.668811668813</x:v>
      </x:c>
      <x:c r="I1658" s="36" t="n">
        <x:f>IFERROR(H1658/A1658,0)</x:f>
        <x:v>7703.889603889605</x:v>
      </x:c>
      <x:c r="J1658" s="67" t="str">
        <x:v>Modeled from live base + Sep-2026 quality ratio; K/FL quality cell modeled</x:v>
      </x:c>
      <x:c r="K1658" s="67" t="str">
        <x:v>https://www.stonealgo.com/diamond-prices/</x:v>
      </x:c>
      <x:c r="L1658" s="67" t="str">
        <x:v>https://www.pricescope.com/blog/natural-diamond-prices-september-2026</x:v>
      </x:c>
    </x:row>
    <x:row r="1659">
      <x:c r="A1659" t="n">
        <x:v>3</x:v>
      </x:c>
      <x:c r="B1659" t="str">
        <x:v>Radiant</x:v>
      </x:c>
      <x:c r="C1659" t="str">
        <x:v>K</x:v>
      </x:c>
      <x:c r="D1659" t="str">
        <x:v>IF</x:v>
      </x:c>
      <x:c r="E1659" s="36" t="n">
        <x:v>37700</x:v>
      </x:c>
      <x:c r="F1659" s="36" t="n">
        <x:v>2743</x:v>
      </x:c>
      <x:c r="G1659" s="42" t="n">
        <x:v>0.5883740883740883</x:v>
      </x:c>
      <x:c r="H1659" s="36" t="n">
        <x:f>E1659*G1659</x:f>
        <x:v>22181.70313170313</x:v>
      </x:c>
      <x:c r="I1659" s="36" t="n">
        <x:f>IFERROR(H1659/A1659,0)</x:f>
        <x:v>7393.901043901043</x:v>
      </x:c>
      <x:c r="J1659" s="67" t="str">
        <x:v>Modeled from live base + Sep-2026 quality ratio</x:v>
      </x:c>
      <x:c r="K1659" s="67" t="str">
        <x:v>https://www.stonealgo.com/diamond-prices/</x:v>
      </x:c>
      <x:c r="L1659" s="67" t="str">
        <x:v>https://www.pricescope.com/blog/natural-diamond-prices-september-2026</x:v>
      </x:c>
    </x:row>
    <x:row r="1660">
      <x:c r="A1660" t="n">
        <x:v>3</x:v>
      </x:c>
      <x:c r="B1660" t="str">
        <x:v>Radiant</x:v>
      </x:c>
      <x:c r="C1660" t="str">
        <x:v>K</x:v>
      </x:c>
      <x:c r="D1660" t="str">
        <x:v>VVS1</x:v>
      </x:c>
      <x:c r="E1660" s="36" t="n">
        <x:v>37700</x:v>
      </x:c>
      <x:c r="F1660" s="36" t="n">
        <x:v>2529</x:v>
      </x:c>
      <x:c r="G1660" s="42" t="n">
        <x:v>0.5424710424710425</x:v>
      </x:c>
      <x:c r="H1660" s="36" t="n">
        <x:f>E1660*G1660</x:f>
        <x:v>20451.158301158302</x:v>
      </x:c>
      <x:c r="I1660" s="36" t="n">
        <x:f>IFERROR(H1660/A1660,0)</x:f>
        <x:v>6817.052767052767</x:v>
      </x:c>
      <x:c r="J1660" s="67" t="str">
        <x:v>Modeled from live base + Sep-2026 quality ratio</x:v>
      </x:c>
      <x:c r="K1660" s="67" t="str">
        <x:v>https://www.stonealgo.com/diamond-prices/</x:v>
      </x:c>
      <x:c r="L1660" s="67" t="str">
        <x:v>https://www.pricescope.com/blog/natural-diamond-prices-september-2026</x:v>
      </x:c>
    </x:row>
    <x:row r="1661">
      <x:c r="A1661" t="n">
        <x:v>3</x:v>
      </x:c>
      <x:c r="B1661" t="str">
        <x:v>Radiant</x:v>
      </x:c>
      <x:c r="C1661" t="str">
        <x:v>K</x:v>
      </x:c>
      <x:c r="D1661" t="str">
        <x:v>VVS2</x:v>
      </x:c>
      <x:c r="E1661" s="36" t="n">
        <x:v>37700</x:v>
      </x:c>
      <x:c r="F1661" s="36" t="n">
        <x:v>2374</x:v>
      </x:c>
      <x:c r="G1661" s="42" t="n">
        <x:v>0.5092235092235092</x:v>
      </x:c>
      <x:c r="H1661" s="36" t="n">
        <x:f>E1661*G1661</x:f>
        <x:v>19197.726297726298</x:v>
      </x:c>
      <x:c r="I1661" s="36" t="n">
        <x:f>IFERROR(H1661/A1661,0)</x:f>
        <x:v>6399.242099242099</x:v>
      </x:c>
      <x:c r="J1661" s="67" t="str">
        <x:v>Modeled from live base + Sep-2026 quality ratio</x:v>
      </x:c>
      <x:c r="K1661" s="67" t="str">
        <x:v>https://www.stonealgo.com/diamond-prices/</x:v>
      </x:c>
      <x:c r="L1661" s="67" t="str">
        <x:v>https://www.pricescope.com/blog/natural-diamond-prices-september-2026</x:v>
      </x:c>
    </x:row>
    <x:row r="1662">
      <x:c r="A1662" t="n">
        <x:v>3</x:v>
      </x:c>
      <x:c r="B1662" t="str">
        <x:v>Radiant</x:v>
      </x:c>
      <x:c r="C1662" t="str">
        <x:v>K</x:v>
      </x:c>
      <x:c r="D1662" t="str">
        <x:v>VS1</x:v>
      </x:c>
      <x:c r="E1662" s="36" t="n">
        <x:v>37700</x:v>
      </x:c>
      <x:c r="F1662" s="36" t="n">
        <x:v>2223</x:v>
      </x:c>
      <x:c r="G1662" s="42" t="n">
        <x:v>0.4768339768339768</x:v>
      </x:c>
      <x:c r="H1662" s="36" t="n">
        <x:f>E1662*G1662</x:f>
        <x:v>17976.640926640925</x:v>
      </x:c>
      <x:c r="I1662" s="36" t="n">
        <x:f>IFERROR(H1662/A1662,0)</x:f>
        <x:v>5992.213642213642</x:v>
      </x:c>
      <x:c r="J1662" s="67" t="str">
        <x:v>Modeled from live base + Sep-2026 quality ratio</x:v>
      </x:c>
      <x:c r="K1662" s="67" t="str">
        <x:v>https://www.stonealgo.com/diamond-prices/</x:v>
      </x:c>
      <x:c r="L1662" s="67" t="str">
        <x:v>https://www.pricescope.com/blog/natural-diamond-prices-september-2026</x:v>
      </x:c>
    </x:row>
    <x:row r="1663">
      <x:c r="A1663" t="n">
        <x:v>3</x:v>
      </x:c>
      <x:c r="B1663" t="str">
        <x:v>Radiant</x:v>
      </x:c>
      <x:c r="C1663" t="str">
        <x:v>K</x:v>
      </x:c>
      <x:c r="D1663" t="str">
        <x:v>VS2</x:v>
      </x:c>
      <x:c r="E1663" s="36" t="n">
        <x:v>37700</x:v>
      </x:c>
      <x:c r="F1663" s="36" t="n">
        <x:v>2098</x:v>
      </x:c>
      <x:c r="G1663" s="42" t="n">
        <x:v>0.45002145002145</x:v>
      </x:c>
      <x:c r="H1663" s="36" t="n">
        <x:f>E1663*G1663</x:f>
        <x:v>16965.808665808665</x:v>
      </x:c>
      <x:c r="I1663" s="36" t="n">
        <x:f>IFERROR(H1663/A1663,0)</x:f>
        <x:v>5655.269555269555</x:v>
      </x:c>
      <x:c r="J1663" s="67" t="str">
        <x:v>Modeled from live base + Sep-2026 quality ratio</x:v>
      </x:c>
      <x:c r="K1663" s="67" t="str">
        <x:v>https://www.stonealgo.com/diamond-prices/</x:v>
      </x:c>
      <x:c r="L1663" s="67" t="str">
        <x:v>https://www.pricescope.com/blog/natural-diamond-prices-september-2026</x:v>
      </x:c>
    </x:row>
    <x:row r="1664">
      <x:c r="A1664" t="n">
        <x:v>3</x:v>
      </x:c>
      <x:c r="B1664" t="str">
        <x:v>Radiant</x:v>
      </x:c>
      <x:c r="C1664" t="str">
        <x:v>K</x:v>
      </x:c>
      <x:c r="D1664" t="str">
        <x:v>SI1</x:v>
      </x:c>
      <x:c r="E1664" s="36" t="n">
        <x:v>37700</x:v>
      </x:c>
      <x:c r="F1664" s="36" t="n">
        <x:v>1922</x:v>
      </x:c>
      <x:c r="G1664" s="42" t="n">
        <x:v>0.41226941226941227</x:v>
      </x:c>
      <x:c r="H1664" s="36" t="n">
        <x:f>E1664*G1664</x:f>
        <x:v>15542.556842556844</x:v>
      </x:c>
      <x:c r="I1664" s="36" t="n">
        <x:f>IFERROR(H1664/A1664,0)</x:f>
        <x:v>5180.852280852281</x:v>
      </x:c>
      <x:c r="J1664" s="67" t="str">
        <x:v>Modeled from live base + Sep-2026 quality ratio</x:v>
      </x:c>
      <x:c r="K1664" s="67" t="str">
        <x:v>https://www.stonealgo.com/diamond-prices/</x:v>
      </x:c>
      <x:c r="L1664" s="67" t="str">
        <x:v>https://www.pricescope.com/blog/natural-diamond-prices-september-2026</x:v>
      </x:c>
    </x:row>
    <x:row r="1665">
      <x:c r="A1665" t="n">
        <x:v>3</x:v>
      </x:c>
      <x:c r="B1665" t="str">
        <x:v>Radiant</x:v>
      </x:c>
      <x:c r="C1665" t="str">
        <x:v>K</x:v>
      </x:c>
      <x:c r="D1665" t="str">
        <x:v>SI2</x:v>
      </x:c>
      <x:c r="E1665" s="36" t="n">
        <x:v>37700</x:v>
      </x:c>
      <x:c r="F1665" s="36" t="n">
        <x:v>1764</x:v>
      </x:c>
      <x:c r="G1665" s="42" t="n">
        <x:v>0.3783783783783784</x:v>
      </x:c>
      <x:c r="H1665" s="36" t="n">
        <x:f>E1665*G1665</x:f>
        <x:v>14264.864864864865</x:v>
      </x:c>
      <x:c r="I1665" s="36" t="n">
        <x:f>IFERROR(H1665/A1665,0)</x:f>
        <x:v>4754.954954954955</x:v>
      </x:c>
      <x:c r="J1665" s="67" t="str">
        <x:v>Modeled from live base + Sep-2026 quality ratio</x:v>
      </x:c>
      <x:c r="K1665" s="67" t="str">
        <x:v>https://www.stonealgo.com/diamond-prices/</x:v>
      </x:c>
      <x:c r="L1665" s="67" t="str">
        <x:v>https://www.pricescope.com/blog/natural-diamond-prices-september-2026</x:v>
      </x:c>
    </x:row>
    <x:row r="1666">
      <x:c r="A1666" t="n">
        <x:v>3</x:v>
      </x:c>
      <x:c r="B1666" t="str">
        <x:v>Pear</x:v>
      </x:c>
      <x:c r="C1666" t="str">
        <x:v>D</x:v>
      </x:c>
      <x:c r="D1666" t="str">
        <x:v>FL</x:v>
      </x:c>
      <x:c r="E1666" s="36" t="n">
        <x:v>49503</x:v>
      </x:c>
      <x:c r="F1666" s="36" t="n">
        <x:v>12665</x:v>
      </x:c>
      <x:c r="G1666" s="42" t="n">
        <x:v>2.7166452166452166</x:v>
      </x:c>
      <x:c r="H1666" s="36" t="n">
        <x:f>E1666*G1666</x:f>
        <x:v>134482.08815958817</x:v>
      </x:c>
      <x:c r="I1666" s="36" t="n">
        <x:f>IFERROR(H1666/A1666,0)</x:f>
        <x:v>44827.36271986272</x:v>
      </x:c>
      <x:c r="J1666" s="67" t="str">
        <x:v>Modeled from live base + Sep-2026 quality ratio</x:v>
      </x:c>
      <x:c r="K1666" s="67" t="str">
        <x:v>https://www.stonealgo.com/diamond-prices/</x:v>
      </x:c>
      <x:c r="L1666" s="67" t="str">
        <x:v>https://www.pricescope.com/blog/natural-diamond-prices-september-2026</x:v>
      </x:c>
    </x:row>
    <x:row r="1667">
      <x:c r="A1667" t="n">
        <x:v>3</x:v>
      </x:c>
      <x:c r="B1667" t="str">
        <x:v>Pear</x:v>
      </x:c>
      <x:c r="C1667" t="str">
        <x:v>D</x:v>
      </x:c>
      <x:c r="D1667" t="str">
        <x:v>IF</x:v>
      </x:c>
      <x:c r="E1667" s="36" t="n">
        <x:v>49503</x:v>
      </x:c>
      <x:c r="F1667" s="36" t="n">
        <x:v>13240</x:v>
      </x:c>
      <x:c r="G1667" s="42" t="n">
        <x:v>2.83998283998284</x:v>
      </x:c>
      <x:c r="H1667" s="36" t="n">
        <x:f>E1667*G1667</x:f>
        <x:v>140587.67052767053</x:v>
      </x:c>
      <x:c r="I1667" s="36" t="n">
        <x:f>IFERROR(H1667/A1667,0)</x:f>
        <x:v>46862.55684255684</x:v>
      </x:c>
      <x:c r="J1667" s="67" t="str">
        <x:v>Modeled from live base + Sep-2026 quality ratio</x:v>
      </x:c>
      <x:c r="K1667" s="67" t="str">
        <x:v>https://www.stonealgo.com/diamond-prices/</x:v>
      </x:c>
      <x:c r="L1667" s="67" t="str">
        <x:v>https://www.pricescope.com/blog/natural-diamond-prices-september-2026</x:v>
      </x:c>
    </x:row>
    <x:row r="1668">
      <x:c r="A1668" t="n">
        <x:v>3</x:v>
      </x:c>
      <x:c r="B1668" t="str">
        <x:v>Pear</x:v>
      </x:c>
      <x:c r="C1668" t="str">
        <x:v>D</x:v>
      </x:c>
      <x:c r="D1668" t="str">
        <x:v>VVS1</x:v>
      </x:c>
      <x:c r="E1668" s="36" t="n">
        <x:v>49503</x:v>
      </x:c>
      <x:c r="F1668" s="36" t="n">
        <x:v>9555</x:v>
      </x:c>
      <x:c r="G1668" s="42" t="n">
        <x:v>2.0495495495495497</x:v>
      </x:c>
      <x:c r="H1668" s="36" t="n">
        <x:f>E1668*G1668</x:f>
        <x:v>101458.85135135136</x:v>
      </x:c>
      <x:c r="I1668" s="36" t="n">
        <x:f>IFERROR(H1668/A1668,0)</x:f>
        <x:v>33819.61711711712</x:v>
      </x:c>
      <x:c r="J1668" s="67" t="str">
        <x:v>Modeled from live base + Sep-2026 quality ratio</x:v>
      </x:c>
      <x:c r="K1668" s="67" t="str">
        <x:v>https://www.stonealgo.com/diamond-prices/</x:v>
      </x:c>
      <x:c r="L1668" s="67" t="str">
        <x:v>https://www.pricescope.com/blog/natural-diamond-prices-september-2026</x:v>
      </x:c>
    </x:row>
    <x:row r="1669">
      <x:c r="A1669" t="n">
        <x:v>3</x:v>
      </x:c>
      <x:c r="B1669" t="str">
        <x:v>Pear</x:v>
      </x:c>
      <x:c r="C1669" t="str">
        <x:v>D</x:v>
      </x:c>
      <x:c r="D1669" t="str">
        <x:v>VVS2</x:v>
      </x:c>
      <x:c r="E1669" s="36" t="n">
        <x:v>49503</x:v>
      </x:c>
      <x:c r="F1669" s="36" t="n">
        <x:v>6660</x:v>
      </x:c>
      <x:c r="G1669" s="42" t="n">
        <x:v>1.4285714285714286</x:v>
      </x:c>
      <x:c r="H1669" s="36" t="n">
        <x:f>E1669*G1669</x:f>
        <x:v>70718.57142857143</x:v>
      </x:c>
      <x:c r="I1669" s="36" t="n">
        <x:f>IFERROR(H1669/A1669,0)</x:f>
        <x:v>23572.857142857145</x:v>
      </x:c>
      <x:c r="J1669" s="67" t="str">
        <x:v>Modeled from live base + Sep-2026 quality ratio</x:v>
      </x:c>
      <x:c r="K1669" s="67" t="str">
        <x:v>https://www.stonealgo.com/diamond-prices/</x:v>
      </x:c>
      <x:c r="L1669" s="67" t="str">
        <x:v>https://www.pricescope.com/blog/natural-diamond-prices-september-2026</x:v>
      </x:c>
    </x:row>
    <x:row r="1670">
      <x:c r="A1670" t="n">
        <x:v>3</x:v>
      </x:c>
      <x:c r="B1670" t="str">
        <x:v>Pear</x:v>
      </x:c>
      <x:c r="C1670" t="str">
        <x:v>D</x:v>
      </x:c>
      <x:c r="D1670" t="str">
        <x:v>VS1</x:v>
      </x:c>
      <x:c r="E1670" s="36" t="n">
        <x:v>49503</x:v>
      </x:c>
      <x:c r="F1670" s="36" t="n">
        <x:v>6247</x:v>
      </x:c>
      <x:c r="G1670" s="42" t="n">
        <x:v>1.33998283998284</x:v>
      </x:c>
      <x:c r="H1670" s="36" t="n">
        <x:f>E1670*G1670</x:f>
        <x:v>66333.17052767053</x:v>
      </x:c>
      <x:c r="I1670" s="36" t="n">
        <x:f>IFERROR(H1670/A1670,0)</x:f>
        <x:v>22111.056842556845</x:v>
      </x:c>
      <x:c r="J1670" s="67" t="str">
        <x:v>Modeled from live base + Sep-2026 quality ratio</x:v>
      </x:c>
      <x:c r="K1670" s="67" t="str">
        <x:v>https://www.stonealgo.com/diamond-prices/</x:v>
      </x:c>
      <x:c r="L1670" s="67" t="str">
        <x:v>https://www.pricescope.com/blog/natural-diamond-prices-september-2026</x:v>
      </x:c>
    </x:row>
    <x:row r="1671">
      <x:c r="A1671" t="n">
        <x:v>3</x:v>
      </x:c>
      <x:c r="B1671" t="str">
        <x:v>Pear</x:v>
      </x:c>
      <x:c r="C1671" t="str">
        <x:v>D</x:v>
      </x:c>
      <x:c r="D1671" t="str">
        <x:v>VS2</x:v>
      </x:c>
      <x:c r="E1671" s="36" t="n">
        <x:v>49503</x:v>
      </x:c>
      <x:c r="F1671" s="36" t="n">
        <x:v>5841</x:v>
      </x:c>
      <x:c r="G1671" s="42" t="n">
        <x:v>1.252895752895753</x:v>
      </x:c>
      <x:c r="H1671" s="36" t="n">
        <x:f>E1671*G1671</x:f>
        <x:v>62022.09845559846</x:v>
      </x:c>
      <x:c r="I1671" s="36" t="n">
        <x:f>IFERROR(H1671/A1671,0)</x:f>
        <x:v>20674.03281853282</x:v>
      </x:c>
      <x:c r="J1671" s="67" t="str">
        <x:v>Modeled from live base + Sep-2026 quality ratio</x:v>
      </x:c>
      <x:c r="K1671" s="67" t="str">
        <x:v>https://www.stonealgo.com/diamond-prices/</x:v>
      </x:c>
      <x:c r="L1671" s="67" t="str">
        <x:v>https://www.pricescope.com/blog/natural-diamond-prices-september-2026</x:v>
      </x:c>
    </x:row>
    <x:row r="1672">
      <x:c r="A1672" t="n">
        <x:v>3</x:v>
      </x:c>
      <x:c r="B1672" t="str">
        <x:v>Pear</x:v>
      </x:c>
      <x:c r="C1672" t="str">
        <x:v>D</x:v>
      </x:c>
      <x:c r="D1672" t="str">
        <x:v>SI1</x:v>
      </x:c>
      <x:c r="E1672" s="36" t="n">
        <x:v>49503</x:v>
      </x:c>
      <x:c r="F1672" s="36" t="n">
        <x:v>3762</x:v>
      </x:c>
      <x:c r="G1672" s="42" t="n">
        <x:v>0.806949806949807</x:v>
      </x:c>
      <x:c r="H1672" s="36" t="n">
        <x:f>E1672*G1672</x:f>
        <x:v>39946.436293436294</x:v>
      </x:c>
      <x:c r="I1672" s="36" t="n">
        <x:f>IFERROR(H1672/A1672,0)</x:f>
        <x:v>13315.478764478765</x:v>
      </x:c>
      <x:c r="J1672" s="67" t="str">
        <x:v>Modeled from live base + Sep-2026 quality ratio</x:v>
      </x:c>
      <x:c r="K1672" s="67" t="str">
        <x:v>https://www.stonealgo.com/diamond-prices/</x:v>
      </x:c>
      <x:c r="L1672" s="67" t="str">
        <x:v>https://www.pricescope.com/blog/natural-diamond-prices-september-2026</x:v>
      </x:c>
    </x:row>
    <x:row r="1673">
      <x:c r="A1673" t="n">
        <x:v>3</x:v>
      </x:c>
      <x:c r="B1673" t="str">
        <x:v>Pear</x:v>
      </x:c>
      <x:c r="C1673" t="str">
        <x:v>D</x:v>
      </x:c>
      <x:c r="D1673" t="str">
        <x:v>SI2</x:v>
      </x:c>
      <x:c r="E1673" s="36" t="n">
        <x:v>49503</x:v>
      </x:c>
      <x:c r="F1673" s="36" t="n">
        <x:v>3026</x:v>
      </x:c>
      <x:c r="G1673" s="42" t="n">
        <x:v>0.6490776490776491</x:v>
      </x:c>
      <x:c r="H1673" s="36" t="n">
        <x:f>E1673*G1673</x:f>
        <x:v>32131.29086229086</x:v>
      </x:c>
      <x:c r="I1673" s="36" t="n">
        <x:f>IFERROR(H1673/A1673,0)</x:f>
        <x:v>10710.430287430287</x:v>
      </x:c>
      <x:c r="J1673" s="67" t="str">
        <x:v>Modeled from live base + Sep-2026 quality ratio</x:v>
      </x:c>
      <x:c r="K1673" s="67" t="str">
        <x:v>https://www.stonealgo.com/diamond-prices/</x:v>
      </x:c>
      <x:c r="L1673" s="67" t="str">
        <x:v>https://www.pricescope.com/blog/natural-diamond-prices-september-2026</x:v>
      </x:c>
    </x:row>
    <x:row r="1674">
      <x:c r="A1674" t="n">
        <x:v>3</x:v>
      </x:c>
      <x:c r="B1674" t="str">
        <x:v>Pear</x:v>
      </x:c>
      <x:c r="C1674" t="str">
        <x:v>E</x:v>
      </x:c>
      <x:c r="D1674" t="str">
        <x:v>FL</x:v>
      </x:c>
      <x:c r="E1674" s="36" t="n">
        <x:v>49503</x:v>
      </x:c>
      <x:c r="F1674" s="36" t="n">
        <x:v>10072</x:v>
      </x:c>
      <x:c r="G1674" s="42" t="n">
        <x:v>2.1604461604461602</x:v>
      </x:c>
      <x:c r="H1674" s="36" t="n">
        <x:f>E1674*G1674</x:f>
        <x:v>106948.56628056627</x:v>
      </x:c>
      <x:c r="I1674" s="36" t="n">
        <x:f>IFERROR(H1674/A1674,0)</x:f>
        <x:v>35649.52209352209</x:v>
      </x:c>
      <x:c r="J1674" s="67" t="str">
        <x:v>Modeled from live base + Sep-2026 quality ratio</x:v>
      </x:c>
      <x:c r="K1674" s="67" t="str">
        <x:v>https://www.stonealgo.com/diamond-prices/</x:v>
      </x:c>
      <x:c r="L1674" s="67" t="str">
        <x:v>https://www.pricescope.com/blog/natural-diamond-prices-september-2026</x:v>
      </x:c>
    </x:row>
    <x:row r="1675">
      <x:c r="A1675" t="n">
        <x:v>3</x:v>
      </x:c>
      <x:c r="B1675" t="str">
        <x:v>Pear</x:v>
      </x:c>
      <x:c r="C1675" t="str">
        <x:v>E</x:v>
      </x:c>
      <x:c r="D1675" t="str">
        <x:v>IF</x:v>
      </x:c>
      <x:c r="E1675" s="36" t="n">
        <x:v>49503</x:v>
      </x:c>
      <x:c r="F1675" s="36" t="n">
        <x:v>8672</x:v>
      </x:c>
      <x:c r="G1675" s="42" t="n">
        <x:v>1.8601458601458603</x:v>
      </x:c>
      <x:c r="H1675" s="36" t="n">
        <x:f>E1675*G1675</x:f>
        <x:v>92082.80051480052</x:v>
      </x:c>
      <x:c r="I1675" s="36" t="n">
        <x:f>IFERROR(H1675/A1675,0)</x:f>
        <x:v>30694.266838266838</x:v>
      </x:c>
      <x:c r="J1675" s="67" t="str">
        <x:v>Modeled from live base + Sep-2026 quality ratio</x:v>
      </x:c>
      <x:c r="K1675" s="67" t="str">
        <x:v>https://www.stonealgo.com/diamond-prices/</x:v>
      </x:c>
      <x:c r="L1675" s="67" t="str">
        <x:v>https://www.pricescope.com/blog/natural-diamond-prices-september-2026</x:v>
      </x:c>
    </x:row>
    <x:row r="1676">
      <x:c r="A1676" t="n">
        <x:v>3</x:v>
      </x:c>
      <x:c r="B1676" t="str">
        <x:v>Pear</x:v>
      </x:c>
      <x:c r="C1676" t="str">
        <x:v>E</x:v>
      </x:c>
      <x:c r="D1676" t="str">
        <x:v>VVS1</x:v>
      </x:c>
      <x:c r="E1676" s="36" t="n">
        <x:v>49503</x:v>
      </x:c>
      <x:c r="F1676" s="36" t="n">
        <x:v>7842</x:v>
      </x:c>
      <x:c r="G1676" s="42" t="n">
        <x:v>1.6821106821106822</x:v>
      </x:c>
      <x:c r="H1676" s="36" t="n">
        <x:f>E1676*G1676</x:f>
        <x:v>83269.5250965251</x:v>
      </x:c>
      <x:c r="I1676" s="36" t="n">
        <x:f>IFERROR(H1676/A1676,0)</x:f>
        <x:v>27756.50836550837</x:v>
      </x:c>
      <x:c r="J1676" s="67" t="str">
        <x:v>Modeled from live base + Sep-2026 quality ratio</x:v>
      </x:c>
      <x:c r="K1676" s="67" t="str">
        <x:v>https://www.stonealgo.com/diamond-prices/</x:v>
      </x:c>
      <x:c r="L1676" s="67" t="str">
        <x:v>https://www.pricescope.com/blog/natural-diamond-prices-september-2026</x:v>
      </x:c>
    </x:row>
    <x:row r="1677">
      <x:c r="A1677" t="n">
        <x:v>3</x:v>
      </x:c>
      <x:c r="B1677" t="str">
        <x:v>Pear</x:v>
      </x:c>
      <x:c r="C1677" t="str">
        <x:v>E</x:v>
      </x:c>
      <x:c r="D1677" t="str">
        <x:v>VVS2</x:v>
      </x:c>
      <x:c r="E1677" s="36" t="n">
        <x:v>49503</x:v>
      </x:c>
      <x:c r="F1677" s="36" t="n">
        <x:v>6880</x:v>
      </x:c>
      <x:c r="G1677" s="42" t="n">
        <x:v>1.4757614757614759</x:v>
      </x:c>
      <x:c r="H1677" s="36" t="n">
        <x:f>E1677*G1677</x:f>
        <x:v>73054.62033462034</x:v>
      </x:c>
      <x:c r="I1677" s="36" t="n">
        <x:f>IFERROR(H1677/A1677,0)</x:f>
        <x:v>24351.540111540115</x:v>
      </x:c>
      <x:c r="J1677" s="67" t="str">
        <x:v>Modeled from live base + Sep-2026 quality ratio</x:v>
      </x:c>
      <x:c r="K1677" s="67" t="str">
        <x:v>https://www.stonealgo.com/diamond-prices/</x:v>
      </x:c>
      <x:c r="L1677" s="67" t="str">
        <x:v>https://www.pricescope.com/blog/natural-diamond-prices-september-2026</x:v>
      </x:c>
    </x:row>
    <x:row r="1678">
      <x:c r="A1678" t="n">
        <x:v>3</x:v>
      </x:c>
      <x:c r="B1678" t="str">
        <x:v>Pear</x:v>
      </x:c>
      <x:c r="C1678" t="str">
        <x:v>E</x:v>
      </x:c>
      <x:c r="D1678" t="str">
        <x:v>VS1</x:v>
      </x:c>
      <x:c r="E1678" s="36" t="n">
        <x:v>49503</x:v>
      </x:c>
      <x:c r="F1678" s="36" t="n">
        <x:v>6307</x:v>
      </x:c>
      <x:c r="G1678" s="42" t="n">
        <x:v>1.352852852852853</x:v>
      </x:c>
      <x:c r="H1678" s="36" t="n">
        <x:f>E1678*G1678</x:f>
        <x:v>66970.27477477478</x:v>
      </x:c>
      <x:c r="I1678" s="36" t="n">
        <x:f>IFERROR(H1678/A1678,0)</x:f>
        <x:v>22323.424924924926</x:v>
      </x:c>
      <x:c r="J1678" s="67" t="str">
        <x:v>Modeled from live base + Sep-2026 quality ratio</x:v>
      </x:c>
      <x:c r="K1678" s="67" t="str">
        <x:v>https://www.stonealgo.com/diamond-prices/</x:v>
      </x:c>
      <x:c r="L1678" s="67" t="str">
        <x:v>https://www.pricescope.com/blog/natural-diamond-prices-september-2026</x:v>
      </x:c>
    </x:row>
    <x:row r="1679">
      <x:c r="A1679" t="n">
        <x:v>3</x:v>
      </x:c>
      <x:c r="B1679" t="str">
        <x:v>Pear</x:v>
      </x:c>
      <x:c r="C1679" t="str">
        <x:v>E</x:v>
      </x:c>
      <x:c r="D1679" t="str">
        <x:v>VS2</x:v>
      </x:c>
      <x:c r="E1679" s="36" t="n">
        <x:v>49503</x:v>
      </x:c>
      <x:c r="F1679" s="36" t="n">
        <x:v>5249</x:v>
      </x:c>
      <x:c r="G1679" s="42" t="n">
        <x:v>1.125911625911626</x:v>
      </x:c>
      <x:c r="H1679" s="36" t="n">
        <x:f>E1679*G1679</x:f>
        <x:v>55736.00321750322</x:v>
      </x:c>
      <x:c r="I1679" s="36" t="n">
        <x:f>IFERROR(H1679/A1679,0)</x:f>
        <x:v>18578.66773916774</x:v>
      </x:c>
      <x:c r="J1679" s="67" t="str">
        <x:v>Modeled from live base + Sep-2026 quality ratio</x:v>
      </x:c>
      <x:c r="K1679" s="67" t="str">
        <x:v>https://www.stonealgo.com/diamond-prices/</x:v>
      </x:c>
      <x:c r="L1679" s="67" t="str">
        <x:v>https://www.pricescope.com/blog/natural-diamond-prices-september-2026</x:v>
      </x:c>
    </x:row>
    <x:row r="1680">
      <x:c r="A1680" t="n">
        <x:v>3</x:v>
      </x:c>
      <x:c r="B1680" t="str">
        <x:v>Pear</x:v>
      </x:c>
      <x:c r="C1680" t="str">
        <x:v>E</x:v>
      </x:c>
      <x:c r="D1680" t="str">
        <x:v>SI1</x:v>
      </x:c>
      <x:c r="E1680" s="36" t="n">
        <x:v>49503</x:v>
      </x:c>
      <x:c r="F1680" s="36" t="n">
        <x:v>3551</x:v>
      </x:c>
      <x:c r="G1680" s="42" t="n">
        <x:v>0.7616902616902617</x:v>
      </x:c>
      <x:c r="H1680" s="36" t="n">
        <x:f>E1680*G1680</x:f>
        <x:v>37705.953024453025</x:v>
      </x:c>
      <x:c r="I1680" s="36" t="n">
        <x:f>IFERROR(H1680/A1680,0)</x:f>
        <x:v>12568.651008151008</x:v>
      </x:c>
      <x:c r="J1680" s="67" t="str">
        <x:v>Modeled from live base + Sep-2026 quality ratio</x:v>
      </x:c>
      <x:c r="K1680" s="67" t="str">
        <x:v>https://www.stonealgo.com/diamond-prices/</x:v>
      </x:c>
      <x:c r="L1680" s="67" t="str">
        <x:v>https://www.pricescope.com/blog/natural-diamond-prices-september-2026</x:v>
      </x:c>
    </x:row>
    <x:row r="1681">
      <x:c r="A1681" t="n">
        <x:v>3</x:v>
      </x:c>
      <x:c r="B1681" t="str">
        <x:v>Pear</x:v>
      </x:c>
      <x:c r="C1681" t="str">
        <x:v>E</x:v>
      </x:c>
      <x:c r="D1681" t="str">
        <x:v>SI2</x:v>
      </x:c>
      <x:c r="E1681" s="36" t="n">
        <x:v>49503</x:v>
      </x:c>
      <x:c r="F1681" s="36" t="n">
        <x:v>2993</x:v>
      </x:c>
      <x:c r="G1681" s="42" t="n">
        <x:v>0.641999141999142</x:v>
      </x:c>
      <x:c r="H1681" s="36" t="n">
        <x:f>E1681*G1681</x:f>
        <x:v>31780.883526383524</x:v>
      </x:c>
      <x:c r="I1681" s="36" t="n">
        <x:f>IFERROR(H1681/A1681,0)</x:f>
        <x:v>10593.627842127842</x:v>
      </x:c>
      <x:c r="J1681" s="67" t="str">
        <x:v>Modeled from live base + Sep-2026 quality ratio</x:v>
      </x:c>
      <x:c r="K1681" s="67" t="str">
        <x:v>https://www.stonealgo.com/diamond-prices/</x:v>
      </x:c>
      <x:c r="L1681" s="67" t="str">
        <x:v>https://www.pricescope.com/blog/natural-diamond-prices-september-2026</x:v>
      </x:c>
    </x:row>
    <x:row r="1682">
      <x:c r="A1682" t="n">
        <x:v>3</x:v>
      </x:c>
      <x:c r="B1682" t="str">
        <x:v>Pear</x:v>
      </x:c>
      <x:c r="C1682" t="str">
        <x:v>F</x:v>
      </x:c>
      <x:c r="D1682" t="str">
        <x:v>FL</x:v>
      </x:c>
      <x:c r="E1682" s="36" t="n">
        <x:v>49503</x:v>
      </x:c>
      <x:c r="F1682" s="36" t="n">
        <x:v>6830</x:v>
      </x:c>
      <x:c r="G1682" s="42" t="n">
        <x:v>1.4650364650364651</x:v>
      </x:c>
      <x:c r="H1682" s="36" t="n">
        <x:f>E1682*G1682</x:f>
        <x:v>72523.70012870013</x:v>
      </x:c>
      <x:c r="I1682" s="36" t="n">
        <x:f>IFERROR(H1682/A1682,0)</x:f>
        <x:v>24174.566709566712</x:v>
      </x:c>
      <x:c r="J1682" s="67" t="str">
        <x:v>Modeled from live base + Sep-2026 quality ratio</x:v>
      </x:c>
      <x:c r="K1682" s="67" t="str">
        <x:v>https://www.stonealgo.com/diamond-prices/</x:v>
      </x:c>
      <x:c r="L1682" s="67" t="str">
        <x:v>https://www.pricescope.com/blog/natural-diamond-prices-september-2026</x:v>
      </x:c>
    </x:row>
    <x:row r="1683">
      <x:c r="A1683" t="n">
        <x:v>3</x:v>
      </x:c>
      <x:c r="B1683" t="str">
        <x:v>Pear</x:v>
      </x:c>
      <x:c r="C1683" t="str">
        <x:v>F</x:v>
      </x:c>
      <x:c r="D1683" t="str">
        <x:v>IF</x:v>
      </x:c>
      <x:c r="E1683" s="36" t="n">
        <x:v>49503</x:v>
      </x:c>
      <x:c r="F1683" s="36" t="n">
        <x:v>7302</x:v>
      </x:c>
      <x:c r="G1683" s="42" t="n">
        <x:v>1.5662805662805663</x:v>
      </x:c>
      <x:c r="H1683" s="36" t="n">
        <x:f>E1683*G1683</x:f>
        <x:v>77535.58687258688</x:v>
      </x:c>
      <x:c r="I1683" s="36" t="n">
        <x:f>IFERROR(H1683/A1683,0)</x:f>
        <x:v>25845.195624195625</x:v>
      </x:c>
      <x:c r="J1683" s="67" t="str">
        <x:v>Modeled from live base + Sep-2026 quality ratio</x:v>
      </x:c>
      <x:c r="K1683" s="67" t="str">
        <x:v>https://www.stonealgo.com/diamond-prices/</x:v>
      </x:c>
      <x:c r="L1683" s="67" t="str">
        <x:v>https://www.pricescope.com/blog/natural-diamond-prices-september-2026</x:v>
      </x:c>
    </x:row>
    <x:row r="1684">
      <x:c r="A1684" t="n">
        <x:v>3</x:v>
      </x:c>
      <x:c r="B1684" t="str">
        <x:v>Pear</x:v>
      </x:c>
      <x:c r="C1684" t="str">
        <x:v>F</x:v>
      </x:c>
      <x:c r="D1684" t="str">
        <x:v>VVS1</x:v>
      </x:c>
      <x:c r="E1684" s="36" t="n">
        <x:v>49503</x:v>
      </x:c>
      <x:c r="F1684" s="36" t="n">
        <x:v>7542</x:v>
      </x:c>
      <x:c r="G1684" s="42" t="n">
        <x:v>1.6177606177606179</x:v>
      </x:c>
      <x:c r="H1684" s="36" t="n">
        <x:f>E1684*G1684</x:f>
        <x:v>80084.00386100386</x:v>
      </x:c>
      <x:c r="I1684" s="36" t="n">
        <x:f>IFERROR(H1684/A1684,0)</x:f>
        <x:v>26694.667953667955</x:v>
      </x:c>
      <x:c r="J1684" s="67" t="str">
        <x:v>Modeled from live base + Sep-2026 quality ratio</x:v>
      </x:c>
      <x:c r="K1684" s="67" t="str">
        <x:v>https://www.stonealgo.com/diamond-prices/</x:v>
      </x:c>
      <x:c r="L1684" s="67" t="str">
        <x:v>https://www.pricescope.com/blog/natural-diamond-prices-september-2026</x:v>
      </x:c>
    </x:row>
    <x:row r="1685">
      <x:c r="A1685" t="n">
        <x:v>3</x:v>
      </x:c>
      <x:c r="B1685" t="str">
        <x:v>Pear</x:v>
      </x:c>
      <x:c r="C1685" t="str">
        <x:v>F</x:v>
      </x:c>
      <x:c r="D1685" t="str">
        <x:v>VVS2</x:v>
      </x:c>
      <x:c r="E1685" s="36" t="n">
        <x:v>49503</x:v>
      </x:c>
      <x:c r="F1685" s="36" t="n">
        <x:v>6352</x:v>
      </x:c>
      <x:c r="G1685" s="42" t="n">
        <x:v>1.3625053625053625</x:v>
      </x:c>
      <x:c r="H1685" s="36" t="n">
        <x:f>E1685*G1685</x:f>
        <x:v>67448.10296010296</x:v>
      </x:c>
      <x:c r="I1685" s="36" t="n">
        <x:f>IFERROR(H1685/A1685,0)</x:f>
        <x:v>22482.700986700987</x:v>
      </x:c>
      <x:c r="J1685" s="67" t="str">
        <x:v>Modeled from live base + Sep-2026 quality ratio</x:v>
      </x:c>
      <x:c r="K1685" s="67" t="str">
        <x:v>https://www.stonealgo.com/diamond-prices/</x:v>
      </x:c>
      <x:c r="L1685" s="67" t="str">
        <x:v>https://www.pricescope.com/blog/natural-diamond-prices-september-2026</x:v>
      </x:c>
    </x:row>
    <x:row r="1686">
      <x:c r="A1686" t="n">
        <x:v>3</x:v>
      </x:c>
      <x:c r="B1686" t="str">
        <x:v>Pear</x:v>
      </x:c>
      <x:c r="C1686" t="str">
        <x:v>F</x:v>
      </x:c>
      <x:c r="D1686" t="str">
        <x:v>VS1</x:v>
      </x:c>
      <x:c r="E1686" s="36" t="n">
        <x:v>49503</x:v>
      </x:c>
      <x:c r="F1686" s="36" t="n">
        <x:v>5647</x:v>
      </x:c>
      <x:c r="G1686" s="42" t="n">
        <x:v>1.2112827112827114</x:v>
      </x:c>
      <x:c r="H1686" s="36" t="n">
        <x:f>E1686*G1686</x:f>
        <x:v>59962.12805662806</x:v>
      </x:c>
      <x:c r="I1686" s="36" t="n">
        <x:f>IFERROR(H1686/A1686,0)</x:f>
        <x:v>19987.37601887602</x:v>
      </x:c>
      <x:c r="J1686" s="67" t="str">
        <x:v>Modeled from live base + Sep-2026 quality ratio</x:v>
      </x:c>
      <x:c r="K1686" s="67" t="str">
        <x:v>https://www.stonealgo.com/diamond-prices/</x:v>
      </x:c>
      <x:c r="L1686" s="67" t="str">
        <x:v>https://www.pricescope.com/blog/natural-diamond-prices-september-2026</x:v>
      </x:c>
    </x:row>
    <x:row r="1687">
      <x:c r="A1687" t="n">
        <x:v>3</x:v>
      </x:c>
      <x:c r="B1687" t="str">
        <x:v>Pear</x:v>
      </x:c>
      <x:c r="C1687" t="str">
        <x:v>F</x:v>
      </x:c>
      <x:c r="D1687" t="str">
        <x:v>VS2</x:v>
      </x:c>
      <x:c r="E1687" s="36" t="n">
        <x:v>49503</x:v>
      </x:c>
      <x:c r="F1687" s="36" t="n">
        <x:v>4730</x:v>
      </x:c>
      <x:c r="G1687" s="42" t="n">
        <x:v>1.0145860145860146</x:v>
      </x:c>
      <x:c r="H1687" s="36" t="n">
        <x:f>E1687*G1687</x:f>
        <x:v>50225.05148005148</x:v>
      </x:c>
      <x:c r="I1687" s="36" t="n">
        <x:f>IFERROR(H1687/A1687,0)</x:f>
        <x:v>16741.683826683828</x:v>
      </x:c>
      <x:c r="J1687" s="67" t="str">
        <x:v>Modeled from live base + Sep-2026 quality ratio</x:v>
      </x:c>
      <x:c r="K1687" s="67" t="str">
        <x:v>https://www.stonealgo.com/diamond-prices/</x:v>
      </x:c>
      <x:c r="L1687" s="67" t="str">
        <x:v>https://www.pricescope.com/blog/natural-diamond-prices-september-2026</x:v>
      </x:c>
    </x:row>
    <x:row r="1688">
      <x:c r="A1688" t="n">
        <x:v>3</x:v>
      </x:c>
      <x:c r="B1688" t="str">
        <x:v>Pear</x:v>
      </x:c>
      <x:c r="C1688" t="str">
        <x:v>F</x:v>
      </x:c>
      <x:c r="D1688" t="str">
        <x:v>SI1</x:v>
      </x:c>
      <x:c r="E1688" s="36" t="n">
        <x:v>49503</x:v>
      </x:c>
      <x:c r="F1688" s="36" t="n">
        <x:v>3331</x:v>
      </x:c>
      <x:c r="G1688" s="42" t="n">
        <x:v>0.7145002145002145</x:v>
      </x:c>
      <x:c r="H1688" s="36" t="n">
        <x:f>E1688*G1688</x:f>
        <x:v>35369.90411840412</x:v>
      </x:c>
      <x:c r="I1688" s="36" t="n">
        <x:f>IFERROR(H1688/A1688,0)</x:f>
        <x:v>11789.96803946804</x:v>
      </x:c>
      <x:c r="J1688" s="67" t="str">
        <x:v>Modeled from live base + Sep-2026 quality ratio</x:v>
      </x:c>
      <x:c r="K1688" s="67" t="str">
        <x:v>https://www.stonealgo.com/diamond-prices/</x:v>
      </x:c>
      <x:c r="L1688" s="67" t="str">
        <x:v>https://www.pricescope.com/blog/natural-diamond-prices-september-2026</x:v>
      </x:c>
    </x:row>
    <x:row r="1689">
      <x:c r="A1689" t="n">
        <x:v>3</x:v>
      </x:c>
      <x:c r="B1689" t="str">
        <x:v>Pear</x:v>
      </x:c>
      <x:c r="C1689" t="str">
        <x:v>F</x:v>
      </x:c>
      <x:c r="D1689" t="str">
        <x:v>SI2</x:v>
      </x:c>
      <x:c r="E1689" s="36" t="n">
        <x:v>49503</x:v>
      </x:c>
      <x:c r="F1689" s="36" t="n">
        <x:v>2733</x:v>
      </x:c>
      <x:c r="G1689" s="42" t="n">
        <x:v>0.5862290862290862</x:v>
      </x:c>
      <x:c r="H1689" s="36" t="n">
        <x:f>E1689*G1689</x:f>
        <x:v>29020.098455598454</x:v>
      </x:c>
      <x:c r="I1689" s="36" t="n">
        <x:f>IFERROR(H1689/A1689,0)</x:f>
        <x:v>9673.366151866152</x:v>
      </x:c>
      <x:c r="J1689" s="67" t="str">
        <x:v>Modeled from live base + Sep-2026 quality ratio</x:v>
      </x:c>
      <x:c r="K1689" s="67" t="str">
        <x:v>https://www.stonealgo.com/diamond-prices/</x:v>
      </x:c>
      <x:c r="L1689" s="67" t="str">
        <x:v>https://www.pricescope.com/blog/natural-diamond-prices-september-2026</x:v>
      </x:c>
    </x:row>
    <x:row r="1690">
      <x:c r="A1690" t="n">
        <x:v>3</x:v>
      </x:c>
      <x:c r="B1690" t="str">
        <x:v>Pear</x:v>
      </x:c>
      <x:c r="C1690" t="str">
        <x:v>G</x:v>
      </x:c>
      <x:c r="D1690" t="str">
        <x:v>FL</x:v>
      </x:c>
      <x:c r="E1690" s="36" t="n">
        <x:v>49503</x:v>
      </x:c>
      <x:c r="F1690" s="36" t="n">
        <x:v>5905</x:v>
      </x:c>
      <x:c r="G1690" s="42" t="n">
        <x:v>1.2666237666237665</x:v>
      </x:c>
      <x:c r="H1690" s="36" t="n">
        <x:f>E1690*G1690</x:f>
        <x:v>62701.67631917632</x:v>
      </x:c>
      <x:c r="I1690" s="36" t="n">
        <x:f>IFERROR(H1690/A1690,0)</x:f>
        <x:v>20900.558773058772</x:v>
      </x:c>
      <x:c r="J1690" s="67" t="str">
        <x:v>Modeled from live base + Sep-2026 quality ratio</x:v>
      </x:c>
      <x:c r="K1690" s="67" t="str">
        <x:v>https://www.stonealgo.com/diamond-prices/</x:v>
      </x:c>
      <x:c r="L1690" s="67" t="str">
        <x:v>https://www.pricescope.com/blog/natural-diamond-prices-september-2026</x:v>
      </x:c>
    </x:row>
    <x:row r="1691">
      <x:c r="A1691" t="n">
        <x:v>3</x:v>
      </x:c>
      <x:c r="B1691" t="str">
        <x:v>Pear</x:v>
      </x:c>
      <x:c r="C1691" t="str">
        <x:v>G</x:v>
      </x:c>
      <x:c r="D1691" t="str">
        <x:v>IF</x:v>
      </x:c>
      <x:c r="E1691" s="36" t="n">
        <x:v>49503</x:v>
      </x:c>
      <x:c r="F1691" s="36" t="n">
        <x:v>5601</x:v>
      </x:c>
      <x:c r="G1691" s="42" t="n">
        <x:v>1.2014157014157014</x:v>
      </x:c>
      <x:c r="H1691" s="36" t="n">
        <x:f>E1691*G1691</x:f>
        <x:v>59473.681467181465</x:v>
      </x:c>
      <x:c r="I1691" s="36" t="n">
        <x:f>IFERROR(H1691/A1691,0)</x:f>
        <x:v>19824.560489060488</x:v>
      </x:c>
      <x:c r="J1691" s="67" t="str">
        <x:v>Modeled from live base + Sep-2026 quality ratio</x:v>
      </x:c>
      <x:c r="K1691" s="67" t="str">
        <x:v>https://www.stonealgo.com/diamond-prices/</x:v>
      </x:c>
      <x:c r="L1691" s="67" t="str">
        <x:v>https://www.pricescope.com/blog/natural-diamond-prices-september-2026</x:v>
      </x:c>
    </x:row>
    <x:row r="1692">
      <x:c r="A1692" t="n">
        <x:v>3</x:v>
      </x:c>
      <x:c r="B1692" t="str">
        <x:v>Pear</x:v>
      </x:c>
      <x:c r="C1692" t="str">
        <x:v>G</x:v>
      </x:c>
      <x:c r="D1692" t="str">
        <x:v>VVS1</x:v>
      </x:c>
      <x:c r="E1692" s="36" t="n">
        <x:v>49503</x:v>
      </x:c>
      <x:c r="F1692" s="36" t="n">
        <x:v>5124</x:v>
      </x:c>
      <x:c r="G1692" s="42" t="n">
        <x:v>1.0990990990990992</x:v>
      </x:c>
      <x:c r="H1692" s="36" t="n">
        <x:f>E1692*G1692</x:f>
        <x:v>54408.70270270271</x:v>
      </x:c>
      <x:c r="I1692" s="36" t="n">
        <x:f>IFERROR(H1692/A1692,0)</x:f>
        <x:v>18136.234234234234</x:v>
      </x:c>
      <x:c r="J1692" s="67" t="str">
        <x:v>Modeled from live base + Sep-2026 quality ratio</x:v>
      </x:c>
      <x:c r="K1692" s="67" t="str">
        <x:v>https://www.stonealgo.com/diamond-prices/</x:v>
      </x:c>
      <x:c r="L1692" s="67" t="str">
        <x:v>https://www.pricescope.com/blog/natural-diamond-prices-september-2026</x:v>
      </x:c>
    </x:row>
    <x:row r="1693">
      <x:c r="A1693" t="n">
        <x:v>3</x:v>
      </x:c>
      <x:c r="B1693" t="str">
        <x:v>Pear</x:v>
      </x:c>
      <x:c r="C1693" t="str">
        <x:v>G</x:v>
      </x:c>
      <x:c r="D1693" t="str">
        <x:v>VVS2</x:v>
      </x:c>
      <x:c r="E1693" s="36" t="n">
        <x:v>49503</x:v>
      </x:c>
      <x:c r="F1693" s="36" t="n">
        <x:v>4962</x:v>
      </x:c>
      <x:c r="G1693" s="42" t="n">
        <x:v>1.0643500643500643</x:v>
      </x:c>
      <x:c r="H1693" s="36" t="n">
        <x:f>E1693*G1693</x:f>
        <x:v>52688.521235521235</x:v>
      </x:c>
      <x:c r="I1693" s="36" t="n">
        <x:f>IFERROR(H1693/A1693,0)</x:f>
        <x:v>17562.84041184041</x:v>
      </x:c>
      <x:c r="J1693" s="67" t="str">
        <x:v>Modeled from live base + Sep-2026 quality ratio</x:v>
      </x:c>
      <x:c r="K1693" s="67" t="str">
        <x:v>https://www.stonealgo.com/diamond-prices/</x:v>
      </x:c>
      <x:c r="L1693" s="67" t="str">
        <x:v>https://www.pricescope.com/blog/natural-diamond-prices-september-2026</x:v>
      </x:c>
    </x:row>
    <x:row r="1694">
      <x:c r="A1694" t="n">
        <x:v>3</x:v>
      </x:c>
      <x:c r="B1694" t="str">
        <x:v>Pear</x:v>
      </x:c>
      <x:c r="C1694" t="str">
        <x:v>G</x:v>
      </x:c>
      <x:c r="D1694" t="str">
        <x:v>VS1</x:v>
      </x:c>
      <x:c r="E1694" s="36" t="n">
        <x:v>49503</x:v>
      </x:c>
      <x:c r="F1694" s="36" t="n">
        <x:v>4615</x:v>
      </x:c>
      <x:c r="G1694" s="42" t="n">
        <x:v>0.98991848991849</x:v>
      </x:c>
      <x:c r="H1694" s="36" t="n">
        <x:f>E1694*G1694</x:f>
        <x:v>49003.93500643501</x:v>
      </x:c>
      <x:c r="I1694" s="36" t="n">
        <x:f>IFERROR(H1694/A1694,0)</x:f>
        <x:v>16334.645002145002</x:v>
      </x:c>
      <x:c r="J1694" s="67" t="str">
        <x:v>Modeled from live base + Sep-2026 quality ratio</x:v>
      </x:c>
      <x:c r="K1694" s="67" t="str">
        <x:v>https://www.stonealgo.com/diamond-prices/</x:v>
      </x:c>
      <x:c r="L1694" s="67" t="str">
        <x:v>https://www.pricescope.com/blog/natural-diamond-prices-september-2026</x:v>
      </x:c>
    </x:row>
    <x:row r="1695">
      <x:c r="A1695" t="n">
        <x:v>3</x:v>
      </x:c>
      <x:c r="B1695" t="str">
        <x:v>Pear</x:v>
      </x:c>
      <x:c r="C1695" t="str">
        <x:v>G</x:v>
      </x:c>
      <x:c r="D1695" t="str">
        <x:v>VS2</x:v>
      </x:c>
      <x:c r="E1695" s="36" t="n">
        <x:v>49503</x:v>
      </x:c>
      <x:c r="F1695" s="36" t="n">
        <x:v>4585</x:v>
      </x:c>
      <x:c r="G1695" s="42" t="n">
        <x:v>0.9834834834834835</x:v>
      </x:c>
      <x:c r="H1695" s="36" t="n">
        <x:f>E1695*G1695</x:f>
        <x:v>48685.382882882885</x:v>
      </x:c>
      <x:c r="I1695" s="36" t="n">
        <x:f>IFERROR(H1695/A1695,0)</x:f>
        <x:v>16228.460960960962</x:v>
      </x:c>
      <x:c r="J1695" s="67" t="str">
        <x:v>Modeled from live base + Sep-2026 quality ratio</x:v>
      </x:c>
      <x:c r="K1695" s="67" t="str">
        <x:v>https://www.stonealgo.com/diamond-prices/</x:v>
      </x:c>
      <x:c r="L1695" s="67" t="str">
        <x:v>https://www.pricescope.com/blog/natural-diamond-prices-september-2026</x:v>
      </x:c>
    </x:row>
    <x:row r="1696">
      <x:c r="A1696" t="n">
        <x:v>3</x:v>
      </x:c>
      <x:c r="B1696" t="str">
        <x:v>Pear</x:v>
      </x:c>
      <x:c r="C1696" t="str">
        <x:v>G</x:v>
      </x:c>
      <x:c r="D1696" t="str">
        <x:v>SI1</x:v>
      </x:c>
      <x:c r="E1696" s="36" t="n">
        <x:v>49503</x:v>
      </x:c>
      <x:c r="F1696" s="36" t="n">
        <x:v>3664</x:v>
      </x:c>
      <x:c r="G1696" s="42" t="n">
        <x:v>0.7859287859287859</x:v>
      </x:c>
      <x:c r="H1696" s="36" t="n">
        <x:f>E1696*G1696</x:f>
        <x:v>38905.832689832685</x:v>
      </x:c>
      <x:c r="I1696" s="36" t="n">
        <x:f>IFERROR(H1696/A1696,0)</x:f>
        <x:v>12968.610896610895</x:v>
      </x:c>
      <x:c r="J1696" s="67" t="str">
        <x:v>Modeled from live base + Sep-2026 quality ratio</x:v>
      </x:c>
      <x:c r="K1696" s="67" t="str">
        <x:v>https://www.stonealgo.com/diamond-prices/</x:v>
      </x:c>
      <x:c r="L1696" s="67" t="str">
        <x:v>https://www.pricescope.com/blog/natural-diamond-prices-september-2026</x:v>
      </x:c>
    </x:row>
    <x:row r="1697">
      <x:c r="A1697" t="n">
        <x:v>3</x:v>
      </x:c>
      <x:c r="B1697" t="str">
        <x:v>Pear</x:v>
      </x:c>
      <x:c r="C1697" t="str">
        <x:v>G</x:v>
      </x:c>
      <x:c r="D1697" t="str">
        <x:v>SI2</x:v>
      </x:c>
      <x:c r="E1697" s="36" t="n">
        <x:v>49503</x:v>
      </x:c>
      <x:c r="F1697" s="36" t="n">
        <x:v>2537</x:v>
      </x:c>
      <x:c r="G1697" s="42" t="n">
        <x:v>0.5441870441870442</x:v>
      </x:c>
      <x:c r="H1697" s="36" t="n">
        <x:f>E1697*G1697</x:f>
        <x:v>26938.89124839125</x:v>
      </x:c>
      <x:c r="I1697" s="36" t="n">
        <x:f>IFERROR(H1697/A1697,0)</x:f>
        <x:v>8979.630416130416</x:v>
      </x:c>
      <x:c r="J1697" s="67" t="str">
        <x:v>Modeled from live base + Sep-2026 quality ratio</x:v>
      </x:c>
      <x:c r="K1697" s="67" t="str">
        <x:v>https://www.stonealgo.com/diamond-prices/</x:v>
      </x:c>
      <x:c r="L1697" s="67" t="str">
        <x:v>https://www.pricescope.com/blog/natural-diamond-prices-september-2026</x:v>
      </x:c>
    </x:row>
    <x:row r="1698">
      <x:c r="A1698" t="n">
        <x:v>3</x:v>
      </x:c>
      <x:c r="B1698" t="str">
        <x:v>Pear</x:v>
      </x:c>
      <x:c r="C1698" t="str">
        <x:v>H</x:v>
      </x:c>
      <x:c r="D1698" t="str">
        <x:v>FL</x:v>
      </x:c>
      <x:c r="E1698" s="36" t="n">
        <x:v>49503</x:v>
      </x:c>
      <x:c r="F1698" s="36" t="n">
        <x:v>4563</x:v>
      </x:c>
      <x:c r="G1698" s="42" t="n">
        <x:v>0.9787644787644788</x:v>
      </x:c>
      <x:c r="H1698" s="36" t="n">
        <x:f>E1698*G1698</x:f>
        <x:v>48451.777992277996</x:v>
      </x:c>
      <x:c r="I1698" s="36" t="n">
        <x:f>IFERROR(H1698/A1698,0)</x:f>
        <x:v>16150.592664092665</x:v>
      </x:c>
      <x:c r="J1698" s="67" t="str">
        <x:v>Modeled from live base + Sep-2026 quality ratio</x:v>
      </x:c>
      <x:c r="K1698" s="67" t="str">
        <x:v>https://www.stonealgo.com/diamond-prices/</x:v>
      </x:c>
      <x:c r="L1698" s="67" t="str">
        <x:v>https://www.pricescope.com/blog/natural-diamond-prices-september-2026</x:v>
      </x:c>
    </x:row>
    <x:row r="1699">
      <x:c r="A1699" t="n">
        <x:v>3</x:v>
      </x:c>
      <x:c r="B1699" t="str">
        <x:v>Pear</x:v>
      </x:c>
      <x:c r="C1699" t="str">
        <x:v>H</x:v>
      </x:c>
      <x:c r="D1699" t="str">
        <x:v>IF</x:v>
      </x:c>
      <x:c r="E1699" s="36" t="n">
        <x:v>49503</x:v>
      </x:c>
      <x:c r="F1699" s="36" t="n">
        <x:v>4809</x:v>
      </x:c>
      <x:c r="G1699" s="42" t="n">
        <x:v>1.0315315315315314</x:v>
      </x:c>
      <x:c r="H1699" s="36" t="n">
        <x:f>E1699*G1699</x:f>
        <x:v>51063.9054054054</x:v>
      </x:c>
      <x:c r="I1699" s="36" t="n">
        <x:f>IFERROR(H1699/A1699,0)</x:f>
        <x:v>17021.3018018018</x:v>
      </x:c>
      <x:c r="J1699" s="67" t="str">
        <x:v>Modeled from live base + Sep-2026 quality ratio</x:v>
      </x:c>
      <x:c r="K1699" s="67" t="str">
        <x:v>https://www.stonealgo.com/diamond-prices/</x:v>
      </x:c>
      <x:c r="L1699" s="67" t="str">
        <x:v>https://www.pricescope.com/blog/natural-diamond-prices-september-2026</x:v>
      </x:c>
    </x:row>
    <x:row r="1700">
      <x:c r="A1700" t="n">
        <x:v>3</x:v>
      </x:c>
      <x:c r="B1700" t="str">
        <x:v>Pear</x:v>
      </x:c>
      <x:c r="C1700" t="str">
        <x:v>H</x:v>
      </x:c>
      <x:c r="D1700" t="str">
        <x:v>VVS1</x:v>
      </x:c>
      <x:c r="E1700" s="36" t="n">
        <x:v>49503</x:v>
      </x:c>
      <x:c r="F1700" s="36" t="n">
        <x:v>4911</x:v>
      </x:c>
      <x:c r="G1700" s="42" t="n">
        <x:v>1.0534105534105533</x:v>
      </x:c>
      <x:c r="H1700" s="36" t="n">
        <x:f>E1700*G1700</x:f>
        <x:v>52146.98262548262</x:v>
      </x:c>
      <x:c r="I1700" s="36" t="n">
        <x:f>IFERROR(H1700/A1700,0)</x:f>
        <x:v>17382.32754182754</x:v>
      </x:c>
      <x:c r="J1700" s="67" t="str">
        <x:v>Modeled from live base + Sep-2026 quality ratio</x:v>
      </x:c>
      <x:c r="K1700" s="67" t="str">
        <x:v>https://www.stonealgo.com/diamond-prices/</x:v>
      </x:c>
      <x:c r="L1700" s="67" t="str">
        <x:v>https://www.pricescope.com/blog/natural-diamond-prices-september-2026</x:v>
      </x:c>
    </x:row>
    <x:row r="1701">
      <x:c r="A1701" t="n">
        <x:v>3</x:v>
      </x:c>
      <x:c r="B1701" t="str">
        <x:v>Pear</x:v>
      </x:c>
      <x:c r="C1701" t="str">
        <x:v>H</x:v>
      </x:c>
      <x:c r="D1701" t="str">
        <x:v>VVS2</x:v>
      </x:c>
      <x:c r="E1701" s="36" t="n">
        <x:v>49503</x:v>
      </x:c>
      <x:c r="F1701" s="36" t="n">
        <x:v>4046</x:v>
      </x:c>
      <x:c r="G1701" s="42" t="n">
        <x:v>0.8678678678678678</x:v>
      </x:c>
      <x:c r="H1701" s="36" t="n">
        <x:f>E1701*G1701</x:f>
        <x:v>42962.06306306306</x:v>
      </x:c>
      <x:c r="I1701" s="36" t="n">
        <x:f>IFERROR(H1701/A1701,0)</x:f>
        <x:v>14320.687687687687</x:v>
      </x:c>
      <x:c r="J1701" s="67" t="str">
        <x:v>Modeled from live base + Sep-2026 quality ratio</x:v>
      </x:c>
      <x:c r="K1701" s="67" t="str">
        <x:v>https://www.stonealgo.com/diamond-prices/</x:v>
      </x:c>
      <x:c r="L1701" s="67" t="str">
        <x:v>https://www.pricescope.com/blog/natural-diamond-prices-september-2026</x:v>
      </x:c>
    </x:row>
    <x:row r="1702">
      <x:c r="A1702" t="n">
        <x:v>3</x:v>
      </x:c>
      <x:c r="B1702" t="str">
        <x:v>Pear</x:v>
      </x:c>
      <x:c r="C1702" t="str">
        <x:v>H</x:v>
      </x:c>
      <x:c r="D1702" t="str">
        <x:v>VS1</x:v>
      </x:c>
      <x:c r="E1702" s="36" t="n">
        <x:v>49503</x:v>
      </x:c>
      <x:c r="F1702" s="36" t="n">
        <x:v>3893</x:v>
      </x:c>
      <x:c r="G1702" s="42" t="n">
        <x:v>0.8350493350493351</x:v>
      </x:c>
      <x:c r="H1702" s="36" t="n">
        <x:f>E1702*G1702</x:f>
        <x:v>41337.447232947234</x:v>
      </x:c>
      <x:c r="I1702" s="36" t="n">
        <x:f>IFERROR(H1702/A1702,0)</x:f>
        <x:v>13779.149077649077</x:v>
      </x:c>
      <x:c r="J1702" s="67" t="str">
        <x:v>Modeled from live base + Sep-2026 quality ratio</x:v>
      </x:c>
      <x:c r="K1702" s="67" t="str">
        <x:v>https://www.stonealgo.com/diamond-prices/</x:v>
      </x:c>
      <x:c r="L1702" s="67" t="str">
        <x:v>https://www.pricescope.com/blog/natural-diamond-prices-september-2026</x:v>
      </x:c>
    </x:row>
    <x:row r="1703">
      <x:c r="A1703" t="n">
        <x:v>3</x:v>
      </x:c>
      <x:c r="B1703" t="str">
        <x:v>Pear</x:v>
      </x:c>
      <x:c r="C1703" t="str">
        <x:v>H</x:v>
      </x:c>
      <x:c r="D1703" t="str">
        <x:v>VS2</x:v>
      </x:c>
      <x:c r="E1703" s="36" t="n">
        <x:v>49503</x:v>
      </x:c>
      <x:c r="F1703" s="36" t="n">
        <x:v>3989</x:v>
      </x:c>
      <x:c r="G1703" s="42" t="n">
        <x:v>0.8556413556413557</x:v>
      </x:c>
      <x:c r="H1703" s="36" t="n">
        <x:f>E1703*G1703</x:f>
        <x:v>42356.81402831403</x:v>
      </x:c>
      <x:c r="I1703" s="36" t="n">
        <x:f>IFERROR(H1703/A1703,0)</x:f>
        <x:v>14118.93800943801</x:v>
      </x:c>
      <x:c r="J1703" s="67" t="str">
        <x:v>Modeled from live base + Sep-2026 quality ratio</x:v>
      </x:c>
      <x:c r="K1703" s="67" t="str">
        <x:v>https://www.stonealgo.com/diamond-prices/</x:v>
      </x:c>
      <x:c r="L1703" s="67" t="str">
        <x:v>https://www.pricescope.com/blog/natural-diamond-prices-september-2026</x:v>
      </x:c>
    </x:row>
    <x:row r="1704">
      <x:c r="A1704" t="n">
        <x:v>3</x:v>
      </x:c>
      <x:c r="B1704" t="str">
        <x:v>Pear</x:v>
      </x:c>
      <x:c r="C1704" t="str">
        <x:v>H</x:v>
      </x:c>
      <x:c r="D1704" t="str">
        <x:v>SI1</x:v>
      </x:c>
      <x:c r="E1704" s="36" t="n">
        <x:v>49503</x:v>
      </x:c>
      <x:c r="F1704" s="36" t="n">
        <x:v>2828</x:v>
      </x:c>
      <x:c r="G1704" s="42" t="n">
        <x:v>0.6066066066066066</x:v>
      </x:c>
      <x:c r="H1704" s="36" t="n">
        <x:f>E1704*G1704</x:f>
        <x:v>30028.846846846845</x:v>
      </x:c>
      <x:c r="I1704" s="36" t="n">
        <x:f>IFERROR(H1704/A1704,0)</x:f>
        <x:v>10009.615615615616</x:v>
      </x:c>
      <x:c r="J1704" s="67" t="str">
        <x:v>Modeled from live base + Sep-2026 quality ratio</x:v>
      </x:c>
      <x:c r="K1704" s="67" t="str">
        <x:v>https://www.stonealgo.com/diamond-prices/</x:v>
      </x:c>
      <x:c r="L1704" s="67" t="str">
        <x:v>https://www.pricescope.com/blog/natural-diamond-prices-september-2026</x:v>
      </x:c>
    </x:row>
    <x:row r="1705">
      <x:c r="A1705" t="n">
        <x:v>3</x:v>
      </x:c>
      <x:c r="B1705" t="str">
        <x:v>Pear</x:v>
      </x:c>
      <x:c r="C1705" t="str">
        <x:v>H</x:v>
      </x:c>
      <x:c r="D1705" t="str">
        <x:v>SI2</x:v>
      </x:c>
      <x:c r="E1705" s="36" t="n">
        <x:v>49503</x:v>
      </x:c>
      <x:c r="F1705" s="36" t="n">
        <x:v>2328</x:v>
      </x:c>
      <x:c r="G1705" s="42" t="n">
        <x:v>0.49935649935649934</x:v>
      </x:c>
      <x:c r="H1705" s="36" t="n">
        <x:f>E1705*G1705</x:f>
        <x:v>24719.644787644786</x:v>
      </x:c>
      <x:c r="I1705" s="36" t="n">
        <x:f>IFERROR(H1705/A1705,0)</x:f>
        <x:v>8239.881595881596</x:v>
      </x:c>
      <x:c r="J1705" s="67" t="str">
        <x:v>Modeled from live base + Sep-2026 quality ratio</x:v>
      </x:c>
      <x:c r="K1705" s="67" t="str">
        <x:v>https://www.stonealgo.com/diamond-prices/</x:v>
      </x:c>
      <x:c r="L1705" s="67" t="str">
        <x:v>https://www.pricescope.com/blog/natural-diamond-prices-september-2026</x:v>
      </x:c>
    </x:row>
    <x:row r="1706">
      <x:c r="A1706" t="n">
        <x:v>3</x:v>
      </x:c>
      <x:c r="B1706" t="str">
        <x:v>Pear</x:v>
      </x:c>
      <x:c r="C1706" t="str">
        <x:v>I</x:v>
      </x:c>
      <x:c r="D1706" t="str">
        <x:v>FL</x:v>
      </x:c>
      <x:c r="E1706" s="36" t="n">
        <x:v>49503</x:v>
      </x:c>
      <x:c r="F1706" s="36" t="n">
        <x:v>4623</x:v>
      </x:c>
      <x:c r="G1706" s="42" t="n">
        <x:v>0.9916344916344917</x:v>
      </x:c>
      <x:c r="H1706" s="36" t="n">
        <x:f>E1706*G1706</x:f>
        <x:v>49088.88223938224</x:v>
      </x:c>
      <x:c r="I1706" s="36" t="n">
        <x:f>IFERROR(H1706/A1706,0)</x:f>
        <x:v>16362.960746460747</x:v>
      </x:c>
      <x:c r="J1706" s="67" t="str">
        <x:v>Modeled from live base + Sep-2026 quality ratio</x:v>
      </x:c>
      <x:c r="K1706" s="67" t="str">
        <x:v>https://www.stonealgo.com/diamond-prices/</x:v>
      </x:c>
      <x:c r="L1706" s="67" t="str">
        <x:v>https://www.pricescope.com/blog/natural-diamond-prices-september-2026</x:v>
      </x:c>
    </x:row>
    <x:row r="1707">
      <x:c r="A1707" t="n">
        <x:v>3</x:v>
      </x:c>
      <x:c r="B1707" t="str">
        <x:v>Pear</x:v>
      </x:c>
      <x:c r="C1707" t="str">
        <x:v>I</x:v>
      </x:c>
      <x:c r="D1707" t="str">
        <x:v>IF</x:v>
      </x:c>
      <x:c r="E1707" s="36" t="n">
        <x:v>49503</x:v>
      </x:c>
      <x:c r="F1707" s="36" t="n">
        <x:v>4005</x:v>
      </x:c>
      <x:c r="G1707" s="42" t="n">
        <x:v>0.859073359073359</x:v>
      </x:c>
      <x:c r="H1707" s="36" t="n">
        <x:f>E1707*G1707</x:f>
        <x:v>42526.70849420849</x:v>
      </x:c>
      <x:c r="I1707" s="36" t="n">
        <x:f>IFERROR(H1707/A1707,0)</x:f>
        <x:v>14175.569498069497</x:v>
      </x:c>
      <x:c r="J1707" s="67" t="str">
        <x:v>Modeled from live base + Sep-2026 quality ratio</x:v>
      </x:c>
      <x:c r="K1707" s="67" t="str">
        <x:v>https://www.stonealgo.com/diamond-prices/</x:v>
      </x:c>
      <x:c r="L1707" s="67" t="str">
        <x:v>https://www.pricescope.com/blog/natural-diamond-prices-september-2026</x:v>
      </x:c>
    </x:row>
    <x:row r="1708">
      <x:c r="A1708" t="n">
        <x:v>3</x:v>
      </x:c>
      <x:c r="B1708" t="str">
        <x:v>Pear</x:v>
      </x:c>
      <x:c r="C1708" t="str">
        <x:v>I</x:v>
      </x:c>
      <x:c r="D1708" t="str">
        <x:v>VVS1</x:v>
      </x:c>
      <x:c r="E1708" s="36" t="n">
        <x:v>49503</x:v>
      </x:c>
      <x:c r="F1708" s="36" t="n">
        <x:v>3670</x:v>
      </x:c>
      <x:c r="G1708" s="42" t="n">
        <x:v>0.7872157872157872</x:v>
      </x:c>
      <x:c r="H1708" s="36" t="n">
        <x:f>E1708*G1708</x:f>
        <x:v>38969.543114543114</x:v>
      </x:c>
      <x:c r="I1708" s="36" t="n">
        <x:f>IFERROR(H1708/A1708,0)</x:f>
        <x:v>12989.847704847705</x:v>
      </x:c>
      <x:c r="J1708" s="67" t="str">
        <x:v>Modeled from live base + Sep-2026 quality ratio</x:v>
      </x:c>
      <x:c r="K1708" s="67" t="str">
        <x:v>https://www.stonealgo.com/diamond-prices/</x:v>
      </x:c>
      <x:c r="L1708" s="67" t="str">
        <x:v>https://www.pricescope.com/blog/natural-diamond-prices-september-2026</x:v>
      </x:c>
    </x:row>
    <x:row r="1709">
      <x:c r="A1709" t="n">
        <x:v>3</x:v>
      </x:c>
      <x:c r="B1709" t="str">
        <x:v>Pear</x:v>
      </x:c>
      <x:c r="C1709" t="str">
        <x:v>I</x:v>
      </x:c>
      <x:c r="D1709" t="str">
        <x:v>VVS2</x:v>
      </x:c>
      <x:c r="E1709" s="36" t="n">
        <x:v>49503</x:v>
      </x:c>
      <x:c r="F1709" s="36" t="n">
        <x:v>3447</x:v>
      </x:c>
      <x:c r="G1709" s="42" t="n">
        <x:v>0.7393822393822393</x:v>
      </x:c>
      <x:c r="H1709" s="36" t="n">
        <x:f>E1709*G1709</x:f>
        <x:v>36601.638996138994</x:v>
      </x:c>
      <x:c r="I1709" s="36" t="n">
        <x:f>IFERROR(H1709/A1709,0)</x:f>
        <x:v>12200.546332046331</x:v>
      </x:c>
      <x:c r="J1709" s="67" t="str">
        <x:v>Modeled from live base + Sep-2026 quality ratio</x:v>
      </x:c>
      <x:c r="K1709" s="67" t="str">
        <x:v>https://www.stonealgo.com/diamond-prices/</x:v>
      </x:c>
      <x:c r="L1709" s="67" t="str">
        <x:v>https://www.pricescope.com/blog/natural-diamond-prices-september-2026</x:v>
      </x:c>
    </x:row>
    <x:row r="1710">
      <x:c r="A1710" t="n">
        <x:v>3</x:v>
      </x:c>
      <x:c r="B1710" t="str">
        <x:v>Pear</x:v>
      </x:c>
      <x:c r="C1710" t="str">
        <x:v>I</x:v>
      </x:c>
      <x:c r="D1710" t="str">
        <x:v>VS1</x:v>
      </x:c>
      <x:c r="E1710" s="36" t="n">
        <x:v>49503</x:v>
      </x:c>
      <x:c r="F1710" s="36" t="n">
        <x:v>3313</x:v>
      </x:c>
      <x:c r="G1710" s="42" t="n">
        <x:v>0.7106392106392107</x:v>
      </x:c>
      <x:c r="H1710" s="36" t="n">
        <x:f>E1710*G1710</x:f>
        <x:v>35178.77284427285</x:v>
      </x:c>
      <x:c r="I1710" s="36" t="n">
        <x:f>IFERROR(H1710/A1710,0)</x:f>
        <x:v>11726.257614757616</x:v>
      </x:c>
      <x:c r="J1710" s="67" t="str">
        <x:v>Modeled from live base + Sep-2026 quality ratio</x:v>
      </x:c>
      <x:c r="K1710" s="67" t="str">
        <x:v>https://www.stonealgo.com/diamond-prices/</x:v>
      </x:c>
      <x:c r="L1710" s="67" t="str">
        <x:v>https://www.pricescope.com/blog/natural-diamond-prices-september-2026</x:v>
      </x:c>
    </x:row>
    <x:row r="1711">
      <x:c r="A1711" t="n">
        <x:v>3</x:v>
      </x:c>
      <x:c r="B1711" t="str">
        <x:v>Pear</x:v>
      </x:c>
      <x:c r="C1711" t="str">
        <x:v>I</x:v>
      </x:c>
      <x:c r="D1711" t="str">
        <x:v>VS2</x:v>
      </x:c>
      <x:c r="E1711" s="36" t="n">
        <x:v>49503</x:v>
      </x:c>
      <x:c r="F1711" s="36" t="n">
        <x:v>3240</x:v>
      </x:c>
      <x:c r="G1711" s="42" t="n">
        <x:v>0.694980694980695</x:v>
      </x:c>
      <x:c r="H1711" s="36" t="n">
        <x:f>E1711*G1711</x:f>
        <x:v>34403.62934362935</x:v>
      </x:c>
      <x:c r="I1711" s="36" t="n">
        <x:f>IFERROR(H1711/A1711,0)</x:f>
        <x:v>11467.87644787645</x:v>
      </x:c>
      <x:c r="J1711" s="67" t="str">
        <x:v>Modeled from live base + Sep-2026 quality ratio</x:v>
      </x:c>
      <x:c r="K1711" s="67" t="str">
        <x:v>https://www.stonealgo.com/diamond-prices/</x:v>
      </x:c>
      <x:c r="L1711" s="67" t="str">
        <x:v>https://www.pricescope.com/blog/natural-diamond-prices-september-2026</x:v>
      </x:c>
    </x:row>
    <x:row r="1712">
      <x:c r="A1712" t="n">
        <x:v>3</x:v>
      </x:c>
      <x:c r="B1712" t="str">
        <x:v>Pear</x:v>
      </x:c>
      <x:c r="C1712" t="str">
        <x:v>I</x:v>
      </x:c>
      <x:c r="D1712" t="str">
        <x:v>SI1</x:v>
      </x:c>
      <x:c r="E1712" s="36" t="n">
        <x:v>49503</x:v>
      </x:c>
      <x:c r="F1712" s="36" t="n">
        <x:v>3199</x:v>
      </x:c>
      <x:c r="G1712" s="42" t="n">
        <x:v>0.6861861861861862</x:v>
      </x:c>
      <x:c r="H1712" s="36" t="n">
        <x:f>E1712*G1712</x:f>
        <x:v>33968.27477477478</x:v>
      </x:c>
      <x:c r="I1712" s="36" t="n">
        <x:f>IFERROR(H1712/A1712,0)</x:f>
        <x:v>11322.75825825826</x:v>
      </x:c>
      <x:c r="J1712" s="67" t="str">
        <x:v>Modeled from live base + Sep-2026 quality ratio</x:v>
      </x:c>
      <x:c r="K1712" s="67" t="str">
        <x:v>https://www.stonealgo.com/diamond-prices/</x:v>
      </x:c>
      <x:c r="L1712" s="67" t="str">
        <x:v>https://www.pricescope.com/blog/natural-diamond-prices-september-2026</x:v>
      </x:c>
    </x:row>
    <x:row r="1713">
      <x:c r="A1713" t="n">
        <x:v>3</x:v>
      </x:c>
      <x:c r="B1713" t="str">
        <x:v>Pear</x:v>
      </x:c>
      <x:c r="C1713" t="str">
        <x:v>I</x:v>
      </x:c>
      <x:c r="D1713" t="str">
        <x:v>SI2</x:v>
      </x:c>
      <x:c r="E1713" s="36" t="n">
        <x:v>49503</x:v>
      </x:c>
      <x:c r="F1713" s="36" t="n">
        <x:v>2874</x:v>
      </x:c>
      <x:c r="G1713" s="42" t="n">
        <x:v>0.6164736164736164</x:v>
      </x:c>
      <x:c r="H1713" s="36" t="n">
        <x:f>E1713*G1713</x:f>
        <x:v>30517.293436293436</x:v>
      </x:c>
      <x:c r="I1713" s="36" t="n">
        <x:f>IFERROR(H1713/A1713,0)</x:f>
        <x:v>10172.431145431145</x:v>
      </x:c>
      <x:c r="J1713" s="67" t="str">
        <x:v>Modeled from live base + Sep-2026 quality ratio</x:v>
      </x:c>
      <x:c r="K1713" s="67" t="str">
        <x:v>https://www.stonealgo.com/diamond-prices/</x:v>
      </x:c>
      <x:c r="L1713" s="67" t="str">
        <x:v>https://www.pricescope.com/blog/natural-diamond-prices-september-2026</x:v>
      </x:c>
    </x:row>
    <x:row r="1714">
      <x:c r="A1714" t="n">
        <x:v>3</x:v>
      </x:c>
      <x:c r="B1714" t="str">
        <x:v>Pear</x:v>
      </x:c>
      <x:c r="C1714" t="str">
        <x:v>J</x:v>
      </x:c>
      <x:c r="D1714" t="str">
        <x:v>FL</x:v>
      </x:c>
      <x:c r="E1714" s="36" t="n">
        <x:v>49503</x:v>
      </x:c>
      <x:c r="F1714" s="36" t="n">
        <x:v>3646</x:v>
      </x:c>
      <x:c r="G1714" s="42" t="n">
        <x:v>0.782067782067782</x:v>
      </x:c>
      <x:c r="H1714" s="36" t="n">
        <x:f>E1714*G1714</x:f>
        <x:v>38714.70141570141</x:v>
      </x:c>
      <x:c r="I1714" s="36" t="n">
        <x:f>IFERROR(H1714/A1714,0)</x:f>
        <x:v>12904.900471900472</x:v>
      </x:c>
      <x:c r="J1714" s="67" t="str">
        <x:v>Modeled from live base + Sep-2026 quality ratio</x:v>
      </x:c>
      <x:c r="K1714" s="67" t="str">
        <x:v>https://www.stonealgo.com/diamond-prices/</x:v>
      </x:c>
      <x:c r="L1714" s="67" t="str">
        <x:v>https://www.pricescope.com/blog/natural-diamond-prices-september-2026</x:v>
      </x:c>
    </x:row>
    <x:row r="1715">
      <x:c r="A1715" t="n">
        <x:v>3</x:v>
      </x:c>
      <x:c r="B1715" t="str">
        <x:v>Pear</x:v>
      </x:c>
      <x:c r="C1715" t="str">
        <x:v>J</x:v>
      </x:c>
      <x:c r="D1715" t="str">
        <x:v>IF</x:v>
      </x:c>
      <x:c r="E1715" s="36" t="n">
        <x:v>49503</x:v>
      </x:c>
      <x:c r="F1715" s="36" t="n">
        <x:v>3368</x:v>
      </x:c>
      <x:c r="G1715" s="42" t="n">
        <x:v>0.7224367224367224</x:v>
      </x:c>
      <x:c r="H1715" s="36" t="n">
        <x:f>E1715*G1715</x:f>
        <x:v>35762.78507078507</x:v>
      </x:c>
      <x:c r="I1715" s="36" t="n">
        <x:f>IFERROR(H1715/A1715,0)</x:f>
        <x:v>11920.928356928356</x:v>
      </x:c>
      <x:c r="J1715" s="67" t="str">
        <x:v>Modeled from live base + Sep-2026 quality ratio</x:v>
      </x:c>
      <x:c r="K1715" s="67" t="str">
        <x:v>https://www.stonealgo.com/diamond-prices/</x:v>
      </x:c>
      <x:c r="L1715" s="67" t="str">
        <x:v>https://www.pricescope.com/blog/natural-diamond-prices-september-2026</x:v>
      </x:c>
    </x:row>
    <x:row r="1716">
      <x:c r="A1716" t="n">
        <x:v>3</x:v>
      </x:c>
      <x:c r="B1716" t="str">
        <x:v>Pear</x:v>
      </x:c>
      <x:c r="C1716" t="str">
        <x:v>J</x:v>
      </x:c>
      <x:c r="D1716" t="str">
        <x:v>VVS1</x:v>
      </x:c>
      <x:c r="E1716" s="36" t="n">
        <x:v>49503</x:v>
      </x:c>
      <x:c r="F1716" s="36" t="n">
        <x:v>2956</x:v>
      </x:c>
      <x:c r="G1716" s="42" t="n">
        <x:v>0.6340626340626341</x:v>
      </x:c>
      <x:c r="H1716" s="36" t="n">
        <x:f>E1716*G1716</x:f>
        <x:v>31388.002574002574</x:v>
      </x:c>
      <x:c r="I1716" s="36" t="n">
        <x:f>IFERROR(H1716/A1716,0)</x:f>
        <x:v>10462.667524667524</x:v>
      </x:c>
      <x:c r="J1716" s="67" t="str">
        <x:v>Modeled from live base + Sep-2026 quality ratio</x:v>
      </x:c>
      <x:c r="K1716" s="67" t="str">
        <x:v>https://www.stonealgo.com/diamond-prices/</x:v>
      </x:c>
      <x:c r="L1716" s="67" t="str">
        <x:v>https://www.pricescope.com/blog/natural-diamond-prices-september-2026</x:v>
      </x:c>
    </x:row>
    <x:row r="1717">
      <x:c r="A1717" t="n">
        <x:v>3</x:v>
      </x:c>
      <x:c r="B1717" t="str">
        <x:v>Pear</x:v>
      </x:c>
      <x:c r="C1717" t="str">
        <x:v>J</x:v>
      </x:c>
      <x:c r="D1717" t="str">
        <x:v>VVS2</x:v>
      </x:c>
      <x:c r="E1717" s="36" t="n">
        <x:v>49503</x:v>
      </x:c>
      <x:c r="F1717" s="36" t="n">
        <x:v>2612</x:v>
      </x:c>
      <x:c r="G1717" s="42" t="n">
        <x:v>0.5602745602745602</x:v>
      </x:c>
      <x:c r="H1717" s="36" t="n">
        <x:f>E1717*G1717</x:f>
        <x:v>27735.271557271557</x:v>
      </x:c>
      <x:c r="I1717" s="36" t="n">
        <x:f>IFERROR(H1717/A1717,0)</x:f>
        <x:v>9245.09051909052</x:v>
      </x:c>
      <x:c r="J1717" s="67" t="str">
        <x:v>Modeled from live base + Sep-2026 quality ratio</x:v>
      </x:c>
      <x:c r="K1717" s="67" t="str">
        <x:v>https://www.stonealgo.com/diamond-prices/</x:v>
      </x:c>
      <x:c r="L1717" s="67" t="str">
        <x:v>https://www.pricescope.com/blog/natural-diamond-prices-september-2026</x:v>
      </x:c>
    </x:row>
    <x:row r="1718">
      <x:c r="A1718" t="n">
        <x:v>3</x:v>
      </x:c>
      <x:c r="B1718" t="str">
        <x:v>Pear</x:v>
      </x:c>
      <x:c r="C1718" t="str">
        <x:v>J</x:v>
      </x:c>
      <x:c r="D1718" t="str">
        <x:v>VS1</x:v>
      </x:c>
      <x:c r="E1718" s="36" t="n">
        <x:v>49503</x:v>
      </x:c>
      <x:c r="F1718" s="36" t="n">
        <x:v>3002</x:v>
      </x:c>
      <x:c r="G1718" s="42" t="n">
        <x:v>0.6439296439296439</x:v>
      </x:c>
      <x:c r="H1718" s="36" t="n">
        <x:f>E1718*G1718</x:f>
        <x:v>31876.449163449164</x:v>
      </x:c>
      <x:c r="I1718" s="36" t="n">
        <x:f>IFERROR(H1718/A1718,0)</x:f>
        <x:v>10625.483054483055</x:v>
      </x:c>
      <x:c r="J1718" s="67" t="str">
        <x:v>Modeled from live base + Sep-2026 quality ratio</x:v>
      </x:c>
      <x:c r="K1718" s="67" t="str">
        <x:v>https://www.stonealgo.com/diamond-prices/</x:v>
      </x:c>
      <x:c r="L1718" s="67" t="str">
        <x:v>https://www.pricescope.com/blog/natural-diamond-prices-september-2026</x:v>
      </x:c>
    </x:row>
    <x:row r="1719">
      <x:c r="A1719" t="n">
        <x:v>3</x:v>
      </x:c>
      <x:c r="B1719" t="str">
        <x:v>Pear</x:v>
      </x:c>
      <x:c r="C1719" t="str">
        <x:v>J</x:v>
      </x:c>
      <x:c r="D1719" t="str">
        <x:v>VS2</x:v>
      </x:c>
      <x:c r="E1719" s="36" t="n">
        <x:v>49503</x:v>
      </x:c>
      <x:c r="F1719" s="36" t="n">
        <x:v>2559</x:v>
      </x:c>
      <x:c r="G1719" s="42" t="n">
        <x:v>0.5489060489060489</x:v>
      </x:c>
      <x:c r="H1719" s="36" t="n">
        <x:f>E1719*G1719</x:f>
        <x:v>27172.49613899614</x:v>
      </x:c>
      <x:c r="I1719" s="36" t="n">
        <x:f>IFERROR(H1719/A1719,0)</x:f>
        <x:v>9057.498712998713</x:v>
      </x:c>
      <x:c r="J1719" s="67" t="str">
        <x:v>Modeled from live base + Sep-2026 quality ratio</x:v>
      </x:c>
      <x:c r="K1719" s="67" t="str">
        <x:v>https://www.stonealgo.com/diamond-prices/</x:v>
      </x:c>
      <x:c r="L1719" s="67" t="str">
        <x:v>https://www.pricescope.com/blog/natural-diamond-prices-september-2026</x:v>
      </x:c>
    </x:row>
    <x:row r="1720">
      <x:c r="A1720" t="n">
        <x:v>3</x:v>
      </x:c>
      <x:c r="B1720" t="str">
        <x:v>Pear</x:v>
      </x:c>
      <x:c r="C1720" t="str">
        <x:v>J</x:v>
      </x:c>
      <x:c r="D1720" t="str">
        <x:v>SI1</x:v>
      </x:c>
      <x:c r="E1720" s="36" t="n">
        <x:v>49503</x:v>
      </x:c>
      <x:c r="F1720" s="36" t="n">
        <x:v>2195</x:v>
      </x:c>
      <x:c r="G1720" s="42" t="n">
        <x:v>0.47082797082797084</x:v>
      </x:c>
      <x:c r="H1720" s="36" t="n">
        <x:f>E1720*G1720</x:f>
        <x:v>23307.39703989704</x:v>
      </x:c>
      <x:c r="I1720" s="36" t="n">
        <x:f>IFERROR(H1720/A1720,0)</x:f>
        <x:v>7769.132346632347</x:v>
      </x:c>
      <x:c r="J1720" s="67" t="str">
        <x:v>Modeled from live base + Sep-2026 quality ratio</x:v>
      </x:c>
      <x:c r="K1720" s="67" t="str">
        <x:v>https://www.stonealgo.com/diamond-prices/</x:v>
      </x:c>
      <x:c r="L1720" s="67" t="str">
        <x:v>https://www.pricescope.com/blog/natural-diamond-prices-september-2026</x:v>
      </x:c>
    </x:row>
    <x:row r="1721">
      <x:c r="A1721" t="n">
        <x:v>3</x:v>
      </x:c>
      <x:c r="B1721" t="str">
        <x:v>Pear</x:v>
      </x:c>
      <x:c r="C1721" t="str">
        <x:v>J</x:v>
      </x:c>
      <x:c r="D1721" t="str">
        <x:v>SI2</x:v>
      </x:c>
      <x:c r="E1721" s="36" t="n">
        <x:v>49503</x:v>
      </x:c>
      <x:c r="F1721" s="36" t="n">
        <x:v>2079</x:v>
      </x:c>
      <x:c r="G1721" s="42" t="n">
        <x:v>0.44594594594594594</x:v>
      </x:c>
      <x:c r="H1721" s="36" t="n">
        <x:f>E1721*G1721</x:f>
        <x:v>22075.662162162163</x:v>
      </x:c>
      <x:c r="I1721" s="36" t="n">
        <x:f>IFERROR(H1721/A1721,0)</x:f>
        <x:v>7358.554054054054</x:v>
      </x:c>
      <x:c r="J1721" s="67" t="str">
        <x:v>Modeled from live base + Sep-2026 quality ratio</x:v>
      </x:c>
      <x:c r="K1721" s="67" t="str">
        <x:v>https://www.stonealgo.com/diamond-prices/</x:v>
      </x:c>
      <x:c r="L1721" s="67" t="str">
        <x:v>https://www.pricescope.com/blog/natural-diamond-prices-september-2026</x:v>
      </x:c>
    </x:row>
    <x:row r="1722">
      <x:c r="A1722" t="n">
        <x:v>3</x:v>
      </x:c>
      <x:c r="B1722" t="str">
        <x:v>Pear</x:v>
      </x:c>
      <x:c r="C1722" t="str">
        <x:v>K</x:v>
      </x:c>
      <x:c r="D1722" t="str">
        <x:v>FL</x:v>
      </x:c>
      <x:c r="E1722" s="36" t="n">
        <x:v>49503</x:v>
      </x:c>
      <x:c r="F1722" s="36" t="n">
        <x:v>2858</x:v>
      </x:c>
      <x:c r="G1722" s="42" t="n">
        <x:v>0.6130416130416131</x:v>
      </x:c>
      <x:c r="H1722" s="36" t="n">
        <x:f>E1722*G1722</x:f>
        <x:v>30347.398970398972</x:v>
      </x:c>
      <x:c r="I1722" s="36" t="n">
        <x:f>IFERROR(H1722/A1722,0)</x:f>
        <x:v>10115.799656799658</x:v>
      </x:c>
      <x:c r="J1722" s="67" t="str">
        <x:v>Modeled from live base + Sep-2026 quality ratio; K/FL quality cell modeled</x:v>
      </x:c>
      <x:c r="K1722" s="67" t="str">
        <x:v>https://www.stonealgo.com/diamond-prices/</x:v>
      </x:c>
      <x:c r="L1722" s="67" t="str">
        <x:v>https://www.pricescope.com/blog/natural-diamond-prices-september-2026</x:v>
      </x:c>
    </x:row>
    <x:row r="1723">
      <x:c r="A1723" t="n">
        <x:v>3</x:v>
      </x:c>
      <x:c r="B1723" t="str">
        <x:v>Pear</x:v>
      </x:c>
      <x:c r="C1723" t="str">
        <x:v>K</x:v>
      </x:c>
      <x:c r="D1723" t="str">
        <x:v>IF</x:v>
      </x:c>
      <x:c r="E1723" s="36" t="n">
        <x:v>49503</x:v>
      </x:c>
      <x:c r="F1723" s="36" t="n">
        <x:v>2743</x:v>
      </x:c>
      <x:c r="G1723" s="42" t="n">
        <x:v>0.5883740883740883</x:v>
      </x:c>
      <x:c r="H1723" s="36" t="n">
        <x:f>E1723*G1723</x:f>
        <x:v>29126.282496782496</x:v>
      </x:c>
      <x:c r="I1723" s="36" t="n">
        <x:f>IFERROR(H1723/A1723,0)</x:f>
        <x:v>9708.760832260832</x:v>
      </x:c>
      <x:c r="J1723" s="67" t="str">
        <x:v>Modeled from live base + Sep-2026 quality ratio</x:v>
      </x:c>
      <x:c r="K1723" s="67" t="str">
        <x:v>https://www.stonealgo.com/diamond-prices/</x:v>
      </x:c>
      <x:c r="L1723" s="67" t="str">
        <x:v>https://www.pricescope.com/blog/natural-diamond-prices-september-2026</x:v>
      </x:c>
    </x:row>
    <x:row r="1724">
      <x:c r="A1724" t="n">
        <x:v>3</x:v>
      </x:c>
      <x:c r="B1724" t="str">
        <x:v>Pear</x:v>
      </x:c>
      <x:c r="C1724" t="str">
        <x:v>K</x:v>
      </x:c>
      <x:c r="D1724" t="str">
        <x:v>VVS1</x:v>
      </x:c>
      <x:c r="E1724" s="36" t="n">
        <x:v>49503</x:v>
      </x:c>
      <x:c r="F1724" s="36" t="n">
        <x:v>2529</x:v>
      </x:c>
      <x:c r="G1724" s="42" t="n">
        <x:v>0.5424710424710425</x:v>
      </x:c>
      <x:c r="H1724" s="36" t="n">
        <x:f>E1724*G1724</x:f>
        <x:v>26853.944015444016</x:v>
      </x:c>
      <x:c r="I1724" s="36" t="n">
        <x:f>IFERROR(H1724/A1724,0)</x:f>
        <x:v>8951.314671814673</x:v>
      </x:c>
      <x:c r="J1724" s="67" t="str">
        <x:v>Modeled from live base + Sep-2026 quality ratio</x:v>
      </x:c>
      <x:c r="K1724" s="67" t="str">
        <x:v>https://www.stonealgo.com/diamond-prices/</x:v>
      </x:c>
      <x:c r="L1724" s="67" t="str">
        <x:v>https://www.pricescope.com/blog/natural-diamond-prices-september-2026</x:v>
      </x:c>
    </x:row>
    <x:row r="1725">
      <x:c r="A1725" t="n">
        <x:v>3</x:v>
      </x:c>
      <x:c r="B1725" t="str">
        <x:v>Pear</x:v>
      </x:c>
      <x:c r="C1725" t="str">
        <x:v>K</x:v>
      </x:c>
      <x:c r="D1725" t="str">
        <x:v>VVS2</x:v>
      </x:c>
      <x:c r="E1725" s="36" t="n">
        <x:v>49503</x:v>
      </x:c>
      <x:c r="F1725" s="36" t="n">
        <x:v>2374</x:v>
      </x:c>
      <x:c r="G1725" s="42" t="n">
        <x:v>0.5092235092235092</x:v>
      </x:c>
      <x:c r="H1725" s="36" t="n">
        <x:f>E1725*G1725</x:f>
        <x:v>25208.091377091376</x:v>
      </x:c>
      <x:c r="I1725" s="36" t="n">
        <x:f>IFERROR(H1725/A1725,0)</x:f>
        <x:v>8402.697125697125</x:v>
      </x:c>
      <x:c r="J1725" s="67" t="str">
        <x:v>Modeled from live base + Sep-2026 quality ratio</x:v>
      </x:c>
      <x:c r="K1725" s="67" t="str">
        <x:v>https://www.stonealgo.com/diamond-prices/</x:v>
      </x:c>
      <x:c r="L1725" s="67" t="str">
        <x:v>https://www.pricescope.com/blog/natural-diamond-prices-september-2026</x:v>
      </x:c>
    </x:row>
    <x:row r="1726">
      <x:c r="A1726" t="n">
        <x:v>3</x:v>
      </x:c>
      <x:c r="B1726" t="str">
        <x:v>Pear</x:v>
      </x:c>
      <x:c r="C1726" t="str">
        <x:v>K</x:v>
      </x:c>
      <x:c r="D1726" t="str">
        <x:v>VS1</x:v>
      </x:c>
      <x:c r="E1726" s="36" t="n">
        <x:v>49503</x:v>
      </x:c>
      <x:c r="F1726" s="36" t="n">
        <x:v>2223</x:v>
      </x:c>
      <x:c r="G1726" s="42" t="n">
        <x:v>0.4768339768339768</x:v>
      </x:c>
      <x:c r="H1726" s="36" t="n">
        <x:f>E1726*G1726</x:f>
        <x:v>23604.712355212356</x:v>
      </x:c>
      <x:c r="I1726" s="36" t="n">
        <x:f>IFERROR(H1726/A1726,0)</x:f>
        <x:v>7868.237451737452</x:v>
      </x:c>
      <x:c r="J1726" s="67" t="str">
        <x:v>Modeled from live base + Sep-2026 quality ratio</x:v>
      </x:c>
      <x:c r="K1726" s="67" t="str">
        <x:v>https://www.stonealgo.com/diamond-prices/</x:v>
      </x:c>
      <x:c r="L1726" s="67" t="str">
        <x:v>https://www.pricescope.com/blog/natural-diamond-prices-september-2026</x:v>
      </x:c>
    </x:row>
    <x:row r="1727">
      <x:c r="A1727" t="n">
        <x:v>3</x:v>
      </x:c>
      <x:c r="B1727" t="str">
        <x:v>Pear</x:v>
      </x:c>
      <x:c r="C1727" t="str">
        <x:v>K</x:v>
      </x:c>
      <x:c r="D1727" t="str">
        <x:v>VS2</x:v>
      </x:c>
      <x:c r="E1727" s="36" t="n">
        <x:v>49503</x:v>
      </x:c>
      <x:c r="F1727" s="36" t="n">
        <x:v>2098</x:v>
      </x:c>
      <x:c r="G1727" s="42" t="n">
        <x:v>0.45002145002145</x:v>
      </x:c>
      <x:c r="H1727" s="36" t="n">
        <x:f>E1727*G1727</x:f>
        <x:v>22277.411840411838</x:v>
      </x:c>
      <x:c r="I1727" s="36" t="n">
        <x:f>IFERROR(H1727/A1727,0)</x:f>
        <x:v>7425.803946803946</x:v>
      </x:c>
      <x:c r="J1727" s="67" t="str">
        <x:v>Modeled from live base + Sep-2026 quality ratio</x:v>
      </x:c>
      <x:c r="K1727" s="67" t="str">
        <x:v>https://www.stonealgo.com/diamond-prices/</x:v>
      </x:c>
      <x:c r="L1727" s="67" t="str">
        <x:v>https://www.pricescope.com/blog/natural-diamond-prices-september-2026</x:v>
      </x:c>
    </x:row>
    <x:row r="1728">
      <x:c r="A1728" t="n">
        <x:v>3</x:v>
      </x:c>
      <x:c r="B1728" t="str">
        <x:v>Pear</x:v>
      </x:c>
      <x:c r="C1728" t="str">
        <x:v>K</x:v>
      </x:c>
      <x:c r="D1728" t="str">
        <x:v>SI1</x:v>
      </x:c>
      <x:c r="E1728" s="36" t="n">
        <x:v>49503</x:v>
      </x:c>
      <x:c r="F1728" s="36" t="n">
        <x:v>1922</x:v>
      </x:c>
      <x:c r="G1728" s="42" t="n">
        <x:v>0.41226941226941227</x:v>
      </x:c>
      <x:c r="H1728" s="36" t="n">
        <x:f>E1728*G1728</x:f>
        <x:v>20408.572715572715</x:v>
      </x:c>
      <x:c r="I1728" s="36" t="n">
        <x:f>IFERROR(H1728/A1728,0)</x:f>
        <x:v>6802.857571857571</x:v>
      </x:c>
      <x:c r="J1728" s="67" t="str">
        <x:v>Modeled from live base + Sep-2026 quality ratio</x:v>
      </x:c>
      <x:c r="K1728" s="67" t="str">
        <x:v>https://www.stonealgo.com/diamond-prices/</x:v>
      </x:c>
      <x:c r="L1728" s="67" t="str">
        <x:v>https://www.pricescope.com/blog/natural-diamond-prices-september-2026</x:v>
      </x:c>
    </x:row>
    <x:row r="1729">
      <x:c r="A1729" t="n">
        <x:v>3</x:v>
      </x:c>
      <x:c r="B1729" t="str">
        <x:v>Pear</x:v>
      </x:c>
      <x:c r="C1729" t="str">
        <x:v>K</x:v>
      </x:c>
      <x:c r="D1729" t="str">
        <x:v>SI2</x:v>
      </x:c>
      <x:c r="E1729" s="36" t="n">
        <x:v>49503</x:v>
      </x:c>
      <x:c r="F1729" s="36" t="n">
        <x:v>1764</x:v>
      </x:c>
      <x:c r="G1729" s="42" t="n">
        <x:v>0.3783783783783784</x:v>
      </x:c>
      <x:c r="H1729" s="36" t="n">
        <x:f>E1729*G1729</x:f>
        <x:v>18730.864864864867</x:v>
      </x:c>
      <x:c r="I1729" s="36" t="n">
        <x:f>IFERROR(H1729/A1729,0)</x:f>
        <x:v>6243.621621621623</x:v>
      </x:c>
      <x:c r="J1729" s="67" t="str">
        <x:v>Modeled from live base + Sep-2026 quality ratio</x:v>
      </x:c>
      <x:c r="K1729" s="67" t="str">
        <x:v>https://www.stonealgo.com/diamond-prices/</x:v>
      </x:c>
      <x:c r="L1729" s="67" t="str">
        <x:v>https://www.pricescope.com/blog/natural-diamond-prices-september-2026</x:v>
      </x:c>
    </x:row>
    <x:row r="1730">
      <x:c r="A1730" t="n">
        <x:v>3</x:v>
      </x:c>
      <x:c r="B1730" t="str">
        <x:v>Heart</x:v>
      </x:c>
      <x:c r="C1730" t="str">
        <x:v>D</x:v>
      </x:c>
      <x:c r="D1730" t="str">
        <x:v>FL</x:v>
      </x:c>
      <x:c r="E1730" s="36" t="n">
        <x:v>37300</x:v>
      </x:c>
      <x:c r="F1730" s="36" t="n">
        <x:v>12665</x:v>
      </x:c>
      <x:c r="G1730" s="42" t="n">
        <x:v>2.7166452166452166</x:v>
      </x:c>
      <x:c r="H1730" s="36" t="n">
        <x:f>E1730*G1730</x:f>
        <x:v>101330.86658086658</x:v>
      </x:c>
      <x:c r="I1730" s="36" t="n">
        <x:f>IFERROR(H1730/A1730,0)</x:f>
        <x:v>33776.95552695553</x:v>
      </x:c>
      <x:c r="J1730" s="67" t="str">
        <x:v>Modeled from live base + Sep-2026 quality ratio</x:v>
      </x:c>
      <x:c r="K1730" s="67" t="str">
        <x:v>https://www.stonealgo.com/diamond-prices/</x:v>
      </x:c>
      <x:c r="L1730" s="67" t="str">
        <x:v>https://www.pricescope.com/blog/natural-diamond-prices-september-2026</x:v>
      </x:c>
    </x:row>
    <x:row r="1731">
      <x:c r="A1731" t="n">
        <x:v>3</x:v>
      </x:c>
      <x:c r="B1731" t="str">
        <x:v>Heart</x:v>
      </x:c>
      <x:c r="C1731" t="str">
        <x:v>D</x:v>
      </x:c>
      <x:c r="D1731" t="str">
        <x:v>IF</x:v>
      </x:c>
      <x:c r="E1731" s="36" t="n">
        <x:v>37300</x:v>
      </x:c>
      <x:c r="F1731" s="36" t="n">
        <x:v>13240</x:v>
      </x:c>
      <x:c r="G1731" s="42" t="n">
        <x:v>2.83998283998284</x:v>
      </x:c>
      <x:c r="H1731" s="36" t="n">
        <x:f>E1731*G1731</x:f>
        <x:v>105931.35993135994</x:v>
      </x:c>
      <x:c r="I1731" s="36" t="n">
        <x:f>IFERROR(H1731/A1731,0)</x:f>
        <x:v>35310.45331045331</x:v>
      </x:c>
      <x:c r="J1731" s="67" t="str">
        <x:v>Modeled from live base + Sep-2026 quality ratio</x:v>
      </x:c>
      <x:c r="K1731" s="67" t="str">
        <x:v>https://www.stonealgo.com/diamond-prices/</x:v>
      </x:c>
      <x:c r="L1731" s="67" t="str">
        <x:v>https://www.pricescope.com/blog/natural-diamond-prices-september-2026</x:v>
      </x:c>
    </x:row>
    <x:row r="1732">
      <x:c r="A1732" t="n">
        <x:v>3</x:v>
      </x:c>
      <x:c r="B1732" t="str">
        <x:v>Heart</x:v>
      </x:c>
      <x:c r="C1732" t="str">
        <x:v>D</x:v>
      </x:c>
      <x:c r="D1732" t="str">
        <x:v>VVS1</x:v>
      </x:c>
      <x:c r="E1732" s="36" t="n">
        <x:v>37300</x:v>
      </x:c>
      <x:c r="F1732" s="36" t="n">
        <x:v>9555</x:v>
      </x:c>
      <x:c r="G1732" s="42" t="n">
        <x:v>2.0495495495495497</x:v>
      </x:c>
      <x:c r="H1732" s="36" t="n">
        <x:f>E1732*G1732</x:f>
        <x:v>76448.19819819821</x:v>
      </x:c>
      <x:c r="I1732" s="36" t="n">
        <x:f>IFERROR(H1732/A1732,0)</x:f>
        <x:v>25482.732732732737</x:v>
      </x:c>
      <x:c r="J1732" s="67" t="str">
        <x:v>Modeled from live base + Sep-2026 quality ratio</x:v>
      </x:c>
      <x:c r="K1732" s="67" t="str">
        <x:v>https://www.stonealgo.com/diamond-prices/</x:v>
      </x:c>
      <x:c r="L1732" s="67" t="str">
        <x:v>https://www.pricescope.com/blog/natural-diamond-prices-september-2026</x:v>
      </x:c>
    </x:row>
    <x:row r="1733">
      <x:c r="A1733" t="n">
        <x:v>3</x:v>
      </x:c>
      <x:c r="B1733" t="str">
        <x:v>Heart</x:v>
      </x:c>
      <x:c r="C1733" t="str">
        <x:v>D</x:v>
      </x:c>
      <x:c r="D1733" t="str">
        <x:v>VVS2</x:v>
      </x:c>
      <x:c r="E1733" s="36" t="n">
        <x:v>37300</x:v>
      </x:c>
      <x:c r="F1733" s="36" t="n">
        <x:v>6660</x:v>
      </x:c>
      <x:c r="G1733" s="42" t="n">
        <x:v>1.4285714285714286</x:v>
      </x:c>
      <x:c r="H1733" s="36" t="n">
        <x:f>E1733*G1733</x:f>
        <x:v>53285.71428571429</x:v>
      </x:c>
      <x:c r="I1733" s="36" t="n">
        <x:f>IFERROR(H1733/A1733,0)</x:f>
        <x:v>17761.904761904763</x:v>
      </x:c>
      <x:c r="J1733" s="67" t="str">
        <x:v>Modeled from live base + Sep-2026 quality ratio</x:v>
      </x:c>
      <x:c r="K1733" s="67" t="str">
        <x:v>https://www.stonealgo.com/diamond-prices/</x:v>
      </x:c>
      <x:c r="L1733" s="67" t="str">
        <x:v>https://www.pricescope.com/blog/natural-diamond-prices-september-2026</x:v>
      </x:c>
    </x:row>
    <x:row r="1734">
      <x:c r="A1734" t="n">
        <x:v>3</x:v>
      </x:c>
      <x:c r="B1734" t="str">
        <x:v>Heart</x:v>
      </x:c>
      <x:c r="C1734" t="str">
        <x:v>D</x:v>
      </x:c>
      <x:c r="D1734" t="str">
        <x:v>VS1</x:v>
      </x:c>
      <x:c r="E1734" s="36" t="n">
        <x:v>37300</x:v>
      </x:c>
      <x:c r="F1734" s="36" t="n">
        <x:v>6247</x:v>
      </x:c>
      <x:c r="G1734" s="42" t="n">
        <x:v>1.33998283998284</x:v>
      </x:c>
      <x:c r="H1734" s="36" t="n">
        <x:f>E1734*G1734</x:f>
        <x:v>49981.35993135993</x:v>
      </x:c>
      <x:c r="I1734" s="36" t="n">
        <x:f>IFERROR(H1734/A1734,0)</x:f>
        <x:v>16660.45331045331</x:v>
      </x:c>
      <x:c r="J1734" s="67" t="str">
        <x:v>Modeled from live base + Sep-2026 quality ratio</x:v>
      </x:c>
      <x:c r="K1734" s="67" t="str">
        <x:v>https://www.stonealgo.com/diamond-prices/</x:v>
      </x:c>
      <x:c r="L1734" s="67" t="str">
        <x:v>https://www.pricescope.com/blog/natural-diamond-prices-september-2026</x:v>
      </x:c>
    </x:row>
    <x:row r="1735">
      <x:c r="A1735" t="n">
        <x:v>3</x:v>
      </x:c>
      <x:c r="B1735" t="str">
        <x:v>Heart</x:v>
      </x:c>
      <x:c r="C1735" t="str">
        <x:v>D</x:v>
      </x:c>
      <x:c r="D1735" t="str">
        <x:v>VS2</x:v>
      </x:c>
      <x:c r="E1735" s="36" t="n">
        <x:v>37300</x:v>
      </x:c>
      <x:c r="F1735" s="36" t="n">
        <x:v>5841</x:v>
      </x:c>
      <x:c r="G1735" s="42" t="n">
        <x:v>1.252895752895753</x:v>
      </x:c>
      <x:c r="H1735" s="36" t="n">
        <x:f>E1735*G1735</x:f>
        <x:v>46733.01158301158</x:v>
      </x:c>
      <x:c r="I1735" s="36" t="n">
        <x:f>IFERROR(H1735/A1735,0)</x:f>
        <x:v>15577.670527670527</x:v>
      </x:c>
      <x:c r="J1735" s="67" t="str">
        <x:v>Modeled from live base + Sep-2026 quality ratio</x:v>
      </x:c>
      <x:c r="K1735" s="67" t="str">
        <x:v>https://www.stonealgo.com/diamond-prices/</x:v>
      </x:c>
      <x:c r="L1735" s="67" t="str">
        <x:v>https://www.pricescope.com/blog/natural-diamond-prices-september-2026</x:v>
      </x:c>
    </x:row>
    <x:row r="1736">
      <x:c r="A1736" t="n">
        <x:v>3</x:v>
      </x:c>
      <x:c r="B1736" t="str">
        <x:v>Heart</x:v>
      </x:c>
      <x:c r="C1736" t="str">
        <x:v>D</x:v>
      </x:c>
      <x:c r="D1736" t="str">
        <x:v>SI1</x:v>
      </x:c>
      <x:c r="E1736" s="36" t="n">
        <x:v>37300</x:v>
      </x:c>
      <x:c r="F1736" s="36" t="n">
        <x:v>3762</x:v>
      </x:c>
      <x:c r="G1736" s="42" t="n">
        <x:v>0.806949806949807</x:v>
      </x:c>
      <x:c r="H1736" s="36" t="n">
        <x:f>E1736*G1736</x:f>
        <x:v>30099.2277992278</x:v>
      </x:c>
      <x:c r="I1736" s="36" t="n">
        <x:f>IFERROR(H1736/A1736,0)</x:f>
        <x:v>10033.075933075934</x:v>
      </x:c>
      <x:c r="J1736" s="67" t="str">
        <x:v>Modeled from live base + Sep-2026 quality ratio</x:v>
      </x:c>
      <x:c r="K1736" s="67" t="str">
        <x:v>https://www.stonealgo.com/diamond-prices/</x:v>
      </x:c>
      <x:c r="L1736" s="67" t="str">
        <x:v>https://www.pricescope.com/blog/natural-diamond-prices-september-2026</x:v>
      </x:c>
    </x:row>
    <x:row r="1737">
      <x:c r="A1737" t="n">
        <x:v>3</x:v>
      </x:c>
      <x:c r="B1737" t="str">
        <x:v>Heart</x:v>
      </x:c>
      <x:c r="C1737" t="str">
        <x:v>D</x:v>
      </x:c>
      <x:c r="D1737" t="str">
        <x:v>SI2</x:v>
      </x:c>
      <x:c r="E1737" s="36" t="n">
        <x:v>37300</x:v>
      </x:c>
      <x:c r="F1737" s="36" t="n">
        <x:v>3026</x:v>
      </x:c>
      <x:c r="G1737" s="42" t="n">
        <x:v>0.6490776490776491</x:v>
      </x:c>
      <x:c r="H1737" s="36" t="n">
        <x:f>E1737*G1737</x:f>
        <x:v>24210.59631059631</x:v>
      </x:c>
      <x:c r="I1737" s="36" t="n">
        <x:f>IFERROR(H1737/A1737,0)</x:f>
        <x:v>8070.19877019877</x:v>
      </x:c>
      <x:c r="J1737" s="67" t="str">
        <x:v>Modeled from live base + Sep-2026 quality ratio</x:v>
      </x:c>
      <x:c r="K1737" s="67" t="str">
        <x:v>https://www.stonealgo.com/diamond-prices/</x:v>
      </x:c>
      <x:c r="L1737" s="67" t="str">
        <x:v>https://www.pricescope.com/blog/natural-diamond-prices-september-2026</x:v>
      </x:c>
    </x:row>
    <x:row r="1738">
      <x:c r="A1738" t="n">
        <x:v>3</x:v>
      </x:c>
      <x:c r="B1738" t="str">
        <x:v>Heart</x:v>
      </x:c>
      <x:c r="C1738" t="str">
        <x:v>E</x:v>
      </x:c>
      <x:c r="D1738" t="str">
        <x:v>FL</x:v>
      </x:c>
      <x:c r="E1738" s="36" t="n">
        <x:v>37300</x:v>
      </x:c>
      <x:c r="F1738" s="36" t="n">
        <x:v>10072</x:v>
      </x:c>
      <x:c r="G1738" s="42" t="n">
        <x:v>2.1604461604461602</x:v>
      </x:c>
      <x:c r="H1738" s="36" t="n">
        <x:f>E1738*G1738</x:f>
        <x:v>80584.64178464178</x:v>
      </x:c>
      <x:c r="I1738" s="36" t="n">
        <x:f>IFERROR(H1738/A1738,0)</x:f>
        <x:v>26861.547261547257</x:v>
      </x:c>
      <x:c r="J1738" s="67" t="str">
        <x:v>Modeled from live base + Sep-2026 quality ratio</x:v>
      </x:c>
      <x:c r="K1738" s="67" t="str">
        <x:v>https://www.stonealgo.com/diamond-prices/</x:v>
      </x:c>
      <x:c r="L1738" s="67" t="str">
        <x:v>https://www.pricescope.com/blog/natural-diamond-prices-september-2026</x:v>
      </x:c>
    </x:row>
    <x:row r="1739">
      <x:c r="A1739" t="n">
        <x:v>3</x:v>
      </x:c>
      <x:c r="B1739" t="str">
        <x:v>Heart</x:v>
      </x:c>
      <x:c r="C1739" t="str">
        <x:v>E</x:v>
      </x:c>
      <x:c r="D1739" t="str">
        <x:v>IF</x:v>
      </x:c>
      <x:c r="E1739" s="36" t="n">
        <x:v>37300</x:v>
      </x:c>
      <x:c r="F1739" s="36" t="n">
        <x:v>8672</x:v>
      </x:c>
      <x:c r="G1739" s="42" t="n">
        <x:v>1.8601458601458603</x:v>
      </x:c>
      <x:c r="H1739" s="36" t="n">
        <x:f>E1739*G1739</x:f>
        <x:v>69383.44058344059</x:v>
      </x:c>
      <x:c r="I1739" s="36" t="n">
        <x:f>IFERROR(H1739/A1739,0)</x:f>
        <x:v>23127.81352781353</x:v>
      </x:c>
      <x:c r="J1739" s="67" t="str">
        <x:v>Modeled from live base + Sep-2026 quality ratio</x:v>
      </x:c>
      <x:c r="K1739" s="67" t="str">
        <x:v>https://www.stonealgo.com/diamond-prices/</x:v>
      </x:c>
      <x:c r="L1739" s="67" t="str">
        <x:v>https://www.pricescope.com/blog/natural-diamond-prices-september-2026</x:v>
      </x:c>
    </x:row>
    <x:row r="1740">
      <x:c r="A1740" t="n">
        <x:v>3</x:v>
      </x:c>
      <x:c r="B1740" t="str">
        <x:v>Heart</x:v>
      </x:c>
      <x:c r="C1740" t="str">
        <x:v>E</x:v>
      </x:c>
      <x:c r="D1740" t="str">
        <x:v>VVS1</x:v>
      </x:c>
      <x:c r="E1740" s="36" t="n">
        <x:v>37300</x:v>
      </x:c>
      <x:c r="F1740" s="36" t="n">
        <x:v>7842</x:v>
      </x:c>
      <x:c r="G1740" s="42" t="n">
        <x:v>1.6821106821106822</x:v>
      </x:c>
      <x:c r="H1740" s="36" t="n">
        <x:f>E1740*G1740</x:f>
        <x:v>62742.72844272845</x:v>
      </x:c>
      <x:c r="I1740" s="36" t="n">
        <x:f>IFERROR(H1740/A1740,0)</x:f>
        <x:v>20914.242814242814</x:v>
      </x:c>
      <x:c r="J1740" s="67" t="str">
        <x:v>Modeled from live base + Sep-2026 quality ratio</x:v>
      </x:c>
      <x:c r="K1740" s="67" t="str">
        <x:v>https://www.stonealgo.com/diamond-prices/</x:v>
      </x:c>
      <x:c r="L1740" s="67" t="str">
        <x:v>https://www.pricescope.com/blog/natural-diamond-prices-september-2026</x:v>
      </x:c>
    </x:row>
    <x:row r="1741">
      <x:c r="A1741" t="n">
        <x:v>3</x:v>
      </x:c>
      <x:c r="B1741" t="str">
        <x:v>Heart</x:v>
      </x:c>
      <x:c r="C1741" t="str">
        <x:v>E</x:v>
      </x:c>
      <x:c r="D1741" t="str">
        <x:v>VVS2</x:v>
      </x:c>
      <x:c r="E1741" s="36" t="n">
        <x:v>37300</x:v>
      </x:c>
      <x:c r="F1741" s="36" t="n">
        <x:v>6880</x:v>
      </x:c>
      <x:c r="G1741" s="42" t="n">
        <x:v>1.4757614757614759</x:v>
      </x:c>
      <x:c r="H1741" s="36" t="n">
        <x:f>E1741*G1741</x:f>
        <x:v>55045.90304590305</x:v>
      </x:c>
      <x:c r="I1741" s="36" t="n">
        <x:f>IFERROR(H1741/A1741,0)</x:f>
        <x:v>18348.63434863435</x:v>
      </x:c>
      <x:c r="J1741" s="67" t="str">
        <x:v>Modeled from live base + Sep-2026 quality ratio</x:v>
      </x:c>
      <x:c r="K1741" s="67" t="str">
        <x:v>https://www.stonealgo.com/diamond-prices/</x:v>
      </x:c>
      <x:c r="L1741" s="67" t="str">
        <x:v>https://www.pricescope.com/blog/natural-diamond-prices-september-2026</x:v>
      </x:c>
    </x:row>
    <x:row r="1742">
      <x:c r="A1742" t="n">
        <x:v>3</x:v>
      </x:c>
      <x:c r="B1742" t="str">
        <x:v>Heart</x:v>
      </x:c>
      <x:c r="C1742" t="str">
        <x:v>E</x:v>
      </x:c>
      <x:c r="D1742" t="str">
        <x:v>VS1</x:v>
      </x:c>
      <x:c r="E1742" s="36" t="n">
        <x:v>37300</x:v>
      </x:c>
      <x:c r="F1742" s="36" t="n">
        <x:v>6307</x:v>
      </x:c>
      <x:c r="G1742" s="42" t="n">
        <x:v>1.352852852852853</x:v>
      </x:c>
      <x:c r="H1742" s="36" t="n">
        <x:f>E1742*G1742</x:f>
        <x:v>50461.41141141141</x:v>
      </x:c>
      <x:c r="I1742" s="36" t="n">
        <x:f>IFERROR(H1742/A1742,0)</x:f>
        <x:v>16820.47047047047</x:v>
      </x:c>
      <x:c r="J1742" s="67" t="str">
        <x:v>Modeled from live base + Sep-2026 quality ratio</x:v>
      </x:c>
      <x:c r="K1742" s="67" t="str">
        <x:v>https://www.stonealgo.com/diamond-prices/</x:v>
      </x:c>
      <x:c r="L1742" s="67" t="str">
        <x:v>https://www.pricescope.com/blog/natural-diamond-prices-september-2026</x:v>
      </x:c>
    </x:row>
    <x:row r="1743">
      <x:c r="A1743" t="n">
        <x:v>3</x:v>
      </x:c>
      <x:c r="B1743" t="str">
        <x:v>Heart</x:v>
      </x:c>
      <x:c r="C1743" t="str">
        <x:v>E</x:v>
      </x:c>
      <x:c r="D1743" t="str">
        <x:v>VS2</x:v>
      </x:c>
      <x:c r="E1743" s="36" t="n">
        <x:v>37300</x:v>
      </x:c>
      <x:c r="F1743" s="36" t="n">
        <x:v>5249</x:v>
      </x:c>
      <x:c r="G1743" s="42" t="n">
        <x:v>1.125911625911626</x:v>
      </x:c>
      <x:c r="H1743" s="36" t="n">
        <x:f>E1743*G1743</x:f>
        <x:v>41996.50364650365</x:v>
      </x:c>
      <x:c r="I1743" s="36" t="n">
        <x:f>IFERROR(H1743/A1743,0)</x:f>
        <x:v>13998.83454883455</x:v>
      </x:c>
      <x:c r="J1743" s="67" t="str">
        <x:v>Modeled from live base + Sep-2026 quality ratio</x:v>
      </x:c>
      <x:c r="K1743" s="67" t="str">
        <x:v>https://www.stonealgo.com/diamond-prices/</x:v>
      </x:c>
      <x:c r="L1743" s="67" t="str">
        <x:v>https://www.pricescope.com/blog/natural-diamond-prices-september-2026</x:v>
      </x:c>
    </x:row>
    <x:row r="1744">
      <x:c r="A1744" t="n">
        <x:v>3</x:v>
      </x:c>
      <x:c r="B1744" t="str">
        <x:v>Heart</x:v>
      </x:c>
      <x:c r="C1744" t="str">
        <x:v>E</x:v>
      </x:c>
      <x:c r="D1744" t="str">
        <x:v>SI1</x:v>
      </x:c>
      <x:c r="E1744" s="36" t="n">
        <x:v>37300</x:v>
      </x:c>
      <x:c r="F1744" s="36" t="n">
        <x:v>3551</x:v>
      </x:c>
      <x:c r="G1744" s="42" t="n">
        <x:v>0.7616902616902617</x:v>
      </x:c>
      <x:c r="H1744" s="36" t="n">
        <x:f>E1744*G1744</x:f>
        <x:v>28411.04676104676</x:v>
      </x:c>
      <x:c r="I1744" s="36" t="n">
        <x:f>IFERROR(H1744/A1744,0)</x:f>
        <x:v>9470.34892034892</x:v>
      </x:c>
      <x:c r="J1744" s="67" t="str">
        <x:v>Modeled from live base + Sep-2026 quality ratio</x:v>
      </x:c>
      <x:c r="K1744" s="67" t="str">
        <x:v>https://www.stonealgo.com/diamond-prices/</x:v>
      </x:c>
      <x:c r="L1744" s="67" t="str">
        <x:v>https://www.pricescope.com/blog/natural-diamond-prices-september-2026</x:v>
      </x:c>
    </x:row>
    <x:row r="1745">
      <x:c r="A1745" t="n">
        <x:v>3</x:v>
      </x:c>
      <x:c r="B1745" t="str">
        <x:v>Heart</x:v>
      </x:c>
      <x:c r="C1745" t="str">
        <x:v>E</x:v>
      </x:c>
      <x:c r="D1745" t="str">
        <x:v>SI2</x:v>
      </x:c>
      <x:c r="E1745" s="36" t="n">
        <x:v>37300</x:v>
      </x:c>
      <x:c r="F1745" s="36" t="n">
        <x:v>2993</x:v>
      </x:c>
      <x:c r="G1745" s="42" t="n">
        <x:v>0.641999141999142</x:v>
      </x:c>
      <x:c r="H1745" s="36" t="n">
        <x:f>E1745*G1745</x:f>
        <x:v>23946.567996567996</x:v>
      </x:c>
      <x:c r="I1745" s="36" t="n">
        <x:f>IFERROR(H1745/A1745,0)</x:f>
        <x:v>7982.189332189332</x:v>
      </x:c>
      <x:c r="J1745" s="67" t="str">
        <x:v>Modeled from live base + Sep-2026 quality ratio</x:v>
      </x:c>
      <x:c r="K1745" s="67" t="str">
        <x:v>https://www.stonealgo.com/diamond-prices/</x:v>
      </x:c>
      <x:c r="L1745" s="67" t="str">
        <x:v>https://www.pricescope.com/blog/natural-diamond-prices-september-2026</x:v>
      </x:c>
    </x:row>
    <x:row r="1746">
      <x:c r="A1746" t="n">
        <x:v>3</x:v>
      </x:c>
      <x:c r="B1746" t="str">
        <x:v>Heart</x:v>
      </x:c>
      <x:c r="C1746" t="str">
        <x:v>F</x:v>
      </x:c>
      <x:c r="D1746" t="str">
        <x:v>FL</x:v>
      </x:c>
      <x:c r="E1746" s="36" t="n">
        <x:v>37300</x:v>
      </x:c>
      <x:c r="F1746" s="36" t="n">
        <x:v>6830</x:v>
      </x:c>
      <x:c r="G1746" s="42" t="n">
        <x:v>1.4650364650364651</x:v>
      </x:c>
      <x:c r="H1746" s="36" t="n">
        <x:f>E1746*G1746</x:f>
        <x:v>54645.86014586015</x:v>
      </x:c>
      <x:c r="I1746" s="36" t="n">
        <x:f>IFERROR(H1746/A1746,0)</x:f>
        <x:v>18215.286715286715</x:v>
      </x:c>
      <x:c r="J1746" s="67" t="str">
        <x:v>Modeled from live base + Sep-2026 quality ratio</x:v>
      </x:c>
      <x:c r="K1746" s="67" t="str">
        <x:v>https://www.stonealgo.com/diamond-prices/</x:v>
      </x:c>
      <x:c r="L1746" s="67" t="str">
        <x:v>https://www.pricescope.com/blog/natural-diamond-prices-september-2026</x:v>
      </x:c>
    </x:row>
    <x:row r="1747">
      <x:c r="A1747" t="n">
        <x:v>3</x:v>
      </x:c>
      <x:c r="B1747" t="str">
        <x:v>Heart</x:v>
      </x:c>
      <x:c r="C1747" t="str">
        <x:v>F</x:v>
      </x:c>
      <x:c r="D1747" t="str">
        <x:v>IF</x:v>
      </x:c>
      <x:c r="E1747" s="36" t="n">
        <x:v>37300</x:v>
      </x:c>
      <x:c r="F1747" s="36" t="n">
        <x:v>7302</x:v>
      </x:c>
      <x:c r="G1747" s="42" t="n">
        <x:v>1.5662805662805663</x:v>
      </x:c>
      <x:c r="H1747" s="36" t="n">
        <x:f>E1747*G1747</x:f>
        <x:v>58422.265122265126</x:v>
      </x:c>
      <x:c r="I1747" s="36" t="n">
        <x:f>IFERROR(H1747/A1747,0)</x:f>
        <x:v>19474.088374088376</x:v>
      </x:c>
      <x:c r="J1747" s="67" t="str">
        <x:v>Modeled from live base + Sep-2026 quality ratio</x:v>
      </x:c>
      <x:c r="K1747" s="67" t="str">
        <x:v>https://www.stonealgo.com/diamond-prices/</x:v>
      </x:c>
      <x:c r="L1747" s="67" t="str">
        <x:v>https://www.pricescope.com/blog/natural-diamond-prices-september-2026</x:v>
      </x:c>
    </x:row>
    <x:row r="1748">
      <x:c r="A1748" t="n">
        <x:v>3</x:v>
      </x:c>
      <x:c r="B1748" t="str">
        <x:v>Heart</x:v>
      </x:c>
      <x:c r="C1748" t="str">
        <x:v>F</x:v>
      </x:c>
      <x:c r="D1748" t="str">
        <x:v>VVS1</x:v>
      </x:c>
      <x:c r="E1748" s="36" t="n">
        <x:v>37300</x:v>
      </x:c>
      <x:c r="F1748" s="36" t="n">
        <x:v>7542</x:v>
      </x:c>
      <x:c r="G1748" s="42" t="n">
        <x:v>1.6177606177606179</x:v>
      </x:c>
      <x:c r="H1748" s="36" t="n">
        <x:f>E1748*G1748</x:f>
        <x:v>60342.47104247104</x:v>
      </x:c>
      <x:c r="I1748" s="36" t="n">
        <x:f>IFERROR(H1748/A1748,0)</x:f>
        <x:v>20114.157014157016</x:v>
      </x:c>
      <x:c r="J1748" s="67" t="str">
        <x:v>Modeled from live base + Sep-2026 quality ratio</x:v>
      </x:c>
      <x:c r="K1748" s="67" t="str">
        <x:v>https://www.stonealgo.com/diamond-prices/</x:v>
      </x:c>
      <x:c r="L1748" s="67" t="str">
        <x:v>https://www.pricescope.com/blog/natural-diamond-prices-september-2026</x:v>
      </x:c>
    </x:row>
    <x:row r="1749">
      <x:c r="A1749" t="n">
        <x:v>3</x:v>
      </x:c>
      <x:c r="B1749" t="str">
        <x:v>Heart</x:v>
      </x:c>
      <x:c r="C1749" t="str">
        <x:v>F</x:v>
      </x:c>
      <x:c r="D1749" t="str">
        <x:v>VVS2</x:v>
      </x:c>
      <x:c r="E1749" s="36" t="n">
        <x:v>37300</x:v>
      </x:c>
      <x:c r="F1749" s="36" t="n">
        <x:v>6352</x:v>
      </x:c>
      <x:c r="G1749" s="42" t="n">
        <x:v>1.3625053625053625</x:v>
      </x:c>
      <x:c r="H1749" s="36" t="n">
        <x:f>E1749*G1749</x:f>
        <x:v>50821.45002145002</x:v>
      </x:c>
      <x:c r="I1749" s="36" t="n">
        <x:f>IFERROR(H1749/A1749,0)</x:f>
        <x:v>16940.48334048334</x:v>
      </x:c>
      <x:c r="J1749" s="67" t="str">
        <x:v>Modeled from live base + Sep-2026 quality ratio</x:v>
      </x:c>
      <x:c r="K1749" s="67" t="str">
        <x:v>https://www.stonealgo.com/diamond-prices/</x:v>
      </x:c>
      <x:c r="L1749" s="67" t="str">
        <x:v>https://www.pricescope.com/blog/natural-diamond-prices-september-2026</x:v>
      </x:c>
    </x:row>
    <x:row r="1750">
      <x:c r="A1750" t="n">
        <x:v>3</x:v>
      </x:c>
      <x:c r="B1750" t="str">
        <x:v>Heart</x:v>
      </x:c>
      <x:c r="C1750" t="str">
        <x:v>F</x:v>
      </x:c>
      <x:c r="D1750" t="str">
        <x:v>VS1</x:v>
      </x:c>
      <x:c r="E1750" s="36" t="n">
        <x:v>37300</x:v>
      </x:c>
      <x:c r="F1750" s="36" t="n">
        <x:v>5647</x:v>
      </x:c>
      <x:c r="G1750" s="42" t="n">
        <x:v>1.2112827112827114</x:v>
      </x:c>
      <x:c r="H1750" s="36" t="n">
        <x:f>E1750*G1750</x:f>
        <x:v>45180.84513084513</x:v>
      </x:c>
      <x:c r="I1750" s="36" t="n">
        <x:f>IFERROR(H1750/A1750,0)</x:f>
        <x:v>15060.281710281712</x:v>
      </x:c>
      <x:c r="J1750" s="67" t="str">
        <x:v>Modeled from live base + Sep-2026 quality ratio</x:v>
      </x:c>
      <x:c r="K1750" s="67" t="str">
        <x:v>https://www.stonealgo.com/diamond-prices/</x:v>
      </x:c>
      <x:c r="L1750" s="67" t="str">
        <x:v>https://www.pricescope.com/blog/natural-diamond-prices-september-2026</x:v>
      </x:c>
    </x:row>
    <x:row r="1751">
      <x:c r="A1751" t="n">
        <x:v>3</x:v>
      </x:c>
      <x:c r="B1751" t="str">
        <x:v>Heart</x:v>
      </x:c>
      <x:c r="C1751" t="str">
        <x:v>F</x:v>
      </x:c>
      <x:c r="D1751" t="str">
        <x:v>VS2</x:v>
      </x:c>
      <x:c r="E1751" s="36" t="n">
        <x:v>37300</x:v>
      </x:c>
      <x:c r="F1751" s="36" t="n">
        <x:v>4730</x:v>
      </x:c>
      <x:c r="G1751" s="42" t="n">
        <x:v>1.0145860145860146</x:v>
      </x:c>
      <x:c r="H1751" s="36" t="n">
        <x:f>E1751*G1751</x:f>
        <x:v>37844.05834405834</x:v>
      </x:c>
      <x:c r="I1751" s="36" t="n">
        <x:f>IFERROR(H1751/A1751,0)</x:f>
        <x:v>12614.686114686114</x:v>
      </x:c>
      <x:c r="J1751" s="67" t="str">
        <x:v>Modeled from live base + Sep-2026 quality ratio</x:v>
      </x:c>
      <x:c r="K1751" s="67" t="str">
        <x:v>https://www.stonealgo.com/diamond-prices/</x:v>
      </x:c>
      <x:c r="L1751" s="67" t="str">
        <x:v>https://www.pricescope.com/blog/natural-diamond-prices-september-2026</x:v>
      </x:c>
    </x:row>
    <x:row r="1752">
      <x:c r="A1752" t="n">
        <x:v>3</x:v>
      </x:c>
      <x:c r="B1752" t="str">
        <x:v>Heart</x:v>
      </x:c>
      <x:c r="C1752" t="str">
        <x:v>F</x:v>
      </x:c>
      <x:c r="D1752" t="str">
        <x:v>SI1</x:v>
      </x:c>
      <x:c r="E1752" s="36" t="n">
        <x:v>37300</x:v>
      </x:c>
      <x:c r="F1752" s="36" t="n">
        <x:v>3331</x:v>
      </x:c>
      <x:c r="G1752" s="42" t="n">
        <x:v>0.7145002145002145</x:v>
      </x:c>
      <x:c r="H1752" s="36" t="n">
        <x:f>E1752*G1752</x:f>
        <x:v>26650.858000858</x:v>
      </x:c>
      <x:c r="I1752" s="36" t="n">
        <x:f>IFERROR(H1752/A1752,0)</x:f>
        <x:v>8883.619333619334</x:v>
      </x:c>
      <x:c r="J1752" s="67" t="str">
        <x:v>Modeled from live base + Sep-2026 quality ratio</x:v>
      </x:c>
      <x:c r="K1752" s="67" t="str">
        <x:v>https://www.stonealgo.com/diamond-prices/</x:v>
      </x:c>
      <x:c r="L1752" s="67" t="str">
        <x:v>https://www.pricescope.com/blog/natural-diamond-prices-september-2026</x:v>
      </x:c>
    </x:row>
    <x:row r="1753">
      <x:c r="A1753" t="n">
        <x:v>3</x:v>
      </x:c>
      <x:c r="B1753" t="str">
        <x:v>Heart</x:v>
      </x:c>
      <x:c r="C1753" t="str">
        <x:v>F</x:v>
      </x:c>
      <x:c r="D1753" t="str">
        <x:v>SI2</x:v>
      </x:c>
      <x:c r="E1753" s="36" t="n">
        <x:v>37300</x:v>
      </x:c>
      <x:c r="F1753" s="36" t="n">
        <x:v>2733</x:v>
      </x:c>
      <x:c r="G1753" s="42" t="n">
        <x:v>0.5862290862290862</x:v>
      </x:c>
      <x:c r="H1753" s="36" t="n">
        <x:f>E1753*G1753</x:f>
        <x:v>21866.344916344915</x:v>
      </x:c>
      <x:c r="I1753" s="36" t="n">
        <x:f>IFERROR(H1753/A1753,0)</x:f>
        <x:v>7288.781638781638</x:v>
      </x:c>
      <x:c r="J1753" s="67" t="str">
        <x:v>Modeled from live base + Sep-2026 quality ratio</x:v>
      </x:c>
      <x:c r="K1753" s="67" t="str">
        <x:v>https://www.stonealgo.com/diamond-prices/</x:v>
      </x:c>
      <x:c r="L1753" s="67" t="str">
        <x:v>https://www.pricescope.com/blog/natural-diamond-prices-september-2026</x:v>
      </x:c>
    </x:row>
    <x:row r="1754">
      <x:c r="A1754" t="n">
        <x:v>3</x:v>
      </x:c>
      <x:c r="B1754" t="str">
        <x:v>Heart</x:v>
      </x:c>
      <x:c r="C1754" t="str">
        <x:v>G</x:v>
      </x:c>
      <x:c r="D1754" t="str">
        <x:v>FL</x:v>
      </x:c>
      <x:c r="E1754" s="36" t="n">
        <x:v>37300</x:v>
      </x:c>
      <x:c r="F1754" s="36" t="n">
        <x:v>5905</x:v>
      </x:c>
      <x:c r="G1754" s="42" t="n">
        <x:v>1.2666237666237665</x:v>
      </x:c>
      <x:c r="H1754" s="36" t="n">
        <x:f>E1754*G1754</x:f>
        <x:v>47245.066495066494</x:v>
      </x:c>
      <x:c r="I1754" s="36" t="n">
        <x:f>IFERROR(H1754/A1754,0)</x:f>
        <x:v>15748.355498355499</x:v>
      </x:c>
      <x:c r="J1754" s="67" t="str">
        <x:v>Modeled from live base + Sep-2026 quality ratio</x:v>
      </x:c>
      <x:c r="K1754" s="67" t="str">
        <x:v>https://www.stonealgo.com/diamond-prices/</x:v>
      </x:c>
      <x:c r="L1754" s="67" t="str">
        <x:v>https://www.pricescope.com/blog/natural-diamond-prices-september-2026</x:v>
      </x:c>
    </x:row>
    <x:row r="1755">
      <x:c r="A1755" t="n">
        <x:v>3</x:v>
      </x:c>
      <x:c r="B1755" t="str">
        <x:v>Heart</x:v>
      </x:c>
      <x:c r="C1755" t="str">
        <x:v>G</x:v>
      </x:c>
      <x:c r="D1755" t="str">
        <x:v>IF</x:v>
      </x:c>
      <x:c r="E1755" s="36" t="n">
        <x:v>37300</x:v>
      </x:c>
      <x:c r="F1755" s="36" t="n">
        <x:v>5601</x:v>
      </x:c>
      <x:c r="G1755" s="42" t="n">
        <x:v>1.2014157014157014</x:v>
      </x:c>
      <x:c r="H1755" s="36" t="n">
        <x:f>E1755*G1755</x:f>
        <x:v>44812.805662805666</x:v>
      </x:c>
      <x:c r="I1755" s="36" t="n">
        <x:f>IFERROR(H1755/A1755,0)</x:f>
        <x:v>14937.601887601888</x:v>
      </x:c>
      <x:c r="J1755" s="67" t="str">
        <x:v>Modeled from live base + Sep-2026 quality ratio</x:v>
      </x:c>
      <x:c r="K1755" s="67" t="str">
        <x:v>https://www.stonealgo.com/diamond-prices/</x:v>
      </x:c>
      <x:c r="L1755" s="67" t="str">
        <x:v>https://www.pricescope.com/blog/natural-diamond-prices-september-2026</x:v>
      </x:c>
    </x:row>
    <x:row r="1756">
      <x:c r="A1756" t="n">
        <x:v>3</x:v>
      </x:c>
      <x:c r="B1756" t="str">
        <x:v>Heart</x:v>
      </x:c>
      <x:c r="C1756" t="str">
        <x:v>G</x:v>
      </x:c>
      <x:c r="D1756" t="str">
        <x:v>VVS1</x:v>
      </x:c>
      <x:c r="E1756" s="36" t="n">
        <x:v>37300</x:v>
      </x:c>
      <x:c r="F1756" s="36" t="n">
        <x:v>5124</x:v>
      </x:c>
      <x:c r="G1756" s="42" t="n">
        <x:v>1.0990990990990992</x:v>
      </x:c>
      <x:c r="H1756" s="36" t="n">
        <x:f>E1756*G1756</x:f>
        <x:v>40996.3963963964</x:v>
      </x:c>
      <x:c r="I1756" s="36" t="n">
        <x:f>IFERROR(H1756/A1756,0)</x:f>
        <x:v>13665.465465465466</x:v>
      </x:c>
      <x:c r="J1756" s="67" t="str">
        <x:v>Modeled from live base + Sep-2026 quality ratio</x:v>
      </x:c>
      <x:c r="K1756" s="67" t="str">
        <x:v>https://www.stonealgo.com/diamond-prices/</x:v>
      </x:c>
      <x:c r="L1756" s="67" t="str">
        <x:v>https://www.pricescope.com/blog/natural-diamond-prices-september-2026</x:v>
      </x:c>
    </x:row>
    <x:row r="1757">
      <x:c r="A1757" t="n">
        <x:v>3</x:v>
      </x:c>
      <x:c r="B1757" t="str">
        <x:v>Heart</x:v>
      </x:c>
      <x:c r="C1757" t="str">
        <x:v>G</x:v>
      </x:c>
      <x:c r="D1757" t="str">
        <x:v>VVS2</x:v>
      </x:c>
      <x:c r="E1757" s="36" t="n">
        <x:v>37300</x:v>
      </x:c>
      <x:c r="F1757" s="36" t="n">
        <x:v>4962</x:v>
      </x:c>
      <x:c r="G1757" s="42" t="n">
        <x:v>1.0643500643500643</x:v>
      </x:c>
      <x:c r="H1757" s="36" t="n">
        <x:f>E1757*G1757</x:f>
        <x:v>39700.2574002574</x:v>
      </x:c>
      <x:c r="I1757" s="36" t="n">
        <x:f>IFERROR(H1757/A1757,0)</x:f>
        <x:v>13233.419133419133</x:v>
      </x:c>
      <x:c r="J1757" s="67" t="str">
        <x:v>Modeled from live base + Sep-2026 quality ratio</x:v>
      </x:c>
      <x:c r="K1757" s="67" t="str">
        <x:v>https://www.stonealgo.com/diamond-prices/</x:v>
      </x:c>
      <x:c r="L1757" s="67" t="str">
        <x:v>https://www.pricescope.com/blog/natural-diamond-prices-september-2026</x:v>
      </x:c>
    </x:row>
    <x:row r="1758">
      <x:c r="A1758" t="n">
        <x:v>3</x:v>
      </x:c>
      <x:c r="B1758" t="str">
        <x:v>Heart</x:v>
      </x:c>
      <x:c r="C1758" t="str">
        <x:v>G</x:v>
      </x:c>
      <x:c r="D1758" t="str">
        <x:v>VS1</x:v>
      </x:c>
      <x:c r="E1758" s="36" t="n">
        <x:v>37300</x:v>
      </x:c>
      <x:c r="F1758" s="36" t="n">
        <x:v>4615</x:v>
      </x:c>
      <x:c r="G1758" s="42" t="n">
        <x:v>0.98991848991849</x:v>
      </x:c>
      <x:c r="H1758" s="36" t="n">
        <x:f>E1758*G1758</x:f>
        <x:v>36923.959673959675</x:v>
      </x:c>
      <x:c r="I1758" s="36" t="n">
        <x:f>IFERROR(H1758/A1758,0)</x:f>
        <x:v>12307.986557986558</x:v>
      </x:c>
      <x:c r="J1758" s="67" t="str">
        <x:v>Modeled from live base + Sep-2026 quality ratio</x:v>
      </x:c>
      <x:c r="K1758" s="67" t="str">
        <x:v>https://www.stonealgo.com/diamond-prices/</x:v>
      </x:c>
      <x:c r="L1758" s="67" t="str">
        <x:v>https://www.pricescope.com/blog/natural-diamond-prices-september-2026</x:v>
      </x:c>
    </x:row>
    <x:row r="1759">
      <x:c r="A1759" t="n">
        <x:v>3</x:v>
      </x:c>
      <x:c r="B1759" t="str">
        <x:v>Heart</x:v>
      </x:c>
      <x:c r="C1759" t="str">
        <x:v>G</x:v>
      </x:c>
      <x:c r="D1759" t="str">
        <x:v>VS2</x:v>
      </x:c>
      <x:c r="E1759" s="36" t="n">
        <x:v>37300</x:v>
      </x:c>
      <x:c r="F1759" s="36" t="n">
        <x:v>4585</x:v>
      </x:c>
      <x:c r="G1759" s="42" t="n">
        <x:v>0.9834834834834835</x:v>
      </x:c>
      <x:c r="H1759" s="36" t="n">
        <x:f>E1759*G1759</x:f>
        <x:v>36683.933933933935</x:v>
      </x:c>
      <x:c r="I1759" s="36" t="n">
        <x:f>IFERROR(H1759/A1759,0)</x:f>
        <x:v>12227.977977977978</x:v>
      </x:c>
      <x:c r="J1759" s="67" t="str">
        <x:v>Modeled from live base + Sep-2026 quality ratio</x:v>
      </x:c>
      <x:c r="K1759" s="67" t="str">
        <x:v>https://www.stonealgo.com/diamond-prices/</x:v>
      </x:c>
      <x:c r="L1759" s="67" t="str">
        <x:v>https://www.pricescope.com/blog/natural-diamond-prices-september-2026</x:v>
      </x:c>
    </x:row>
    <x:row r="1760">
      <x:c r="A1760" t="n">
        <x:v>3</x:v>
      </x:c>
      <x:c r="B1760" t="str">
        <x:v>Heart</x:v>
      </x:c>
      <x:c r="C1760" t="str">
        <x:v>G</x:v>
      </x:c>
      <x:c r="D1760" t="str">
        <x:v>SI1</x:v>
      </x:c>
      <x:c r="E1760" s="36" t="n">
        <x:v>37300</x:v>
      </x:c>
      <x:c r="F1760" s="36" t="n">
        <x:v>3664</x:v>
      </x:c>
      <x:c r="G1760" s="42" t="n">
        <x:v>0.7859287859287859</x:v>
      </x:c>
      <x:c r="H1760" s="36" t="n">
        <x:f>E1760*G1760</x:f>
        <x:v>29315.143715143713</x:v>
      </x:c>
      <x:c r="I1760" s="36" t="n">
        <x:f>IFERROR(H1760/A1760,0)</x:f>
        <x:v>9771.71457171457</x:v>
      </x:c>
      <x:c r="J1760" s="67" t="str">
        <x:v>Modeled from live base + Sep-2026 quality ratio</x:v>
      </x:c>
      <x:c r="K1760" s="67" t="str">
        <x:v>https://www.stonealgo.com/diamond-prices/</x:v>
      </x:c>
      <x:c r="L1760" s="67" t="str">
        <x:v>https://www.pricescope.com/blog/natural-diamond-prices-september-2026</x:v>
      </x:c>
    </x:row>
    <x:row r="1761">
      <x:c r="A1761" t="n">
        <x:v>3</x:v>
      </x:c>
      <x:c r="B1761" t="str">
        <x:v>Heart</x:v>
      </x:c>
      <x:c r="C1761" t="str">
        <x:v>G</x:v>
      </x:c>
      <x:c r="D1761" t="str">
        <x:v>SI2</x:v>
      </x:c>
      <x:c r="E1761" s="36" t="n">
        <x:v>37300</x:v>
      </x:c>
      <x:c r="F1761" s="36" t="n">
        <x:v>2537</x:v>
      </x:c>
      <x:c r="G1761" s="42" t="n">
        <x:v>0.5441870441870442</x:v>
      </x:c>
      <x:c r="H1761" s="36" t="n">
        <x:f>E1761*G1761</x:f>
        <x:v>20298.17674817675</x:v>
      </x:c>
      <x:c r="I1761" s="36" t="n">
        <x:f>IFERROR(H1761/A1761,0)</x:f>
        <x:v>6766.058916058916</x:v>
      </x:c>
      <x:c r="J1761" s="67" t="str">
        <x:v>Modeled from live base + Sep-2026 quality ratio</x:v>
      </x:c>
      <x:c r="K1761" s="67" t="str">
        <x:v>https://www.stonealgo.com/diamond-prices/</x:v>
      </x:c>
      <x:c r="L1761" s="67" t="str">
        <x:v>https://www.pricescope.com/blog/natural-diamond-prices-september-2026</x:v>
      </x:c>
    </x:row>
    <x:row r="1762">
      <x:c r="A1762" t="n">
        <x:v>3</x:v>
      </x:c>
      <x:c r="B1762" t="str">
        <x:v>Heart</x:v>
      </x:c>
      <x:c r="C1762" t="str">
        <x:v>H</x:v>
      </x:c>
      <x:c r="D1762" t="str">
        <x:v>FL</x:v>
      </x:c>
      <x:c r="E1762" s="36" t="n">
        <x:v>37300</x:v>
      </x:c>
      <x:c r="F1762" s="36" t="n">
        <x:v>4563</x:v>
      </x:c>
      <x:c r="G1762" s="42" t="n">
        <x:v>0.9787644787644788</x:v>
      </x:c>
      <x:c r="H1762" s="36" t="n">
        <x:f>E1762*G1762</x:f>
        <x:v>36507.91505791506</x:v>
      </x:c>
      <x:c r="I1762" s="36" t="n">
        <x:f>IFERROR(H1762/A1762,0)</x:f>
        <x:v>12169.30501930502</x:v>
      </x:c>
      <x:c r="J1762" s="67" t="str">
        <x:v>Modeled from live base + Sep-2026 quality ratio</x:v>
      </x:c>
      <x:c r="K1762" s="67" t="str">
        <x:v>https://www.stonealgo.com/diamond-prices/</x:v>
      </x:c>
      <x:c r="L1762" s="67" t="str">
        <x:v>https://www.pricescope.com/blog/natural-diamond-prices-september-2026</x:v>
      </x:c>
    </x:row>
    <x:row r="1763">
      <x:c r="A1763" t="n">
        <x:v>3</x:v>
      </x:c>
      <x:c r="B1763" t="str">
        <x:v>Heart</x:v>
      </x:c>
      <x:c r="C1763" t="str">
        <x:v>H</x:v>
      </x:c>
      <x:c r="D1763" t="str">
        <x:v>IF</x:v>
      </x:c>
      <x:c r="E1763" s="36" t="n">
        <x:v>37300</x:v>
      </x:c>
      <x:c r="F1763" s="36" t="n">
        <x:v>4809</x:v>
      </x:c>
      <x:c r="G1763" s="42" t="n">
        <x:v>1.0315315315315314</x:v>
      </x:c>
      <x:c r="H1763" s="36" t="n">
        <x:f>E1763*G1763</x:f>
        <x:v>38476.126126126124</x:v>
      </x:c>
      <x:c r="I1763" s="36" t="n">
        <x:f>IFERROR(H1763/A1763,0)</x:f>
        <x:v>12825.375375375375</x:v>
      </x:c>
      <x:c r="J1763" s="67" t="str">
        <x:v>Modeled from live base + Sep-2026 quality ratio</x:v>
      </x:c>
      <x:c r="K1763" s="67" t="str">
        <x:v>https://www.stonealgo.com/diamond-prices/</x:v>
      </x:c>
      <x:c r="L1763" s="67" t="str">
        <x:v>https://www.pricescope.com/blog/natural-diamond-prices-september-2026</x:v>
      </x:c>
    </x:row>
    <x:row r="1764">
      <x:c r="A1764" t="n">
        <x:v>3</x:v>
      </x:c>
      <x:c r="B1764" t="str">
        <x:v>Heart</x:v>
      </x:c>
      <x:c r="C1764" t="str">
        <x:v>H</x:v>
      </x:c>
      <x:c r="D1764" t="str">
        <x:v>VVS1</x:v>
      </x:c>
      <x:c r="E1764" s="36" t="n">
        <x:v>37300</x:v>
      </x:c>
      <x:c r="F1764" s="36" t="n">
        <x:v>4911</x:v>
      </x:c>
      <x:c r="G1764" s="42" t="n">
        <x:v>1.0534105534105533</x:v>
      </x:c>
      <x:c r="H1764" s="36" t="n">
        <x:f>E1764*G1764</x:f>
        <x:v>39292.21364221364</x:v>
      </x:c>
      <x:c r="I1764" s="36" t="n">
        <x:f>IFERROR(H1764/A1764,0)</x:f>
        <x:v>13097.404547404547</x:v>
      </x:c>
      <x:c r="J1764" s="67" t="str">
        <x:v>Modeled from live base + Sep-2026 quality ratio</x:v>
      </x:c>
      <x:c r="K1764" s="67" t="str">
        <x:v>https://www.stonealgo.com/diamond-prices/</x:v>
      </x:c>
      <x:c r="L1764" s="67" t="str">
        <x:v>https://www.pricescope.com/blog/natural-diamond-prices-september-2026</x:v>
      </x:c>
    </x:row>
    <x:row r="1765">
      <x:c r="A1765" t="n">
        <x:v>3</x:v>
      </x:c>
      <x:c r="B1765" t="str">
        <x:v>Heart</x:v>
      </x:c>
      <x:c r="C1765" t="str">
        <x:v>H</x:v>
      </x:c>
      <x:c r="D1765" t="str">
        <x:v>VVS2</x:v>
      </x:c>
      <x:c r="E1765" s="36" t="n">
        <x:v>37300</x:v>
      </x:c>
      <x:c r="F1765" s="36" t="n">
        <x:v>4046</x:v>
      </x:c>
      <x:c r="G1765" s="42" t="n">
        <x:v>0.8678678678678678</x:v>
      </x:c>
      <x:c r="H1765" s="36" t="n">
        <x:f>E1765*G1765</x:f>
        <x:v>32371.471471471472</x:v>
      </x:c>
      <x:c r="I1765" s="36" t="n">
        <x:f>IFERROR(H1765/A1765,0)</x:f>
        <x:v>10790.49049049049</x:v>
      </x:c>
      <x:c r="J1765" s="67" t="str">
        <x:v>Modeled from live base + Sep-2026 quality ratio</x:v>
      </x:c>
      <x:c r="K1765" s="67" t="str">
        <x:v>https://www.stonealgo.com/diamond-prices/</x:v>
      </x:c>
      <x:c r="L1765" s="67" t="str">
        <x:v>https://www.pricescope.com/blog/natural-diamond-prices-september-2026</x:v>
      </x:c>
    </x:row>
    <x:row r="1766">
      <x:c r="A1766" t="n">
        <x:v>3</x:v>
      </x:c>
      <x:c r="B1766" t="str">
        <x:v>Heart</x:v>
      </x:c>
      <x:c r="C1766" t="str">
        <x:v>H</x:v>
      </x:c>
      <x:c r="D1766" t="str">
        <x:v>VS1</x:v>
      </x:c>
      <x:c r="E1766" s="36" t="n">
        <x:v>37300</x:v>
      </x:c>
      <x:c r="F1766" s="36" t="n">
        <x:v>3893</x:v>
      </x:c>
      <x:c r="G1766" s="42" t="n">
        <x:v>0.8350493350493351</x:v>
      </x:c>
      <x:c r="H1766" s="36" t="n">
        <x:f>E1766*G1766</x:f>
        <x:v>31147.3401973402</x:v>
      </x:c>
      <x:c r="I1766" s="36" t="n">
        <x:f>IFERROR(H1766/A1766,0)</x:f>
        <x:v>10382.446732446733</x:v>
      </x:c>
      <x:c r="J1766" s="67" t="str">
        <x:v>Modeled from live base + Sep-2026 quality ratio</x:v>
      </x:c>
      <x:c r="K1766" s="67" t="str">
        <x:v>https://www.stonealgo.com/diamond-prices/</x:v>
      </x:c>
      <x:c r="L1766" s="67" t="str">
        <x:v>https://www.pricescope.com/blog/natural-diamond-prices-september-2026</x:v>
      </x:c>
    </x:row>
    <x:row r="1767">
      <x:c r="A1767" t="n">
        <x:v>3</x:v>
      </x:c>
      <x:c r="B1767" t="str">
        <x:v>Heart</x:v>
      </x:c>
      <x:c r="C1767" t="str">
        <x:v>H</x:v>
      </x:c>
      <x:c r="D1767" t="str">
        <x:v>VS2</x:v>
      </x:c>
      <x:c r="E1767" s="36" t="n">
        <x:v>37300</x:v>
      </x:c>
      <x:c r="F1767" s="36" t="n">
        <x:v>3989</x:v>
      </x:c>
      <x:c r="G1767" s="42" t="n">
        <x:v>0.8556413556413557</x:v>
      </x:c>
      <x:c r="H1767" s="36" t="n">
        <x:f>E1767*G1767</x:f>
        <x:v>31915.422565422567</x:v>
      </x:c>
      <x:c r="I1767" s="36" t="n">
        <x:f>IFERROR(H1767/A1767,0)</x:f>
        <x:v>10638.474188474189</x:v>
      </x:c>
      <x:c r="J1767" s="67" t="str">
        <x:v>Modeled from live base + Sep-2026 quality ratio</x:v>
      </x:c>
      <x:c r="K1767" s="67" t="str">
        <x:v>https://www.stonealgo.com/diamond-prices/</x:v>
      </x:c>
      <x:c r="L1767" s="67" t="str">
        <x:v>https://www.pricescope.com/blog/natural-diamond-prices-september-2026</x:v>
      </x:c>
    </x:row>
    <x:row r="1768">
      <x:c r="A1768" t="n">
        <x:v>3</x:v>
      </x:c>
      <x:c r="B1768" t="str">
        <x:v>Heart</x:v>
      </x:c>
      <x:c r="C1768" t="str">
        <x:v>H</x:v>
      </x:c>
      <x:c r="D1768" t="str">
        <x:v>SI1</x:v>
      </x:c>
      <x:c r="E1768" s="36" t="n">
        <x:v>37300</x:v>
      </x:c>
      <x:c r="F1768" s="36" t="n">
        <x:v>2828</x:v>
      </x:c>
      <x:c r="G1768" s="42" t="n">
        <x:v>0.6066066066066066</x:v>
      </x:c>
      <x:c r="H1768" s="36" t="n">
        <x:f>E1768*G1768</x:f>
        <x:v>22626.426426426427</x:v>
      </x:c>
      <x:c r="I1768" s="36" t="n">
        <x:f>IFERROR(H1768/A1768,0)</x:f>
        <x:v>7542.142142142143</x:v>
      </x:c>
      <x:c r="J1768" s="67" t="str">
        <x:v>Modeled from live base + Sep-2026 quality ratio</x:v>
      </x:c>
      <x:c r="K1768" s="67" t="str">
        <x:v>https://www.stonealgo.com/diamond-prices/</x:v>
      </x:c>
      <x:c r="L1768" s="67" t="str">
        <x:v>https://www.pricescope.com/blog/natural-diamond-prices-september-2026</x:v>
      </x:c>
    </x:row>
    <x:row r="1769">
      <x:c r="A1769" t="n">
        <x:v>3</x:v>
      </x:c>
      <x:c r="B1769" t="str">
        <x:v>Heart</x:v>
      </x:c>
      <x:c r="C1769" t="str">
        <x:v>H</x:v>
      </x:c>
      <x:c r="D1769" t="str">
        <x:v>SI2</x:v>
      </x:c>
      <x:c r="E1769" s="36" t="n">
        <x:v>37300</x:v>
      </x:c>
      <x:c r="F1769" s="36" t="n">
        <x:v>2328</x:v>
      </x:c>
      <x:c r="G1769" s="42" t="n">
        <x:v>0.49935649935649934</x:v>
      </x:c>
      <x:c r="H1769" s="36" t="n">
        <x:f>E1769*G1769</x:f>
        <x:v>18625.997425997426</x:v>
      </x:c>
      <x:c r="I1769" s="36" t="n">
        <x:f>IFERROR(H1769/A1769,0)</x:f>
        <x:v>6208.665808665809</x:v>
      </x:c>
      <x:c r="J1769" s="67" t="str">
        <x:v>Modeled from live base + Sep-2026 quality ratio</x:v>
      </x:c>
      <x:c r="K1769" s="67" t="str">
        <x:v>https://www.stonealgo.com/diamond-prices/</x:v>
      </x:c>
      <x:c r="L1769" s="67" t="str">
        <x:v>https://www.pricescope.com/blog/natural-diamond-prices-september-2026</x:v>
      </x:c>
    </x:row>
    <x:row r="1770">
      <x:c r="A1770" t="n">
        <x:v>3</x:v>
      </x:c>
      <x:c r="B1770" t="str">
        <x:v>Heart</x:v>
      </x:c>
      <x:c r="C1770" t="str">
        <x:v>I</x:v>
      </x:c>
      <x:c r="D1770" t="str">
        <x:v>FL</x:v>
      </x:c>
      <x:c r="E1770" s="36" t="n">
        <x:v>37300</x:v>
      </x:c>
      <x:c r="F1770" s="36" t="n">
        <x:v>4623</x:v>
      </x:c>
      <x:c r="G1770" s="42" t="n">
        <x:v>0.9916344916344917</x:v>
      </x:c>
      <x:c r="H1770" s="36" t="n">
        <x:f>E1770*G1770</x:f>
        <x:v>36987.96653796654</x:v>
      </x:c>
      <x:c r="I1770" s="36" t="n">
        <x:f>IFERROR(H1770/A1770,0)</x:f>
        <x:v>12329.32217932218</x:v>
      </x:c>
      <x:c r="J1770" s="67" t="str">
        <x:v>Modeled from live base + Sep-2026 quality ratio</x:v>
      </x:c>
      <x:c r="K1770" s="67" t="str">
        <x:v>https://www.stonealgo.com/diamond-prices/</x:v>
      </x:c>
      <x:c r="L1770" s="67" t="str">
        <x:v>https://www.pricescope.com/blog/natural-diamond-prices-september-2026</x:v>
      </x:c>
    </x:row>
    <x:row r="1771">
      <x:c r="A1771" t="n">
        <x:v>3</x:v>
      </x:c>
      <x:c r="B1771" t="str">
        <x:v>Heart</x:v>
      </x:c>
      <x:c r="C1771" t="str">
        <x:v>I</x:v>
      </x:c>
      <x:c r="D1771" t="str">
        <x:v>IF</x:v>
      </x:c>
      <x:c r="E1771" s="36" t="n">
        <x:v>37300</x:v>
      </x:c>
      <x:c r="F1771" s="36" t="n">
        <x:v>4005</x:v>
      </x:c>
      <x:c r="G1771" s="42" t="n">
        <x:v>0.859073359073359</x:v>
      </x:c>
      <x:c r="H1771" s="36" t="n">
        <x:f>E1771*G1771</x:f>
        <x:v>32043.43629343629</x:v>
      </x:c>
      <x:c r="I1771" s="36" t="n">
        <x:f>IFERROR(H1771/A1771,0)</x:f>
        <x:v>10681.14543114543</x:v>
      </x:c>
      <x:c r="J1771" s="67" t="str">
        <x:v>Modeled from live base + Sep-2026 quality ratio</x:v>
      </x:c>
      <x:c r="K1771" s="67" t="str">
        <x:v>https://www.stonealgo.com/diamond-prices/</x:v>
      </x:c>
      <x:c r="L1771" s="67" t="str">
        <x:v>https://www.pricescope.com/blog/natural-diamond-prices-september-2026</x:v>
      </x:c>
    </x:row>
    <x:row r="1772">
      <x:c r="A1772" t="n">
        <x:v>3</x:v>
      </x:c>
      <x:c r="B1772" t="str">
        <x:v>Heart</x:v>
      </x:c>
      <x:c r="C1772" t="str">
        <x:v>I</x:v>
      </x:c>
      <x:c r="D1772" t="str">
        <x:v>VVS1</x:v>
      </x:c>
      <x:c r="E1772" s="36" t="n">
        <x:v>37300</x:v>
      </x:c>
      <x:c r="F1772" s="36" t="n">
        <x:v>3670</x:v>
      </x:c>
      <x:c r="G1772" s="42" t="n">
        <x:v>0.7872157872157872</x:v>
      </x:c>
      <x:c r="H1772" s="36" t="n">
        <x:f>E1772*G1772</x:f>
        <x:v>29363.148863148865</x:v>
      </x:c>
      <x:c r="I1772" s="36" t="n">
        <x:f>IFERROR(H1772/A1772,0)</x:f>
        <x:v>9787.716287716288</x:v>
      </x:c>
      <x:c r="J1772" s="67" t="str">
        <x:v>Modeled from live base + Sep-2026 quality ratio</x:v>
      </x:c>
      <x:c r="K1772" s="67" t="str">
        <x:v>https://www.stonealgo.com/diamond-prices/</x:v>
      </x:c>
      <x:c r="L1772" s="67" t="str">
        <x:v>https://www.pricescope.com/blog/natural-diamond-prices-september-2026</x:v>
      </x:c>
    </x:row>
    <x:row r="1773">
      <x:c r="A1773" t="n">
        <x:v>3</x:v>
      </x:c>
      <x:c r="B1773" t="str">
        <x:v>Heart</x:v>
      </x:c>
      <x:c r="C1773" t="str">
        <x:v>I</x:v>
      </x:c>
      <x:c r="D1773" t="str">
        <x:v>VVS2</x:v>
      </x:c>
      <x:c r="E1773" s="36" t="n">
        <x:v>37300</x:v>
      </x:c>
      <x:c r="F1773" s="36" t="n">
        <x:v>3447</x:v>
      </x:c>
      <x:c r="G1773" s="42" t="n">
        <x:v>0.7393822393822393</x:v>
      </x:c>
      <x:c r="H1773" s="36" t="n">
        <x:f>E1773*G1773</x:f>
        <x:v>27578.957528957526</x:v>
      </x:c>
      <x:c r="I1773" s="36" t="n">
        <x:f>IFERROR(H1773/A1773,0)</x:f>
        <x:v>9192.985842985841</x:v>
      </x:c>
      <x:c r="J1773" s="67" t="str">
        <x:v>Modeled from live base + Sep-2026 quality ratio</x:v>
      </x:c>
      <x:c r="K1773" s="67" t="str">
        <x:v>https://www.stonealgo.com/diamond-prices/</x:v>
      </x:c>
      <x:c r="L1773" s="67" t="str">
        <x:v>https://www.pricescope.com/blog/natural-diamond-prices-september-2026</x:v>
      </x:c>
    </x:row>
    <x:row r="1774">
      <x:c r="A1774" t="n">
        <x:v>3</x:v>
      </x:c>
      <x:c r="B1774" t="str">
        <x:v>Heart</x:v>
      </x:c>
      <x:c r="C1774" t="str">
        <x:v>I</x:v>
      </x:c>
      <x:c r="D1774" t="str">
        <x:v>VS1</x:v>
      </x:c>
      <x:c r="E1774" s="36" t="n">
        <x:v>37300</x:v>
      </x:c>
      <x:c r="F1774" s="36" t="n">
        <x:v>3313</x:v>
      </x:c>
      <x:c r="G1774" s="42" t="n">
        <x:v>0.7106392106392107</x:v>
      </x:c>
      <x:c r="H1774" s="36" t="n">
        <x:f>E1774*G1774</x:f>
        <x:v>26506.842556842555</x:v>
      </x:c>
      <x:c r="I1774" s="36" t="n">
        <x:f>IFERROR(H1774/A1774,0)</x:f>
        <x:v>8835.614185614186</x:v>
      </x:c>
      <x:c r="J1774" s="67" t="str">
        <x:v>Modeled from live base + Sep-2026 quality ratio</x:v>
      </x:c>
      <x:c r="K1774" s="67" t="str">
        <x:v>https://www.stonealgo.com/diamond-prices/</x:v>
      </x:c>
      <x:c r="L1774" s="67" t="str">
        <x:v>https://www.pricescope.com/blog/natural-diamond-prices-september-2026</x:v>
      </x:c>
    </x:row>
    <x:row r="1775">
      <x:c r="A1775" t="n">
        <x:v>3</x:v>
      </x:c>
      <x:c r="B1775" t="str">
        <x:v>Heart</x:v>
      </x:c>
      <x:c r="C1775" t="str">
        <x:v>I</x:v>
      </x:c>
      <x:c r="D1775" t="str">
        <x:v>VS2</x:v>
      </x:c>
      <x:c r="E1775" s="36" t="n">
        <x:v>37300</x:v>
      </x:c>
      <x:c r="F1775" s="36" t="n">
        <x:v>3240</x:v>
      </x:c>
      <x:c r="G1775" s="42" t="n">
        <x:v>0.694980694980695</x:v>
      </x:c>
      <x:c r="H1775" s="36" t="n">
        <x:f>E1775*G1775</x:f>
        <x:v>25922.779922779926</x:v>
      </x:c>
      <x:c r="I1775" s="36" t="n">
        <x:f>IFERROR(H1775/A1775,0)</x:f>
        <x:v>8640.926640926642</x:v>
      </x:c>
      <x:c r="J1775" s="67" t="str">
        <x:v>Modeled from live base + Sep-2026 quality ratio</x:v>
      </x:c>
      <x:c r="K1775" s="67" t="str">
        <x:v>https://www.stonealgo.com/diamond-prices/</x:v>
      </x:c>
      <x:c r="L1775" s="67" t="str">
        <x:v>https://www.pricescope.com/blog/natural-diamond-prices-september-2026</x:v>
      </x:c>
    </x:row>
    <x:row r="1776">
      <x:c r="A1776" t="n">
        <x:v>3</x:v>
      </x:c>
      <x:c r="B1776" t="str">
        <x:v>Heart</x:v>
      </x:c>
      <x:c r="C1776" t="str">
        <x:v>I</x:v>
      </x:c>
      <x:c r="D1776" t="str">
        <x:v>SI1</x:v>
      </x:c>
      <x:c r="E1776" s="36" t="n">
        <x:v>37300</x:v>
      </x:c>
      <x:c r="F1776" s="36" t="n">
        <x:v>3199</x:v>
      </x:c>
      <x:c r="G1776" s="42" t="n">
        <x:v>0.6861861861861862</x:v>
      </x:c>
      <x:c r="H1776" s="36" t="n">
        <x:f>E1776*G1776</x:f>
        <x:v>25594.744744744745</x:v>
      </x:c>
      <x:c r="I1776" s="36" t="n">
        <x:f>IFERROR(H1776/A1776,0)</x:f>
        <x:v>8531.581581581582</x:v>
      </x:c>
      <x:c r="J1776" s="67" t="str">
        <x:v>Modeled from live base + Sep-2026 quality ratio</x:v>
      </x:c>
      <x:c r="K1776" s="67" t="str">
        <x:v>https://www.stonealgo.com/diamond-prices/</x:v>
      </x:c>
      <x:c r="L1776" s="67" t="str">
        <x:v>https://www.pricescope.com/blog/natural-diamond-prices-september-2026</x:v>
      </x:c>
    </x:row>
    <x:row r="1777">
      <x:c r="A1777" t="n">
        <x:v>3</x:v>
      </x:c>
      <x:c r="B1777" t="str">
        <x:v>Heart</x:v>
      </x:c>
      <x:c r="C1777" t="str">
        <x:v>I</x:v>
      </x:c>
      <x:c r="D1777" t="str">
        <x:v>SI2</x:v>
      </x:c>
      <x:c r="E1777" s="36" t="n">
        <x:v>37300</x:v>
      </x:c>
      <x:c r="F1777" s="36" t="n">
        <x:v>2874</x:v>
      </x:c>
      <x:c r="G1777" s="42" t="n">
        <x:v>0.6164736164736164</x:v>
      </x:c>
      <x:c r="H1777" s="36" t="n">
        <x:f>E1777*G1777</x:f>
        <x:v>22994.46589446589</x:v>
      </x:c>
      <x:c r="I1777" s="36" t="n">
        <x:f>IFERROR(H1777/A1777,0)</x:f>
        <x:v>7664.821964821964</x:v>
      </x:c>
      <x:c r="J1777" s="67" t="str">
        <x:v>Modeled from live base + Sep-2026 quality ratio</x:v>
      </x:c>
      <x:c r="K1777" s="67" t="str">
        <x:v>https://www.stonealgo.com/diamond-prices/</x:v>
      </x:c>
      <x:c r="L1777" s="67" t="str">
        <x:v>https://www.pricescope.com/blog/natural-diamond-prices-september-2026</x:v>
      </x:c>
    </x:row>
    <x:row r="1778">
      <x:c r="A1778" t="n">
        <x:v>3</x:v>
      </x:c>
      <x:c r="B1778" t="str">
        <x:v>Heart</x:v>
      </x:c>
      <x:c r="C1778" t="str">
        <x:v>J</x:v>
      </x:c>
      <x:c r="D1778" t="str">
        <x:v>FL</x:v>
      </x:c>
      <x:c r="E1778" s="36" t="n">
        <x:v>37300</x:v>
      </x:c>
      <x:c r="F1778" s="36" t="n">
        <x:v>3646</x:v>
      </x:c>
      <x:c r="G1778" s="42" t="n">
        <x:v>0.782067782067782</x:v>
      </x:c>
      <x:c r="H1778" s="36" t="n">
        <x:f>E1778*G1778</x:f>
        <x:v>29171.12827112827</x:v>
      </x:c>
      <x:c r="I1778" s="36" t="n">
        <x:f>IFERROR(H1778/A1778,0)</x:f>
        <x:v>9723.709423709422</x:v>
      </x:c>
      <x:c r="J1778" s="67" t="str">
        <x:v>Modeled from live base + Sep-2026 quality ratio</x:v>
      </x:c>
      <x:c r="K1778" s="67" t="str">
        <x:v>https://www.stonealgo.com/diamond-prices/</x:v>
      </x:c>
      <x:c r="L1778" s="67" t="str">
        <x:v>https://www.pricescope.com/blog/natural-diamond-prices-september-2026</x:v>
      </x:c>
    </x:row>
    <x:row r="1779">
      <x:c r="A1779" t="n">
        <x:v>3</x:v>
      </x:c>
      <x:c r="B1779" t="str">
        <x:v>Heart</x:v>
      </x:c>
      <x:c r="C1779" t="str">
        <x:v>J</x:v>
      </x:c>
      <x:c r="D1779" t="str">
        <x:v>IF</x:v>
      </x:c>
      <x:c r="E1779" s="36" t="n">
        <x:v>37300</x:v>
      </x:c>
      <x:c r="F1779" s="36" t="n">
        <x:v>3368</x:v>
      </x:c>
      <x:c r="G1779" s="42" t="n">
        <x:v>0.7224367224367224</x:v>
      </x:c>
      <x:c r="H1779" s="36" t="n">
        <x:f>E1779*G1779</x:f>
        <x:v>26946.889746889745</x:v>
      </x:c>
      <x:c r="I1779" s="36" t="n">
        <x:f>IFERROR(H1779/A1779,0)</x:f>
        <x:v>8982.296582296582</x:v>
      </x:c>
      <x:c r="J1779" s="67" t="str">
        <x:v>Modeled from live base + Sep-2026 quality ratio</x:v>
      </x:c>
      <x:c r="K1779" s="67" t="str">
        <x:v>https://www.stonealgo.com/diamond-prices/</x:v>
      </x:c>
      <x:c r="L1779" s="67" t="str">
        <x:v>https://www.pricescope.com/blog/natural-diamond-prices-september-2026</x:v>
      </x:c>
    </x:row>
    <x:row r="1780">
      <x:c r="A1780" t="n">
        <x:v>3</x:v>
      </x:c>
      <x:c r="B1780" t="str">
        <x:v>Heart</x:v>
      </x:c>
      <x:c r="C1780" t="str">
        <x:v>J</x:v>
      </x:c>
      <x:c r="D1780" t="str">
        <x:v>VVS1</x:v>
      </x:c>
      <x:c r="E1780" s="36" t="n">
        <x:v>37300</x:v>
      </x:c>
      <x:c r="F1780" s="36" t="n">
        <x:v>2956</x:v>
      </x:c>
      <x:c r="G1780" s="42" t="n">
        <x:v>0.6340626340626341</x:v>
      </x:c>
      <x:c r="H1780" s="36" t="n">
        <x:f>E1780*G1780</x:f>
        <x:v>23650.53625053625</x:v>
      </x:c>
      <x:c r="I1780" s="36" t="n">
        <x:f>IFERROR(H1780/A1780,0)</x:f>
        <x:v>7883.512083512083</x:v>
      </x:c>
      <x:c r="J1780" s="67" t="str">
        <x:v>Modeled from live base + Sep-2026 quality ratio</x:v>
      </x:c>
      <x:c r="K1780" s="67" t="str">
        <x:v>https://www.stonealgo.com/diamond-prices/</x:v>
      </x:c>
      <x:c r="L1780" s="67" t="str">
        <x:v>https://www.pricescope.com/blog/natural-diamond-prices-september-2026</x:v>
      </x:c>
    </x:row>
    <x:row r="1781">
      <x:c r="A1781" t="n">
        <x:v>3</x:v>
      </x:c>
      <x:c r="B1781" t="str">
        <x:v>Heart</x:v>
      </x:c>
      <x:c r="C1781" t="str">
        <x:v>J</x:v>
      </x:c>
      <x:c r="D1781" t="str">
        <x:v>VVS2</x:v>
      </x:c>
      <x:c r="E1781" s="36" t="n">
        <x:v>37300</x:v>
      </x:c>
      <x:c r="F1781" s="36" t="n">
        <x:v>2612</x:v>
      </x:c>
      <x:c r="G1781" s="42" t="n">
        <x:v>0.5602745602745602</x:v>
      </x:c>
      <x:c r="H1781" s="36" t="n">
        <x:f>E1781*G1781</x:f>
        <x:v>20898.2410982411</x:v>
      </x:c>
      <x:c r="I1781" s="36" t="n">
        <x:f>IFERROR(H1781/A1781,0)</x:f>
        <x:v>6966.080366080366</x:v>
      </x:c>
      <x:c r="J1781" s="67" t="str">
        <x:v>Modeled from live base + Sep-2026 quality ratio</x:v>
      </x:c>
      <x:c r="K1781" s="67" t="str">
        <x:v>https://www.stonealgo.com/diamond-prices/</x:v>
      </x:c>
      <x:c r="L1781" s="67" t="str">
        <x:v>https://www.pricescope.com/blog/natural-diamond-prices-september-2026</x:v>
      </x:c>
    </x:row>
    <x:row r="1782">
      <x:c r="A1782" t="n">
        <x:v>3</x:v>
      </x:c>
      <x:c r="B1782" t="str">
        <x:v>Heart</x:v>
      </x:c>
      <x:c r="C1782" t="str">
        <x:v>J</x:v>
      </x:c>
      <x:c r="D1782" t="str">
        <x:v>VS1</x:v>
      </x:c>
      <x:c r="E1782" s="36" t="n">
        <x:v>37300</x:v>
      </x:c>
      <x:c r="F1782" s="36" t="n">
        <x:v>3002</x:v>
      </x:c>
      <x:c r="G1782" s="42" t="n">
        <x:v>0.6439296439296439</x:v>
      </x:c>
      <x:c r="H1782" s="36" t="n">
        <x:f>E1782*G1782</x:f>
        <x:v>24018.575718575717</x:v>
      </x:c>
      <x:c r="I1782" s="36" t="n">
        <x:f>IFERROR(H1782/A1782,0)</x:f>
        <x:v>8006.191906191906</x:v>
      </x:c>
      <x:c r="J1782" s="67" t="str">
        <x:v>Modeled from live base + Sep-2026 quality ratio</x:v>
      </x:c>
      <x:c r="K1782" s="67" t="str">
        <x:v>https://www.stonealgo.com/diamond-prices/</x:v>
      </x:c>
      <x:c r="L1782" s="67" t="str">
        <x:v>https://www.pricescope.com/blog/natural-diamond-prices-september-2026</x:v>
      </x:c>
    </x:row>
    <x:row r="1783">
      <x:c r="A1783" t="n">
        <x:v>3</x:v>
      </x:c>
      <x:c r="B1783" t="str">
        <x:v>Heart</x:v>
      </x:c>
      <x:c r="C1783" t="str">
        <x:v>J</x:v>
      </x:c>
      <x:c r="D1783" t="str">
        <x:v>VS2</x:v>
      </x:c>
      <x:c r="E1783" s="36" t="n">
        <x:v>37300</x:v>
      </x:c>
      <x:c r="F1783" s="36" t="n">
        <x:v>2559</x:v>
      </x:c>
      <x:c r="G1783" s="42" t="n">
        <x:v>0.5489060489060489</x:v>
      </x:c>
      <x:c r="H1783" s="36" t="n">
        <x:f>E1783*G1783</x:f>
        <x:v>20474.195624195625</x:v>
      </x:c>
      <x:c r="I1783" s="36" t="n">
        <x:f>IFERROR(H1783/A1783,0)</x:f>
        <x:v>6824.731874731875</x:v>
      </x:c>
      <x:c r="J1783" s="67" t="str">
        <x:v>Modeled from live base + Sep-2026 quality ratio</x:v>
      </x:c>
      <x:c r="K1783" s="67" t="str">
        <x:v>https://www.stonealgo.com/diamond-prices/</x:v>
      </x:c>
      <x:c r="L1783" s="67" t="str">
        <x:v>https://www.pricescope.com/blog/natural-diamond-prices-september-2026</x:v>
      </x:c>
    </x:row>
    <x:row r="1784">
      <x:c r="A1784" t="n">
        <x:v>3</x:v>
      </x:c>
      <x:c r="B1784" t="str">
        <x:v>Heart</x:v>
      </x:c>
      <x:c r="C1784" t="str">
        <x:v>J</x:v>
      </x:c>
      <x:c r="D1784" t="str">
        <x:v>SI1</x:v>
      </x:c>
      <x:c r="E1784" s="36" t="n">
        <x:v>37300</x:v>
      </x:c>
      <x:c r="F1784" s="36" t="n">
        <x:v>2195</x:v>
      </x:c>
      <x:c r="G1784" s="42" t="n">
        <x:v>0.47082797082797084</x:v>
      </x:c>
      <x:c r="H1784" s="36" t="n">
        <x:f>E1784*G1784</x:f>
        <x:v>17561.883311883314</x:v>
      </x:c>
      <x:c r="I1784" s="36" t="n">
        <x:f>IFERROR(H1784/A1784,0)</x:f>
        <x:v>5853.9611039611045</x:v>
      </x:c>
      <x:c r="J1784" s="67" t="str">
        <x:v>Modeled from live base + Sep-2026 quality ratio</x:v>
      </x:c>
      <x:c r="K1784" s="67" t="str">
        <x:v>https://www.stonealgo.com/diamond-prices/</x:v>
      </x:c>
      <x:c r="L1784" s="67" t="str">
        <x:v>https://www.pricescope.com/blog/natural-diamond-prices-september-2026</x:v>
      </x:c>
    </x:row>
    <x:row r="1785">
      <x:c r="A1785" t="n">
        <x:v>3</x:v>
      </x:c>
      <x:c r="B1785" t="str">
        <x:v>Heart</x:v>
      </x:c>
      <x:c r="C1785" t="str">
        <x:v>J</x:v>
      </x:c>
      <x:c r="D1785" t="str">
        <x:v>SI2</x:v>
      </x:c>
      <x:c r="E1785" s="36" t="n">
        <x:v>37300</x:v>
      </x:c>
      <x:c r="F1785" s="36" t="n">
        <x:v>2079</x:v>
      </x:c>
      <x:c r="G1785" s="42" t="n">
        <x:v>0.44594594594594594</x:v>
      </x:c>
      <x:c r="H1785" s="36" t="n">
        <x:f>E1785*G1785</x:f>
        <x:v>16633.783783783783</x:v>
      </x:c>
      <x:c r="I1785" s="36" t="n">
        <x:f>IFERROR(H1785/A1785,0)</x:f>
        <x:v>5544.594594594594</x:v>
      </x:c>
      <x:c r="J1785" s="67" t="str">
        <x:v>Modeled from live base + Sep-2026 quality ratio</x:v>
      </x:c>
      <x:c r="K1785" s="67" t="str">
        <x:v>https://www.stonealgo.com/diamond-prices/</x:v>
      </x:c>
      <x:c r="L1785" s="67" t="str">
        <x:v>https://www.pricescope.com/blog/natural-diamond-prices-september-2026</x:v>
      </x:c>
    </x:row>
    <x:row r="1786">
      <x:c r="A1786" t="n">
        <x:v>3</x:v>
      </x:c>
      <x:c r="B1786" t="str">
        <x:v>Heart</x:v>
      </x:c>
      <x:c r="C1786" t="str">
        <x:v>K</x:v>
      </x:c>
      <x:c r="D1786" t="str">
        <x:v>FL</x:v>
      </x:c>
      <x:c r="E1786" s="36" t="n">
        <x:v>37300</x:v>
      </x:c>
      <x:c r="F1786" s="36" t="n">
        <x:v>2858</x:v>
      </x:c>
      <x:c r="G1786" s="42" t="n">
        <x:v>0.6130416130416131</x:v>
      </x:c>
      <x:c r="H1786" s="36" t="n">
        <x:f>E1786*G1786</x:f>
        <x:v>22866.452166452167</x:v>
      </x:c>
      <x:c r="I1786" s="36" t="n">
        <x:f>IFERROR(H1786/A1786,0)</x:f>
        <x:v>7622.150722150723</x:v>
      </x:c>
      <x:c r="J1786" s="67" t="str">
        <x:v>Modeled from live base + Sep-2026 quality ratio; K/FL quality cell modeled</x:v>
      </x:c>
      <x:c r="K1786" s="67" t="str">
        <x:v>https://www.stonealgo.com/diamond-prices/</x:v>
      </x:c>
      <x:c r="L1786" s="67" t="str">
        <x:v>https://www.pricescope.com/blog/natural-diamond-prices-september-2026</x:v>
      </x:c>
    </x:row>
    <x:row r="1787">
      <x:c r="A1787" t="n">
        <x:v>3</x:v>
      </x:c>
      <x:c r="B1787" t="str">
        <x:v>Heart</x:v>
      </x:c>
      <x:c r="C1787" t="str">
        <x:v>K</x:v>
      </x:c>
      <x:c r="D1787" t="str">
        <x:v>IF</x:v>
      </x:c>
      <x:c r="E1787" s="36" t="n">
        <x:v>37300</x:v>
      </x:c>
      <x:c r="F1787" s="36" t="n">
        <x:v>2743</x:v>
      </x:c>
      <x:c r="G1787" s="42" t="n">
        <x:v>0.5883740883740883</x:v>
      </x:c>
      <x:c r="H1787" s="36" t="n">
        <x:f>E1787*G1787</x:f>
        <x:v>21946.353496353495</x:v>
      </x:c>
      <x:c r="I1787" s="36" t="n">
        <x:f>IFERROR(H1787/A1787,0)</x:f>
        <x:v>7315.451165451165</x:v>
      </x:c>
      <x:c r="J1787" s="67" t="str">
        <x:v>Modeled from live base + Sep-2026 quality ratio</x:v>
      </x:c>
      <x:c r="K1787" s="67" t="str">
        <x:v>https://www.stonealgo.com/diamond-prices/</x:v>
      </x:c>
      <x:c r="L1787" s="67" t="str">
        <x:v>https://www.pricescope.com/blog/natural-diamond-prices-september-2026</x:v>
      </x:c>
    </x:row>
    <x:row r="1788">
      <x:c r="A1788" t="n">
        <x:v>3</x:v>
      </x:c>
      <x:c r="B1788" t="str">
        <x:v>Heart</x:v>
      </x:c>
      <x:c r="C1788" t="str">
        <x:v>K</x:v>
      </x:c>
      <x:c r="D1788" t="str">
        <x:v>VVS1</x:v>
      </x:c>
      <x:c r="E1788" s="36" t="n">
        <x:v>37300</x:v>
      </x:c>
      <x:c r="F1788" s="36" t="n">
        <x:v>2529</x:v>
      </x:c>
      <x:c r="G1788" s="42" t="n">
        <x:v>0.5424710424710425</x:v>
      </x:c>
      <x:c r="H1788" s="36" t="n">
        <x:f>E1788*G1788</x:f>
        <x:v>20234.169884169885</x:v>
      </x:c>
      <x:c r="I1788" s="36" t="n">
        <x:f>IFERROR(H1788/A1788,0)</x:f>
        <x:v>6744.723294723295</x:v>
      </x:c>
      <x:c r="J1788" s="67" t="str">
        <x:v>Modeled from live base + Sep-2026 quality ratio</x:v>
      </x:c>
      <x:c r="K1788" s="67" t="str">
        <x:v>https://www.stonealgo.com/diamond-prices/</x:v>
      </x:c>
      <x:c r="L1788" s="67" t="str">
        <x:v>https://www.pricescope.com/blog/natural-diamond-prices-september-2026</x:v>
      </x:c>
    </x:row>
    <x:row r="1789">
      <x:c r="A1789" t="n">
        <x:v>3</x:v>
      </x:c>
      <x:c r="B1789" t="str">
        <x:v>Heart</x:v>
      </x:c>
      <x:c r="C1789" t="str">
        <x:v>K</x:v>
      </x:c>
      <x:c r="D1789" t="str">
        <x:v>VVS2</x:v>
      </x:c>
      <x:c r="E1789" s="36" t="n">
        <x:v>37300</x:v>
      </x:c>
      <x:c r="F1789" s="36" t="n">
        <x:v>2374</x:v>
      </x:c>
      <x:c r="G1789" s="42" t="n">
        <x:v>0.5092235092235092</x:v>
      </x:c>
      <x:c r="H1789" s="36" t="n">
        <x:f>E1789*G1789</x:f>
        <x:v>18994.036894036894</x:v>
      </x:c>
      <x:c r="I1789" s="36" t="n">
        <x:f>IFERROR(H1789/A1789,0)</x:f>
        <x:v>6331.345631345631</x:v>
      </x:c>
      <x:c r="J1789" s="67" t="str">
        <x:v>Modeled from live base + Sep-2026 quality ratio</x:v>
      </x:c>
      <x:c r="K1789" s="67" t="str">
        <x:v>https://www.stonealgo.com/diamond-prices/</x:v>
      </x:c>
      <x:c r="L1789" s="67" t="str">
        <x:v>https://www.pricescope.com/blog/natural-diamond-prices-september-2026</x:v>
      </x:c>
    </x:row>
    <x:row r="1790">
      <x:c r="A1790" t="n">
        <x:v>3</x:v>
      </x:c>
      <x:c r="B1790" t="str">
        <x:v>Heart</x:v>
      </x:c>
      <x:c r="C1790" t="str">
        <x:v>K</x:v>
      </x:c>
      <x:c r="D1790" t="str">
        <x:v>VS1</x:v>
      </x:c>
      <x:c r="E1790" s="36" t="n">
        <x:v>37300</x:v>
      </x:c>
      <x:c r="F1790" s="36" t="n">
        <x:v>2223</x:v>
      </x:c>
      <x:c r="G1790" s="42" t="n">
        <x:v>0.4768339768339768</x:v>
      </x:c>
      <x:c r="H1790" s="36" t="n">
        <x:f>E1790*G1790</x:f>
        <x:v>17785.907335907337</x:v>
      </x:c>
      <x:c r="I1790" s="36" t="n">
        <x:f>IFERROR(H1790/A1790,0)</x:f>
        <x:v>5928.635778635779</x:v>
      </x:c>
      <x:c r="J1790" s="67" t="str">
        <x:v>Modeled from live base + Sep-2026 quality ratio</x:v>
      </x:c>
      <x:c r="K1790" s="67" t="str">
        <x:v>https://www.stonealgo.com/diamond-prices/</x:v>
      </x:c>
      <x:c r="L1790" s="67" t="str">
        <x:v>https://www.pricescope.com/blog/natural-diamond-prices-september-2026</x:v>
      </x:c>
    </x:row>
    <x:row r="1791">
      <x:c r="A1791" t="n">
        <x:v>3</x:v>
      </x:c>
      <x:c r="B1791" t="str">
        <x:v>Heart</x:v>
      </x:c>
      <x:c r="C1791" t="str">
        <x:v>K</x:v>
      </x:c>
      <x:c r="D1791" t="str">
        <x:v>VS2</x:v>
      </x:c>
      <x:c r="E1791" s="36" t="n">
        <x:v>37300</x:v>
      </x:c>
      <x:c r="F1791" s="36" t="n">
        <x:v>2098</x:v>
      </x:c>
      <x:c r="G1791" s="42" t="n">
        <x:v>0.45002145002145</x:v>
      </x:c>
      <x:c r="H1791" s="36" t="n">
        <x:f>E1791*G1791</x:f>
        <x:v>16785.800085800085</x:v>
      </x:c>
      <x:c r="I1791" s="36" t="n">
        <x:f>IFERROR(H1791/A1791,0)</x:f>
        <x:v>5595.266695266695</x:v>
      </x:c>
      <x:c r="J1791" s="67" t="str">
        <x:v>Modeled from live base + Sep-2026 quality ratio</x:v>
      </x:c>
      <x:c r="K1791" s="67" t="str">
        <x:v>https://www.stonealgo.com/diamond-prices/</x:v>
      </x:c>
      <x:c r="L1791" s="67" t="str">
        <x:v>https://www.pricescope.com/blog/natural-diamond-prices-september-2026</x:v>
      </x:c>
    </x:row>
    <x:row r="1792">
      <x:c r="A1792" t="n">
        <x:v>3</x:v>
      </x:c>
      <x:c r="B1792" t="str">
        <x:v>Heart</x:v>
      </x:c>
      <x:c r="C1792" t="str">
        <x:v>K</x:v>
      </x:c>
      <x:c r="D1792" t="str">
        <x:v>SI1</x:v>
      </x:c>
      <x:c r="E1792" s="36" t="n">
        <x:v>37300</x:v>
      </x:c>
      <x:c r="F1792" s="36" t="n">
        <x:v>1922</x:v>
      </x:c>
      <x:c r="G1792" s="42" t="n">
        <x:v>0.41226941226941227</x:v>
      </x:c>
      <x:c r="H1792" s="36" t="n">
        <x:f>E1792*G1792</x:f>
        <x:v>15377.649077649077</x:v>
      </x:c>
      <x:c r="I1792" s="36" t="n">
        <x:f>IFERROR(H1792/A1792,0)</x:f>
        <x:v>5125.883025883026</x:v>
      </x:c>
      <x:c r="J1792" s="67" t="str">
        <x:v>Modeled from live base + Sep-2026 quality ratio</x:v>
      </x:c>
      <x:c r="K1792" s="67" t="str">
        <x:v>https://www.stonealgo.com/diamond-prices/</x:v>
      </x:c>
      <x:c r="L1792" s="67" t="str">
        <x:v>https://www.pricescope.com/blog/natural-diamond-prices-september-2026</x:v>
      </x:c>
    </x:row>
    <x:row r="1793">
      <x:c r="A1793" t="n">
        <x:v>3</x:v>
      </x:c>
      <x:c r="B1793" t="str">
        <x:v>Heart</x:v>
      </x:c>
      <x:c r="C1793" t="str">
        <x:v>K</x:v>
      </x:c>
      <x:c r="D1793" t="str">
        <x:v>SI2</x:v>
      </x:c>
      <x:c r="E1793" s="36" t="n">
        <x:v>37300</x:v>
      </x:c>
      <x:c r="F1793" s="36" t="n">
        <x:v>1764</x:v>
      </x:c>
      <x:c r="G1793" s="42" t="n">
        <x:v>0.3783783783783784</x:v>
      </x:c>
      <x:c r="H1793" s="36" t="n">
        <x:f>E1793*G1793</x:f>
        <x:v>14113.513513513515</x:v>
      </x:c>
      <x:c r="I1793" s="36" t="n">
        <x:f>IFERROR(H1793/A1793,0)</x:f>
        <x:v>4704.504504504505</x:v>
      </x:c>
      <x:c r="J1793" s="67" t="str">
        <x:v>Modeled from live base + Sep-2026 quality ratio</x:v>
      </x:c>
      <x:c r="K1793" s="67" t="str">
        <x:v>https://www.stonealgo.com/diamond-prices/</x:v>
      </x:c>
      <x:c r="L1793" s="67" t="str">
        <x:v>https://www.pricescope.com/blog/natural-diamond-prices-september-2026</x:v>
      </x:c>
    </x:row>
    <x:row r="1794">
      <x:c r="A1794" t="n">
        <x:v>3</x:v>
      </x:c>
      <x:c r="B1794" t="str">
        <x:v>Marquise</x:v>
      </x:c>
      <x:c r="C1794" t="str">
        <x:v>D</x:v>
      </x:c>
      <x:c r="D1794" t="str">
        <x:v>FL</x:v>
      </x:c>
      <x:c r="E1794" s="36" t="n">
        <x:v>46200</x:v>
      </x:c>
      <x:c r="F1794" s="36" t="n">
        <x:v>12665</x:v>
      </x:c>
      <x:c r="G1794" s="42" t="n">
        <x:v>2.7166452166452166</x:v>
      </x:c>
      <x:c r="H1794" s="36" t="n">
        <x:f>E1794*G1794</x:f>
        <x:v>125509.00900900901</x:v>
      </x:c>
      <x:c r="I1794" s="36" t="n">
        <x:f>IFERROR(H1794/A1794,0)</x:f>
        <x:v>41836.33633633634</x:v>
      </x:c>
      <x:c r="J1794" s="67" t="str">
        <x:v>Modeled from live base + Sep-2026 quality ratio</x:v>
      </x:c>
      <x:c r="K1794" s="67" t="str">
        <x:v>https://www.stonealgo.com/diamond-prices/</x:v>
      </x:c>
      <x:c r="L1794" s="67" t="str">
        <x:v>https://www.pricescope.com/blog/natural-diamond-prices-september-2026</x:v>
      </x:c>
    </x:row>
    <x:row r="1795">
      <x:c r="A1795" t="n">
        <x:v>3</x:v>
      </x:c>
      <x:c r="B1795" t="str">
        <x:v>Marquise</x:v>
      </x:c>
      <x:c r="C1795" t="str">
        <x:v>D</x:v>
      </x:c>
      <x:c r="D1795" t="str">
        <x:v>IF</x:v>
      </x:c>
      <x:c r="E1795" s="36" t="n">
        <x:v>46200</x:v>
      </x:c>
      <x:c r="F1795" s="36" t="n">
        <x:v>13240</x:v>
      </x:c>
      <x:c r="G1795" s="42" t="n">
        <x:v>2.83998283998284</x:v>
      </x:c>
      <x:c r="H1795" s="36" t="n">
        <x:f>E1795*G1795</x:f>
        <x:v>131207.20720720722</x:v>
      </x:c>
      <x:c r="I1795" s="36" t="n">
        <x:f>IFERROR(H1795/A1795,0)</x:f>
        <x:v>43735.73573573574</x:v>
      </x:c>
      <x:c r="J1795" s="67" t="str">
        <x:v>Modeled from live base + Sep-2026 quality ratio</x:v>
      </x:c>
      <x:c r="K1795" s="67" t="str">
        <x:v>https://www.stonealgo.com/diamond-prices/</x:v>
      </x:c>
      <x:c r="L1795" s="67" t="str">
        <x:v>https://www.pricescope.com/blog/natural-diamond-prices-september-2026</x:v>
      </x:c>
    </x:row>
    <x:row r="1796">
      <x:c r="A1796" t="n">
        <x:v>3</x:v>
      </x:c>
      <x:c r="B1796" t="str">
        <x:v>Marquise</x:v>
      </x:c>
      <x:c r="C1796" t="str">
        <x:v>D</x:v>
      </x:c>
      <x:c r="D1796" t="str">
        <x:v>VVS1</x:v>
      </x:c>
      <x:c r="E1796" s="36" t="n">
        <x:v>46200</x:v>
      </x:c>
      <x:c r="F1796" s="36" t="n">
        <x:v>9555</x:v>
      </x:c>
      <x:c r="G1796" s="42" t="n">
        <x:v>2.0495495495495497</x:v>
      </x:c>
      <x:c r="H1796" s="36" t="n">
        <x:f>E1796*G1796</x:f>
        <x:v>94689.1891891892</x:v>
      </x:c>
      <x:c r="I1796" s="36" t="n">
        <x:f>IFERROR(H1796/A1796,0)</x:f>
        <x:v>31563.063063063066</x:v>
      </x:c>
      <x:c r="J1796" s="67" t="str">
        <x:v>Modeled from live base + Sep-2026 quality ratio</x:v>
      </x:c>
      <x:c r="K1796" s="67" t="str">
        <x:v>https://www.stonealgo.com/diamond-prices/</x:v>
      </x:c>
      <x:c r="L1796" s="67" t="str">
        <x:v>https://www.pricescope.com/blog/natural-diamond-prices-september-2026</x:v>
      </x:c>
    </x:row>
    <x:row r="1797">
      <x:c r="A1797" t="n">
        <x:v>3</x:v>
      </x:c>
      <x:c r="B1797" t="str">
        <x:v>Marquise</x:v>
      </x:c>
      <x:c r="C1797" t="str">
        <x:v>D</x:v>
      </x:c>
      <x:c r="D1797" t="str">
        <x:v>VVS2</x:v>
      </x:c>
      <x:c r="E1797" s="36" t="n">
        <x:v>46200</x:v>
      </x:c>
      <x:c r="F1797" s="36" t="n">
        <x:v>6660</x:v>
      </x:c>
      <x:c r="G1797" s="42" t="n">
        <x:v>1.4285714285714286</x:v>
      </x:c>
      <x:c r="H1797" s="36" t="n">
        <x:f>E1797*G1797</x:f>
        <x:v>66000</x:v>
      </x:c>
      <x:c r="I1797" s="36" t="n">
        <x:f>IFERROR(H1797/A1797,0)</x:f>
        <x:v>22000</x:v>
      </x:c>
      <x:c r="J1797" s="67" t="str">
        <x:v>Modeled from live base + Sep-2026 quality ratio</x:v>
      </x:c>
      <x:c r="K1797" s="67" t="str">
        <x:v>https://www.stonealgo.com/diamond-prices/</x:v>
      </x:c>
      <x:c r="L1797" s="67" t="str">
        <x:v>https://www.pricescope.com/blog/natural-diamond-prices-september-2026</x:v>
      </x:c>
    </x:row>
    <x:row r="1798">
      <x:c r="A1798" t="n">
        <x:v>3</x:v>
      </x:c>
      <x:c r="B1798" t="str">
        <x:v>Marquise</x:v>
      </x:c>
      <x:c r="C1798" t="str">
        <x:v>D</x:v>
      </x:c>
      <x:c r="D1798" t="str">
        <x:v>VS1</x:v>
      </x:c>
      <x:c r="E1798" s="36" t="n">
        <x:v>46200</x:v>
      </x:c>
      <x:c r="F1798" s="36" t="n">
        <x:v>6247</x:v>
      </x:c>
      <x:c r="G1798" s="42" t="n">
        <x:v>1.33998283998284</x:v>
      </x:c>
      <x:c r="H1798" s="36" t="n">
        <x:f>E1798*G1798</x:f>
        <x:v>61907.207207207204</x:v>
      </x:c>
      <x:c r="I1798" s="36" t="n">
        <x:f>IFERROR(H1798/A1798,0)</x:f>
        <x:v>20635.735735735736</x:v>
      </x:c>
      <x:c r="J1798" s="67" t="str">
        <x:v>Modeled from live base + Sep-2026 quality ratio</x:v>
      </x:c>
      <x:c r="K1798" s="67" t="str">
        <x:v>https://www.stonealgo.com/diamond-prices/</x:v>
      </x:c>
      <x:c r="L1798" s="67" t="str">
        <x:v>https://www.pricescope.com/blog/natural-diamond-prices-september-2026</x:v>
      </x:c>
    </x:row>
    <x:row r="1799">
      <x:c r="A1799" t="n">
        <x:v>3</x:v>
      </x:c>
      <x:c r="B1799" t="str">
        <x:v>Marquise</x:v>
      </x:c>
      <x:c r="C1799" t="str">
        <x:v>D</x:v>
      </x:c>
      <x:c r="D1799" t="str">
        <x:v>VS2</x:v>
      </x:c>
      <x:c r="E1799" s="36" t="n">
        <x:v>46200</x:v>
      </x:c>
      <x:c r="F1799" s="36" t="n">
        <x:v>5841</x:v>
      </x:c>
      <x:c r="G1799" s="42" t="n">
        <x:v>1.252895752895753</x:v>
      </x:c>
      <x:c r="H1799" s="36" t="n">
        <x:f>E1799*G1799</x:f>
        <x:v>57883.78378378379</x:v>
      </x:c>
      <x:c r="I1799" s="36" t="n">
        <x:f>IFERROR(H1799/A1799,0)</x:f>
        <x:v>19294.594594594597</x:v>
      </x:c>
      <x:c r="J1799" s="67" t="str">
        <x:v>Modeled from live base + Sep-2026 quality ratio</x:v>
      </x:c>
      <x:c r="K1799" s="67" t="str">
        <x:v>https://www.stonealgo.com/diamond-prices/</x:v>
      </x:c>
      <x:c r="L1799" s="67" t="str">
        <x:v>https://www.pricescope.com/blog/natural-diamond-prices-september-2026</x:v>
      </x:c>
    </x:row>
    <x:row r="1800">
      <x:c r="A1800" t="n">
        <x:v>3</x:v>
      </x:c>
      <x:c r="B1800" t="str">
        <x:v>Marquise</x:v>
      </x:c>
      <x:c r="C1800" t="str">
        <x:v>D</x:v>
      </x:c>
      <x:c r="D1800" t="str">
        <x:v>SI1</x:v>
      </x:c>
      <x:c r="E1800" s="36" t="n">
        <x:v>46200</x:v>
      </x:c>
      <x:c r="F1800" s="36" t="n">
        <x:v>3762</x:v>
      </x:c>
      <x:c r="G1800" s="42" t="n">
        <x:v>0.806949806949807</x:v>
      </x:c>
      <x:c r="H1800" s="36" t="n">
        <x:f>E1800*G1800</x:f>
        <x:v>37281.08108108108</x:v>
      </x:c>
      <x:c r="I1800" s="36" t="n">
        <x:f>IFERROR(H1800/A1800,0)</x:f>
        <x:v>12427.027027027027</x:v>
      </x:c>
      <x:c r="J1800" s="67" t="str">
        <x:v>Modeled from live base + Sep-2026 quality ratio</x:v>
      </x:c>
      <x:c r="K1800" s="67" t="str">
        <x:v>https://www.stonealgo.com/diamond-prices/</x:v>
      </x:c>
      <x:c r="L1800" s="67" t="str">
        <x:v>https://www.pricescope.com/blog/natural-diamond-prices-september-2026</x:v>
      </x:c>
    </x:row>
    <x:row r="1801">
      <x:c r="A1801" t="n">
        <x:v>3</x:v>
      </x:c>
      <x:c r="B1801" t="str">
        <x:v>Marquise</x:v>
      </x:c>
      <x:c r="C1801" t="str">
        <x:v>D</x:v>
      </x:c>
      <x:c r="D1801" t="str">
        <x:v>SI2</x:v>
      </x:c>
      <x:c r="E1801" s="36" t="n">
        <x:v>46200</x:v>
      </x:c>
      <x:c r="F1801" s="36" t="n">
        <x:v>3026</x:v>
      </x:c>
      <x:c r="G1801" s="42" t="n">
        <x:v>0.6490776490776491</x:v>
      </x:c>
      <x:c r="H1801" s="36" t="n">
        <x:f>E1801*G1801</x:f>
        <x:v>29987.38738738739</x:v>
      </x:c>
      <x:c r="I1801" s="36" t="n">
        <x:f>IFERROR(H1801/A1801,0)</x:f>
        <x:v>9995.795795795797</x:v>
      </x:c>
      <x:c r="J1801" s="67" t="str">
        <x:v>Modeled from live base + Sep-2026 quality ratio</x:v>
      </x:c>
      <x:c r="K1801" s="67" t="str">
        <x:v>https://www.stonealgo.com/diamond-prices/</x:v>
      </x:c>
      <x:c r="L1801" s="67" t="str">
        <x:v>https://www.pricescope.com/blog/natural-diamond-prices-september-2026</x:v>
      </x:c>
    </x:row>
    <x:row r="1802">
      <x:c r="A1802" t="n">
        <x:v>3</x:v>
      </x:c>
      <x:c r="B1802" t="str">
        <x:v>Marquise</x:v>
      </x:c>
      <x:c r="C1802" t="str">
        <x:v>E</x:v>
      </x:c>
      <x:c r="D1802" t="str">
        <x:v>FL</x:v>
      </x:c>
      <x:c r="E1802" s="36" t="n">
        <x:v>46200</x:v>
      </x:c>
      <x:c r="F1802" s="36" t="n">
        <x:v>10072</x:v>
      </x:c>
      <x:c r="G1802" s="42" t="n">
        <x:v>2.1604461604461602</x:v>
      </x:c>
      <x:c r="H1802" s="36" t="n">
        <x:f>E1802*G1802</x:f>
        <x:v>99812.6126126126</x:v>
      </x:c>
      <x:c r="I1802" s="36" t="n">
        <x:f>IFERROR(H1802/A1802,0)</x:f>
        <x:v>33270.870870870865</x:v>
      </x:c>
      <x:c r="J1802" s="67" t="str">
        <x:v>Modeled from live base + Sep-2026 quality ratio</x:v>
      </x:c>
      <x:c r="K1802" s="67" t="str">
        <x:v>https://www.stonealgo.com/diamond-prices/</x:v>
      </x:c>
      <x:c r="L1802" s="67" t="str">
        <x:v>https://www.pricescope.com/blog/natural-diamond-prices-september-2026</x:v>
      </x:c>
    </x:row>
    <x:row r="1803">
      <x:c r="A1803" t="n">
        <x:v>3</x:v>
      </x:c>
      <x:c r="B1803" t="str">
        <x:v>Marquise</x:v>
      </x:c>
      <x:c r="C1803" t="str">
        <x:v>E</x:v>
      </x:c>
      <x:c r="D1803" t="str">
        <x:v>IF</x:v>
      </x:c>
      <x:c r="E1803" s="36" t="n">
        <x:v>46200</x:v>
      </x:c>
      <x:c r="F1803" s="36" t="n">
        <x:v>8672</x:v>
      </x:c>
      <x:c r="G1803" s="42" t="n">
        <x:v>1.8601458601458603</x:v>
      </x:c>
      <x:c r="H1803" s="36" t="n">
        <x:f>E1803*G1803</x:f>
        <x:v>85938.73873873874</x:v>
      </x:c>
      <x:c r="I1803" s="36" t="n">
        <x:f>IFERROR(H1803/A1803,0)</x:f>
        <x:v>28646.246246246246</x:v>
      </x:c>
      <x:c r="J1803" s="67" t="str">
        <x:v>Modeled from live base + Sep-2026 quality ratio</x:v>
      </x:c>
      <x:c r="K1803" s="67" t="str">
        <x:v>https://www.stonealgo.com/diamond-prices/</x:v>
      </x:c>
      <x:c r="L1803" s="67" t="str">
        <x:v>https://www.pricescope.com/blog/natural-diamond-prices-september-2026</x:v>
      </x:c>
    </x:row>
    <x:row r="1804">
      <x:c r="A1804" t="n">
        <x:v>3</x:v>
      </x:c>
      <x:c r="B1804" t="str">
        <x:v>Marquise</x:v>
      </x:c>
      <x:c r="C1804" t="str">
        <x:v>E</x:v>
      </x:c>
      <x:c r="D1804" t="str">
        <x:v>VVS1</x:v>
      </x:c>
      <x:c r="E1804" s="36" t="n">
        <x:v>46200</x:v>
      </x:c>
      <x:c r="F1804" s="36" t="n">
        <x:v>7842</x:v>
      </x:c>
      <x:c r="G1804" s="42" t="n">
        <x:v>1.6821106821106822</x:v>
      </x:c>
      <x:c r="H1804" s="36" t="n">
        <x:f>E1804*G1804</x:f>
        <x:v>77713.51351351352</x:v>
      </x:c>
      <x:c r="I1804" s="36" t="n">
        <x:f>IFERROR(H1804/A1804,0)</x:f>
        <x:v>25904.504504504508</x:v>
      </x:c>
      <x:c r="J1804" s="67" t="str">
        <x:v>Modeled from live base + Sep-2026 quality ratio</x:v>
      </x:c>
      <x:c r="K1804" s="67" t="str">
        <x:v>https://www.stonealgo.com/diamond-prices/</x:v>
      </x:c>
      <x:c r="L1804" s="67" t="str">
        <x:v>https://www.pricescope.com/blog/natural-diamond-prices-september-2026</x:v>
      </x:c>
    </x:row>
    <x:row r="1805">
      <x:c r="A1805" t="n">
        <x:v>3</x:v>
      </x:c>
      <x:c r="B1805" t="str">
        <x:v>Marquise</x:v>
      </x:c>
      <x:c r="C1805" t="str">
        <x:v>E</x:v>
      </x:c>
      <x:c r="D1805" t="str">
        <x:v>VVS2</x:v>
      </x:c>
      <x:c r="E1805" s="36" t="n">
        <x:v>46200</x:v>
      </x:c>
      <x:c r="F1805" s="36" t="n">
        <x:v>6880</x:v>
      </x:c>
      <x:c r="G1805" s="42" t="n">
        <x:v>1.4757614757614759</x:v>
      </x:c>
      <x:c r="H1805" s="36" t="n">
        <x:f>E1805*G1805</x:f>
        <x:v>68180.18018018019</x:v>
      </x:c>
      <x:c r="I1805" s="36" t="n">
        <x:f>IFERROR(H1805/A1805,0)</x:f>
        <x:v>22726.72672672673</x:v>
      </x:c>
      <x:c r="J1805" s="67" t="str">
        <x:v>Modeled from live base + Sep-2026 quality ratio</x:v>
      </x:c>
      <x:c r="K1805" s="67" t="str">
        <x:v>https://www.stonealgo.com/diamond-prices/</x:v>
      </x:c>
      <x:c r="L1805" s="67" t="str">
        <x:v>https://www.pricescope.com/blog/natural-diamond-prices-september-2026</x:v>
      </x:c>
    </x:row>
    <x:row r="1806">
      <x:c r="A1806" t="n">
        <x:v>3</x:v>
      </x:c>
      <x:c r="B1806" t="str">
        <x:v>Marquise</x:v>
      </x:c>
      <x:c r="C1806" t="str">
        <x:v>E</x:v>
      </x:c>
      <x:c r="D1806" t="str">
        <x:v>VS1</x:v>
      </x:c>
      <x:c r="E1806" s="36" t="n">
        <x:v>46200</x:v>
      </x:c>
      <x:c r="F1806" s="36" t="n">
        <x:v>6307</x:v>
      </x:c>
      <x:c r="G1806" s="42" t="n">
        <x:v>1.352852852852853</x:v>
      </x:c>
      <x:c r="H1806" s="36" t="n">
        <x:f>E1806*G1806</x:f>
        <x:v>62501.801801801805</x:v>
      </x:c>
      <x:c r="I1806" s="36" t="n">
        <x:f>IFERROR(H1806/A1806,0)</x:f>
        <x:v>20833.933933933935</x:v>
      </x:c>
      <x:c r="J1806" s="67" t="str">
        <x:v>Modeled from live base + Sep-2026 quality ratio</x:v>
      </x:c>
      <x:c r="K1806" s="67" t="str">
        <x:v>https://www.stonealgo.com/diamond-prices/</x:v>
      </x:c>
      <x:c r="L1806" s="67" t="str">
        <x:v>https://www.pricescope.com/blog/natural-diamond-prices-september-2026</x:v>
      </x:c>
    </x:row>
    <x:row r="1807">
      <x:c r="A1807" t="n">
        <x:v>3</x:v>
      </x:c>
      <x:c r="B1807" t="str">
        <x:v>Marquise</x:v>
      </x:c>
      <x:c r="C1807" t="str">
        <x:v>E</x:v>
      </x:c>
      <x:c r="D1807" t="str">
        <x:v>VS2</x:v>
      </x:c>
      <x:c r="E1807" s="36" t="n">
        <x:v>46200</x:v>
      </x:c>
      <x:c r="F1807" s="36" t="n">
        <x:v>5249</x:v>
      </x:c>
      <x:c r="G1807" s="42" t="n">
        <x:v>1.125911625911626</x:v>
      </x:c>
      <x:c r="H1807" s="36" t="n">
        <x:f>E1807*G1807</x:f>
        <x:v>52017.11711711712</x:v>
      </x:c>
      <x:c r="I1807" s="36" t="n">
        <x:f>IFERROR(H1807/A1807,0)</x:f>
        <x:v>17339.039039039042</x:v>
      </x:c>
      <x:c r="J1807" s="67" t="str">
        <x:v>Modeled from live base + Sep-2026 quality ratio</x:v>
      </x:c>
      <x:c r="K1807" s="67" t="str">
        <x:v>https://www.stonealgo.com/diamond-prices/</x:v>
      </x:c>
      <x:c r="L1807" s="67" t="str">
        <x:v>https://www.pricescope.com/blog/natural-diamond-prices-september-2026</x:v>
      </x:c>
    </x:row>
    <x:row r="1808">
      <x:c r="A1808" t="n">
        <x:v>3</x:v>
      </x:c>
      <x:c r="B1808" t="str">
        <x:v>Marquise</x:v>
      </x:c>
      <x:c r="C1808" t="str">
        <x:v>E</x:v>
      </x:c>
      <x:c r="D1808" t="str">
        <x:v>SI1</x:v>
      </x:c>
      <x:c r="E1808" s="36" t="n">
        <x:v>46200</x:v>
      </x:c>
      <x:c r="F1808" s="36" t="n">
        <x:v>3551</x:v>
      </x:c>
      <x:c r="G1808" s="42" t="n">
        <x:v>0.7616902616902617</x:v>
      </x:c>
      <x:c r="H1808" s="36" t="n">
        <x:f>E1808*G1808</x:f>
        <x:v>35190.09009009009</x:v>
      </x:c>
      <x:c r="I1808" s="36" t="n">
        <x:f>IFERROR(H1808/A1808,0)</x:f>
        <x:v>11730.03003003003</x:v>
      </x:c>
      <x:c r="J1808" s="67" t="str">
        <x:v>Modeled from live base + Sep-2026 quality ratio</x:v>
      </x:c>
      <x:c r="K1808" s="67" t="str">
        <x:v>https://www.stonealgo.com/diamond-prices/</x:v>
      </x:c>
      <x:c r="L1808" s="67" t="str">
        <x:v>https://www.pricescope.com/blog/natural-diamond-prices-september-2026</x:v>
      </x:c>
    </x:row>
    <x:row r="1809">
      <x:c r="A1809" t="n">
        <x:v>3</x:v>
      </x:c>
      <x:c r="B1809" t="str">
        <x:v>Marquise</x:v>
      </x:c>
      <x:c r="C1809" t="str">
        <x:v>E</x:v>
      </x:c>
      <x:c r="D1809" t="str">
        <x:v>SI2</x:v>
      </x:c>
      <x:c r="E1809" s="36" t="n">
        <x:v>46200</x:v>
      </x:c>
      <x:c r="F1809" s="36" t="n">
        <x:v>2993</x:v>
      </x:c>
      <x:c r="G1809" s="42" t="n">
        <x:v>0.641999141999142</x:v>
      </x:c>
      <x:c r="H1809" s="36" t="n">
        <x:f>E1809*G1809</x:f>
        <x:v>29660.36036036036</x:v>
      </x:c>
      <x:c r="I1809" s="36" t="n">
        <x:f>IFERROR(H1809/A1809,0)</x:f>
        <x:v>9886.786786786786</x:v>
      </x:c>
      <x:c r="J1809" s="67" t="str">
        <x:v>Modeled from live base + Sep-2026 quality ratio</x:v>
      </x:c>
      <x:c r="K1809" s="67" t="str">
        <x:v>https://www.stonealgo.com/diamond-prices/</x:v>
      </x:c>
      <x:c r="L1809" s="67" t="str">
        <x:v>https://www.pricescope.com/blog/natural-diamond-prices-september-2026</x:v>
      </x:c>
    </x:row>
    <x:row r="1810">
      <x:c r="A1810" t="n">
        <x:v>3</x:v>
      </x:c>
      <x:c r="B1810" t="str">
        <x:v>Marquise</x:v>
      </x:c>
      <x:c r="C1810" t="str">
        <x:v>F</x:v>
      </x:c>
      <x:c r="D1810" t="str">
        <x:v>FL</x:v>
      </x:c>
      <x:c r="E1810" s="36" t="n">
        <x:v>46200</x:v>
      </x:c>
      <x:c r="F1810" s="36" t="n">
        <x:v>6830</x:v>
      </x:c>
      <x:c r="G1810" s="42" t="n">
        <x:v>1.4650364650364651</x:v>
      </x:c>
      <x:c r="H1810" s="36" t="n">
        <x:f>E1810*G1810</x:f>
        <x:v>67684.68468468469</x:v>
      </x:c>
      <x:c r="I1810" s="36" t="n">
        <x:f>IFERROR(H1810/A1810,0)</x:f>
        <x:v>22561.561561561564</x:v>
      </x:c>
      <x:c r="J1810" s="67" t="str">
        <x:v>Modeled from live base + Sep-2026 quality ratio</x:v>
      </x:c>
      <x:c r="K1810" s="67" t="str">
        <x:v>https://www.stonealgo.com/diamond-prices/</x:v>
      </x:c>
      <x:c r="L1810" s="67" t="str">
        <x:v>https://www.pricescope.com/blog/natural-diamond-prices-september-2026</x:v>
      </x:c>
    </x:row>
    <x:row r="1811">
      <x:c r="A1811" t="n">
        <x:v>3</x:v>
      </x:c>
      <x:c r="B1811" t="str">
        <x:v>Marquise</x:v>
      </x:c>
      <x:c r="C1811" t="str">
        <x:v>F</x:v>
      </x:c>
      <x:c r="D1811" t="str">
        <x:v>IF</x:v>
      </x:c>
      <x:c r="E1811" s="36" t="n">
        <x:v>46200</x:v>
      </x:c>
      <x:c r="F1811" s="36" t="n">
        <x:v>7302</x:v>
      </x:c>
      <x:c r="G1811" s="42" t="n">
        <x:v>1.5662805662805663</x:v>
      </x:c>
      <x:c r="H1811" s="36" t="n">
        <x:f>E1811*G1811</x:f>
        <x:v>72362.16216216216</x:v>
      </x:c>
      <x:c r="I1811" s="36" t="n">
        <x:f>IFERROR(H1811/A1811,0)</x:f>
        <x:v>24120.72072072072</x:v>
      </x:c>
      <x:c r="J1811" s="67" t="str">
        <x:v>Modeled from live base + Sep-2026 quality ratio</x:v>
      </x:c>
      <x:c r="K1811" s="67" t="str">
        <x:v>https://www.stonealgo.com/diamond-prices/</x:v>
      </x:c>
      <x:c r="L1811" s="67" t="str">
        <x:v>https://www.pricescope.com/blog/natural-diamond-prices-september-2026</x:v>
      </x:c>
    </x:row>
    <x:row r="1812">
      <x:c r="A1812" t="n">
        <x:v>3</x:v>
      </x:c>
      <x:c r="B1812" t="str">
        <x:v>Marquise</x:v>
      </x:c>
      <x:c r="C1812" t="str">
        <x:v>F</x:v>
      </x:c>
      <x:c r="D1812" t="str">
        <x:v>VVS1</x:v>
      </x:c>
      <x:c r="E1812" s="36" t="n">
        <x:v>46200</x:v>
      </x:c>
      <x:c r="F1812" s="36" t="n">
        <x:v>7542</x:v>
      </x:c>
      <x:c r="G1812" s="42" t="n">
        <x:v>1.6177606177606179</x:v>
      </x:c>
      <x:c r="H1812" s="36" t="n">
        <x:f>E1812*G1812</x:f>
        <x:v>74740.54054054055</x:v>
      </x:c>
      <x:c r="I1812" s="36" t="n">
        <x:f>IFERROR(H1812/A1812,0)</x:f>
        <x:v>24913.513513513517</x:v>
      </x:c>
      <x:c r="J1812" s="67" t="str">
        <x:v>Modeled from live base + Sep-2026 quality ratio</x:v>
      </x:c>
      <x:c r="K1812" s="67" t="str">
        <x:v>https://www.stonealgo.com/diamond-prices/</x:v>
      </x:c>
      <x:c r="L1812" s="67" t="str">
        <x:v>https://www.pricescope.com/blog/natural-diamond-prices-september-2026</x:v>
      </x:c>
    </x:row>
    <x:row r="1813">
      <x:c r="A1813" t="n">
        <x:v>3</x:v>
      </x:c>
      <x:c r="B1813" t="str">
        <x:v>Marquise</x:v>
      </x:c>
      <x:c r="C1813" t="str">
        <x:v>F</x:v>
      </x:c>
      <x:c r="D1813" t="str">
        <x:v>VVS2</x:v>
      </x:c>
      <x:c r="E1813" s="36" t="n">
        <x:v>46200</x:v>
      </x:c>
      <x:c r="F1813" s="36" t="n">
        <x:v>6352</x:v>
      </x:c>
      <x:c r="G1813" s="42" t="n">
        <x:v>1.3625053625053625</x:v>
      </x:c>
      <x:c r="H1813" s="36" t="n">
        <x:f>E1813*G1813</x:f>
        <x:v>62947.747747747744</x:v>
      </x:c>
      <x:c r="I1813" s="36" t="n">
        <x:f>IFERROR(H1813/A1813,0)</x:f>
        <x:v>20982.58258258258</x:v>
      </x:c>
      <x:c r="J1813" s="67" t="str">
        <x:v>Modeled from live base + Sep-2026 quality ratio</x:v>
      </x:c>
      <x:c r="K1813" s="67" t="str">
        <x:v>https://www.stonealgo.com/diamond-prices/</x:v>
      </x:c>
      <x:c r="L1813" s="67" t="str">
        <x:v>https://www.pricescope.com/blog/natural-diamond-prices-september-2026</x:v>
      </x:c>
    </x:row>
    <x:row r="1814">
      <x:c r="A1814" t="n">
        <x:v>3</x:v>
      </x:c>
      <x:c r="B1814" t="str">
        <x:v>Marquise</x:v>
      </x:c>
      <x:c r="C1814" t="str">
        <x:v>F</x:v>
      </x:c>
      <x:c r="D1814" t="str">
        <x:v>VS1</x:v>
      </x:c>
      <x:c r="E1814" s="36" t="n">
        <x:v>46200</x:v>
      </x:c>
      <x:c r="F1814" s="36" t="n">
        <x:v>5647</x:v>
      </x:c>
      <x:c r="G1814" s="42" t="n">
        <x:v>1.2112827112827114</x:v>
      </x:c>
      <x:c r="H1814" s="36" t="n">
        <x:f>E1814*G1814</x:f>
        <x:v>55961.261261261265</x:v>
      </x:c>
      <x:c r="I1814" s="36" t="n">
        <x:f>IFERROR(H1814/A1814,0)</x:f>
        <x:v>18653.753753753754</x:v>
      </x:c>
      <x:c r="J1814" s="67" t="str">
        <x:v>Modeled from live base + Sep-2026 quality ratio</x:v>
      </x:c>
      <x:c r="K1814" s="67" t="str">
        <x:v>https://www.stonealgo.com/diamond-prices/</x:v>
      </x:c>
      <x:c r="L1814" s="67" t="str">
        <x:v>https://www.pricescope.com/blog/natural-diamond-prices-september-2026</x:v>
      </x:c>
    </x:row>
    <x:row r="1815">
      <x:c r="A1815" t="n">
        <x:v>3</x:v>
      </x:c>
      <x:c r="B1815" t="str">
        <x:v>Marquise</x:v>
      </x:c>
      <x:c r="C1815" t="str">
        <x:v>F</x:v>
      </x:c>
      <x:c r="D1815" t="str">
        <x:v>VS2</x:v>
      </x:c>
      <x:c r="E1815" s="36" t="n">
        <x:v>46200</x:v>
      </x:c>
      <x:c r="F1815" s="36" t="n">
        <x:v>4730</x:v>
      </x:c>
      <x:c r="G1815" s="42" t="n">
        <x:v>1.0145860145860146</x:v>
      </x:c>
      <x:c r="H1815" s="36" t="n">
        <x:f>E1815*G1815</x:f>
        <x:v>46873.873873873876</x:v>
      </x:c>
      <x:c r="I1815" s="36" t="n">
        <x:f>IFERROR(H1815/A1815,0)</x:f>
        <x:v>15624.624624624625</x:v>
      </x:c>
      <x:c r="J1815" s="67" t="str">
        <x:v>Modeled from live base + Sep-2026 quality ratio</x:v>
      </x:c>
      <x:c r="K1815" s="67" t="str">
        <x:v>https://www.stonealgo.com/diamond-prices/</x:v>
      </x:c>
      <x:c r="L1815" s="67" t="str">
        <x:v>https://www.pricescope.com/blog/natural-diamond-prices-september-2026</x:v>
      </x:c>
    </x:row>
    <x:row r="1816">
      <x:c r="A1816" t="n">
        <x:v>3</x:v>
      </x:c>
      <x:c r="B1816" t="str">
        <x:v>Marquise</x:v>
      </x:c>
      <x:c r="C1816" t="str">
        <x:v>F</x:v>
      </x:c>
      <x:c r="D1816" t="str">
        <x:v>SI1</x:v>
      </x:c>
      <x:c r="E1816" s="36" t="n">
        <x:v>46200</x:v>
      </x:c>
      <x:c r="F1816" s="36" t="n">
        <x:v>3331</x:v>
      </x:c>
      <x:c r="G1816" s="42" t="n">
        <x:v>0.7145002145002145</x:v>
      </x:c>
      <x:c r="H1816" s="36" t="n">
        <x:f>E1816*G1816</x:f>
        <x:v>33009.90990990991</x:v>
      </x:c>
      <x:c r="I1816" s="36" t="n">
        <x:f>IFERROR(H1816/A1816,0)</x:f>
        <x:v>11003.303303303304</x:v>
      </x:c>
      <x:c r="J1816" s="67" t="str">
        <x:v>Modeled from live base + Sep-2026 quality ratio</x:v>
      </x:c>
      <x:c r="K1816" s="67" t="str">
        <x:v>https://www.stonealgo.com/diamond-prices/</x:v>
      </x:c>
      <x:c r="L1816" s="67" t="str">
        <x:v>https://www.pricescope.com/blog/natural-diamond-prices-september-2026</x:v>
      </x:c>
    </x:row>
    <x:row r="1817">
      <x:c r="A1817" t="n">
        <x:v>3</x:v>
      </x:c>
      <x:c r="B1817" t="str">
        <x:v>Marquise</x:v>
      </x:c>
      <x:c r="C1817" t="str">
        <x:v>F</x:v>
      </x:c>
      <x:c r="D1817" t="str">
        <x:v>SI2</x:v>
      </x:c>
      <x:c r="E1817" s="36" t="n">
        <x:v>46200</x:v>
      </x:c>
      <x:c r="F1817" s="36" t="n">
        <x:v>2733</x:v>
      </x:c>
      <x:c r="G1817" s="42" t="n">
        <x:v>0.5862290862290862</x:v>
      </x:c>
      <x:c r="H1817" s="36" t="n">
        <x:f>E1817*G1817</x:f>
        <x:v>27083.783783783783</x:v>
      </x:c>
      <x:c r="I1817" s="36" t="n">
        <x:f>IFERROR(H1817/A1817,0)</x:f>
        <x:v>9027.927927927927</x:v>
      </x:c>
      <x:c r="J1817" s="67" t="str">
        <x:v>Modeled from live base + Sep-2026 quality ratio</x:v>
      </x:c>
      <x:c r="K1817" s="67" t="str">
        <x:v>https://www.stonealgo.com/diamond-prices/</x:v>
      </x:c>
      <x:c r="L1817" s="67" t="str">
        <x:v>https://www.pricescope.com/blog/natural-diamond-prices-september-2026</x:v>
      </x:c>
    </x:row>
    <x:row r="1818">
      <x:c r="A1818" t="n">
        <x:v>3</x:v>
      </x:c>
      <x:c r="B1818" t="str">
        <x:v>Marquise</x:v>
      </x:c>
      <x:c r="C1818" t="str">
        <x:v>G</x:v>
      </x:c>
      <x:c r="D1818" t="str">
        <x:v>FL</x:v>
      </x:c>
      <x:c r="E1818" s="36" t="n">
        <x:v>46200</x:v>
      </x:c>
      <x:c r="F1818" s="36" t="n">
        <x:v>5905</x:v>
      </x:c>
      <x:c r="G1818" s="42" t="n">
        <x:v>1.2666237666237665</x:v>
      </x:c>
      <x:c r="H1818" s="36" t="n">
        <x:f>E1818*G1818</x:f>
        <x:v>58518.01801801801</x:v>
      </x:c>
      <x:c r="I1818" s="36" t="n">
        <x:f>IFERROR(H1818/A1818,0)</x:f>
        <x:v>19506.006006006002</x:v>
      </x:c>
      <x:c r="J1818" s="67" t="str">
        <x:v>Modeled from live base + Sep-2026 quality ratio</x:v>
      </x:c>
      <x:c r="K1818" s="67" t="str">
        <x:v>https://www.stonealgo.com/diamond-prices/</x:v>
      </x:c>
      <x:c r="L1818" s="67" t="str">
        <x:v>https://www.pricescope.com/blog/natural-diamond-prices-september-2026</x:v>
      </x:c>
    </x:row>
    <x:row r="1819">
      <x:c r="A1819" t="n">
        <x:v>3</x:v>
      </x:c>
      <x:c r="B1819" t="str">
        <x:v>Marquise</x:v>
      </x:c>
      <x:c r="C1819" t="str">
        <x:v>G</x:v>
      </x:c>
      <x:c r="D1819" t="str">
        <x:v>IF</x:v>
      </x:c>
      <x:c r="E1819" s="36" t="n">
        <x:v>46200</x:v>
      </x:c>
      <x:c r="F1819" s="36" t="n">
        <x:v>5601</x:v>
      </x:c>
      <x:c r="G1819" s="42" t="n">
        <x:v>1.2014157014157014</x:v>
      </x:c>
      <x:c r="H1819" s="36" t="n">
        <x:f>E1819*G1819</x:f>
        <x:v>55505.40540540541</x:v>
      </x:c>
      <x:c r="I1819" s="36" t="n">
        <x:f>IFERROR(H1819/A1819,0)</x:f>
        <x:v>18501.8018018018</x:v>
      </x:c>
      <x:c r="J1819" s="67" t="str">
        <x:v>Modeled from live base + Sep-2026 quality ratio</x:v>
      </x:c>
      <x:c r="K1819" s="67" t="str">
        <x:v>https://www.stonealgo.com/diamond-prices/</x:v>
      </x:c>
      <x:c r="L1819" s="67" t="str">
        <x:v>https://www.pricescope.com/blog/natural-diamond-prices-september-2026</x:v>
      </x:c>
    </x:row>
    <x:row r="1820">
      <x:c r="A1820" t="n">
        <x:v>3</x:v>
      </x:c>
      <x:c r="B1820" t="str">
        <x:v>Marquise</x:v>
      </x:c>
      <x:c r="C1820" t="str">
        <x:v>G</x:v>
      </x:c>
      <x:c r="D1820" t="str">
        <x:v>VVS1</x:v>
      </x:c>
      <x:c r="E1820" s="36" t="n">
        <x:v>46200</x:v>
      </x:c>
      <x:c r="F1820" s="36" t="n">
        <x:v>5124</x:v>
      </x:c>
      <x:c r="G1820" s="42" t="n">
        <x:v>1.0990990990990992</x:v>
      </x:c>
      <x:c r="H1820" s="36" t="n">
        <x:f>E1820*G1820</x:f>
        <x:v>50778.37837837838</x:v>
      </x:c>
      <x:c r="I1820" s="36" t="n">
        <x:f>IFERROR(H1820/A1820,0)</x:f>
        <x:v>16926.126126126128</x:v>
      </x:c>
      <x:c r="J1820" s="67" t="str">
        <x:v>Modeled from live base + Sep-2026 quality ratio</x:v>
      </x:c>
      <x:c r="K1820" s="67" t="str">
        <x:v>https://www.stonealgo.com/diamond-prices/</x:v>
      </x:c>
      <x:c r="L1820" s="67" t="str">
        <x:v>https://www.pricescope.com/blog/natural-diamond-prices-september-2026</x:v>
      </x:c>
    </x:row>
    <x:row r="1821">
      <x:c r="A1821" t="n">
        <x:v>3</x:v>
      </x:c>
      <x:c r="B1821" t="str">
        <x:v>Marquise</x:v>
      </x:c>
      <x:c r="C1821" t="str">
        <x:v>G</x:v>
      </x:c>
      <x:c r="D1821" t="str">
        <x:v>VVS2</x:v>
      </x:c>
      <x:c r="E1821" s="36" t="n">
        <x:v>46200</x:v>
      </x:c>
      <x:c r="F1821" s="36" t="n">
        <x:v>4962</x:v>
      </x:c>
      <x:c r="G1821" s="42" t="n">
        <x:v>1.0643500643500643</x:v>
      </x:c>
      <x:c r="H1821" s="36" t="n">
        <x:f>E1821*G1821</x:f>
        <x:v>49172.97297297297</x:v>
      </x:c>
      <x:c r="I1821" s="36" t="n">
        <x:f>IFERROR(H1821/A1821,0)</x:f>
        <x:v>16390.99099099099</x:v>
      </x:c>
      <x:c r="J1821" s="67" t="str">
        <x:v>Modeled from live base + Sep-2026 quality ratio</x:v>
      </x:c>
      <x:c r="K1821" s="67" t="str">
        <x:v>https://www.stonealgo.com/diamond-prices/</x:v>
      </x:c>
      <x:c r="L1821" s="67" t="str">
        <x:v>https://www.pricescope.com/blog/natural-diamond-prices-september-2026</x:v>
      </x:c>
    </x:row>
    <x:row r="1822">
      <x:c r="A1822" t="n">
        <x:v>3</x:v>
      </x:c>
      <x:c r="B1822" t="str">
        <x:v>Marquise</x:v>
      </x:c>
      <x:c r="C1822" t="str">
        <x:v>G</x:v>
      </x:c>
      <x:c r="D1822" t="str">
        <x:v>VS1</x:v>
      </x:c>
      <x:c r="E1822" s="36" t="n">
        <x:v>46200</x:v>
      </x:c>
      <x:c r="F1822" s="36" t="n">
        <x:v>4615</x:v>
      </x:c>
      <x:c r="G1822" s="42" t="n">
        <x:v>0.98991848991849</x:v>
      </x:c>
      <x:c r="H1822" s="36" t="n">
        <x:f>E1822*G1822</x:f>
        <x:v>45734.23423423424</x:v>
      </x:c>
      <x:c r="I1822" s="36" t="n">
        <x:f>IFERROR(H1822/A1822,0)</x:f>
        <x:v>15244.744744744747</x:v>
      </x:c>
      <x:c r="J1822" s="67" t="str">
        <x:v>Modeled from live base + Sep-2026 quality ratio</x:v>
      </x:c>
      <x:c r="K1822" s="67" t="str">
        <x:v>https://www.stonealgo.com/diamond-prices/</x:v>
      </x:c>
      <x:c r="L1822" s="67" t="str">
        <x:v>https://www.pricescope.com/blog/natural-diamond-prices-september-2026</x:v>
      </x:c>
    </x:row>
    <x:row r="1823">
      <x:c r="A1823" t="n">
        <x:v>3</x:v>
      </x:c>
      <x:c r="B1823" t="str">
        <x:v>Marquise</x:v>
      </x:c>
      <x:c r="C1823" t="str">
        <x:v>G</x:v>
      </x:c>
      <x:c r="D1823" t="str">
        <x:v>VS2</x:v>
      </x:c>
      <x:c r="E1823" s="36" t="n">
        <x:v>46200</x:v>
      </x:c>
      <x:c r="F1823" s="36" t="n">
        <x:v>4585</x:v>
      </x:c>
      <x:c r="G1823" s="42" t="n">
        <x:v>0.9834834834834835</x:v>
      </x:c>
      <x:c r="H1823" s="36" t="n">
        <x:f>E1823*G1823</x:f>
        <x:v>45436.93693693694</x:v>
      </x:c>
      <x:c r="I1823" s="36" t="n">
        <x:f>IFERROR(H1823/A1823,0)</x:f>
        <x:v>15145.645645645645</x:v>
      </x:c>
      <x:c r="J1823" s="67" t="str">
        <x:v>Modeled from live base + Sep-2026 quality ratio</x:v>
      </x:c>
      <x:c r="K1823" s="67" t="str">
        <x:v>https://www.stonealgo.com/diamond-prices/</x:v>
      </x:c>
      <x:c r="L1823" s="67" t="str">
        <x:v>https://www.pricescope.com/blog/natural-diamond-prices-september-2026</x:v>
      </x:c>
    </x:row>
    <x:row r="1824">
      <x:c r="A1824" t="n">
        <x:v>3</x:v>
      </x:c>
      <x:c r="B1824" t="str">
        <x:v>Marquise</x:v>
      </x:c>
      <x:c r="C1824" t="str">
        <x:v>G</x:v>
      </x:c>
      <x:c r="D1824" t="str">
        <x:v>SI1</x:v>
      </x:c>
      <x:c r="E1824" s="36" t="n">
        <x:v>46200</x:v>
      </x:c>
      <x:c r="F1824" s="36" t="n">
        <x:v>3664</x:v>
      </x:c>
      <x:c r="G1824" s="42" t="n">
        <x:v>0.7859287859287859</x:v>
      </x:c>
      <x:c r="H1824" s="36" t="n">
        <x:f>E1824*G1824</x:f>
        <x:v>36309.90990990991</x:v>
      </x:c>
      <x:c r="I1824" s="36" t="n">
        <x:f>IFERROR(H1824/A1824,0)</x:f>
        <x:v>12103.303303303304</x:v>
      </x:c>
      <x:c r="J1824" s="67" t="str">
        <x:v>Modeled from live base + Sep-2026 quality ratio</x:v>
      </x:c>
      <x:c r="K1824" s="67" t="str">
        <x:v>https://www.stonealgo.com/diamond-prices/</x:v>
      </x:c>
      <x:c r="L1824" s="67" t="str">
        <x:v>https://www.pricescope.com/blog/natural-diamond-prices-september-2026</x:v>
      </x:c>
    </x:row>
    <x:row r="1825">
      <x:c r="A1825" t="n">
        <x:v>3</x:v>
      </x:c>
      <x:c r="B1825" t="str">
        <x:v>Marquise</x:v>
      </x:c>
      <x:c r="C1825" t="str">
        <x:v>G</x:v>
      </x:c>
      <x:c r="D1825" t="str">
        <x:v>SI2</x:v>
      </x:c>
      <x:c r="E1825" s="36" t="n">
        <x:v>46200</x:v>
      </x:c>
      <x:c r="F1825" s="36" t="n">
        <x:v>2537</x:v>
      </x:c>
      <x:c r="G1825" s="42" t="n">
        <x:v>0.5441870441870442</x:v>
      </x:c>
      <x:c r="H1825" s="36" t="n">
        <x:f>E1825*G1825</x:f>
        <x:v>25141.441441441442</x:v>
      </x:c>
      <x:c r="I1825" s="36" t="n">
        <x:f>IFERROR(H1825/A1825,0)</x:f>
        <x:v>8380.48048048048</x:v>
      </x:c>
      <x:c r="J1825" s="67" t="str">
        <x:v>Modeled from live base + Sep-2026 quality ratio</x:v>
      </x:c>
      <x:c r="K1825" s="67" t="str">
        <x:v>https://www.stonealgo.com/diamond-prices/</x:v>
      </x:c>
      <x:c r="L1825" s="67" t="str">
        <x:v>https://www.pricescope.com/blog/natural-diamond-prices-september-2026</x:v>
      </x:c>
    </x:row>
    <x:row r="1826">
      <x:c r="A1826" t="n">
        <x:v>3</x:v>
      </x:c>
      <x:c r="B1826" t="str">
        <x:v>Marquise</x:v>
      </x:c>
      <x:c r="C1826" t="str">
        <x:v>H</x:v>
      </x:c>
      <x:c r="D1826" t="str">
        <x:v>FL</x:v>
      </x:c>
      <x:c r="E1826" s="36" t="n">
        <x:v>46200</x:v>
      </x:c>
      <x:c r="F1826" s="36" t="n">
        <x:v>4563</x:v>
      </x:c>
      <x:c r="G1826" s="42" t="n">
        <x:v>0.9787644787644788</x:v>
      </x:c>
      <x:c r="H1826" s="36" t="n">
        <x:f>E1826*G1826</x:f>
        <x:v>45218.91891891892</x:v>
      </x:c>
      <x:c r="I1826" s="36" t="n">
        <x:f>IFERROR(H1826/A1826,0)</x:f>
        <x:v>15072.972972972973</x:v>
      </x:c>
      <x:c r="J1826" s="67" t="str">
        <x:v>Modeled from live base + Sep-2026 quality ratio</x:v>
      </x:c>
      <x:c r="K1826" s="67" t="str">
        <x:v>https://www.stonealgo.com/diamond-prices/</x:v>
      </x:c>
      <x:c r="L1826" s="67" t="str">
        <x:v>https://www.pricescope.com/blog/natural-diamond-prices-september-2026</x:v>
      </x:c>
    </x:row>
    <x:row r="1827">
      <x:c r="A1827" t="n">
        <x:v>3</x:v>
      </x:c>
      <x:c r="B1827" t="str">
        <x:v>Marquise</x:v>
      </x:c>
      <x:c r="C1827" t="str">
        <x:v>H</x:v>
      </x:c>
      <x:c r="D1827" t="str">
        <x:v>IF</x:v>
      </x:c>
      <x:c r="E1827" s="36" t="n">
        <x:v>46200</x:v>
      </x:c>
      <x:c r="F1827" s="36" t="n">
        <x:v>4809</x:v>
      </x:c>
      <x:c r="G1827" s="42" t="n">
        <x:v>1.0315315315315314</x:v>
      </x:c>
      <x:c r="H1827" s="36" t="n">
        <x:f>E1827*G1827</x:f>
        <x:v>47656.75675675675</x:v>
      </x:c>
      <x:c r="I1827" s="36" t="n">
        <x:f>IFERROR(H1827/A1827,0)</x:f>
        <x:v>15885.585585585584</x:v>
      </x:c>
      <x:c r="J1827" s="67" t="str">
        <x:v>Modeled from live base + Sep-2026 quality ratio</x:v>
      </x:c>
      <x:c r="K1827" s="67" t="str">
        <x:v>https://www.stonealgo.com/diamond-prices/</x:v>
      </x:c>
      <x:c r="L1827" s="67" t="str">
        <x:v>https://www.pricescope.com/blog/natural-diamond-prices-september-2026</x:v>
      </x:c>
    </x:row>
    <x:row r="1828">
      <x:c r="A1828" t="n">
        <x:v>3</x:v>
      </x:c>
      <x:c r="B1828" t="str">
        <x:v>Marquise</x:v>
      </x:c>
      <x:c r="C1828" t="str">
        <x:v>H</x:v>
      </x:c>
      <x:c r="D1828" t="str">
        <x:v>VVS1</x:v>
      </x:c>
      <x:c r="E1828" s="36" t="n">
        <x:v>46200</x:v>
      </x:c>
      <x:c r="F1828" s="36" t="n">
        <x:v>4911</x:v>
      </x:c>
      <x:c r="G1828" s="42" t="n">
        <x:v>1.0534105534105533</x:v>
      </x:c>
      <x:c r="H1828" s="36" t="n">
        <x:f>E1828*G1828</x:f>
        <x:v>48667.56756756757</x:v>
      </x:c>
      <x:c r="I1828" s="36" t="n">
        <x:f>IFERROR(H1828/A1828,0)</x:f>
        <x:v>16222.522522522522</x:v>
      </x:c>
      <x:c r="J1828" s="67" t="str">
        <x:v>Modeled from live base + Sep-2026 quality ratio</x:v>
      </x:c>
      <x:c r="K1828" s="67" t="str">
        <x:v>https://www.stonealgo.com/diamond-prices/</x:v>
      </x:c>
      <x:c r="L1828" s="67" t="str">
        <x:v>https://www.pricescope.com/blog/natural-diamond-prices-september-2026</x:v>
      </x:c>
    </x:row>
    <x:row r="1829">
      <x:c r="A1829" t="n">
        <x:v>3</x:v>
      </x:c>
      <x:c r="B1829" t="str">
        <x:v>Marquise</x:v>
      </x:c>
      <x:c r="C1829" t="str">
        <x:v>H</x:v>
      </x:c>
      <x:c r="D1829" t="str">
        <x:v>VVS2</x:v>
      </x:c>
      <x:c r="E1829" s="36" t="n">
        <x:v>46200</x:v>
      </x:c>
      <x:c r="F1829" s="36" t="n">
        <x:v>4046</x:v>
      </x:c>
      <x:c r="G1829" s="42" t="n">
        <x:v>0.8678678678678678</x:v>
      </x:c>
      <x:c r="H1829" s="36" t="n">
        <x:f>E1829*G1829</x:f>
        <x:v>40095.495495495496</x:v>
      </x:c>
      <x:c r="I1829" s="36" t="n">
        <x:f>IFERROR(H1829/A1829,0)</x:f>
        <x:v>13365.165165165165</x:v>
      </x:c>
      <x:c r="J1829" s="67" t="str">
        <x:v>Modeled from live base + Sep-2026 quality ratio</x:v>
      </x:c>
      <x:c r="K1829" s="67" t="str">
        <x:v>https://www.stonealgo.com/diamond-prices/</x:v>
      </x:c>
      <x:c r="L1829" s="67" t="str">
        <x:v>https://www.pricescope.com/blog/natural-diamond-prices-september-2026</x:v>
      </x:c>
    </x:row>
    <x:row r="1830">
      <x:c r="A1830" t="n">
        <x:v>3</x:v>
      </x:c>
      <x:c r="B1830" t="str">
        <x:v>Marquise</x:v>
      </x:c>
      <x:c r="C1830" t="str">
        <x:v>H</x:v>
      </x:c>
      <x:c r="D1830" t="str">
        <x:v>VS1</x:v>
      </x:c>
      <x:c r="E1830" s="36" t="n">
        <x:v>46200</x:v>
      </x:c>
      <x:c r="F1830" s="36" t="n">
        <x:v>3893</x:v>
      </x:c>
      <x:c r="G1830" s="42" t="n">
        <x:v>0.8350493350493351</x:v>
      </x:c>
      <x:c r="H1830" s="36" t="n">
        <x:f>E1830*G1830</x:f>
        <x:v>38579.27927927928</x:v>
      </x:c>
      <x:c r="I1830" s="36" t="n">
        <x:f>IFERROR(H1830/A1830,0)</x:f>
        <x:v>12859.759759759761</x:v>
      </x:c>
      <x:c r="J1830" s="67" t="str">
        <x:v>Modeled from live base + Sep-2026 quality ratio</x:v>
      </x:c>
      <x:c r="K1830" s="67" t="str">
        <x:v>https://www.stonealgo.com/diamond-prices/</x:v>
      </x:c>
      <x:c r="L1830" s="67" t="str">
        <x:v>https://www.pricescope.com/blog/natural-diamond-prices-september-2026</x:v>
      </x:c>
    </x:row>
    <x:row r="1831">
      <x:c r="A1831" t="n">
        <x:v>3</x:v>
      </x:c>
      <x:c r="B1831" t="str">
        <x:v>Marquise</x:v>
      </x:c>
      <x:c r="C1831" t="str">
        <x:v>H</x:v>
      </x:c>
      <x:c r="D1831" t="str">
        <x:v>VS2</x:v>
      </x:c>
      <x:c r="E1831" s="36" t="n">
        <x:v>46200</x:v>
      </x:c>
      <x:c r="F1831" s="36" t="n">
        <x:v>3989</x:v>
      </x:c>
      <x:c r="G1831" s="42" t="n">
        <x:v>0.8556413556413557</x:v>
      </x:c>
      <x:c r="H1831" s="36" t="n">
        <x:f>E1831*G1831</x:f>
        <x:v>39530.630630630636</x:v>
      </x:c>
      <x:c r="I1831" s="36" t="n">
        <x:f>IFERROR(H1831/A1831,0)</x:f>
        <x:v>13176.876876876879</x:v>
      </x:c>
      <x:c r="J1831" s="67" t="str">
        <x:v>Modeled from live base + Sep-2026 quality ratio</x:v>
      </x:c>
      <x:c r="K1831" s="67" t="str">
        <x:v>https://www.stonealgo.com/diamond-prices/</x:v>
      </x:c>
      <x:c r="L1831" s="67" t="str">
        <x:v>https://www.pricescope.com/blog/natural-diamond-prices-september-2026</x:v>
      </x:c>
    </x:row>
    <x:row r="1832">
      <x:c r="A1832" t="n">
        <x:v>3</x:v>
      </x:c>
      <x:c r="B1832" t="str">
        <x:v>Marquise</x:v>
      </x:c>
      <x:c r="C1832" t="str">
        <x:v>H</x:v>
      </x:c>
      <x:c r="D1832" t="str">
        <x:v>SI1</x:v>
      </x:c>
      <x:c r="E1832" s="36" t="n">
        <x:v>46200</x:v>
      </x:c>
      <x:c r="F1832" s="36" t="n">
        <x:v>2828</x:v>
      </x:c>
      <x:c r="G1832" s="42" t="n">
        <x:v>0.6066066066066066</x:v>
      </x:c>
      <x:c r="H1832" s="36" t="n">
        <x:f>E1832*G1832</x:f>
        <x:v>28025.225225225226</x:v>
      </x:c>
      <x:c r="I1832" s="36" t="n">
        <x:f>IFERROR(H1832/A1832,0)</x:f>
        <x:v>9341.741741741742</x:v>
      </x:c>
      <x:c r="J1832" s="67" t="str">
        <x:v>Modeled from live base + Sep-2026 quality ratio</x:v>
      </x:c>
      <x:c r="K1832" s="67" t="str">
        <x:v>https://www.stonealgo.com/diamond-prices/</x:v>
      </x:c>
      <x:c r="L1832" s="67" t="str">
        <x:v>https://www.pricescope.com/blog/natural-diamond-prices-september-2026</x:v>
      </x:c>
    </x:row>
    <x:row r="1833">
      <x:c r="A1833" t="n">
        <x:v>3</x:v>
      </x:c>
      <x:c r="B1833" t="str">
        <x:v>Marquise</x:v>
      </x:c>
      <x:c r="C1833" t="str">
        <x:v>H</x:v>
      </x:c>
      <x:c r="D1833" t="str">
        <x:v>SI2</x:v>
      </x:c>
      <x:c r="E1833" s="36" t="n">
        <x:v>46200</x:v>
      </x:c>
      <x:c r="F1833" s="36" t="n">
        <x:v>2328</x:v>
      </x:c>
      <x:c r="G1833" s="42" t="n">
        <x:v>0.49935649935649934</x:v>
      </x:c>
      <x:c r="H1833" s="36" t="n">
        <x:f>E1833*G1833</x:f>
        <x:v>23070.27027027027</x:v>
      </x:c>
      <x:c r="I1833" s="36" t="n">
        <x:f>IFERROR(H1833/A1833,0)</x:f>
        <x:v>7690.09009009009</x:v>
      </x:c>
      <x:c r="J1833" s="67" t="str">
        <x:v>Modeled from live base + Sep-2026 quality ratio</x:v>
      </x:c>
      <x:c r="K1833" s="67" t="str">
        <x:v>https://www.stonealgo.com/diamond-prices/</x:v>
      </x:c>
      <x:c r="L1833" s="67" t="str">
        <x:v>https://www.pricescope.com/blog/natural-diamond-prices-september-2026</x:v>
      </x:c>
    </x:row>
    <x:row r="1834">
      <x:c r="A1834" t="n">
        <x:v>3</x:v>
      </x:c>
      <x:c r="B1834" t="str">
        <x:v>Marquise</x:v>
      </x:c>
      <x:c r="C1834" t="str">
        <x:v>I</x:v>
      </x:c>
      <x:c r="D1834" t="str">
        <x:v>FL</x:v>
      </x:c>
      <x:c r="E1834" s="36" t="n">
        <x:v>46200</x:v>
      </x:c>
      <x:c r="F1834" s="36" t="n">
        <x:v>4623</x:v>
      </x:c>
      <x:c r="G1834" s="42" t="n">
        <x:v>0.9916344916344917</x:v>
      </x:c>
      <x:c r="H1834" s="36" t="n">
        <x:f>E1834*G1834</x:f>
        <x:v>45813.51351351351</x:v>
      </x:c>
      <x:c r="I1834" s="36" t="n">
        <x:f>IFERROR(H1834/A1834,0)</x:f>
        <x:v>15271.17117117117</x:v>
      </x:c>
      <x:c r="J1834" s="67" t="str">
        <x:v>Modeled from live base + Sep-2026 quality ratio</x:v>
      </x:c>
      <x:c r="K1834" s="67" t="str">
        <x:v>https://www.stonealgo.com/diamond-prices/</x:v>
      </x:c>
      <x:c r="L1834" s="67" t="str">
        <x:v>https://www.pricescope.com/blog/natural-diamond-prices-september-2026</x:v>
      </x:c>
    </x:row>
    <x:row r="1835">
      <x:c r="A1835" t="n">
        <x:v>3</x:v>
      </x:c>
      <x:c r="B1835" t="str">
        <x:v>Marquise</x:v>
      </x:c>
      <x:c r="C1835" t="str">
        <x:v>I</x:v>
      </x:c>
      <x:c r="D1835" t="str">
        <x:v>IF</x:v>
      </x:c>
      <x:c r="E1835" s="36" t="n">
        <x:v>46200</x:v>
      </x:c>
      <x:c r="F1835" s="36" t="n">
        <x:v>4005</x:v>
      </x:c>
      <x:c r="G1835" s="42" t="n">
        <x:v>0.859073359073359</x:v>
      </x:c>
      <x:c r="H1835" s="36" t="n">
        <x:f>E1835*G1835</x:f>
        <x:v>39689.18918918919</x:v>
      </x:c>
      <x:c r="I1835" s="36" t="n">
        <x:f>IFERROR(H1835/A1835,0)</x:f>
        <x:v>13229.729729729728</x:v>
      </x:c>
      <x:c r="J1835" s="67" t="str">
        <x:v>Modeled from live base + Sep-2026 quality ratio</x:v>
      </x:c>
      <x:c r="K1835" s="67" t="str">
        <x:v>https://www.stonealgo.com/diamond-prices/</x:v>
      </x:c>
      <x:c r="L1835" s="67" t="str">
        <x:v>https://www.pricescope.com/blog/natural-diamond-prices-september-2026</x:v>
      </x:c>
    </x:row>
    <x:row r="1836">
      <x:c r="A1836" t="n">
        <x:v>3</x:v>
      </x:c>
      <x:c r="B1836" t="str">
        <x:v>Marquise</x:v>
      </x:c>
      <x:c r="C1836" t="str">
        <x:v>I</x:v>
      </x:c>
      <x:c r="D1836" t="str">
        <x:v>VVS1</x:v>
      </x:c>
      <x:c r="E1836" s="36" t="n">
        <x:v>46200</x:v>
      </x:c>
      <x:c r="F1836" s="36" t="n">
        <x:v>3670</x:v>
      </x:c>
      <x:c r="G1836" s="42" t="n">
        <x:v>0.7872157872157872</x:v>
      </x:c>
      <x:c r="H1836" s="36" t="n">
        <x:f>E1836*G1836</x:f>
        <x:v>36369.36936936937</x:v>
      </x:c>
      <x:c r="I1836" s="36" t="n">
        <x:f>IFERROR(H1836/A1836,0)</x:f>
        <x:v>12123.123123123123</x:v>
      </x:c>
      <x:c r="J1836" s="67" t="str">
        <x:v>Modeled from live base + Sep-2026 quality ratio</x:v>
      </x:c>
      <x:c r="K1836" s="67" t="str">
        <x:v>https://www.stonealgo.com/diamond-prices/</x:v>
      </x:c>
      <x:c r="L1836" s="67" t="str">
        <x:v>https://www.pricescope.com/blog/natural-diamond-prices-september-2026</x:v>
      </x:c>
    </x:row>
    <x:row r="1837">
      <x:c r="A1837" t="n">
        <x:v>3</x:v>
      </x:c>
      <x:c r="B1837" t="str">
        <x:v>Marquise</x:v>
      </x:c>
      <x:c r="C1837" t="str">
        <x:v>I</x:v>
      </x:c>
      <x:c r="D1837" t="str">
        <x:v>VVS2</x:v>
      </x:c>
      <x:c r="E1837" s="36" t="n">
        <x:v>46200</x:v>
      </x:c>
      <x:c r="F1837" s="36" t="n">
        <x:v>3447</x:v>
      </x:c>
      <x:c r="G1837" s="42" t="n">
        <x:v>0.7393822393822393</x:v>
      </x:c>
      <x:c r="H1837" s="36" t="n">
        <x:f>E1837*G1837</x:f>
        <x:v>34159.45945945946</x:v>
      </x:c>
      <x:c r="I1837" s="36" t="n">
        <x:f>IFERROR(H1837/A1837,0)</x:f>
        <x:v>11386.486486486487</x:v>
      </x:c>
      <x:c r="J1837" s="67" t="str">
        <x:v>Modeled from live base + Sep-2026 quality ratio</x:v>
      </x:c>
      <x:c r="K1837" s="67" t="str">
        <x:v>https://www.stonealgo.com/diamond-prices/</x:v>
      </x:c>
      <x:c r="L1837" s="67" t="str">
        <x:v>https://www.pricescope.com/blog/natural-diamond-prices-september-2026</x:v>
      </x:c>
    </x:row>
    <x:row r="1838">
      <x:c r="A1838" t="n">
        <x:v>3</x:v>
      </x:c>
      <x:c r="B1838" t="str">
        <x:v>Marquise</x:v>
      </x:c>
      <x:c r="C1838" t="str">
        <x:v>I</x:v>
      </x:c>
      <x:c r="D1838" t="str">
        <x:v>VS1</x:v>
      </x:c>
      <x:c r="E1838" s="36" t="n">
        <x:v>46200</x:v>
      </x:c>
      <x:c r="F1838" s="36" t="n">
        <x:v>3313</x:v>
      </x:c>
      <x:c r="G1838" s="42" t="n">
        <x:v>0.7106392106392107</x:v>
      </x:c>
      <x:c r="H1838" s="36" t="n">
        <x:f>E1838*G1838</x:f>
        <x:v>32831.53153153153</x:v>
      </x:c>
      <x:c r="I1838" s="36" t="n">
        <x:f>IFERROR(H1838/A1838,0)</x:f>
        <x:v>10943.843843843844</x:v>
      </x:c>
      <x:c r="J1838" s="67" t="str">
        <x:v>Modeled from live base + Sep-2026 quality ratio</x:v>
      </x:c>
      <x:c r="K1838" s="67" t="str">
        <x:v>https://www.stonealgo.com/diamond-prices/</x:v>
      </x:c>
      <x:c r="L1838" s="67" t="str">
        <x:v>https://www.pricescope.com/blog/natural-diamond-prices-september-2026</x:v>
      </x:c>
    </x:row>
    <x:row r="1839">
      <x:c r="A1839" t="n">
        <x:v>3</x:v>
      </x:c>
      <x:c r="B1839" t="str">
        <x:v>Marquise</x:v>
      </x:c>
      <x:c r="C1839" t="str">
        <x:v>I</x:v>
      </x:c>
      <x:c r="D1839" t="str">
        <x:v>VS2</x:v>
      </x:c>
      <x:c r="E1839" s="36" t="n">
        <x:v>46200</x:v>
      </x:c>
      <x:c r="F1839" s="36" t="n">
        <x:v>3240</x:v>
      </x:c>
      <x:c r="G1839" s="42" t="n">
        <x:v>0.694980694980695</x:v>
      </x:c>
      <x:c r="H1839" s="36" t="n">
        <x:f>E1839*G1839</x:f>
        <x:v>32108.10810810811</x:v>
      </x:c>
      <x:c r="I1839" s="36" t="n">
        <x:f>IFERROR(H1839/A1839,0)</x:f>
        <x:v>10702.702702702703</x:v>
      </x:c>
      <x:c r="J1839" s="67" t="str">
        <x:v>Modeled from live base + Sep-2026 quality ratio</x:v>
      </x:c>
      <x:c r="K1839" s="67" t="str">
        <x:v>https://www.stonealgo.com/diamond-prices/</x:v>
      </x:c>
      <x:c r="L1839" s="67" t="str">
        <x:v>https://www.pricescope.com/blog/natural-diamond-prices-september-2026</x:v>
      </x:c>
    </x:row>
    <x:row r="1840">
      <x:c r="A1840" t="n">
        <x:v>3</x:v>
      </x:c>
      <x:c r="B1840" t="str">
        <x:v>Marquise</x:v>
      </x:c>
      <x:c r="C1840" t="str">
        <x:v>I</x:v>
      </x:c>
      <x:c r="D1840" t="str">
        <x:v>SI1</x:v>
      </x:c>
      <x:c r="E1840" s="36" t="n">
        <x:v>46200</x:v>
      </x:c>
      <x:c r="F1840" s="36" t="n">
        <x:v>3199</x:v>
      </x:c>
      <x:c r="G1840" s="42" t="n">
        <x:v>0.6861861861861862</x:v>
      </x:c>
      <x:c r="H1840" s="36" t="n">
        <x:f>E1840*G1840</x:f>
        <x:v>31701.8018018018</x:v>
      </x:c>
      <x:c r="I1840" s="36" t="n">
        <x:f>IFERROR(H1840/A1840,0)</x:f>
        <x:v>10567.267267267267</x:v>
      </x:c>
      <x:c r="J1840" s="67" t="str">
        <x:v>Modeled from live base + Sep-2026 quality ratio</x:v>
      </x:c>
      <x:c r="K1840" s="67" t="str">
        <x:v>https://www.stonealgo.com/diamond-prices/</x:v>
      </x:c>
      <x:c r="L1840" s="67" t="str">
        <x:v>https://www.pricescope.com/blog/natural-diamond-prices-september-2026</x:v>
      </x:c>
    </x:row>
    <x:row r="1841">
      <x:c r="A1841" t="n">
        <x:v>3</x:v>
      </x:c>
      <x:c r="B1841" t="str">
        <x:v>Marquise</x:v>
      </x:c>
      <x:c r="C1841" t="str">
        <x:v>I</x:v>
      </x:c>
      <x:c r="D1841" t="str">
        <x:v>SI2</x:v>
      </x:c>
      <x:c r="E1841" s="36" t="n">
        <x:v>46200</x:v>
      </x:c>
      <x:c r="F1841" s="36" t="n">
        <x:v>2874</x:v>
      </x:c>
      <x:c r="G1841" s="42" t="n">
        <x:v>0.6164736164736164</x:v>
      </x:c>
      <x:c r="H1841" s="36" t="n">
        <x:f>E1841*G1841</x:f>
        <x:v>28481.08108108108</x:v>
      </x:c>
      <x:c r="I1841" s="36" t="n">
        <x:f>IFERROR(H1841/A1841,0)</x:f>
        <x:v>9493.693693693693</x:v>
      </x:c>
      <x:c r="J1841" s="67" t="str">
        <x:v>Modeled from live base + Sep-2026 quality ratio</x:v>
      </x:c>
      <x:c r="K1841" s="67" t="str">
        <x:v>https://www.stonealgo.com/diamond-prices/</x:v>
      </x:c>
      <x:c r="L1841" s="67" t="str">
        <x:v>https://www.pricescope.com/blog/natural-diamond-prices-september-2026</x:v>
      </x:c>
    </x:row>
    <x:row r="1842">
      <x:c r="A1842" t="n">
        <x:v>3</x:v>
      </x:c>
      <x:c r="B1842" t="str">
        <x:v>Marquise</x:v>
      </x:c>
      <x:c r="C1842" t="str">
        <x:v>J</x:v>
      </x:c>
      <x:c r="D1842" t="str">
        <x:v>FL</x:v>
      </x:c>
      <x:c r="E1842" s="36" t="n">
        <x:v>46200</x:v>
      </x:c>
      <x:c r="F1842" s="36" t="n">
        <x:v>3646</x:v>
      </x:c>
      <x:c r="G1842" s="42" t="n">
        <x:v>0.782067782067782</x:v>
      </x:c>
      <x:c r="H1842" s="36" t="n">
        <x:f>E1842*G1842</x:f>
        <x:v>36131.53153153153</x:v>
      </x:c>
      <x:c r="I1842" s="36" t="n">
        <x:f>IFERROR(H1842/A1842,0)</x:f>
        <x:v>12043.843843843844</x:v>
      </x:c>
      <x:c r="J1842" s="67" t="str">
        <x:v>Modeled from live base + Sep-2026 quality ratio</x:v>
      </x:c>
      <x:c r="K1842" s="67" t="str">
        <x:v>https://www.stonealgo.com/diamond-prices/</x:v>
      </x:c>
      <x:c r="L1842" s="67" t="str">
        <x:v>https://www.pricescope.com/blog/natural-diamond-prices-september-2026</x:v>
      </x:c>
    </x:row>
    <x:row r="1843">
      <x:c r="A1843" t="n">
        <x:v>3</x:v>
      </x:c>
      <x:c r="B1843" t="str">
        <x:v>Marquise</x:v>
      </x:c>
      <x:c r="C1843" t="str">
        <x:v>J</x:v>
      </x:c>
      <x:c r="D1843" t="str">
        <x:v>IF</x:v>
      </x:c>
      <x:c r="E1843" s="36" t="n">
        <x:v>46200</x:v>
      </x:c>
      <x:c r="F1843" s="36" t="n">
        <x:v>3368</x:v>
      </x:c>
      <x:c r="G1843" s="42" t="n">
        <x:v>0.7224367224367224</x:v>
      </x:c>
      <x:c r="H1843" s="36" t="n">
        <x:f>E1843*G1843</x:f>
        <x:v>33376.576576576575</x:v>
      </x:c>
      <x:c r="I1843" s="36" t="n">
        <x:f>IFERROR(H1843/A1843,0)</x:f>
        <x:v>11125.525525525525</x:v>
      </x:c>
      <x:c r="J1843" s="67" t="str">
        <x:v>Modeled from live base + Sep-2026 quality ratio</x:v>
      </x:c>
      <x:c r="K1843" s="67" t="str">
        <x:v>https://www.stonealgo.com/diamond-prices/</x:v>
      </x:c>
      <x:c r="L1843" s="67" t="str">
        <x:v>https://www.pricescope.com/blog/natural-diamond-prices-september-2026</x:v>
      </x:c>
    </x:row>
    <x:row r="1844">
      <x:c r="A1844" t="n">
        <x:v>3</x:v>
      </x:c>
      <x:c r="B1844" t="str">
        <x:v>Marquise</x:v>
      </x:c>
      <x:c r="C1844" t="str">
        <x:v>J</x:v>
      </x:c>
      <x:c r="D1844" t="str">
        <x:v>VVS1</x:v>
      </x:c>
      <x:c r="E1844" s="36" t="n">
        <x:v>46200</x:v>
      </x:c>
      <x:c r="F1844" s="36" t="n">
        <x:v>2956</x:v>
      </x:c>
      <x:c r="G1844" s="42" t="n">
        <x:v>0.6340626340626341</x:v>
      </x:c>
      <x:c r="H1844" s="36" t="n">
        <x:f>E1844*G1844</x:f>
        <x:v>29293.693693693695</x:v>
      </x:c>
      <x:c r="I1844" s="36" t="n">
        <x:f>IFERROR(H1844/A1844,0)</x:f>
        <x:v>9764.564564564565</x:v>
      </x:c>
      <x:c r="J1844" s="67" t="str">
        <x:v>Modeled from live base + Sep-2026 quality ratio</x:v>
      </x:c>
      <x:c r="K1844" s="67" t="str">
        <x:v>https://www.stonealgo.com/diamond-prices/</x:v>
      </x:c>
      <x:c r="L1844" s="67" t="str">
        <x:v>https://www.pricescope.com/blog/natural-diamond-prices-september-2026</x:v>
      </x:c>
    </x:row>
    <x:row r="1845">
      <x:c r="A1845" t="n">
        <x:v>3</x:v>
      </x:c>
      <x:c r="B1845" t="str">
        <x:v>Marquise</x:v>
      </x:c>
      <x:c r="C1845" t="str">
        <x:v>J</x:v>
      </x:c>
      <x:c r="D1845" t="str">
        <x:v>VVS2</x:v>
      </x:c>
      <x:c r="E1845" s="36" t="n">
        <x:v>46200</x:v>
      </x:c>
      <x:c r="F1845" s="36" t="n">
        <x:v>2612</x:v>
      </x:c>
      <x:c r="G1845" s="42" t="n">
        <x:v>0.5602745602745602</x:v>
      </x:c>
      <x:c r="H1845" s="36" t="n">
        <x:f>E1845*G1845</x:f>
        <x:v>25884.684684684682</x:v>
      </x:c>
      <x:c r="I1845" s="36" t="n">
        <x:f>IFERROR(H1845/A1845,0)</x:f>
        <x:v>8628.228228228227</x:v>
      </x:c>
      <x:c r="J1845" s="67" t="str">
        <x:v>Modeled from live base + Sep-2026 quality ratio</x:v>
      </x:c>
      <x:c r="K1845" s="67" t="str">
        <x:v>https://www.stonealgo.com/diamond-prices/</x:v>
      </x:c>
      <x:c r="L1845" s="67" t="str">
        <x:v>https://www.pricescope.com/blog/natural-diamond-prices-september-2026</x:v>
      </x:c>
    </x:row>
    <x:row r="1846">
      <x:c r="A1846" t="n">
        <x:v>3</x:v>
      </x:c>
      <x:c r="B1846" t="str">
        <x:v>Marquise</x:v>
      </x:c>
      <x:c r="C1846" t="str">
        <x:v>J</x:v>
      </x:c>
      <x:c r="D1846" t="str">
        <x:v>VS1</x:v>
      </x:c>
      <x:c r="E1846" s="36" t="n">
        <x:v>46200</x:v>
      </x:c>
      <x:c r="F1846" s="36" t="n">
        <x:v>3002</x:v>
      </x:c>
      <x:c r="G1846" s="42" t="n">
        <x:v>0.6439296439296439</x:v>
      </x:c>
      <x:c r="H1846" s="36" t="n">
        <x:f>E1846*G1846</x:f>
        <x:v>29749.54954954955</x:v>
      </x:c>
      <x:c r="I1846" s="36" t="n">
        <x:f>IFERROR(H1846/A1846,0)</x:f>
        <x:v>9916.516516516516</x:v>
      </x:c>
      <x:c r="J1846" s="67" t="str">
        <x:v>Modeled from live base + Sep-2026 quality ratio</x:v>
      </x:c>
      <x:c r="K1846" s="67" t="str">
        <x:v>https://www.stonealgo.com/diamond-prices/</x:v>
      </x:c>
      <x:c r="L1846" s="67" t="str">
        <x:v>https://www.pricescope.com/blog/natural-diamond-prices-september-2026</x:v>
      </x:c>
    </x:row>
    <x:row r="1847">
      <x:c r="A1847" t="n">
        <x:v>3</x:v>
      </x:c>
      <x:c r="B1847" t="str">
        <x:v>Marquise</x:v>
      </x:c>
      <x:c r="C1847" t="str">
        <x:v>J</x:v>
      </x:c>
      <x:c r="D1847" t="str">
        <x:v>VS2</x:v>
      </x:c>
      <x:c r="E1847" s="36" t="n">
        <x:v>46200</x:v>
      </x:c>
      <x:c r="F1847" s="36" t="n">
        <x:v>2559</x:v>
      </x:c>
      <x:c r="G1847" s="42" t="n">
        <x:v>0.5489060489060489</x:v>
      </x:c>
      <x:c r="H1847" s="36" t="n">
        <x:f>E1847*G1847</x:f>
        <x:v>25359.45945945946</x:v>
      </x:c>
      <x:c r="I1847" s="36" t="n">
        <x:f>IFERROR(H1847/A1847,0)</x:f>
        <x:v>8453.153153153153</x:v>
      </x:c>
      <x:c r="J1847" s="67" t="str">
        <x:v>Modeled from live base + Sep-2026 quality ratio</x:v>
      </x:c>
      <x:c r="K1847" s="67" t="str">
        <x:v>https://www.stonealgo.com/diamond-prices/</x:v>
      </x:c>
      <x:c r="L1847" s="67" t="str">
        <x:v>https://www.pricescope.com/blog/natural-diamond-prices-september-2026</x:v>
      </x:c>
    </x:row>
    <x:row r="1848">
      <x:c r="A1848" t="n">
        <x:v>3</x:v>
      </x:c>
      <x:c r="B1848" t="str">
        <x:v>Marquise</x:v>
      </x:c>
      <x:c r="C1848" t="str">
        <x:v>J</x:v>
      </x:c>
      <x:c r="D1848" t="str">
        <x:v>SI1</x:v>
      </x:c>
      <x:c r="E1848" s="36" t="n">
        <x:v>46200</x:v>
      </x:c>
      <x:c r="F1848" s="36" t="n">
        <x:v>2195</x:v>
      </x:c>
      <x:c r="G1848" s="42" t="n">
        <x:v>0.47082797082797084</x:v>
      </x:c>
      <x:c r="H1848" s="36" t="n">
        <x:f>E1848*G1848</x:f>
        <x:v>21752.252252252252</x:v>
      </x:c>
      <x:c r="I1848" s="36" t="n">
        <x:f>IFERROR(H1848/A1848,0)</x:f>
        <x:v>7250.750750750751</x:v>
      </x:c>
      <x:c r="J1848" s="67" t="str">
        <x:v>Modeled from live base + Sep-2026 quality ratio</x:v>
      </x:c>
      <x:c r="K1848" s="67" t="str">
        <x:v>https://www.stonealgo.com/diamond-prices/</x:v>
      </x:c>
      <x:c r="L1848" s="67" t="str">
        <x:v>https://www.pricescope.com/blog/natural-diamond-prices-september-2026</x:v>
      </x:c>
    </x:row>
    <x:row r="1849">
      <x:c r="A1849" t="n">
        <x:v>3</x:v>
      </x:c>
      <x:c r="B1849" t="str">
        <x:v>Marquise</x:v>
      </x:c>
      <x:c r="C1849" t="str">
        <x:v>J</x:v>
      </x:c>
      <x:c r="D1849" t="str">
        <x:v>SI2</x:v>
      </x:c>
      <x:c r="E1849" s="36" t="n">
        <x:v>46200</x:v>
      </x:c>
      <x:c r="F1849" s="36" t="n">
        <x:v>2079</x:v>
      </x:c>
      <x:c r="G1849" s="42" t="n">
        <x:v>0.44594594594594594</x:v>
      </x:c>
      <x:c r="H1849" s="36" t="n">
        <x:f>E1849*G1849</x:f>
        <x:v>20602.702702702703</x:v>
      </x:c>
      <x:c r="I1849" s="36" t="n">
        <x:f>IFERROR(H1849/A1849,0)</x:f>
        <x:v>6867.5675675675675</x:v>
      </x:c>
      <x:c r="J1849" s="67" t="str">
        <x:v>Modeled from live base + Sep-2026 quality ratio</x:v>
      </x:c>
      <x:c r="K1849" s="67" t="str">
        <x:v>https://www.stonealgo.com/diamond-prices/</x:v>
      </x:c>
      <x:c r="L1849" s="67" t="str">
        <x:v>https://www.pricescope.com/blog/natural-diamond-prices-september-2026</x:v>
      </x:c>
    </x:row>
    <x:row r="1850">
      <x:c r="A1850" t="n">
        <x:v>3</x:v>
      </x:c>
      <x:c r="B1850" t="str">
        <x:v>Marquise</x:v>
      </x:c>
      <x:c r="C1850" t="str">
        <x:v>K</x:v>
      </x:c>
      <x:c r="D1850" t="str">
        <x:v>FL</x:v>
      </x:c>
      <x:c r="E1850" s="36" t="n">
        <x:v>46200</x:v>
      </x:c>
      <x:c r="F1850" s="36" t="n">
        <x:v>2858</x:v>
      </x:c>
      <x:c r="G1850" s="42" t="n">
        <x:v>0.6130416130416131</x:v>
      </x:c>
      <x:c r="H1850" s="36" t="n">
        <x:f>E1850*G1850</x:f>
        <x:v>28322.522522522526</x:v>
      </x:c>
      <x:c r="I1850" s="36" t="n">
        <x:f>IFERROR(H1850/A1850,0)</x:f>
        <x:v>9440.840840840841</x:v>
      </x:c>
      <x:c r="J1850" s="67" t="str">
        <x:v>Modeled from live base + Sep-2026 quality ratio; K/FL quality cell modeled</x:v>
      </x:c>
      <x:c r="K1850" s="67" t="str">
        <x:v>https://www.stonealgo.com/diamond-prices/</x:v>
      </x:c>
      <x:c r="L1850" s="67" t="str">
        <x:v>https://www.pricescope.com/blog/natural-diamond-prices-september-2026</x:v>
      </x:c>
    </x:row>
    <x:row r="1851">
      <x:c r="A1851" t="n">
        <x:v>3</x:v>
      </x:c>
      <x:c r="B1851" t="str">
        <x:v>Marquise</x:v>
      </x:c>
      <x:c r="C1851" t="str">
        <x:v>K</x:v>
      </x:c>
      <x:c r="D1851" t="str">
        <x:v>IF</x:v>
      </x:c>
      <x:c r="E1851" s="36" t="n">
        <x:v>46200</x:v>
      </x:c>
      <x:c r="F1851" s="36" t="n">
        <x:v>2743</x:v>
      </x:c>
      <x:c r="G1851" s="42" t="n">
        <x:v>0.5883740883740883</x:v>
      </x:c>
      <x:c r="H1851" s="36" t="n">
        <x:f>E1851*G1851</x:f>
        <x:v>27182.88288288288</x:v>
      </x:c>
      <x:c r="I1851" s="36" t="n">
        <x:f>IFERROR(H1851/A1851,0)</x:f>
        <x:v>9060.96096096096</x:v>
      </x:c>
      <x:c r="J1851" s="67" t="str">
        <x:v>Modeled from live base + Sep-2026 quality ratio</x:v>
      </x:c>
      <x:c r="K1851" s="67" t="str">
        <x:v>https://www.stonealgo.com/diamond-prices/</x:v>
      </x:c>
      <x:c r="L1851" s="67" t="str">
        <x:v>https://www.pricescope.com/blog/natural-diamond-prices-september-2026</x:v>
      </x:c>
    </x:row>
    <x:row r="1852">
      <x:c r="A1852" t="n">
        <x:v>3</x:v>
      </x:c>
      <x:c r="B1852" t="str">
        <x:v>Marquise</x:v>
      </x:c>
      <x:c r="C1852" t="str">
        <x:v>K</x:v>
      </x:c>
      <x:c r="D1852" t="str">
        <x:v>VVS1</x:v>
      </x:c>
      <x:c r="E1852" s="36" t="n">
        <x:v>46200</x:v>
      </x:c>
      <x:c r="F1852" s="36" t="n">
        <x:v>2529</x:v>
      </x:c>
      <x:c r="G1852" s="42" t="n">
        <x:v>0.5424710424710425</x:v>
      </x:c>
      <x:c r="H1852" s="36" t="n">
        <x:f>E1852*G1852</x:f>
        <x:v>25062.162162162163</x:v>
      </x:c>
      <x:c r="I1852" s="36" t="n">
        <x:f>IFERROR(H1852/A1852,0)</x:f>
        <x:v>8354.054054054055</x:v>
      </x:c>
      <x:c r="J1852" s="67" t="str">
        <x:v>Modeled from live base + Sep-2026 quality ratio</x:v>
      </x:c>
      <x:c r="K1852" s="67" t="str">
        <x:v>https://www.stonealgo.com/diamond-prices/</x:v>
      </x:c>
      <x:c r="L1852" s="67" t="str">
        <x:v>https://www.pricescope.com/blog/natural-diamond-prices-september-2026</x:v>
      </x:c>
    </x:row>
    <x:row r="1853">
      <x:c r="A1853" t="n">
        <x:v>3</x:v>
      </x:c>
      <x:c r="B1853" t="str">
        <x:v>Marquise</x:v>
      </x:c>
      <x:c r="C1853" t="str">
        <x:v>K</x:v>
      </x:c>
      <x:c r="D1853" t="str">
        <x:v>VVS2</x:v>
      </x:c>
      <x:c r="E1853" s="36" t="n">
        <x:v>46200</x:v>
      </x:c>
      <x:c r="F1853" s="36" t="n">
        <x:v>2374</x:v>
      </x:c>
      <x:c r="G1853" s="42" t="n">
        <x:v>0.5092235092235092</x:v>
      </x:c>
      <x:c r="H1853" s="36" t="n">
        <x:f>E1853*G1853</x:f>
        <x:v>23526.126126126128</x:v>
      </x:c>
      <x:c r="I1853" s="36" t="n">
        <x:f>IFERROR(H1853/A1853,0)</x:f>
        <x:v>7842.042042042042</x:v>
      </x:c>
      <x:c r="J1853" s="67" t="str">
        <x:v>Modeled from live base + Sep-2026 quality ratio</x:v>
      </x:c>
      <x:c r="K1853" s="67" t="str">
        <x:v>https://www.stonealgo.com/diamond-prices/</x:v>
      </x:c>
      <x:c r="L1853" s="67" t="str">
        <x:v>https://www.pricescope.com/blog/natural-diamond-prices-september-2026</x:v>
      </x:c>
    </x:row>
    <x:row r="1854">
      <x:c r="A1854" t="n">
        <x:v>3</x:v>
      </x:c>
      <x:c r="B1854" t="str">
        <x:v>Marquise</x:v>
      </x:c>
      <x:c r="C1854" t="str">
        <x:v>K</x:v>
      </x:c>
      <x:c r="D1854" t="str">
        <x:v>VS1</x:v>
      </x:c>
      <x:c r="E1854" s="36" t="n">
        <x:v>46200</x:v>
      </x:c>
      <x:c r="F1854" s="36" t="n">
        <x:v>2223</x:v>
      </x:c>
      <x:c r="G1854" s="42" t="n">
        <x:v>0.4768339768339768</x:v>
      </x:c>
      <x:c r="H1854" s="36" t="n">
        <x:f>E1854*G1854</x:f>
        <x:v>22029.72972972973</x:v>
      </x:c>
      <x:c r="I1854" s="36" t="n">
        <x:f>IFERROR(H1854/A1854,0)</x:f>
        <x:v>7343.243243243243</x:v>
      </x:c>
      <x:c r="J1854" s="67" t="str">
        <x:v>Modeled from live base + Sep-2026 quality ratio</x:v>
      </x:c>
      <x:c r="K1854" s="67" t="str">
        <x:v>https://www.stonealgo.com/diamond-prices/</x:v>
      </x:c>
      <x:c r="L1854" s="67" t="str">
        <x:v>https://www.pricescope.com/blog/natural-diamond-prices-september-2026</x:v>
      </x:c>
    </x:row>
    <x:row r="1855">
      <x:c r="A1855" t="n">
        <x:v>3</x:v>
      </x:c>
      <x:c r="B1855" t="str">
        <x:v>Marquise</x:v>
      </x:c>
      <x:c r="C1855" t="str">
        <x:v>K</x:v>
      </x:c>
      <x:c r="D1855" t="str">
        <x:v>VS2</x:v>
      </x:c>
      <x:c r="E1855" s="36" t="n">
        <x:v>46200</x:v>
      </x:c>
      <x:c r="F1855" s="36" t="n">
        <x:v>2098</x:v>
      </x:c>
      <x:c r="G1855" s="42" t="n">
        <x:v>0.45002145002145</x:v>
      </x:c>
      <x:c r="H1855" s="36" t="n">
        <x:f>E1855*G1855</x:f>
        <x:v>20790.99099099099</x:v>
      </x:c>
      <x:c r="I1855" s="36" t="n">
        <x:f>IFERROR(H1855/A1855,0)</x:f>
        <x:v>6930.33033033033</x:v>
      </x:c>
      <x:c r="J1855" s="67" t="str">
        <x:v>Modeled from live base + Sep-2026 quality ratio</x:v>
      </x:c>
      <x:c r="K1855" s="67" t="str">
        <x:v>https://www.stonealgo.com/diamond-prices/</x:v>
      </x:c>
      <x:c r="L1855" s="67" t="str">
        <x:v>https://www.pricescope.com/blog/natural-diamond-prices-september-2026</x:v>
      </x:c>
    </x:row>
    <x:row r="1856">
      <x:c r="A1856" t="n">
        <x:v>3</x:v>
      </x:c>
      <x:c r="B1856" t="str">
        <x:v>Marquise</x:v>
      </x:c>
      <x:c r="C1856" t="str">
        <x:v>K</x:v>
      </x:c>
      <x:c r="D1856" t="str">
        <x:v>SI1</x:v>
      </x:c>
      <x:c r="E1856" s="36" t="n">
        <x:v>46200</x:v>
      </x:c>
      <x:c r="F1856" s="36" t="n">
        <x:v>1922</x:v>
      </x:c>
      <x:c r="G1856" s="42" t="n">
        <x:v>0.41226941226941227</x:v>
      </x:c>
      <x:c r="H1856" s="36" t="n">
        <x:f>E1856*G1856</x:f>
        <x:v>19046.846846846845</x:v>
      </x:c>
      <x:c r="I1856" s="36" t="n">
        <x:f>IFERROR(H1856/A1856,0)</x:f>
        <x:v>6348.948948948949</x:v>
      </x:c>
      <x:c r="J1856" s="67" t="str">
        <x:v>Modeled from live base + Sep-2026 quality ratio</x:v>
      </x:c>
      <x:c r="K1856" s="67" t="str">
        <x:v>https://www.stonealgo.com/diamond-prices/</x:v>
      </x:c>
      <x:c r="L1856" s="67" t="str">
        <x:v>https://www.pricescope.com/blog/natural-diamond-prices-september-2026</x:v>
      </x:c>
    </x:row>
    <x:row r="1857">
      <x:c r="A1857" t="n">
        <x:v>3</x:v>
      </x:c>
      <x:c r="B1857" t="str">
        <x:v>Marquise</x:v>
      </x:c>
      <x:c r="C1857" t="str">
        <x:v>K</x:v>
      </x:c>
      <x:c r="D1857" t="str">
        <x:v>SI2</x:v>
      </x:c>
      <x:c r="E1857" s="36" t="n">
        <x:v>46200</x:v>
      </x:c>
      <x:c r="F1857" s="36" t="n">
        <x:v>1764</x:v>
      </x:c>
      <x:c r="G1857" s="42" t="n">
        <x:v>0.3783783783783784</x:v>
      </x:c>
      <x:c r="H1857" s="36" t="n">
        <x:f>E1857*G1857</x:f>
        <x:v>17481.081081081084</x:v>
      </x:c>
      <x:c r="I1857" s="36" t="n">
        <x:f>IFERROR(H1857/A1857,0)</x:f>
        <x:v>5827.0270270270275</x:v>
      </x:c>
      <x:c r="J1857" s="67" t="str">
        <x:v>Modeled from live base + Sep-2026 quality ratio</x:v>
      </x:c>
      <x:c r="K1857" s="67" t="str">
        <x:v>https://www.stonealgo.com/diamond-prices/</x:v>
      </x:c>
      <x:c r="L1857" s="67" t="str">
        <x:v>https://www.pricescope.com/blog/natural-diamond-prices-september-2026</x:v>
      </x:c>
    </x:row>
    <x:row r="1858">
      <x:c r="A1858" t="n">
        <x:v>3</x:v>
      </x:c>
      <x:c r="B1858" t="str">
        <x:v>Asscher</x:v>
      </x:c>
      <x:c r="C1858" t="str">
        <x:v>D</x:v>
      </x:c>
      <x:c r="D1858" t="str">
        <x:v>FL</x:v>
      </x:c>
      <x:c r="E1858" s="36" t="n">
        <x:v>34300</x:v>
      </x:c>
      <x:c r="F1858" s="36" t="n">
        <x:v>12665</x:v>
      </x:c>
      <x:c r="G1858" s="42" t="n">
        <x:v>2.7166452166452166</x:v>
      </x:c>
      <x:c r="H1858" s="36" t="n">
        <x:f>E1858*G1858</x:f>
        <x:v>93180.93093093093</x:v>
      </x:c>
      <x:c r="I1858" s="36" t="n">
        <x:f>IFERROR(H1858/A1858,0)</x:f>
        <x:v>31060.31031031031</x:v>
      </x:c>
      <x:c r="J1858" s="67" t="str">
        <x:v>Modeled from live base + Sep-2026 quality ratio</x:v>
      </x:c>
      <x:c r="K1858" s="67" t="str">
        <x:v>https://www.stonealgo.com/diamond-prices/</x:v>
      </x:c>
      <x:c r="L1858" s="67" t="str">
        <x:v>https://www.pricescope.com/blog/natural-diamond-prices-september-2026</x:v>
      </x:c>
    </x:row>
    <x:row r="1859">
      <x:c r="A1859" t="n">
        <x:v>3</x:v>
      </x:c>
      <x:c r="B1859" t="str">
        <x:v>Asscher</x:v>
      </x:c>
      <x:c r="C1859" t="str">
        <x:v>D</x:v>
      </x:c>
      <x:c r="D1859" t="str">
        <x:v>IF</x:v>
      </x:c>
      <x:c r="E1859" s="36" t="n">
        <x:v>34300</x:v>
      </x:c>
      <x:c r="F1859" s="36" t="n">
        <x:v>13240</x:v>
      </x:c>
      <x:c r="G1859" s="42" t="n">
        <x:v>2.83998283998284</x:v>
      </x:c>
      <x:c r="H1859" s="36" t="n">
        <x:f>E1859*G1859</x:f>
        <x:v>97411.41141141142</x:v>
      </x:c>
      <x:c r="I1859" s="36" t="n">
        <x:f>IFERROR(H1859/A1859,0)</x:f>
        <x:v>32470.470470470475</x:v>
      </x:c>
      <x:c r="J1859" s="67" t="str">
        <x:v>Modeled from live base + Sep-2026 quality ratio</x:v>
      </x:c>
      <x:c r="K1859" s="67" t="str">
        <x:v>https://www.stonealgo.com/diamond-prices/</x:v>
      </x:c>
      <x:c r="L1859" s="67" t="str">
        <x:v>https://www.pricescope.com/blog/natural-diamond-prices-september-2026</x:v>
      </x:c>
    </x:row>
    <x:row r="1860">
      <x:c r="A1860" t="n">
        <x:v>3</x:v>
      </x:c>
      <x:c r="B1860" t="str">
        <x:v>Asscher</x:v>
      </x:c>
      <x:c r="C1860" t="str">
        <x:v>D</x:v>
      </x:c>
      <x:c r="D1860" t="str">
        <x:v>VVS1</x:v>
      </x:c>
      <x:c r="E1860" s="36" t="n">
        <x:v>34300</x:v>
      </x:c>
      <x:c r="F1860" s="36" t="n">
        <x:v>9555</x:v>
      </x:c>
      <x:c r="G1860" s="42" t="n">
        <x:v>2.0495495495495497</x:v>
      </x:c>
      <x:c r="H1860" s="36" t="n">
        <x:f>E1860*G1860</x:f>
        <x:v>70299.54954954956</x:v>
      </x:c>
      <x:c r="I1860" s="36" t="n">
        <x:f>IFERROR(H1860/A1860,0)</x:f>
        <x:v>23433.183183183184</x:v>
      </x:c>
      <x:c r="J1860" s="67" t="str">
        <x:v>Modeled from live base + Sep-2026 quality ratio</x:v>
      </x:c>
      <x:c r="K1860" s="67" t="str">
        <x:v>https://www.stonealgo.com/diamond-prices/</x:v>
      </x:c>
      <x:c r="L1860" s="67" t="str">
        <x:v>https://www.pricescope.com/blog/natural-diamond-prices-september-2026</x:v>
      </x:c>
    </x:row>
    <x:row r="1861">
      <x:c r="A1861" t="n">
        <x:v>3</x:v>
      </x:c>
      <x:c r="B1861" t="str">
        <x:v>Asscher</x:v>
      </x:c>
      <x:c r="C1861" t="str">
        <x:v>D</x:v>
      </x:c>
      <x:c r="D1861" t="str">
        <x:v>VVS2</x:v>
      </x:c>
      <x:c r="E1861" s="36" t="n">
        <x:v>34300</x:v>
      </x:c>
      <x:c r="F1861" s="36" t="n">
        <x:v>6660</x:v>
      </x:c>
      <x:c r="G1861" s="42" t="n">
        <x:v>1.4285714285714286</x:v>
      </x:c>
      <x:c r="H1861" s="36" t="n">
        <x:f>E1861*G1861</x:f>
        <x:v>49000</x:v>
      </x:c>
      <x:c r="I1861" s="36" t="n">
        <x:f>IFERROR(H1861/A1861,0)</x:f>
        <x:v>16333.333333333334</x:v>
      </x:c>
      <x:c r="J1861" s="67" t="str">
        <x:v>Modeled from live base + Sep-2026 quality ratio</x:v>
      </x:c>
      <x:c r="K1861" s="67" t="str">
        <x:v>https://www.stonealgo.com/diamond-prices/</x:v>
      </x:c>
      <x:c r="L1861" s="67" t="str">
        <x:v>https://www.pricescope.com/blog/natural-diamond-prices-september-2026</x:v>
      </x:c>
    </x:row>
    <x:row r="1862">
      <x:c r="A1862" t="n">
        <x:v>3</x:v>
      </x:c>
      <x:c r="B1862" t="str">
        <x:v>Asscher</x:v>
      </x:c>
      <x:c r="C1862" t="str">
        <x:v>D</x:v>
      </x:c>
      <x:c r="D1862" t="str">
        <x:v>VS1</x:v>
      </x:c>
      <x:c r="E1862" s="36" t="n">
        <x:v>34300</x:v>
      </x:c>
      <x:c r="F1862" s="36" t="n">
        <x:v>6247</x:v>
      </x:c>
      <x:c r="G1862" s="42" t="n">
        <x:v>1.33998283998284</x:v>
      </x:c>
      <x:c r="H1862" s="36" t="n">
        <x:f>E1862*G1862</x:f>
        <x:v>45961.41141141141</x:v>
      </x:c>
      <x:c r="I1862" s="36" t="n">
        <x:f>IFERROR(H1862/A1862,0)</x:f>
        <x:v>15320.47047047047</x:v>
      </x:c>
      <x:c r="J1862" s="67" t="str">
        <x:v>Modeled from live base + Sep-2026 quality ratio</x:v>
      </x:c>
      <x:c r="K1862" s="67" t="str">
        <x:v>https://www.stonealgo.com/diamond-prices/</x:v>
      </x:c>
      <x:c r="L1862" s="67" t="str">
        <x:v>https://www.pricescope.com/blog/natural-diamond-prices-september-2026</x:v>
      </x:c>
    </x:row>
    <x:row r="1863">
      <x:c r="A1863" t="n">
        <x:v>3</x:v>
      </x:c>
      <x:c r="B1863" t="str">
        <x:v>Asscher</x:v>
      </x:c>
      <x:c r="C1863" t="str">
        <x:v>D</x:v>
      </x:c>
      <x:c r="D1863" t="str">
        <x:v>VS2</x:v>
      </x:c>
      <x:c r="E1863" s="36" t="n">
        <x:v>34300</x:v>
      </x:c>
      <x:c r="F1863" s="36" t="n">
        <x:v>5841</x:v>
      </x:c>
      <x:c r="G1863" s="42" t="n">
        <x:v>1.252895752895753</x:v>
      </x:c>
      <x:c r="H1863" s="36" t="n">
        <x:f>E1863*G1863</x:f>
        <x:v>42974.32432432433</x:v>
      </x:c>
      <x:c r="I1863" s="36" t="n">
        <x:f>IFERROR(H1863/A1863,0)</x:f>
        <x:v>14324.774774774776</x:v>
      </x:c>
      <x:c r="J1863" s="67" t="str">
        <x:v>Modeled from live base + Sep-2026 quality ratio</x:v>
      </x:c>
      <x:c r="K1863" s="67" t="str">
        <x:v>https://www.stonealgo.com/diamond-prices/</x:v>
      </x:c>
      <x:c r="L1863" s="67" t="str">
        <x:v>https://www.pricescope.com/blog/natural-diamond-prices-september-2026</x:v>
      </x:c>
    </x:row>
    <x:row r="1864">
      <x:c r="A1864" t="n">
        <x:v>3</x:v>
      </x:c>
      <x:c r="B1864" t="str">
        <x:v>Asscher</x:v>
      </x:c>
      <x:c r="C1864" t="str">
        <x:v>D</x:v>
      </x:c>
      <x:c r="D1864" t="str">
        <x:v>SI1</x:v>
      </x:c>
      <x:c r="E1864" s="36" t="n">
        <x:v>34300</x:v>
      </x:c>
      <x:c r="F1864" s="36" t="n">
        <x:v>3762</x:v>
      </x:c>
      <x:c r="G1864" s="42" t="n">
        <x:v>0.806949806949807</x:v>
      </x:c>
      <x:c r="H1864" s="36" t="n">
        <x:f>E1864*G1864</x:f>
        <x:v>27678.37837837838</x:v>
      </x:c>
      <x:c r="I1864" s="36" t="n">
        <x:f>IFERROR(H1864/A1864,0)</x:f>
        <x:v>9226.126126126126</x:v>
      </x:c>
      <x:c r="J1864" s="67" t="str">
        <x:v>Modeled from live base + Sep-2026 quality ratio</x:v>
      </x:c>
      <x:c r="K1864" s="67" t="str">
        <x:v>https://www.stonealgo.com/diamond-prices/</x:v>
      </x:c>
      <x:c r="L1864" s="67" t="str">
        <x:v>https://www.pricescope.com/blog/natural-diamond-prices-september-2026</x:v>
      </x:c>
    </x:row>
    <x:row r="1865">
      <x:c r="A1865" t="n">
        <x:v>3</x:v>
      </x:c>
      <x:c r="B1865" t="str">
        <x:v>Asscher</x:v>
      </x:c>
      <x:c r="C1865" t="str">
        <x:v>D</x:v>
      </x:c>
      <x:c r="D1865" t="str">
        <x:v>SI2</x:v>
      </x:c>
      <x:c r="E1865" s="36" t="n">
        <x:v>34300</x:v>
      </x:c>
      <x:c r="F1865" s="36" t="n">
        <x:v>3026</x:v>
      </x:c>
      <x:c r="G1865" s="42" t="n">
        <x:v>0.6490776490776491</x:v>
      </x:c>
      <x:c r="H1865" s="36" t="n">
        <x:f>E1865*G1865</x:f>
        <x:v>22263.363363363365</x:v>
      </x:c>
      <x:c r="I1865" s="36" t="n">
        <x:f>IFERROR(H1865/A1865,0)</x:f>
        <x:v>7421.121121121122</x:v>
      </x:c>
      <x:c r="J1865" s="67" t="str">
        <x:v>Modeled from live base + Sep-2026 quality ratio</x:v>
      </x:c>
      <x:c r="K1865" s="67" t="str">
        <x:v>https://www.stonealgo.com/diamond-prices/</x:v>
      </x:c>
      <x:c r="L1865" s="67" t="str">
        <x:v>https://www.pricescope.com/blog/natural-diamond-prices-september-2026</x:v>
      </x:c>
    </x:row>
    <x:row r="1866">
      <x:c r="A1866" t="n">
        <x:v>3</x:v>
      </x:c>
      <x:c r="B1866" t="str">
        <x:v>Asscher</x:v>
      </x:c>
      <x:c r="C1866" t="str">
        <x:v>E</x:v>
      </x:c>
      <x:c r="D1866" t="str">
        <x:v>FL</x:v>
      </x:c>
      <x:c r="E1866" s="36" t="n">
        <x:v>34300</x:v>
      </x:c>
      <x:c r="F1866" s="36" t="n">
        <x:v>10072</x:v>
      </x:c>
      <x:c r="G1866" s="42" t="n">
        <x:v>2.1604461604461602</x:v>
      </x:c>
      <x:c r="H1866" s="36" t="n">
        <x:f>E1866*G1866</x:f>
        <x:v>74103.3033033033</x:v>
      </x:c>
      <x:c r="I1866" s="36" t="n">
        <x:f>IFERROR(H1866/A1866,0)</x:f>
        <x:v>24701.1011011011</x:v>
      </x:c>
      <x:c r="J1866" s="67" t="str">
        <x:v>Modeled from live base + Sep-2026 quality ratio</x:v>
      </x:c>
      <x:c r="K1866" s="67" t="str">
        <x:v>https://www.stonealgo.com/diamond-prices/</x:v>
      </x:c>
      <x:c r="L1866" s="67" t="str">
        <x:v>https://www.pricescope.com/blog/natural-diamond-prices-september-2026</x:v>
      </x:c>
    </x:row>
    <x:row r="1867">
      <x:c r="A1867" t="n">
        <x:v>3</x:v>
      </x:c>
      <x:c r="B1867" t="str">
        <x:v>Asscher</x:v>
      </x:c>
      <x:c r="C1867" t="str">
        <x:v>E</x:v>
      </x:c>
      <x:c r="D1867" t="str">
        <x:v>IF</x:v>
      </x:c>
      <x:c r="E1867" s="36" t="n">
        <x:v>34300</x:v>
      </x:c>
      <x:c r="F1867" s="36" t="n">
        <x:v>8672</x:v>
      </x:c>
      <x:c r="G1867" s="42" t="n">
        <x:v>1.8601458601458603</x:v>
      </x:c>
      <x:c r="H1867" s="36" t="n">
        <x:f>E1867*G1867</x:f>
        <x:v>63803.00300300301</x:v>
      </x:c>
      <x:c r="I1867" s="36" t="n">
        <x:f>IFERROR(H1867/A1867,0)</x:f>
        <x:v>21267.66766766767</x:v>
      </x:c>
      <x:c r="J1867" s="67" t="str">
        <x:v>Modeled from live base + Sep-2026 quality ratio</x:v>
      </x:c>
      <x:c r="K1867" s="67" t="str">
        <x:v>https://www.stonealgo.com/diamond-prices/</x:v>
      </x:c>
      <x:c r="L1867" s="67" t="str">
        <x:v>https://www.pricescope.com/blog/natural-diamond-prices-september-2026</x:v>
      </x:c>
    </x:row>
    <x:row r="1868">
      <x:c r="A1868" t="n">
        <x:v>3</x:v>
      </x:c>
      <x:c r="B1868" t="str">
        <x:v>Asscher</x:v>
      </x:c>
      <x:c r="C1868" t="str">
        <x:v>E</x:v>
      </x:c>
      <x:c r="D1868" t="str">
        <x:v>VVS1</x:v>
      </x:c>
      <x:c r="E1868" s="36" t="n">
        <x:v>34300</x:v>
      </x:c>
      <x:c r="F1868" s="36" t="n">
        <x:v>7842</x:v>
      </x:c>
      <x:c r="G1868" s="42" t="n">
        <x:v>1.6821106821106822</x:v>
      </x:c>
      <x:c r="H1868" s="36" t="n">
        <x:f>E1868*G1868</x:f>
        <x:v>57696.3963963964</x:v>
      </x:c>
      <x:c r="I1868" s="36" t="n">
        <x:f>IFERROR(H1868/A1868,0)</x:f>
        <x:v>19232.132132132134</x:v>
      </x:c>
      <x:c r="J1868" s="67" t="str">
        <x:v>Modeled from live base + Sep-2026 quality ratio</x:v>
      </x:c>
      <x:c r="K1868" s="67" t="str">
        <x:v>https://www.stonealgo.com/diamond-prices/</x:v>
      </x:c>
      <x:c r="L1868" s="67" t="str">
        <x:v>https://www.pricescope.com/blog/natural-diamond-prices-september-2026</x:v>
      </x:c>
    </x:row>
    <x:row r="1869">
      <x:c r="A1869" t="n">
        <x:v>3</x:v>
      </x:c>
      <x:c r="B1869" t="str">
        <x:v>Asscher</x:v>
      </x:c>
      <x:c r="C1869" t="str">
        <x:v>E</x:v>
      </x:c>
      <x:c r="D1869" t="str">
        <x:v>VVS2</x:v>
      </x:c>
      <x:c r="E1869" s="36" t="n">
        <x:v>34300</x:v>
      </x:c>
      <x:c r="F1869" s="36" t="n">
        <x:v>6880</x:v>
      </x:c>
      <x:c r="G1869" s="42" t="n">
        <x:v>1.4757614757614759</x:v>
      </x:c>
      <x:c r="H1869" s="36" t="n">
        <x:f>E1869*G1869</x:f>
        <x:v>50618.618618618624</x:v>
      </x:c>
      <x:c r="I1869" s="36" t="n">
        <x:f>IFERROR(H1869/A1869,0)</x:f>
        <x:v>16872.872872872875</x:v>
      </x:c>
      <x:c r="J1869" s="67" t="str">
        <x:v>Modeled from live base + Sep-2026 quality ratio</x:v>
      </x:c>
      <x:c r="K1869" s="67" t="str">
        <x:v>https://www.stonealgo.com/diamond-prices/</x:v>
      </x:c>
      <x:c r="L1869" s="67" t="str">
        <x:v>https://www.pricescope.com/blog/natural-diamond-prices-september-2026</x:v>
      </x:c>
    </x:row>
    <x:row r="1870">
      <x:c r="A1870" t="n">
        <x:v>3</x:v>
      </x:c>
      <x:c r="B1870" t="str">
        <x:v>Asscher</x:v>
      </x:c>
      <x:c r="C1870" t="str">
        <x:v>E</x:v>
      </x:c>
      <x:c r="D1870" t="str">
        <x:v>VS1</x:v>
      </x:c>
      <x:c r="E1870" s="36" t="n">
        <x:v>34300</x:v>
      </x:c>
      <x:c r="F1870" s="36" t="n">
        <x:v>6307</x:v>
      </x:c>
      <x:c r="G1870" s="42" t="n">
        <x:v>1.352852852852853</x:v>
      </x:c>
      <x:c r="H1870" s="36" t="n">
        <x:f>E1870*G1870</x:f>
        <x:v>46402.852852852855</x:v>
      </x:c>
      <x:c r="I1870" s="36" t="n">
        <x:f>IFERROR(H1870/A1870,0)</x:f>
        <x:v>15467.617617617618</x:v>
      </x:c>
      <x:c r="J1870" s="67" t="str">
        <x:v>Modeled from live base + Sep-2026 quality ratio</x:v>
      </x:c>
      <x:c r="K1870" s="67" t="str">
        <x:v>https://www.stonealgo.com/diamond-prices/</x:v>
      </x:c>
      <x:c r="L1870" s="67" t="str">
        <x:v>https://www.pricescope.com/blog/natural-diamond-prices-september-2026</x:v>
      </x:c>
    </x:row>
    <x:row r="1871">
      <x:c r="A1871" t="n">
        <x:v>3</x:v>
      </x:c>
      <x:c r="B1871" t="str">
        <x:v>Asscher</x:v>
      </x:c>
      <x:c r="C1871" t="str">
        <x:v>E</x:v>
      </x:c>
      <x:c r="D1871" t="str">
        <x:v>VS2</x:v>
      </x:c>
      <x:c r="E1871" s="36" t="n">
        <x:v>34300</x:v>
      </x:c>
      <x:c r="F1871" s="36" t="n">
        <x:v>5249</x:v>
      </x:c>
      <x:c r="G1871" s="42" t="n">
        <x:v>1.125911625911626</x:v>
      </x:c>
      <x:c r="H1871" s="36" t="n">
        <x:f>E1871*G1871</x:f>
        <x:v>38618.76876876877</x:v>
      </x:c>
      <x:c r="I1871" s="36" t="n">
        <x:f>IFERROR(H1871/A1871,0)</x:f>
        <x:v>12872.922922922924</x:v>
      </x:c>
      <x:c r="J1871" s="67" t="str">
        <x:v>Modeled from live base + Sep-2026 quality ratio</x:v>
      </x:c>
      <x:c r="K1871" s="67" t="str">
        <x:v>https://www.stonealgo.com/diamond-prices/</x:v>
      </x:c>
      <x:c r="L1871" s="67" t="str">
        <x:v>https://www.pricescope.com/blog/natural-diamond-prices-september-2026</x:v>
      </x:c>
    </x:row>
    <x:row r="1872">
      <x:c r="A1872" t="n">
        <x:v>3</x:v>
      </x:c>
      <x:c r="B1872" t="str">
        <x:v>Asscher</x:v>
      </x:c>
      <x:c r="C1872" t="str">
        <x:v>E</x:v>
      </x:c>
      <x:c r="D1872" t="str">
        <x:v>SI1</x:v>
      </x:c>
      <x:c r="E1872" s="36" t="n">
        <x:v>34300</x:v>
      </x:c>
      <x:c r="F1872" s="36" t="n">
        <x:v>3551</x:v>
      </x:c>
      <x:c r="G1872" s="42" t="n">
        <x:v>0.7616902616902617</x:v>
      </x:c>
      <x:c r="H1872" s="36" t="n">
        <x:f>E1872*G1872</x:f>
        <x:v>26125.975975975976</x:v>
      </x:c>
      <x:c r="I1872" s="36" t="n">
        <x:f>IFERROR(H1872/A1872,0)</x:f>
        <x:v>8708.658658658658</x:v>
      </x:c>
      <x:c r="J1872" s="67" t="str">
        <x:v>Modeled from live base + Sep-2026 quality ratio</x:v>
      </x:c>
      <x:c r="K1872" s="67" t="str">
        <x:v>https://www.stonealgo.com/diamond-prices/</x:v>
      </x:c>
      <x:c r="L1872" s="67" t="str">
        <x:v>https://www.pricescope.com/blog/natural-diamond-prices-september-2026</x:v>
      </x:c>
    </x:row>
    <x:row r="1873">
      <x:c r="A1873" t="n">
        <x:v>3</x:v>
      </x:c>
      <x:c r="B1873" t="str">
        <x:v>Asscher</x:v>
      </x:c>
      <x:c r="C1873" t="str">
        <x:v>E</x:v>
      </x:c>
      <x:c r="D1873" t="str">
        <x:v>SI2</x:v>
      </x:c>
      <x:c r="E1873" s="36" t="n">
        <x:v>34300</x:v>
      </x:c>
      <x:c r="F1873" s="36" t="n">
        <x:v>2993</x:v>
      </x:c>
      <x:c r="G1873" s="42" t="n">
        <x:v>0.641999141999142</x:v>
      </x:c>
      <x:c r="H1873" s="36" t="n">
        <x:f>E1873*G1873</x:f>
        <x:v>22020.57057057057</x:v>
      </x:c>
      <x:c r="I1873" s="36" t="n">
        <x:f>IFERROR(H1873/A1873,0)</x:f>
        <x:v>7340.19019019019</x:v>
      </x:c>
      <x:c r="J1873" s="67" t="str">
        <x:v>Modeled from live base + Sep-2026 quality ratio</x:v>
      </x:c>
      <x:c r="K1873" s="67" t="str">
        <x:v>https://www.stonealgo.com/diamond-prices/</x:v>
      </x:c>
      <x:c r="L1873" s="67" t="str">
        <x:v>https://www.pricescope.com/blog/natural-diamond-prices-september-2026</x:v>
      </x:c>
    </x:row>
    <x:row r="1874">
      <x:c r="A1874" t="n">
        <x:v>3</x:v>
      </x:c>
      <x:c r="B1874" t="str">
        <x:v>Asscher</x:v>
      </x:c>
      <x:c r="C1874" t="str">
        <x:v>F</x:v>
      </x:c>
      <x:c r="D1874" t="str">
        <x:v>FL</x:v>
      </x:c>
      <x:c r="E1874" s="36" t="n">
        <x:v>34300</x:v>
      </x:c>
      <x:c r="F1874" s="36" t="n">
        <x:v>6830</x:v>
      </x:c>
      <x:c r="G1874" s="42" t="n">
        <x:v>1.4650364650364651</x:v>
      </x:c>
      <x:c r="H1874" s="36" t="n">
        <x:f>E1874*G1874</x:f>
        <x:v>50250.750750750754</x:v>
      </x:c>
      <x:c r="I1874" s="36" t="n">
        <x:f>IFERROR(H1874/A1874,0)</x:f>
        <x:v>16750.25025025025</x:v>
      </x:c>
      <x:c r="J1874" s="67" t="str">
        <x:v>Modeled from live base + Sep-2026 quality ratio</x:v>
      </x:c>
      <x:c r="K1874" s="67" t="str">
        <x:v>https://www.stonealgo.com/diamond-prices/</x:v>
      </x:c>
      <x:c r="L1874" s="67" t="str">
        <x:v>https://www.pricescope.com/blog/natural-diamond-prices-september-2026</x:v>
      </x:c>
    </x:row>
    <x:row r="1875">
      <x:c r="A1875" t="n">
        <x:v>3</x:v>
      </x:c>
      <x:c r="B1875" t="str">
        <x:v>Asscher</x:v>
      </x:c>
      <x:c r="C1875" t="str">
        <x:v>F</x:v>
      </x:c>
      <x:c r="D1875" t="str">
        <x:v>IF</x:v>
      </x:c>
      <x:c r="E1875" s="36" t="n">
        <x:v>34300</x:v>
      </x:c>
      <x:c r="F1875" s="36" t="n">
        <x:v>7302</x:v>
      </x:c>
      <x:c r="G1875" s="42" t="n">
        <x:v>1.5662805662805663</x:v>
      </x:c>
      <x:c r="H1875" s="36" t="n">
        <x:f>E1875*G1875</x:f>
        <x:v>53723.423423423425</x:v>
      </x:c>
      <x:c r="I1875" s="36" t="n">
        <x:f>IFERROR(H1875/A1875,0)</x:f>
        <x:v>17907.807807807807</x:v>
      </x:c>
      <x:c r="J1875" s="67" t="str">
        <x:v>Modeled from live base + Sep-2026 quality ratio</x:v>
      </x:c>
      <x:c r="K1875" s="67" t="str">
        <x:v>https://www.stonealgo.com/diamond-prices/</x:v>
      </x:c>
      <x:c r="L1875" s="67" t="str">
        <x:v>https://www.pricescope.com/blog/natural-diamond-prices-september-2026</x:v>
      </x:c>
    </x:row>
    <x:row r="1876">
      <x:c r="A1876" t="n">
        <x:v>3</x:v>
      </x:c>
      <x:c r="B1876" t="str">
        <x:v>Asscher</x:v>
      </x:c>
      <x:c r="C1876" t="str">
        <x:v>F</x:v>
      </x:c>
      <x:c r="D1876" t="str">
        <x:v>VVS1</x:v>
      </x:c>
      <x:c r="E1876" s="36" t="n">
        <x:v>34300</x:v>
      </x:c>
      <x:c r="F1876" s="36" t="n">
        <x:v>7542</x:v>
      </x:c>
      <x:c r="G1876" s="42" t="n">
        <x:v>1.6177606177606179</x:v>
      </x:c>
      <x:c r="H1876" s="36" t="n">
        <x:f>E1876*G1876</x:f>
        <x:v>55489.189189189194</x:v>
      </x:c>
      <x:c r="I1876" s="36" t="n">
        <x:f>IFERROR(H1876/A1876,0)</x:f>
        <x:v>18496.396396396398</x:v>
      </x:c>
      <x:c r="J1876" s="67" t="str">
        <x:v>Modeled from live base + Sep-2026 quality ratio</x:v>
      </x:c>
      <x:c r="K1876" s="67" t="str">
        <x:v>https://www.stonealgo.com/diamond-prices/</x:v>
      </x:c>
      <x:c r="L1876" s="67" t="str">
        <x:v>https://www.pricescope.com/blog/natural-diamond-prices-september-2026</x:v>
      </x:c>
    </x:row>
    <x:row r="1877">
      <x:c r="A1877" t="n">
        <x:v>3</x:v>
      </x:c>
      <x:c r="B1877" t="str">
        <x:v>Asscher</x:v>
      </x:c>
      <x:c r="C1877" t="str">
        <x:v>F</x:v>
      </x:c>
      <x:c r="D1877" t="str">
        <x:v>VVS2</x:v>
      </x:c>
      <x:c r="E1877" s="36" t="n">
        <x:v>34300</x:v>
      </x:c>
      <x:c r="F1877" s="36" t="n">
        <x:v>6352</x:v>
      </x:c>
      <x:c r="G1877" s="42" t="n">
        <x:v>1.3625053625053625</x:v>
      </x:c>
      <x:c r="H1877" s="36" t="n">
        <x:f>E1877*G1877</x:f>
        <x:v>46733.933933933935</x:v>
      </x:c>
      <x:c r="I1877" s="36" t="n">
        <x:f>IFERROR(H1877/A1877,0)</x:f>
        <x:v>15577.977977977978</x:v>
      </x:c>
      <x:c r="J1877" s="67" t="str">
        <x:v>Modeled from live base + Sep-2026 quality ratio</x:v>
      </x:c>
      <x:c r="K1877" s="67" t="str">
        <x:v>https://www.stonealgo.com/diamond-prices/</x:v>
      </x:c>
      <x:c r="L1877" s="67" t="str">
        <x:v>https://www.pricescope.com/blog/natural-diamond-prices-september-2026</x:v>
      </x:c>
    </x:row>
    <x:row r="1878">
      <x:c r="A1878" t="n">
        <x:v>3</x:v>
      </x:c>
      <x:c r="B1878" t="str">
        <x:v>Asscher</x:v>
      </x:c>
      <x:c r="C1878" t="str">
        <x:v>F</x:v>
      </x:c>
      <x:c r="D1878" t="str">
        <x:v>VS1</x:v>
      </x:c>
      <x:c r="E1878" s="36" t="n">
        <x:v>34300</x:v>
      </x:c>
      <x:c r="F1878" s="36" t="n">
        <x:v>5647</x:v>
      </x:c>
      <x:c r="G1878" s="42" t="n">
        <x:v>1.2112827112827114</x:v>
      </x:c>
      <x:c r="H1878" s="36" t="n">
        <x:f>E1878*G1878</x:f>
        <x:v>41546.996996997</x:v>
      </x:c>
      <x:c r="I1878" s="36" t="n">
        <x:f>IFERROR(H1878/A1878,0)</x:f>
        <x:v>13848.998998998999</x:v>
      </x:c>
      <x:c r="J1878" s="67" t="str">
        <x:v>Modeled from live base + Sep-2026 quality ratio</x:v>
      </x:c>
      <x:c r="K1878" s="67" t="str">
        <x:v>https://www.stonealgo.com/diamond-prices/</x:v>
      </x:c>
      <x:c r="L1878" s="67" t="str">
        <x:v>https://www.pricescope.com/blog/natural-diamond-prices-september-2026</x:v>
      </x:c>
    </x:row>
    <x:row r="1879">
      <x:c r="A1879" t="n">
        <x:v>3</x:v>
      </x:c>
      <x:c r="B1879" t="str">
        <x:v>Asscher</x:v>
      </x:c>
      <x:c r="C1879" t="str">
        <x:v>F</x:v>
      </x:c>
      <x:c r="D1879" t="str">
        <x:v>VS2</x:v>
      </x:c>
      <x:c r="E1879" s="36" t="n">
        <x:v>34300</x:v>
      </x:c>
      <x:c r="F1879" s="36" t="n">
        <x:v>4730</x:v>
      </x:c>
      <x:c r="G1879" s="42" t="n">
        <x:v>1.0145860145860146</x:v>
      </x:c>
      <x:c r="H1879" s="36" t="n">
        <x:f>E1879*G1879</x:f>
        <x:v>34800.3003003003</x:v>
      </x:c>
      <x:c r="I1879" s="36" t="n">
        <x:f>IFERROR(H1879/A1879,0)</x:f>
        <x:v>11600.1001001001</x:v>
      </x:c>
      <x:c r="J1879" s="67" t="str">
        <x:v>Modeled from live base + Sep-2026 quality ratio</x:v>
      </x:c>
      <x:c r="K1879" s="67" t="str">
        <x:v>https://www.stonealgo.com/diamond-prices/</x:v>
      </x:c>
      <x:c r="L1879" s="67" t="str">
        <x:v>https://www.pricescope.com/blog/natural-diamond-prices-september-2026</x:v>
      </x:c>
    </x:row>
    <x:row r="1880">
      <x:c r="A1880" t="n">
        <x:v>3</x:v>
      </x:c>
      <x:c r="B1880" t="str">
        <x:v>Asscher</x:v>
      </x:c>
      <x:c r="C1880" t="str">
        <x:v>F</x:v>
      </x:c>
      <x:c r="D1880" t="str">
        <x:v>SI1</x:v>
      </x:c>
      <x:c r="E1880" s="36" t="n">
        <x:v>34300</x:v>
      </x:c>
      <x:c r="F1880" s="36" t="n">
        <x:v>3331</x:v>
      </x:c>
      <x:c r="G1880" s="42" t="n">
        <x:v>0.7145002145002145</x:v>
      </x:c>
      <x:c r="H1880" s="36" t="n">
        <x:f>E1880*G1880</x:f>
        <x:v>24507.357357357356</x:v>
      </x:c>
      <x:c r="I1880" s="36" t="n">
        <x:f>IFERROR(H1880/A1880,0)</x:f>
        <x:v>8169.119119119118</x:v>
      </x:c>
      <x:c r="J1880" s="67" t="str">
        <x:v>Modeled from live base + Sep-2026 quality ratio</x:v>
      </x:c>
      <x:c r="K1880" s="67" t="str">
        <x:v>https://www.stonealgo.com/diamond-prices/</x:v>
      </x:c>
      <x:c r="L1880" s="67" t="str">
        <x:v>https://www.pricescope.com/blog/natural-diamond-prices-september-2026</x:v>
      </x:c>
    </x:row>
    <x:row r="1881">
      <x:c r="A1881" t="n">
        <x:v>3</x:v>
      </x:c>
      <x:c r="B1881" t="str">
        <x:v>Asscher</x:v>
      </x:c>
      <x:c r="C1881" t="str">
        <x:v>F</x:v>
      </x:c>
      <x:c r="D1881" t="str">
        <x:v>SI2</x:v>
      </x:c>
      <x:c r="E1881" s="36" t="n">
        <x:v>34300</x:v>
      </x:c>
      <x:c r="F1881" s="36" t="n">
        <x:v>2733</x:v>
      </x:c>
      <x:c r="G1881" s="42" t="n">
        <x:v>0.5862290862290862</x:v>
      </x:c>
      <x:c r="H1881" s="36" t="n">
        <x:f>E1881*G1881</x:f>
        <x:v>20107.657657657655</x:v>
      </x:c>
      <x:c r="I1881" s="36" t="n">
        <x:f>IFERROR(H1881/A1881,0)</x:f>
        <x:v>6702.552552552552</x:v>
      </x:c>
      <x:c r="J1881" s="67" t="str">
        <x:v>Modeled from live base + Sep-2026 quality ratio</x:v>
      </x:c>
      <x:c r="K1881" s="67" t="str">
        <x:v>https://www.stonealgo.com/diamond-prices/</x:v>
      </x:c>
      <x:c r="L1881" s="67" t="str">
        <x:v>https://www.pricescope.com/blog/natural-diamond-prices-september-2026</x:v>
      </x:c>
    </x:row>
    <x:row r="1882">
      <x:c r="A1882" t="n">
        <x:v>3</x:v>
      </x:c>
      <x:c r="B1882" t="str">
        <x:v>Asscher</x:v>
      </x:c>
      <x:c r="C1882" t="str">
        <x:v>G</x:v>
      </x:c>
      <x:c r="D1882" t="str">
        <x:v>FL</x:v>
      </x:c>
      <x:c r="E1882" s="36" t="n">
        <x:v>34300</x:v>
      </x:c>
      <x:c r="F1882" s="36" t="n">
        <x:v>5905</x:v>
      </x:c>
      <x:c r="G1882" s="42" t="n">
        <x:v>1.2666237666237665</x:v>
      </x:c>
      <x:c r="H1882" s="36" t="n">
        <x:f>E1882*G1882</x:f>
        <x:v>43445.19519519519</x:v>
      </x:c>
      <x:c r="I1882" s="36" t="n">
        <x:f>IFERROR(H1882/A1882,0)</x:f>
        <x:v>14481.73173173173</x:v>
      </x:c>
      <x:c r="J1882" s="67" t="str">
        <x:v>Modeled from live base + Sep-2026 quality ratio</x:v>
      </x:c>
      <x:c r="K1882" s="67" t="str">
        <x:v>https://www.stonealgo.com/diamond-prices/</x:v>
      </x:c>
      <x:c r="L1882" s="67" t="str">
        <x:v>https://www.pricescope.com/blog/natural-diamond-prices-september-2026</x:v>
      </x:c>
    </x:row>
    <x:row r="1883">
      <x:c r="A1883" t="n">
        <x:v>3</x:v>
      </x:c>
      <x:c r="B1883" t="str">
        <x:v>Asscher</x:v>
      </x:c>
      <x:c r="C1883" t="str">
        <x:v>G</x:v>
      </x:c>
      <x:c r="D1883" t="str">
        <x:v>IF</x:v>
      </x:c>
      <x:c r="E1883" s="36" t="n">
        <x:v>34300</x:v>
      </x:c>
      <x:c r="F1883" s="36" t="n">
        <x:v>5601</x:v>
      </x:c>
      <x:c r="G1883" s="42" t="n">
        <x:v>1.2014157014157014</x:v>
      </x:c>
      <x:c r="H1883" s="36" t="n">
        <x:f>E1883*G1883</x:f>
        <x:v>41208.55855855856</x:v>
      </x:c>
      <x:c r="I1883" s="36" t="n">
        <x:f>IFERROR(H1883/A1883,0)</x:f>
        <x:v>13736.186186186185</x:v>
      </x:c>
      <x:c r="J1883" s="67" t="str">
        <x:v>Modeled from live base + Sep-2026 quality ratio</x:v>
      </x:c>
      <x:c r="K1883" s="67" t="str">
        <x:v>https://www.stonealgo.com/diamond-prices/</x:v>
      </x:c>
      <x:c r="L1883" s="67" t="str">
        <x:v>https://www.pricescope.com/blog/natural-diamond-prices-september-2026</x:v>
      </x:c>
    </x:row>
    <x:row r="1884">
      <x:c r="A1884" t="n">
        <x:v>3</x:v>
      </x:c>
      <x:c r="B1884" t="str">
        <x:v>Asscher</x:v>
      </x:c>
      <x:c r="C1884" t="str">
        <x:v>G</x:v>
      </x:c>
      <x:c r="D1884" t="str">
        <x:v>VVS1</x:v>
      </x:c>
      <x:c r="E1884" s="36" t="n">
        <x:v>34300</x:v>
      </x:c>
      <x:c r="F1884" s="36" t="n">
        <x:v>5124</x:v>
      </x:c>
      <x:c r="G1884" s="42" t="n">
        <x:v>1.0990990990990992</x:v>
      </x:c>
      <x:c r="H1884" s="36" t="n">
        <x:f>E1884*G1884</x:f>
        <x:v>37699.099099099105</x:v>
      </x:c>
      <x:c r="I1884" s="36" t="n">
        <x:f>IFERROR(H1884/A1884,0)</x:f>
        <x:v>12566.366366366368</x:v>
      </x:c>
      <x:c r="J1884" s="67" t="str">
        <x:v>Modeled from live base + Sep-2026 quality ratio</x:v>
      </x:c>
      <x:c r="K1884" s="67" t="str">
        <x:v>https://www.stonealgo.com/diamond-prices/</x:v>
      </x:c>
      <x:c r="L1884" s="67" t="str">
        <x:v>https://www.pricescope.com/blog/natural-diamond-prices-september-2026</x:v>
      </x:c>
    </x:row>
    <x:row r="1885">
      <x:c r="A1885" t="n">
        <x:v>3</x:v>
      </x:c>
      <x:c r="B1885" t="str">
        <x:v>Asscher</x:v>
      </x:c>
      <x:c r="C1885" t="str">
        <x:v>G</x:v>
      </x:c>
      <x:c r="D1885" t="str">
        <x:v>VVS2</x:v>
      </x:c>
      <x:c r="E1885" s="36" t="n">
        <x:v>34300</x:v>
      </x:c>
      <x:c r="F1885" s="36" t="n">
        <x:v>4962</x:v>
      </x:c>
      <x:c r="G1885" s="42" t="n">
        <x:v>1.0643500643500643</x:v>
      </x:c>
      <x:c r="H1885" s="36" t="n">
        <x:f>E1885*G1885</x:f>
        <x:v>36507.207207207204</x:v>
      </x:c>
      <x:c r="I1885" s="36" t="n">
        <x:f>IFERROR(H1885/A1885,0)</x:f>
        <x:v>12169.069069069068</x:v>
      </x:c>
      <x:c r="J1885" s="67" t="str">
        <x:v>Modeled from live base + Sep-2026 quality ratio</x:v>
      </x:c>
      <x:c r="K1885" s="67" t="str">
        <x:v>https://www.stonealgo.com/diamond-prices/</x:v>
      </x:c>
      <x:c r="L1885" s="67" t="str">
        <x:v>https://www.pricescope.com/blog/natural-diamond-prices-september-2026</x:v>
      </x:c>
    </x:row>
    <x:row r="1886">
      <x:c r="A1886" t="n">
        <x:v>3</x:v>
      </x:c>
      <x:c r="B1886" t="str">
        <x:v>Asscher</x:v>
      </x:c>
      <x:c r="C1886" t="str">
        <x:v>G</x:v>
      </x:c>
      <x:c r="D1886" t="str">
        <x:v>VS1</x:v>
      </x:c>
      <x:c r="E1886" s="36" t="n">
        <x:v>34300</x:v>
      </x:c>
      <x:c r="F1886" s="36" t="n">
        <x:v>4615</x:v>
      </x:c>
      <x:c r="G1886" s="42" t="n">
        <x:v>0.98991848991849</x:v>
      </x:c>
      <x:c r="H1886" s="36" t="n">
        <x:f>E1886*G1886</x:f>
        <x:v>33954.20420420421</x:v>
      </x:c>
      <x:c r="I1886" s="36" t="n">
        <x:f>IFERROR(H1886/A1886,0)</x:f>
        <x:v>11318.068068068069</x:v>
      </x:c>
      <x:c r="J1886" s="67" t="str">
        <x:v>Modeled from live base + Sep-2026 quality ratio</x:v>
      </x:c>
      <x:c r="K1886" s="67" t="str">
        <x:v>https://www.stonealgo.com/diamond-prices/</x:v>
      </x:c>
      <x:c r="L1886" s="67" t="str">
        <x:v>https://www.pricescope.com/blog/natural-diamond-prices-september-2026</x:v>
      </x:c>
    </x:row>
    <x:row r="1887">
      <x:c r="A1887" t="n">
        <x:v>3</x:v>
      </x:c>
      <x:c r="B1887" t="str">
        <x:v>Asscher</x:v>
      </x:c>
      <x:c r="C1887" t="str">
        <x:v>G</x:v>
      </x:c>
      <x:c r="D1887" t="str">
        <x:v>VS2</x:v>
      </x:c>
      <x:c r="E1887" s="36" t="n">
        <x:v>34300</x:v>
      </x:c>
      <x:c r="F1887" s="36" t="n">
        <x:v>4585</x:v>
      </x:c>
      <x:c r="G1887" s="42" t="n">
        <x:v>0.9834834834834835</x:v>
      </x:c>
      <x:c r="H1887" s="36" t="n">
        <x:f>E1887*G1887</x:f>
        <x:v>33733.483483483484</x:v>
      </x:c>
      <x:c r="I1887" s="36" t="n">
        <x:f>IFERROR(H1887/A1887,0)</x:f>
        <x:v>11244.494494494495</x:v>
      </x:c>
      <x:c r="J1887" s="67" t="str">
        <x:v>Modeled from live base + Sep-2026 quality ratio</x:v>
      </x:c>
      <x:c r="K1887" s="67" t="str">
        <x:v>https://www.stonealgo.com/diamond-prices/</x:v>
      </x:c>
      <x:c r="L1887" s="67" t="str">
        <x:v>https://www.pricescope.com/blog/natural-diamond-prices-september-2026</x:v>
      </x:c>
    </x:row>
    <x:row r="1888">
      <x:c r="A1888" t="n">
        <x:v>3</x:v>
      </x:c>
      <x:c r="B1888" t="str">
        <x:v>Asscher</x:v>
      </x:c>
      <x:c r="C1888" t="str">
        <x:v>G</x:v>
      </x:c>
      <x:c r="D1888" t="str">
        <x:v>SI1</x:v>
      </x:c>
      <x:c r="E1888" s="36" t="n">
        <x:v>34300</x:v>
      </x:c>
      <x:c r="F1888" s="36" t="n">
        <x:v>3664</x:v>
      </x:c>
      <x:c r="G1888" s="42" t="n">
        <x:v>0.7859287859287859</x:v>
      </x:c>
      <x:c r="H1888" s="36" t="n">
        <x:f>E1888*G1888</x:f>
        <x:v>26957.357357357356</x:v>
      </x:c>
      <x:c r="I1888" s="36" t="n">
        <x:f>IFERROR(H1888/A1888,0)</x:f>
        <x:v>8985.785785785785</x:v>
      </x:c>
      <x:c r="J1888" s="67" t="str">
        <x:v>Modeled from live base + Sep-2026 quality ratio</x:v>
      </x:c>
      <x:c r="K1888" s="67" t="str">
        <x:v>https://www.stonealgo.com/diamond-prices/</x:v>
      </x:c>
      <x:c r="L1888" s="67" t="str">
        <x:v>https://www.pricescope.com/blog/natural-diamond-prices-september-2026</x:v>
      </x:c>
    </x:row>
    <x:row r="1889">
      <x:c r="A1889" t="n">
        <x:v>3</x:v>
      </x:c>
      <x:c r="B1889" t="str">
        <x:v>Asscher</x:v>
      </x:c>
      <x:c r="C1889" t="str">
        <x:v>G</x:v>
      </x:c>
      <x:c r="D1889" t="str">
        <x:v>SI2</x:v>
      </x:c>
      <x:c r="E1889" s="36" t="n">
        <x:v>34300</x:v>
      </x:c>
      <x:c r="F1889" s="36" t="n">
        <x:v>2537</x:v>
      </x:c>
      <x:c r="G1889" s="42" t="n">
        <x:v>0.5441870441870442</x:v>
      </x:c>
      <x:c r="H1889" s="36" t="n">
        <x:f>E1889*G1889</x:f>
        <x:v>18665.615615615618</x:v>
      </x:c>
      <x:c r="I1889" s="36" t="n">
        <x:f>IFERROR(H1889/A1889,0)</x:f>
        <x:v>6221.871871871873</x:v>
      </x:c>
      <x:c r="J1889" s="67" t="str">
        <x:v>Modeled from live base + Sep-2026 quality ratio</x:v>
      </x:c>
      <x:c r="K1889" s="67" t="str">
        <x:v>https://www.stonealgo.com/diamond-prices/</x:v>
      </x:c>
      <x:c r="L1889" s="67" t="str">
        <x:v>https://www.pricescope.com/blog/natural-diamond-prices-september-2026</x:v>
      </x:c>
    </x:row>
    <x:row r="1890">
      <x:c r="A1890" t="n">
        <x:v>3</x:v>
      </x:c>
      <x:c r="B1890" t="str">
        <x:v>Asscher</x:v>
      </x:c>
      <x:c r="C1890" t="str">
        <x:v>H</x:v>
      </x:c>
      <x:c r="D1890" t="str">
        <x:v>FL</x:v>
      </x:c>
      <x:c r="E1890" s="36" t="n">
        <x:v>34300</x:v>
      </x:c>
      <x:c r="F1890" s="36" t="n">
        <x:v>4563</x:v>
      </x:c>
      <x:c r="G1890" s="42" t="n">
        <x:v>0.9787644787644788</x:v>
      </x:c>
      <x:c r="H1890" s="36" t="n">
        <x:f>E1890*G1890</x:f>
        <x:v>33571.62162162162</x:v>
      </x:c>
      <x:c r="I1890" s="36" t="n">
        <x:f>IFERROR(H1890/A1890,0)</x:f>
        <x:v>11190.54054054054</x:v>
      </x:c>
      <x:c r="J1890" s="67" t="str">
        <x:v>Modeled from live base + Sep-2026 quality ratio</x:v>
      </x:c>
      <x:c r="K1890" s="67" t="str">
        <x:v>https://www.stonealgo.com/diamond-prices/</x:v>
      </x:c>
      <x:c r="L1890" s="67" t="str">
        <x:v>https://www.pricescope.com/blog/natural-diamond-prices-september-2026</x:v>
      </x:c>
    </x:row>
    <x:row r="1891">
      <x:c r="A1891" t="n">
        <x:v>3</x:v>
      </x:c>
      <x:c r="B1891" t="str">
        <x:v>Asscher</x:v>
      </x:c>
      <x:c r="C1891" t="str">
        <x:v>H</x:v>
      </x:c>
      <x:c r="D1891" t="str">
        <x:v>IF</x:v>
      </x:c>
      <x:c r="E1891" s="36" t="n">
        <x:v>34300</x:v>
      </x:c>
      <x:c r="F1891" s="36" t="n">
        <x:v>4809</x:v>
      </x:c>
      <x:c r="G1891" s="42" t="n">
        <x:v>1.0315315315315314</x:v>
      </x:c>
      <x:c r="H1891" s="36" t="n">
        <x:f>E1891*G1891</x:f>
        <x:v>35381.53153153153</x:v>
      </x:c>
      <x:c r="I1891" s="36" t="n">
        <x:f>IFERROR(H1891/A1891,0)</x:f>
        <x:v>11793.843843843844</x:v>
      </x:c>
      <x:c r="J1891" s="67" t="str">
        <x:v>Modeled from live base + Sep-2026 quality ratio</x:v>
      </x:c>
      <x:c r="K1891" s="67" t="str">
        <x:v>https://www.stonealgo.com/diamond-prices/</x:v>
      </x:c>
      <x:c r="L1891" s="67" t="str">
        <x:v>https://www.pricescope.com/blog/natural-diamond-prices-september-2026</x:v>
      </x:c>
    </x:row>
    <x:row r="1892">
      <x:c r="A1892" t="n">
        <x:v>3</x:v>
      </x:c>
      <x:c r="B1892" t="str">
        <x:v>Asscher</x:v>
      </x:c>
      <x:c r="C1892" t="str">
        <x:v>H</x:v>
      </x:c>
      <x:c r="D1892" t="str">
        <x:v>VVS1</x:v>
      </x:c>
      <x:c r="E1892" s="36" t="n">
        <x:v>34300</x:v>
      </x:c>
      <x:c r="F1892" s="36" t="n">
        <x:v>4911</x:v>
      </x:c>
      <x:c r="G1892" s="42" t="n">
        <x:v>1.0534105534105533</x:v>
      </x:c>
      <x:c r="H1892" s="36" t="n">
        <x:f>E1892*G1892</x:f>
        <x:v>36131.98198198198</x:v>
      </x:c>
      <x:c r="I1892" s="36" t="n">
        <x:f>IFERROR(H1892/A1892,0)</x:f>
        <x:v>12043.993993993994</x:v>
      </x:c>
      <x:c r="J1892" s="67" t="str">
        <x:v>Modeled from live base + Sep-2026 quality ratio</x:v>
      </x:c>
      <x:c r="K1892" s="67" t="str">
        <x:v>https://www.stonealgo.com/diamond-prices/</x:v>
      </x:c>
      <x:c r="L1892" s="67" t="str">
        <x:v>https://www.pricescope.com/blog/natural-diamond-prices-september-2026</x:v>
      </x:c>
    </x:row>
    <x:row r="1893">
      <x:c r="A1893" t="n">
        <x:v>3</x:v>
      </x:c>
      <x:c r="B1893" t="str">
        <x:v>Asscher</x:v>
      </x:c>
      <x:c r="C1893" t="str">
        <x:v>H</x:v>
      </x:c>
      <x:c r="D1893" t="str">
        <x:v>VVS2</x:v>
      </x:c>
      <x:c r="E1893" s="36" t="n">
        <x:v>34300</x:v>
      </x:c>
      <x:c r="F1893" s="36" t="n">
        <x:v>4046</x:v>
      </x:c>
      <x:c r="G1893" s="42" t="n">
        <x:v>0.8678678678678678</x:v>
      </x:c>
      <x:c r="H1893" s="36" t="n">
        <x:f>E1893*G1893</x:f>
        <x:v>29767.867867867866</x:v>
      </x:c>
      <x:c r="I1893" s="36" t="n">
        <x:f>IFERROR(H1893/A1893,0)</x:f>
        <x:v>9922.622622622623</x:v>
      </x:c>
      <x:c r="J1893" s="67" t="str">
        <x:v>Modeled from live base + Sep-2026 quality ratio</x:v>
      </x:c>
      <x:c r="K1893" s="67" t="str">
        <x:v>https://www.stonealgo.com/diamond-prices/</x:v>
      </x:c>
      <x:c r="L1893" s="67" t="str">
        <x:v>https://www.pricescope.com/blog/natural-diamond-prices-september-2026</x:v>
      </x:c>
    </x:row>
    <x:row r="1894">
      <x:c r="A1894" t="n">
        <x:v>3</x:v>
      </x:c>
      <x:c r="B1894" t="str">
        <x:v>Asscher</x:v>
      </x:c>
      <x:c r="C1894" t="str">
        <x:v>H</x:v>
      </x:c>
      <x:c r="D1894" t="str">
        <x:v>VS1</x:v>
      </x:c>
      <x:c r="E1894" s="36" t="n">
        <x:v>34300</x:v>
      </x:c>
      <x:c r="F1894" s="36" t="n">
        <x:v>3893</x:v>
      </x:c>
      <x:c r="G1894" s="42" t="n">
        <x:v>0.8350493350493351</x:v>
      </x:c>
      <x:c r="H1894" s="36" t="n">
        <x:f>E1894*G1894</x:f>
        <x:v>28642.192192192193</x:v>
      </x:c>
      <x:c r="I1894" s="36" t="n">
        <x:f>IFERROR(H1894/A1894,0)</x:f>
        <x:v>9547.397397397397</x:v>
      </x:c>
      <x:c r="J1894" s="67" t="str">
        <x:v>Modeled from live base + Sep-2026 quality ratio</x:v>
      </x:c>
      <x:c r="K1894" s="67" t="str">
        <x:v>https://www.stonealgo.com/diamond-prices/</x:v>
      </x:c>
      <x:c r="L1894" s="67" t="str">
        <x:v>https://www.pricescope.com/blog/natural-diamond-prices-september-2026</x:v>
      </x:c>
    </x:row>
    <x:row r="1895">
      <x:c r="A1895" t="n">
        <x:v>3</x:v>
      </x:c>
      <x:c r="B1895" t="str">
        <x:v>Asscher</x:v>
      </x:c>
      <x:c r="C1895" t="str">
        <x:v>H</x:v>
      </x:c>
      <x:c r="D1895" t="str">
        <x:v>VS2</x:v>
      </x:c>
      <x:c r="E1895" s="36" t="n">
        <x:v>34300</x:v>
      </x:c>
      <x:c r="F1895" s="36" t="n">
        <x:v>3989</x:v>
      </x:c>
      <x:c r="G1895" s="42" t="n">
        <x:v>0.8556413556413557</x:v>
      </x:c>
      <x:c r="H1895" s="36" t="n">
        <x:f>E1895*G1895</x:f>
        <x:v>29348.4984984985</x:v>
      </x:c>
      <x:c r="I1895" s="36" t="n">
        <x:f>IFERROR(H1895/A1895,0)</x:f>
        <x:v>9782.832832832833</x:v>
      </x:c>
      <x:c r="J1895" s="67" t="str">
        <x:v>Modeled from live base + Sep-2026 quality ratio</x:v>
      </x:c>
      <x:c r="K1895" s="67" t="str">
        <x:v>https://www.stonealgo.com/diamond-prices/</x:v>
      </x:c>
      <x:c r="L1895" s="67" t="str">
        <x:v>https://www.pricescope.com/blog/natural-diamond-prices-september-2026</x:v>
      </x:c>
    </x:row>
    <x:row r="1896">
      <x:c r="A1896" t="n">
        <x:v>3</x:v>
      </x:c>
      <x:c r="B1896" t="str">
        <x:v>Asscher</x:v>
      </x:c>
      <x:c r="C1896" t="str">
        <x:v>H</x:v>
      </x:c>
      <x:c r="D1896" t="str">
        <x:v>SI1</x:v>
      </x:c>
      <x:c r="E1896" s="36" t="n">
        <x:v>34300</x:v>
      </x:c>
      <x:c r="F1896" s="36" t="n">
        <x:v>2828</x:v>
      </x:c>
      <x:c r="G1896" s="42" t="n">
        <x:v>0.6066066066066066</x:v>
      </x:c>
      <x:c r="H1896" s="36" t="n">
        <x:f>E1896*G1896</x:f>
        <x:v>20806.606606606605</x:v>
      </x:c>
      <x:c r="I1896" s="36" t="n">
        <x:f>IFERROR(H1896/A1896,0)</x:f>
        <x:v>6935.535535535535</x:v>
      </x:c>
      <x:c r="J1896" s="67" t="str">
        <x:v>Modeled from live base + Sep-2026 quality ratio</x:v>
      </x:c>
      <x:c r="K1896" s="67" t="str">
        <x:v>https://www.stonealgo.com/diamond-prices/</x:v>
      </x:c>
      <x:c r="L1896" s="67" t="str">
        <x:v>https://www.pricescope.com/blog/natural-diamond-prices-september-2026</x:v>
      </x:c>
    </x:row>
    <x:row r="1897">
      <x:c r="A1897" t="n">
        <x:v>3</x:v>
      </x:c>
      <x:c r="B1897" t="str">
        <x:v>Asscher</x:v>
      </x:c>
      <x:c r="C1897" t="str">
        <x:v>H</x:v>
      </x:c>
      <x:c r="D1897" t="str">
        <x:v>SI2</x:v>
      </x:c>
      <x:c r="E1897" s="36" t="n">
        <x:v>34300</x:v>
      </x:c>
      <x:c r="F1897" s="36" t="n">
        <x:v>2328</x:v>
      </x:c>
      <x:c r="G1897" s="42" t="n">
        <x:v>0.49935649935649934</x:v>
      </x:c>
      <x:c r="H1897" s="36" t="n">
        <x:f>E1897*G1897</x:f>
        <x:v>17127.92792792793</x:v>
      </x:c>
      <x:c r="I1897" s="36" t="n">
        <x:f>IFERROR(H1897/A1897,0)</x:f>
        <x:v>5709.309309309309</x:v>
      </x:c>
      <x:c r="J1897" s="67" t="str">
        <x:v>Modeled from live base + Sep-2026 quality ratio</x:v>
      </x:c>
      <x:c r="K1897" s="67" t="str">
        <x:v>https://www.stonealgo.com/diamond-prices/</x:v>
      </x:c>
      <x:c r="L1897" s="67" t="str">
        <x:v>https://www.pricescope.com/blog/natural-diamond-prices-september-2026</x:v>
      </x:c>
    </x:row>
    <x:row r="1898">
      <x:c r="A1898" t="n">
        <x:v>3</x:v>
      </x:c>
      <x:c r="B1898" t="str">
        <x:v>Asscher</x:v>
      </x:c>
      <x:c r="C1898" t="str">
        <x:v>I</x:v>
      </x:c>
      <x:c r="D1898" t="str">
        <x:v>FL</x:v>
      </x:c>
      <x:c r="E1898" s="36" t="n">
        <x:v>34300</x:v>
      </x:c>
      <x:c r="F1898" s="36" t="n">
        <x:v>4623</x:v>
      </x:c>
      <x:c r="G1898" s="42" t="n">
        <x:v>0.9916344916344917</x:v>
      </x:c>
      <x:c r="H1898" s="36" t="n">
        <x:f>E1898*G1898</x:f>
        <x:v>34013.06306306306</x:v>
      </x:c>
      <x:c r="I1898" s="36" t="n">
        <x:f>IFERROR(H1898/A1898,0)</x:f>
        <x:v>11337.687687687687</x:v>
      </x:c>
      <x:c r="J1898" s="67" t="str">
        <x:v>Modeled from live base + Sep-2026 quality ratio</x:v>
      </x:c>
      <x:c r="K1898" s="67" t="str">
        <x:v>https://www.stonealgo.com/diamond-prices/</x:v>
      </x:c>
      <x:c r="L1898" s="67" t="str">
        <x:v>https://www.pricescope.com/blog/natural-diamond-prices-september-2026</x:v>
      </x:c>
    </x:row>
    <x:row r="1899">
      <x:c r="A1899" t="n">
        <x:v>3</x:v>
      </x:c>
      <x:c r="B1899" t="str">
        <x:v>Asscher</x:v>
      </x:c>
      <x:c r="C1899" t="str">
        <x:v>I</x:v>
      </x:c>
      <x:c r="D1899" t="str">
        <x:v>IF</x:v>
      </x:c>
      <x:c r="E1899" s="36" t="n">
        <x:v>34300</x:v>
      </x:c>
      <x:c r="F1899" s="36" t="n">
        <x:v>4005</x:v>
      </x:c>
      <x:c r="G1899" s="42" t="n">
        <x:v>0.859073359073359</x:v>
      </x:c>
      <x:c r="H1899" s="36" t="n">
        <x:f>E1899*G1899</x:f>
        <x:v>29466.216216216213</x:v>
      </x:c>
      <x:c r="I1899" s="36" t="n">
        <x:f>IFERROR(H1899/A1899,0)</x:f>
        <x:v>9822.072072072071</x:v>
      </x:c>
      <x:c r="J1899" s="67" t="str">
        <x:v>Modeled from live base + Sep-2026 quality ratio</x:v>
      </x:c>
      <x:c r="K1899" s="67" t="str">
        <x:v>https://www.stonealgo.com/diamond-prices/</x:v>
      </x:c>
      <x:c r="L1899" s="67" t="str">
        <x:v>https://www.pricescope.com/blog/natural-diamond-prices-september-2026</x:v>
      </x:c>
    </x:row>
    <x:row r="1900">
      <x:c r="A1900" t="n">
        <x:v>3</x:v>
      </x:c>
      <x:c r="B1900" t="str">
        <x:v>Asscher</x:v>
      </x:c>
      <x:c r="C1900" t="str">
        <x:v>I</x:v>
      </x:c>
      <x:c r="D1900" t="str">
        <x:v>VVS1</x:v>
      </x:c>
      <x:c r="E1900" s="36" t="n">
        <x:v>34300</x:v>
      </x:c>
      <x:c r="F1900" s="36" t="n">
        <x:v>3670</x:v>
      </x:c>
      <x:c r="G1900" s="42" t="n">
        <x:v>0.7872157872157872</x:v>
      </x:c>
      <x:c r="H1900" s="36" t="n">
        <x:f>E1900*G1900</x:f>
        <x:v>27001.5015015015</x:v>
      </x:c>
      <x:c r="I1900" s="36" t="n">
        <x:f>IFERROR(H1900/A1900,0)</x:f>
        <x:v>9000.5005005005</x:v>
      </x:c>
      <x:c r="J1900" s="67" t="str">
        <x:v>Modeled from live base + Sep-2026 quality ratio</x:v>
      </x:c>
      <x:c r="K1900" s="67" t="str">
        <x:v>https://www.stonealgo.com/diamond-prices/</x:v>
      </x:c>
      <x:c r="L1900" s="67" t="str">
        <x:v>https://www.pricescope.com/blog/natural-diamond-prices-september-2026</x:v>
      </x:c>
    </x:row>
    <x:row r="1901">
      <x:c r="A1901" t="n">
        <x:v>3</x:v>
      </x:c>
      <x:c r="B1901" t="str">
        <x:v>Asscher</x:v>
      </x:c>
      <x:c r="C1901" t="str">
        <x:v>I</x:v>
      </x:c>
      <x:c r="D1901" t="str">
        <x:v>VVS2</x:v>
      </x:c>
      <x:c r="E1901" s="36" t="n">
        <x:v>34300</x:v>
      </x:c>
      <x:c r="F1901" s="36" t="n">
        <x:v>3447</x:v>
      </x:c>
      <x:c r="G1901" s="42" t="n">
        <x:v>0.7393822393822393</x:v>
      </x:c>
      <x:c r="H1901" s="36" t="n">
        <x:f>E1901*G1901</x:f>
        <x:v>25360.81081081081</x:v>
      </x:c>
      <x:c r="I1901" s="36" t="n">
        <x:f>IFERROR(H1901/A1901,0)</x:f>
        <x:v>8453.603603603604</x:v>
      </x:c>
      <x:c r="J1901" s="67" t="str">
        <x:v>Modeled from live base + Sep-2026 quality ratio</x:v>
      </x:c>
      <x:c r="K1901" s="67" t="str">
        <x:v>https://www.stonealgo.com/diamond-prices/</x:v>
      </x:c>
      <x:c r="L1901" s="67" t="str">
        <x:v>https://www.pricescope.com/blog/natural-diamond-prices-september-2026</x:v>
      </x:c>
    </x:row>
    <x:row r="1902">
      <x:c r="A1902" t="n">
        <x:v>3</x:v>
      </x:c>
      <x:c r="B1902" t="str">
        <x:v>Asscher</x:v>
      </x:c>
      <x:c r="C1902" t="str">
        <x:v>I</x:v>
      </x:c>
      <x:c r="D1902" t="str">
        <x:v>VS1</x:v>
      </x:c>
      <x:c r="E1902" s="36" t="n">
        <x:v>34300</x:v>
      </x:c>
      <x:c r="F1902" s="36" t="n">
        <x:v>3313</x:v>
      </x:c>
      <x:c r="G1902" s="42" t="n">
        <x:v>0.7106392106392107</x:v>
      </x:c>
      <x:c r="H1902" s="36" t="n">
        <x:f>E1902*G1902</x:f>
        <x:v>24374.924924924926</x:v>
      </x:c>
      <x:c r="I1902" s="36" t="n">
        <x:f>IFERROR(H1902/A1902,0)</x:f>
        <x:v>8124.974974974975</x:v>
      </x:c>
      <x:c r="J1902" s="67" t="str">
        <x:v>Modeled from live base + Sep-2026 quality ratio</x:v>
      </x:c>
      <x:c r="K1902" s="67" t="str">
        <x:v>https://www.stonealgo.com/diamond-prices/</x:v>
      </x:c>
      <x:c r="L1902" s="67" t="str">
        <x:v>https://www.pricescope.com/blog/natural-diamond-prices-september-2026</x:v>
      </x:c>
    </x:row>
    <x:row r="1903">
      <x:c r="A1903" t="n">
        <x:v>3</x:v>
      </x:c>
      <x:c r="B1903" t="str">
        <x:v>Asscher</x:v>
      </x:c>
      <x:c r="C1903" t="str">
        <x:v>I</x:v>
      </x:c>
      <x:c r="D1903" t="str">
        <x:v>VS2</x:v>
      </x:c>
      <x:c r="E1903" s="36" t="n">
        <x:v>34300</x:v>
      </x:c>
      <x:c r="F1903" s="36" t="n">
        <x:v>3240</x:v>
      </x:c>
      <x:c r="G1903" s="42" t="n">
        <x:v>0.694980694980695</x:v>
      </x:c>
      <x:c r="H1903" s="36" t="n">
        <x:f>E1903*G1903</x:f>
        <x:v>23837.83783783784</x:v>
      </x:c>
      <x:c r="I1903" s="36" t="n">
        <x:f>IFERROR(H1903/A1903,0)</x:f>
        <x:v>7945.945945945947</x:v>
      </x:c>
      <x:c r="J1903" s="67" t="str">
        <x:v>Modeled from live base + Sep-2026 quality ratio</x:v>
      </x:c>
      <x:c r="K1903" s="67" t="str">
        <x:v>https://www.stonealgo.com/diamond-prices/</x:v>
      </x:c>
      <x:c r="L1903" s="67" t="str">
        <x:v>https://www.pricescope.com/blog/natural-diamond-prices-september-2026</x:v>
      </x:c>
    </x:row>
    <x:row r="1904">
      <x:c r="A1904" t="n">
        <x:v>3</x:v>
      </x:c>
      <x:c r="B1904" t="str">
        <x:v>Asscher</x:v>
      </x:c>
      <x:c r="C1904" t="str">
        <x:v>I</x:v>
      </x:c>
      <x:c r="D1904" t="str">
        <x:v>SI1</x:v>
      </x:c>
      <x:c r="E1904" s="36" t="n">
        <x:v>34300</x:v>
      </x:c>
      <x:c r="F1904" s="36" t="n">
        <x:v>3199</x:v>
      </x:c>
      <x:c r="G1904" s="42" t="n">
        <x:v>0.6861861861861862</x:v>
      </x:c>
      <x:c r="H1904" s="36" t="n">
        <x:f>E1904*G1904</x:f>
        <x:v>23536.186186186187</x:v>
      </x:c>
      <x:c r="I1904" s="36" t="n">
        <x:f>IFERROR(H1904/A1904,0)</x:f>
        <x:v>7845.395395395396</x:v>
      </x:c>
      <x:c r="J1904" s="67" t="str">
        <x:v>Modeled from live base + Sep-2026 quality ratio</x:v>
      </x:c>
      <x:c r="K1904" s="67" t="str">
        <x:v>https://www.stonealgo.com/diamond-prices/</x:v>
      </x:c>
      <x:c r="L1904" s="67" t="str">
        <x:v>https://www.pricescope.com/blog/natural-diamond-prices-september-2026</x:v>
      </x:c>
    </x:row>
    <x:row r="1905">
      <x:c r="A1905" t="n">
        <x:v>3</x:v>
      </x:c>
      <x:c r="B1905" t="str">
        <x:v>Asscher</x:v>
      </x:c>
      <x:c r="C1905" t="str">
        <x:v>I</x:v>
      </x:c>
      <x:c r="D1905" t="str">
        <x:v>SI2</x:v>
      </x:c>
      <x:c r="E1905" s="36" t="n">
        <x:v>34300</x:v>
      </x:c>
      <x:c r="F1905" s="36" t="n">
        <x:v>2874</x:v>
      </x:c>
      <x:c r="G1905" s="42" t="n">
        <x:v>0.6164736164736164</x:v>
      </x:c>
      <x:c r="H1905" s="36" t="n">
        <x:f>E1905*G1905</x:f>
        <x:v>21145.045045045044</x:v>
      </x:c>
      <x:c r="I1905" s="36" t="n">
        <x:f>IFERROR(H1905/A1905,0)</x:f>
        <x:v>7048.348348348348</x:v>
      </x:c>
      <x:c r="J1905" s="67" t="str">
        <x:v>Modeled from live base + Sep-2026 quality ratio</x:v>
      </x:c>
      <x:c r="K1905" s="67" t="str">
        <x:v>https://www.stonealgo.com/diamond-prices/</x:v>
      </x:c>
      <x:c r="L1905" s="67" t="str">
        <x:v>https://www.pricescope.com/blog/natural-diamond-prices-september-2026</x:v>
      </x:c>
    </x:row>
    <x:row r="1906">
      <x:c r="A1906" t="n">
        <x:v>3</x:v>
      </x:c>
      <x:c r="B1906" t="str">
        <x:v>Asscher</x:v>
      </x:c>
      <x:c r="C1906" t="str">
        <x:v>J</x:v>
      </x:c>
      <x:c r="D1906" t="str">
        <x:v>FL</x:v>
      </x:c>
      <x:c r="E1906" s="36" t="n">
        <x:v>34300</x:v>
      </x:c>
      <x:c r="F1906" s="36" t="n">
        <x:v>3646</x:v>
      </x:c>
      <x:c r="G1906" s="42" t="n">
        <x:v>0.782067782067782</x:v>
      </x:c>
      <x:c r="H1906" s="36" t="n">
        <x:f>E1906*G1906</x:f>
        <x:v>26824.924924924926</x:v>
      </x:c>
      <x:c r="I1906" s="36" t="n">
        <x:f>IFERROR(H1906/A1906,0)</x:f>
        <x:v>8941.641641641641</x:v>
      </x:c>
      <x:c r="J1906" s="67" t="str">
        <x:v>Modeled from live base + Sep-2026 quality ratio</x:v>
      </x:c>
      <x:c r="K1906" s="67" t="str">
        <x:v>https://www.stonealgo.com/diamond-prices/</x:v>
      </x:c>
      <x:c r="L1906" s="67" t="str">
        <x:v>https://www.pricescope.com/blog/natural-diamond-prices-september-2026</x:v>
      </x:c>
    </x:row>
    <x:row r="1907">
      <x:c r="A1907" t="n">
        <x:v>3</x:v>
      </x:c>
      <x:c r="B1907" t="str">
        <x:v>Asscher</x:v>
      </x:c>
      <x:c r="C1907" t="str">
        <x:v>J</x:v>
      </x:c>
      <x:c r="D1907" t="str">
        <x:v>IF</x:v>
      </x:c>
      <x:c r="E1907" s="36" t="n">
        <x:v>34300</x:v>
      </x:c>
      <x:c r="F1907" s="36" t="n">
        <x:v>3368</x:v>
      </x:c>
      <x:c r="G1907" s="42" t="n">
        <x:v>0.7224367224367224</x:v>
      </x:c>
      <x:c r="H1907" s="36" t="n">
        <x:f>E1907*G1907</x:f>
        <x:v>24779.57957957958</x:v>
      </x:c>
      <x:c r="I1907" s="36" t="n">
        <x:f>IFERROR(H1907/A1907,0)</x:f>
        <x:v>8259.85985985986</x:v>
      </x:c>
      <x:c r="J1907" s="67" t="str">
        <x:v>Modeled from live base + Sep-2026 quality ratio</x:v>
      </x:c>
      <x:c r="K1907" s="67" t="str">
        <x:v>https://www.stonealgo.com/diamond-prices/</x:v>
      </x:c>
      <x:c r="L1907" s="67" t="str">
        <x:v>https://www.pricescope.com/blog/natural-diamond-prices-september-2026</x:v>
      </x:c>
    </x:row>
    <x:row r="1908">
      <x:c r="A1908" t="n">
        <x:v>3</x:v>
      </x:c>
      <x:c r="B1908" t="str">
        <x:v>Asscher</x:v>
      </x:c>
      <x:c r="C1908" t="str">
        <x:v>J</x:v>
      </x:c>
      <x:c r="D1908" t="str">
        <x:v>VVS1</x:v>
      </x:c>
      <x:c r="E1908" s="36" t="n">
        <x:v>34300</x:v>
      </x:c>
      <x:c r="F1908" s="36" t="n">
        <x:v>2956</x:v>
      </x:c>
      <x:c r="G1908" s="42" t="n">
        <x:v>0.6340626340626341</x:v>
      </x:c>
      <x:c r="H1908" s="36" t="n">
        <x:f>E1908*G1908</x:f>
        <x:v>21748.34834834835</x:v>
      </x:c>
      <x:c r="I1908" s="36" t="n">
        <x:f>IFERROR(H1908/A1908,0)</x:f>
        <x:v>7249.44944944945</x:v>
      </x:c>
      <x:c r="J1908" s="67" t="str">
        <x:v>Modeled from live base + Sep-2026 quality ratio</x:v>
      </x:c>
      <x:c r="K1908" s="67" t="str">
        <x:v>https://www.stonealgo.com/diamond-prices/</x:v>
      </x:c>
      <x:c r="L1908" s="67" t="str">
        <x:v>https://www.pricescope.com/blog/natural-diamond-prices-september-2026</x:v>
      </x:c>
    </x:row>
    <x:row r="1909">
      <x:c r="A1909" t="n">
        <x:v>3</x:v>
      </x:c>
      <x:c r="B1909" t="str">
        <x:v>Asscher</x:v>
      </x:c>
      <x:c r="C1909" t="str">
        <x:v>J</x:v>
      </x:c>
      <x:c r="D1909" t="str">
        <x:v>VVS2</x:v>
      </x:c>
      <x:c r="E1909" s="36" t="n">
        <x:v>34300</x:v>
      </x:c>
      <x:c r="F1909" s="36" t="n">
        <x:v>2612</x:v>
      </x:c>
      <x:c r="G1909" s="42" t="n">
        <x:v>0.5602745602745602</x:v>
      </x:c>
      <x:c r="H1909" s="36" t="n">
        <x:f>E1909*G1909</x:f>
        <x:v>19217.417417417415</x:v>
      </x:c>
      <x:c r="I1909" s="36" t="n">
        <x:f>IFERROR(H1909/A1909,0)</x:f>
        <x:v>6405.805805805805</x:v>
      </x:c>
      <x:c r="J1909" s="67" t="str">
        <x:v>Modeled from live base + Sep-2026 quality ratio</x:v>
      </x:c>
      <x:c r="K1909" s="67" t="str">
        <x:v>https://www.stonealgo.com/diamond-prices/</x:v>
      </x:c>
      <x:c r="L1909" s="67" t="str">
        <x:v>https://www.pricescope.com/blog/natural-diamond-prices-september-2026</x:v>
      </x:c>
    </x:row>
    <x:row r="1910">
      <x:c r="A1910" t="n">
        <x:v>3</x:v>
      </x:c>
      <x:c r="B1910" t="str">
        <x:v>Asscher</x:v>
      </x:c>
      <x:c r="C1910" t="str">
        <x:v>J</x:v>
      </x:c>
      <x:c r="D1910" t="str">
        <x:v>VS1</x:v>
      </x:c>
      <x:c r="E1910" s="36" t="n">
        <x:v>34300</x:v>
      </x:c>
      <x:c r="F1910" s="36" t="n">
        <x:v>3002</x:v>
      </x:c>
      <x:c r="G1910" s="42" t="n">
        <x:v>0.6439296439296439</x:v>
      </x:c>
      <x:c r="H1910" s="36" t="n">
        <x:f>E1910*G1910</x:f>
        <x:v>22086.786786786786</x:v>
      </x:c>
      <x:c r="I1910" s="36" t="n">
        <x:f>IFERROR(H1910/A1910,0)</x:f>
        <x:v>7362.262262262262</x:v>
      </x:c>
      <x:c r="J1910" s="67" t="str">
        <x:v>Modeled from live base + Sep-2026 quality ratio</x:v>
      </x:c>
      <x:c r="K1910" s="67" t="str">
        <x:v>https://www.stonealgo.com/diamond-prices/</x:v>
      </x:c>
      <x:c r="L1910" s="67" t="str">
        <x:v>https://www.pricescope.com/blog/natural-diamond-prices-september-2026</x:v>
      </x:c>
    </x:row>
    <x:row r="1911">
      <x:c r="A1911" t="n">
        <x:v>3</x:v>
      </x:c>
      <x:c r="B1911" t="str">
        <x:v>Asscher</x:v>
      </x:c>
      <x:c r="C1911" t="str">
        <x:v>J</x:v>
      </x:c>
      <x:c r="D1911" t="str">
        <x:v>VS2</x:v>
      </x:c>
      <x:c r="E1911" s="36" t="n">
        <x:v>34300</x:v>
      </x:c>
      <x:c r="F1911" s="36" t="n">
        <x:v>2559</x:v>
      </x:c>
      <x:c r="G1911" s="42" t="n">
        <x:v>0.5489060489060489</x:v>
      </x:c>
      <x:c r="H1911" s="36" t="n">
        <x:f>E1911*G1911</x:f>
        <x:v>18827.477477477478</x:v>
      </x:c>
      <x:c r="I1911" s="36" t="n">
        <x:f>IFERROR(H1911/A1911,0)</x:f>
        <x:v>6275.825825825826</x:v>
      </x:c>
      <x:c r="J1911" s="67" t="str">
        <x:v>Modeled from live base + Sep-2026 quality ratio</x:v>
      </x:c>
      <x:c r="K1911" s="67" t="str">
        <x:v>https://www.stonealgo.com/diamond-prices/</x:v>
      </x:c>
      <x:c r="L1911" s="67" t="str">
        <x:v>https://www.pricescope.com/blog/natural-diamond-prices-september-2026</x:v>
      </x:c>
    </x:row>
    <x:row r="1912">
      <x:c r="A1912" t="n">
        <x:v>3</x:v>
      </x:c>
      <x:c r="B1912" t="str">
        <x:v>Asscher</x:v>
      </x:c>
      <x:c r="C1912" t="str">
        <x:v>J</x:v>
      </x:c>
      <x:c r="D1912" t="str">
        <x:v>SI1</x:v>
      </x:c>
      <x:c r="E1912" s="36" t="n">
        <x:v>34300</x:v>
      </x:c>
      <x:c r="F1912" s="36" t="n">
        <x:v>2195</x:v>
      </x:c>
      <x:c r="G1912" s="42" t="n">
        <x:v>0.47082797082797084</x:v>
      </x:c>
      <x:c r="H1912" s="36" t="n">
        <x:f>E1912*G1912</x:f>
        <x:v>16149.399399399399</x:v>
      </x:c>
      <x:c r="I1912" s="36" t="n">
        <x:f>IFERROR(H1912/A1912,0)</x:f>
        <x:v>5383.133133133133</x:v>
      </x:c>
      <x:c r="J1912" s="67" t="str">
        <x:v>Modeled from live base + Sep-2026 quality ratio</x:v>
      </x:c>
      <x:c r="K1912" s="67" t="str">
        <x:v>https://www.stonealgo.com/diamond-prices/</x:v>
      </x:c>
      <x:c r="L1912" s="67" t="str">
        <x:v>https://www.pricescope.com/blog/natural-diamond-prices-september-2026</x:v>
      </x:c>
    </x:row>
    <x:row r="1913">
      <x:c r="A1913" t="n">
        <x:v>3</x:v>
      </x:c>
      <x:c r="B1913" t="str">
        <x:v>Asscher</x:v>
      </x:c>
      <x:c r="C1913" t="str">
        <x:v>J</x:v>
      </x:c>
      <x:c r="D1913" t="str">
        <x:v>SI2</x:v>
      </x:c>
      <x:c r="E1913" s="36" t="n">
        <x:v>34300</x:v>
      </x:c>
      <x:c r="F1913" s="36" t="n">
        <x:v>2079</x:v>
      </x:c>
      <x:c r="G1913" s="42" t="n">
        <x:v>0.44594594594594594</x:v>
      </x:c>
      <x:c r="H1913" s="36" t="n">
        <x:f>E1913*G1913</x:f>
        <x:v>15295.945945945947</x:v>
      </x:c>
      <x:c r="I1913" s="36" t="n">
        <x:f>IFERROR(H1913/A1913,0)</x:f>
        <x:v>5098.648648648649</x:v>
      </x:c>
      <x:c r="J1913" s="67" t="str">
        <x:v>Modeled from live base + Sep-2026 quality ratio</x:v>
      </x:c>
      <x:c r="K1913" s="67" t="str">
        <x:v>https://www.stonealgo.com/diamond-prices/</x:v>
      </x:c>
      <x:c r="L1913" s="67" t="str">
        <x:v>https://www.pricescope.com/blog/natural-diamond-prices-september-2026</x:v>
      </x:c>
    </x:row>
    <x:row r="1914">
      <x:c r="A1914" t="n">
        <x:v>3</x:v>
      </x:c>
      <x:c r="B1914" t="str">
        <x:v>Asscher</x:v>
      </x:c>
      <x:c r="C1914" t="str">
        <x:v>K</x:v>
      </x:c>
      <x:c r="D1914" t="str">
        <x:v>FL</x:v>
      </x:c>
      <x:c r="E1914" s="36" t="n">
        <x:v>34300</x:v>
      </x:c>
      <x:c r="F1914" s="36" t="n">
        <x:v>2858</x:v>
      </x:c>
      <x:c r="G1914" s="42" t="n">
        <x:v>0.6130416130416131</x:v>
      </x:c>
      <x:c r="H1914" s="36" t="n">
        <x:f>E1914*G1914</x:f>
        <x:v>21027.32732732733</x:v>
      </x:c>
      <x:c r="I1914" s="36" t="n">
        <x:f>IFERROR(H1914/A1914,0)</x:f>
        <x:v>7009.10910910911</x:v>
      </x:c>
      <x:c r="J1914" s="67" t="str">
        <x:v>Modeled from live base + Sep-2026 quality ratio; K/FL quality cell modeled</x:v>
      </x:c>
      <x:c r="K1914" s="67" t="str">
        <x:v>https://www.stonealgo.com/diamond-prices/</x:v>
      </x:c>
      <x:c r="L1914" s="67" t="str">
        <x:v>https://www.pricescope.com/blog/natural-diamond-prices-september-2026</x:v>
      </x:c>
    </x:row>
    <x:row r="1915">
      <x:c r="A1915" t="n">
        <x:v>3</x:v>
      </x:c>
      <x:c r="B1915" t="str">
        <x:v>Asscher</x:v>
      </x:c>
      <x:c r="C1915" t="str">
        <x:v>K</x:v>
      </x:c>
      <x:c r="D1915" t="str">
        <x:v>IF</x:v>
      </x:c>
      <x:c r="E1915" s="36" t="n">
        <x:v>34300</x:v>
      </x:c>
      <x:c r="F1915" s="36" t="n">
        <x:v>2743</x:v>
      </x:c>
      <x:c r="G1915" s="42" t="n">
        <x:v>0.5883740883740883</x:v>
      </x:c>
      <x:c r="H1915" s="36" t="n">
        <x:f>E1915*G1915</x:f>
        <x:v>20181.23123123123</x:v>
      </x:c>
      <x:c r="I1915" s="36" t="n">
        <x:f>IFERROR(H1915/A1915,0)</x:f>
        <x:v>6727.077077077077</x:v>
      </x:c>
      <x:c r="J1915" s="67" t="str">
        <x:v>Modeled from live base + Sep-2026 quality ratio</x:v>
      </x:c>
      <x:c r="K1915" s="67" t="str">
        <x:v>https://www.stonealgo.com/diamond-prices/</x:v>
      </x:c>
      <x:c r="L1915" s="67" t="str">
        <x:v>https://www.pricescope.com/blog/natural-diamond-prices-september-2026</x:v>
      </x:c>
    </x:row>
    <x:row r="1916">
      <x:c r="A1916" t="n">
        <x:v>3</x:v>
      </x:c>
      <x:c r="B1916" t="str">
        <x:v>Asscher</x:v>
      </x:c>
      <x:c r="C1916" t="str">
        <x:v>K</x:v>
      </x:c>
      <x:c r="D1916" t="str">
        <x:v>VVS1</x:v>
      </x:c>
      <x:c r="E1916" s="36" t="n">
        <x:v>34300</x:v>
      </x:c>
      <x:c r="F1916" s="36" t="n">
        <x:v>2529</x:v>
      </x:c>
      <x:c r="G1916" s="42" t="n">
        <x:v>0.5424710424710425</x:v>
      </x:c>
      <x:c r="H1916" s="36" t="n">
        <x:f>E1916*G1916</x:f>
        <x:v>18606.756756756757</x:v>
      </x:c>
      <x:c r="I1916" s="36" t="n">
        <x:f>IFERROR(H1916/A1916,0)</x:f>
        <x:v>6202.252252252252</x:v>
      </x:c>
      <x:c r="J1916" s="67" t="str">
        <x:v>Modeled from live base + Sep-2026 quality ratio</x:v>
      </x:c>
      <x:c r="K1916" s="67" t="str">
        <x:v>https://www.stonealgo.com/diamond-prices/</x:v>
      </x:c>
      <x:c r="L1916" s="67" t="str">
        <x:v>https://www.pricescope.com/blog/natural-diamond-prices-september-2026</x:v>
      </x:c>
    </x:row>
    <x:row r="1917">
      <x:c r="A1917" t="n">
        <x:v>3</x:v>
      </x:c>
      <x:c r="B1917" t="str">
        <x:v>Asscher</x:v>
      </x:c>
      <x:c r="C1917" t="str">
        <x:v>K</x:v>
      </x:c>
      <x:c r="D1917" t="str">
        <x:v>VVS2</x:v>
      </x:c>
      <x:c r="E1917" s="36" t="n">
        <x:v>34300</x:v>
      </x:c>
      <x:c r="F1917" s="36" t="n">
        <x:v>2374</x:v>
      </x:c>
      <x:c r="G1917" s="42" t="n">
        <x:v>0.5092235092235092</x:v>
      </x:c>
      <x:c r="H1917" s="36" t="n">
        <x:f>E1917*G1917</x:f>
        <x:v>17466.36636636637</x:v>
      </x:c>
      <x:c r="I1917" s="36" t="n">
        <x:f>IFERROR(H1917/A1917,0)</x:f>
        <x:v>5822.122122122123</x:v>
      </x:c>
      <x:c r="J1917" s="67" t="str">
        <x:v>Modeled from live base + Sep-2026 quality ratio</x:v>
      </x:c>
      <x:c r="K1917" s="67" t="str">
        <x:v>https://www.stonealgo.com/diamond-prices/</x:v>
      </x:c>
      <x:c r="L1917" s="67" t="str">
        <x:v>https://www.pricescope.com/blog/natural-diamond-prices-september-2026</x:v>
      </x:c>
    </x:row>
    <x:row r="1918">
      <x:c r="A1918" t="n">
        <x:v>3</x:v>
      </x:c>
      <x:c r="B1918" t="str">
        <x:v>Asscher</x:v>
      </x:c>
      <x:c r="C1918" t="str">
        <x:v>K</x:v>
      </x:c>
      <x:c r="D1918" t="str">
        <x:v>VS1</x:v>
      </x:c>
      <x:c r="E1918" s="36" t="n">
        <x:v>34300</x:v>
      </x:c>
      <x:c r="F1918" s="36" t="n">
        <x:v>2223</x:v>
      </x:c>
      <x:c r="G1918" s="42" t="n">
        <x:v>0.4768339768339768</x:v>
      </x:c>
      <x:c r="H1918" s="36" t="n">
        <x:f>E1918*G1918</x:f>
        <x:v>16355.405405405405</x:v>
      </x:c>
      <x:c r="I1918" s="36" t="n">
        <x:f>IFERROR(H1918/A1918,0)</x:f>
        <x:v>5451.801801801802</x:v>
      </x:c>
      <x:c r="J1918" s="67" t="str">
        <x:v>Modeled from live base + Sep-2026 quality ratio</x:v>
      </x:c>
      <x:c r="K1918" s="67" t="str">
        <x:v>https://www.stonealgo.com/diamond-prices/</x:v>
      </x:c>
      <x:c r="L1918" s="67" t="str">
        <x:v>https://www.pricescope.com/blog/natural-diamond-prices-september-2026</x:v>
      </x:c>
    </x:row>
    <x:row r="1919">
      <x:c r="A1919" t="n">
        <x:v>3</x:v>
      </x:c>
      <x:c r="B1919" t="str">
        <x:v>Asscher</x:v>
      </x:c>
      <x:c r="C1919" t="str">
        <x:v>K</x:v>
      </x:c>
      <x:c r="D1919" t="str">
        <x:v>VS2</x:v>
      </x:c>
      <x:c r="E1919" s="36" t="n">
        <x:v>34300</x:v>
      </x:c>
      <x:c r="F1919" s="36" t="n">
        <x:v>2098</x:v>
      </x:c>
      <x:c r="G1919" s="42" t="n">
        <x:v>0.45002145002145</x:v>
      </x:c>
      <x:c r="H1919" s="36" t="n">
        <x:f>E1919*G1919</x:f>
        <x:v>15435.735735735734</x:v>
      </x:c>
      <x:c r="I1919" s="36" t="n">
        <x:f>IFERROR(H1919/A1919,0)</x:f>
        <x:v>5145.245245245244</x:v>
      </x:c>
      <x:c r="J1919" s="67" t="str">
        <x:v>Modeled from live base + Sep-2026 quality ratio</x:v>
      </x:c>
      <x:c r="K1919" s="67" t="str">
        <x:v>https://www.stonealgo.com/diamond-prices/</x:v>
      </x:c>
      <x:c r="L1919" s="67" t="str">
        <x:v>https://www.pricescope.com/blog/natural-diamond-prices-september-2026</x:v>
      </x:c>
    </x:row>
    <x:row r="1920">
      <x:c r="A1920" t="n">
        <x:v>3</x:v>
      </x:c>
      <x:c r="B1920" t="str">
        <x:v>Asscher</x:v>
      </x:c>
      <x:c r="C1920" t="str">
        <x:v>K</x:v>
      </x:c>
      <x:c r="D1920" t="str">
        <x:v>SI1</x:v>
      </x:c>
      <x:c r="E1920" s="36" t="n">
        <x:v>34300</x:v>
      </x:c>
      <x:c r="F1920" s="36" t="n">
        <x:v>1922</x:v>
      </x:c>
      <x:c r="G1920" s="42" t="n">
        <x:v>0.41226941226941227</x:v>
      </x:c>
      <x:c r="H1920" s="36" t="n">
        <x:f>E1920*G1920</x:f>
        <x:v>14140.840840840841</x:v>
      </x:c>
      <x:c r="I1920" s="36" t="n">
        <x:f>IFERROR(H1920/A1920,0)</x:f>
        <x:v>4713.613613613614</x:v>
      </x:c>
      <x:c r="J1920" s="67" t="str">
        <x:v>Modeled from live base + Sep-2026 quality ratio</x:v>
      </x:c>
      <x:c r="K1920" s="67" t="str">
        <x:v>https://www.stonealgo.com/diamond-prices/</x:v>
      </x:c>
      <x:c r="L1920" s="67" t="str">
        <x:v>https://www.pricescope.com/blog/natural-diamond-prices-september-2026</x:v>
      </x:c>
    </x:row>
    <x:row r="1921">
      <x:c r="A1921" t="n">
        <x:v>3</x:v>
      </x:c>
      <x:c r="B1921" t="str">
        <x:v>Asscher</x:v>
      </x:c>
      <x:c r="C1921" t="str">
        <x:v>K</x:v>
      </x:c>
      <x:c r="D1921" t="str">
        <x:v>SI2</x:v>
      </x:c>
      <x:c r="E1921" s="36" t="n">
        <x:v>34300</x:v>
      </x:c>
      <x:c r="F1921" s="36" t="n">
        <x:v>1764</x:v>
      </x:c>
      <x:c r="G1921" s="42" t="n">
        <x:v>0.3783783783783784</x:v>
      </x:c>
      <x:c r="H1921" s="36" t="n">
        <x:f>E1921*G1921</x:f>
        <x:v>12978.378378378378</x:v>
      </x:c>
      <x:c r="I1921" s="36" t="n">
        <x:f>IFERROR(H1921/A1921,0)</x:f>
        <x:v>4326.126126126126</x:v>
      </x:c>
      <x:c r="J1921" s="67" t="str">
        <x:v>Modeled from live base + Sep-2026 quality ratio</x:v>
      </x:c>
      <x:c r="K1921" s="67" t="str">
        <x:v>https://www.stonealgo.com/diamond-prices/</x:v>
      </x:c>
      <x:c r="L1921" s="67" t="str">
        <x:v>https://www.pricescope.com/blog/natural-diamond-prices-september-2026</x:v>
      </x:c>
    </x:row>
    <x:row r="1922">
      <x:c r="A1922" t="n">
        <x:v>4</x:v>
      </x:c>
      <x:c r="B1922" t="str">
        <x:v>Round</x:v>
      </x:c>
      <x:c r="C1922" t="str">
        <x:v>D</x:v>
      </x:c>
      <x:c r="D1922" t="str">
        <x:v>FL</x:v>
      </x:c>
      <x:c r="E1922" s="36" t="n">
        <x:v>70295</x:v>
      </x:c>
      <x:c r="F1922" s="36" t="n">
        <x:v>12665</x:v>
      </x:c>
      <x:c r="G1922" s="42" t="n">
        <x:v>2.7166452166452166</x:v>
      </x:c>
      <x:c r="H1922" s="36" t="n">
        <x:f>E1922*G1922</x:f>
        <x:v>190966.5755040755</x:v>
      </x:c>
      <x:c r="I1922" s="36" t="n">
        <x:f>IFERROR(H1922/A1922,0)</x:f>
        <x:v>47741.643876018876</x:v>
      </x:c>
      <x:c r="J1922" s="67" t="str">
        <x:v>Modeled from live base + Sep-2026 quality ratio</x:v>
      </x:c>
      <x:c r="K1922" s="67" t="str">
        <x:v>https://www.stonealgo.com/diamond-prices/</x:v>
      </x:c>
      <x:c r="L1922" s="67" t="str">
        <x:v>https://www.pricescope.com/blog/natural-diamond-prices-september-2026</x:v>
      </x:c>
    </x:row>
    <x:row r="1923">
      <x:c r="A1923" t="n">
        <x:v>4</x:v>
      </x:c>
      <x:c r="B1923" t="str">
        <x:v>Round</x:v>
      </x:c>
      <x:c r="C1923" t="str">
        <x:v>D</x:v>
      </x:c>
      <x:c r="D1923" t="str">
        <x:v>IF</x:v>
      </x:c>
      <x:c r="E1923" s="36" t="n">
        <x:v>70295</x:v>
      </x:c>
      <x:c r="F1923" s="36" t="n">
        <x:v>13240</x:v>
      </x:c>
      <x:c r="G1923" s="42" t="n">
        <x:v>2.83998283998284</x:v>
      </x:c>
      <x:c r="H1923" s="36" t="n">
        <x:f>E1923*G1923</x:f>
        <x:v>199636.59373659376</x:v>
      </x:c>
      <x:c r="I1923" s="36" t="n">
        <x:f>IFERROR(H1923/A1923,0)</x:f>
        <x:v>49909.14843414844</x:v>
      </x:c>
      <x:c r="J1923" s="67" t="str">
        <x:v>Modeled from live base + Sep-2026 quality ratio</x:v>
      </x:c>
      <x:c r="K1923" s="67" t="str">
        <x:v>https://www.stonealgo.com/diamond-prices/</x:v>
      </x:c>
      <x:c r="L1923" s="67" t="str">
        <x:v>https://www.pricescope.com/blog/natural-diamond-prices-september-2026</x:v>
      </x:c>
    </x:row>
    <x:row r="1924">
      <x:c r="A1924" t="n">
        <x:v>4</x:v>
      </x:c>
      <x:c r="B1924" t="str">
        <x:v>Round</x:v>
      </x:c>
      <x:c r="C1924" t="str">
        <x:v>D</x:v>
      </x:c>
      <x:c r="D1924" t="str">
        <x:v>VVS1</x:v>
      </x:c>
      <x:c r="E1924" s="36" t="n">
        <x:v>70295</x:v>
      </x:c>
      <x:c r="F1924" s="36" t="n">
        <x:v>9555</x:v>
      </x:c>
      <x:c r="G1924" s="42" t="n">
        <x:v>2.0495495495495497</x:v>
      </x:c>
      <x:c r="H1924" s="36" t="n">
        <x:f>E1924*G1924</x:f>
        <x:v>144073.0855855856</x:v>
      </x:c>
      <x:c r="I1924" s="36" t="n">
        <x:f>IFERROR(H1924/A1924,0)</x:f>
        <x:v>36018.2713963964</x:v>
      </x:c>
      <x:c r="J1924" s="67" t="str">
        <x:v>Modeled from live base + Sep-2026 quality ratio</x:v>
      </x:c>
      <x:c r="K1924" s="67" t="str">
        <x:v>https://www.stonealgo.com/diamond-prices/</x:v>
      </x:c>
      <x:c r="L1924" s="67" t="str">
        <x:v>https://www.pricescope.com/blog/natural-diamond-prices-september-2026</x:v>
      </x:c>
    </x:row>
    <x:row r="1925">
      <x:c r="A1925" t="n">
        <x:v>4</x:v>
      </x:c>
      <x:c r="B1925" t="str">
        <x:v>Round</x:v>
      </x:c>
      <x:c r="C1925" t="str">
        <x:v>D</x:v>
      </x:c>
      <x:c r="D1925" t="str">
        <x:v>VVS2</x:v>
      </x:c>
      <x:c r="E1925" s="36" t="n">
        <x:v>70295</x:v>
      </x:c>
      <x:c r="F1925" s="36" t="n">
        <x:v>6660</x:v>
      </x:c>
      <x:c r="G1925" s="42" t="n">
        <x:v>1.4285714285714286</x:v>
      </x:c>
      <x:c r="H1925" s="36" t="n">
        <x:f>E1925*G1925</x:f>
        <x:v>100421.42857142858</x:v>
      </x:c>
      <x:c r="I1925" s="36" t="n">
        <x:f>IFERROR(H1925/A1925,0)</x:f>
        <x:v>25105.357142857145</x:v>
      </x:c>
      <x:c r="J1925" s="67" t="str">
        <x:v>Modeled from live base + Sep-2026 quality ratio</x:v>
      </x:c>
      <x:c r="K1925" s="67" t="str">
        <x:v>https://www.stonealgo.com/diamond-prices/</x:v>
      </x:c>
      <x:c r="L1925" s="67" t="str">
        <x:v>https://www.pricescope.com/blog/natural-diamond-prices-september-2026</x:v>
      </x:c>
    </x:row>
    <x:row r="1926">
      <x:c r="A1926" t="n">
        <x:v>4</x:v>
      </x:c>
      <x:c r="B1926" t="str">
        <x:v>Round</x:v>
      </x:c>
      <x:c r="C1926" t="str">
        <x:v>D</x:v>
      </x:c>
      <x:c r="D1926" t="str">
        <x:v>VS1</x:v>
      </x:c>
      <x:c r="E1926" s="36" t="n">
        <x:v>70295</x:v>
      </x:c>
      <x:c r="F1926" s="36" t="n">
        <x:v>6247</x:v>
      </x:c>
      <x:c r="G1926" s="42" t="n">
        <x:v>1.33998283998284</x:v>
      </x:c>
      <x:c r="H1926" s="36" t="n">
        <x:f>E1926*G1926</x:f>
        <x:v>94194.09373659373</x:v>
      </x:c>
      <x:c r="I1926" s="36" t="n">
        <x:f>IFERROR(H1926/A1926,0)</x:f>
        <x:v>23548.523434148432</x:v>
      </x:c>
      <x:c r="J1926" s="67" t="str">
        <x:v>Modeled from live base + Sep-2026 quality ratio</x:v>
      </x:c>
      <x:c r="K1926" s="67" t="str">
        <x:v>https://www.stonealgo.com/diamond-prices/</x:v>
      </x:c>
      <x:c r="L1926" s="67" t="str">
        <x:v>https://www.pricescope.com/blog/natural-diamond-prices-september-2026</x:v>
      </x:c>
    </x:row>
    <x:row r="1927">
      <x:c r="A1927" t="n">
        <x:v>4</x:v>
      </x:c>
      <x:c r="B1927" t="str">
        <x:v>Round</x:v>
      </x:c>
      <x:c r="C1927" t="str">
        <x:v>D</x:v>
      </x:c>
      <x:c r="D1927" t="str">
        <x:v>VS2</x:v>
      </x:c>
      <x:c r="E1927" s="36" t="n">
        <x:v>70295</x:v>
      </x:c>
      <x:c r="F1927" s="36" t="n">
        <x:v>5841</x:v>
      </x:c>
      <x:c r="G1927" s="42" t="n">
        <x:v>1.252895752895753</x:v>
      </x:c>
      <x:c r="H1927" s="36" t="n">
        <x:f>E1927*G1927</x:f>
        <x:v>88072.30694980695</x:v>
      </x:c>
      <x:c r="I1927" s="36" t="n">
        <x:f>IFERROR(H1927/A1927,0)</x:f>
        <x:v>22018.076737451738</x:v>
      </x:c>
      <x:c r="J1927" s="67" t="str">
        <x:v>Modeled from live base + Sep-2026 quality ratio</x:v>
      </x:c>
      <x:c r="K1927" s="67" t="str">
        <x:v>https://www.stonealgo.com/diamond-prices/</x:v>
      </x:c>
      <x:c r="L1927" s="67" t="str">
        <x:v>https://www.pricescope.com/blog/natural-diamond-prices-september-2026</x:v>
      </x:c>
    </x:row>
    <x:row r="1928">
      <x:c r="A1928" t="n">
        <x:v>4</x:v>
      </x:c>
      <x:c r="B1928" t="str">
        <x:v>Round</x:v>
      </x:c>
      <x:c r="C1928" t="str">
        <x:v>D</x:v>
      </x:c>
      <x:c r="D1928" t="str">
        <x:v>SI1</x:v>
      </x:c>
      <x:c r="E1928" s="36" t="n">
        <x:v>70295</x:v>
      </x:c>
      <x:c r="F1928" s="36" t="n">
        <x:v>3762</x:v>
      </x:c>
      <x:c r="G1928" s="42" t="n">
        <x:v>0.806949806949807</x:v>
      </x:c>
      <x:c r="H1928" s="36" t="n">
        <x:f>E1928*G1928</x:f>
        <x:v>56724.536679536686</x:v>
      </x:c>
      <x:c r="I1928" s="36" t="n">
        <x:f>IFERROR(H1928/A1928,0)</x:f>
        <x:v>14181.134169884172</x:v>
      </x:c>
      <x:c r="J1928" s="67" t="str">
        <x:v>Modeled from live base + Sep-2026 quality ratio</x:v>
      </x:c>
      <x:c r="K1928" s="67" t="str">
        <x:v>https://www.stonealgo.com/diamond-prices/</x:v>
      </x:c>
      <x:c r="L1928" s="67" t="str">
        <x:v>https://www.pricescope.com/blog/natural-diamond-prices-september-2026</x:v>
      </x:c>
    </x:row>
    <x:row r="1929">
      <x:c r="A1929" t="n">
        <x:v>4</x:v>
      </x:c>
      <x:c r="B1929" t="str">
        <x:v>Round</x:v>
      </x:c>
      <x:c r="C1929" t="str">
        <x:v>D</x:v>
      </x:c>
      <x:c r="D1929" t="str">
        <x:v>SI2</x:v>
      </x:c>
      <x:c r="E1929" s="36" t="n">
        <x:v>70295</x:v>
      </x:c>
      <x:c r="F1929" s="36" t="n">
        <x:v>3026</x:v>
      </x:c>
      <x:c r="G1929" s="42" t="n">
        <x:v>0.6490776490776491</x:v>
      </x:c>
      <x:c r="H1929" s="36" t="n">
        <x:f>E1929*G1929</x:f>
        <x:v>45626.91334191334</x:v>
      </x:c>
      <x:c r="I1929" s="36" t="n">
        <x:f>IFERROR(H1929/A1929,0)</x:f>
        <x:v>11406.728335478336</x:v>
      </x:c>
      <x:c r="J1929" s="67" t="str">
        <x:v>Modeled from live base + Sep-2026 quality ratio</x:v>
      </x:c>
      <x:c r="K1929" s="67" t="str">
        <x:v>https://www.stonealgo.com/diamond-prices/</x:v>
      </x:c>
      <x:c r="L1929" s="67" t="str">
        <x:v>https://www.pricescope.com/blog/natural-diamond-prices-september-2026</x:v>
      </x:c>
    </x:row>
    <x:row r="1930">
      <x:c r="A1930" t="n">
        <x:v>4</x:v>
      </x:c>
      <x:c r="B1930" t="str">
        <x:v>Round</x:v>
      </x:c>
      <x:c r="C1930" t="str">
        <x:v>E</x:v>
      </x:c>
      <x:c r="D1930" t="str">
        <x:v>FL</x:v>
      </x:c>
      <x:c r="E1930" s="36" t="n">
        <x:v>70295</x:v>
      </x:c>
      <x:c r="F1930" s="36" t="n">
        <x:v>10072</x:v>
      </x:c>
      <x:c r="G1930" s="42" t="n">
        <x:v>2.1604461604461602</x:v>
      </x:c>
      <x:c r="H1930" s="36" t="n">
        <x:f>E1930*G1930</x:f>
        <x:v>151868.56284856284</x:v>
      </x:c>
      <x:c r="I1930" s="36" t="n">
        <x:f>IFERROR(H1930/A1930,0)</x:f>
        <x:v>37967.14071214071</x:v>
      </x:c>
      <x:c r="J1930" s="67" t="str">
        <x:v>Modeled from live base + Sep-2026 quality ratio</x:v>
      </x:c>
      <x:c r="K1930" s="67" t="str">
        <x:v>https://www.stonealgo.com/diamond-prices/</x:v>
      </x:c>
      <x:c r="L1930" s="67" t="str">
        <x:v>https://www.pricescope.com/blog/natural-diamond-prices-september-2026</x:v>
      </x:c>
    </x:row>
    <x:row r="1931">
      <x:c r="A1931" t="n">
        <x:v>4</x:v>
      </x:c>
      <x:c r="B1931" t="str">
        <x:v>Round</x:v>
      </x:c>
      <x:c r="C1931" t="str">
        <x:v>E</x:v>
      </x:c>
      <x:c r="D1931" t="str">
        <x:v>IF</x:v>
      </x:c>
      <x:c r="E1931" s="36" t="n">
        <x:v>70295</x:v>
      </x:c>
      <x:c r="F1931" s="36" t="n">
        <x:v>8672</x:v>
      </x:c>
      <x:c r="G1931" s="42" t="n">
        <x:v>1.8601458601458603</x:v>
      </x:c>
      <x:c r="H1931" s="36" t="n">
        <x:f>E1931*G1931</x:f>
        <x:v>130758.95323895324</x:v>
      </x:c>
      <x:c r="I1931" s="36" t="n">
        <x:f>IFERROR(H1931/A1931,0)</x:f>
        <x:v>32689.73830973831</x:v>
      </x:c>
      <x:c r="J1931" s="67" t="str">
        <x:v>Modeled from live base + Sep-2026 quality ratio</x:v>
      </x:c>
      <x:c r="K1931" s="67" t="str">
        <x:v>https://www.stonealgo.com/diamond-prices/</x:v>
      </x:c>
      <x:c r="L1931" s="67" t="str">
        <x:v>https://www.pricescope.com/blog/natural-diamond-prices-september-2026</x:v>
      </x:c>
    </x:row>
    <x:row r="1932">
      <x:c r="A1932" t="n">
        <x:v>4</x:v>
      </x:c>
      <x:c r="B1932" t="str">
        <x:v>Round</x:v>
      </x:c>
      <x:c r="C1932" t="str">
        <x:v>E</x:v>
      </x:c>
      <x:c r="D1932" t="str">
        <x:v>VVS1</x:v>
      </x:c>
      <x:c r="E1932" s="36" t="n">
        <x:v>70295</x:v>
      </x:c>
      <x:c r="F1932" s="36" t="n">
        <x:v>7842</x:v>
      </x:c>
      <x:c r="G1932" s="42" t="n">
        <x:v>1.6821106821106822</x:v>
      </x:c>
      <x:c r="H1932" s="36" t="n">
        <x:f>E1932*G1932</x:f>
        <x:v>118243.9703989704</x:v>
      </x:c>
      <x:c r="I1932" s="36" t="n">
        <x:f>IFERROR(H1932/A1932,0)</x:f>
        <x:v>29560.9925997426</x:v>
      </x:c>
      <x:c r="J1932" s="67" t="str">
        <x:v>Modeled from live base + Sep-2026 quality ratio</x:v>
      </x:c>
      <x:c r="K1932" s="67" t="str">
        <x:v>https://www.stonealgo.com/diamond-prices/</x:v>
      </x:c>
      <x:c r="L1932" s="67" t="str">
        <x:v>https://www.pricescope.com/blog/natural-diamond-prices-september-2026</x:v>
      </x:c>
    </x:row>
    <x:row r="1933">
      <x:c r="A1933" t="n">
        <x:v>4</x:v>
      </x:c>
      <x:c r="B1933" t="str">
        <x:v>Round</x:v>
      </x:c>
      <x:c r="C1933" t="str">
        <x:v>E</x:v>
      </x:c>
      <x:c r="D1933" t="str">
        <x:v>VVS2</x:v>
      </x:c>
      <x:c r="E1933" s="36" t="n">
        <x:v>70295</x:v>
      </x:c>
      <x:c r="F1933" s="36" t="n">
        <x:v>6880</x:v>
      </x:c>
      <x:c r="G1933" s="42" t="n">
        <x:v>1.4757614757614759</x:v>
      </x:c>
      <x:c r="H1933" s="36" t="n">
        <x:f>E1933*G1933</x:f>
        <x:v>103738.65293865294</x:v>
      </x:c>
      <x:c r="I1933" s="36" t="n">
        <x:f>IFERROR(H1933/A1933,0)</x:f>
        <x:v>25934.663234663236</x:v>
      </x:c>
      <x:c r="J1933" s="67" t="str">
        <x:v>Modeled from live base + Sep-2026 quality ratio</x:v>
      </x:c>
      <x:c r="K1933" s="67" t="str">
        <x:v>https://www.stonealgo.com/diamond-prices/</x:v>
      </x:c>
      <x:c r="L1933" s="67" t="str">
        <x:v>https://www.pricescope.com/blog/natural-diamond-prices-september-2026</x:v>
      </x:c>
    </x:row>
    <x:row r="1934">
      <x:c r="A1934" t="n">
        <x:v>4</x:v>
      </x:c>
      <x:c r="B1934" t="str">
        <x:v>Round</x:v>
      </x:c>
      <x:c r="C1934" t="str">
        <x:v>E</x:v>
      </x:c>
      <x:c r="D1934" t="str">
        <x:v>VS1</x:v>
      </x:c>
      <x:c r="E1934" s="36" t="n">
        <x:v>70295</x:v>
      </x:c>
      <x:c r="F1934" s="36" t="n">
        <x:v>6307</x:v>
      </x:c>
      <x:c r="G1934" s="42" t="n">
        <x:v>1.352852852852853</x:v>
      </x:c>
      <x:c r="H1934" s="36" t="n">
        <x:f>E1934*G1934</x:f>
        <x:v>95098.7912912913</x:v>
      </x:c>
      <x:c r="I1934" s="36" t="n">
        <x:f>IFERROR(H1934/A1934,0)</x:f>
        <x:v>23774.697822822825</x:v>
      </x:c>
      <x:c r="J1934" s="67" t="str">
        <x:v>Modeled from live base + Sep-2026 quality ratio</x:v>
      </x:c>
      <x:c r="K1934" s="67" t="str">
        <x:v>https://www.stonealgo.com/diamond-prices/</x:v>
      </x:c>
      <x:c r="L1934" s="67" t="str">
        <x:v>https://www.pricescope.com/blog/natural-diamond-prices-september-2026</x:v>
      </x:c>
    </x:row>
    <x:row r="1935">
      <x:c r="A1935" t="n">
        <x:v>4</x:v>
      </x:c>
      <x:c r="B1935" t="str">
        <x:v>Round</x:v>
      </x:c>
      <x:c r="C1935" t="str">
        <x:v>E</x:v>
      </x:c>
      <x:c r="D1935" t="str">
        <x:v>VS2</x:v>
      </x:c>
      <x:c r="E1935" s="36" t="n">
        <x:v>70295</x:v>
      </x:c>
      <x:c r="F1935" s="36" t="n">
        <x:v>5249</x:v>
      </x:c>
      <x:c r="G1935" s="42" t="n">
        <x:v>1.125911625911626</x:v>
      </x:c>
      <x:c r="H1935" s="36" t="n">
        <x:f>E1935*G1935</x:f>
        <x:v>79145.95774345775</x:v>
      </x:c>
      <x:c r="I1935" s="36" t="n">
        <x:f>IFERROR(H1935/A1935,0)</x:f>
        <x:v>19786.489435864438</x:v>
      </x:c>
      <x:c r="J1935" s="67" t="str">
        <x:v>Modeled from live base + Sep-2026 quality ratio</x:v>
      </x:c>
      <x:c r="K1935" s="67" t="str">
        <x:v>https://www.stonealgo.com/diamond-prices/</x:v>
      </x:c>
      <x:c r="L1935" s="67" t="str">
        <x:v>https://www.pricescope.com/blog/natural-diamond-prices-september-2026</x:v>
      </x:c>
    </x:row>
    <x:row r="1936">
      <x:c r="A1936" t="n">
        <x:v>4</x:v>
      </x:c>
      <x:c r="B1936" t="str">
        <x:v>Round</x:v>
      </x:c>
      <x:c r="C1936" t="str">
        <x:v>E</x:v>
      </x:c>
      <x:c r="D1936" t="str">
        <x:v>SI1</x:v>
      </x:c>
      <x:c r="E1936" s="36" t="n">
        <x:v>70295</x:v>
      </x:c>
      <x:c r="F1936" s="36" t="n">
        <x:v>3551</x:v>
      </x:c>
      <x:c r="G1936" s="42" t="n">
        <x:v>0.7616902616902617</x:v>
      </x:c>
      <x:c r="H1936" s="36" t="n">
        <x:f>E1936*G1936</x:f>
        <x:v>53543.016945516945</x:v>
      </x:c>
      <x:c r="I1936" s="36" t="n">
        <x:f>IFERROR(H1936/A1936,0)</x:f>
        <x:v>13385.754236379236</x:v>
      </x:c>
      <x:c r="J1936" s="67" t="str">
        <x:v>Modeled from live base + Sep-2026 quality ratio</x:v>
      </x:c>
      <x:c r="K1936" s="67" t="str">
        <x:v>https://www.stonealgo.com/diamond-prices/</x:v>
      </x:c>
      <x:c r="L1936" s="67" t="str">
        <x:v>https://www.pricescope.com/blog/natural-diamond-prices-september-2026</x:v>
      </x:c>
    </x:row>
    <x:row r="1937">
      <x:c r="A1937" t="n">
        <x:v>4</x:v>
      </x:c>
      <x:c r="B1937" t="str">
        <x:v>Round</x:v>
      </x:c>
      <x:c r="C1937" t="str">
        <x:v>E</x:v>
      </x:c>
      <x:c r="D1937" t="str">
        <x:v>SI2</x:v>
      </x:c>
      <x:c r="E1937" s="36" t="n">
        <x:v>70295</x:v>
      </x:c>
      <x:c r="F1937" s="36" t="n">
        <x:v>2993</x:v>
      </x:c>
      <x:c r="G1937" s="42" t="n">
        <x:v>0.641999141999142</x:v>
      </x:c>
      <x:c r="H1937" s="36" t="n">
        <x:f>E1937*G1937</x:f>
        <x:v>45129.32968682969</x:v>
      </x:c>
      <x:c r="I1937" s="36" t="n">
        <x:f>IFERROR(H1937/A1937,0)</x:f>
        <x:v>11282.332421707422</x:v>
      </x:c>
      <x:c r="J1937" s="67" t="str">
        <x:v>Modeled from live base + Sep-2026 quality ratio</x:v>
      </x:c>
      <x:c r="K1937" s="67" t="str">
        <x:v>https://www.stonealgo.com/diamond-prices/</x:v>
      </x:c>
      <x:c r="L1937" s="67" t="str">
        <x:v>https://www.pricescope.com/blog/natural-diamond-prices-september-2026</x:v>
      </x:c>
    </x:row>
    <x:row r="1938">
      <x:c r="A1938" t="n">
        <x:v>4</x:v>
      </x:c>
      <x:c r="B1938" t="str">
        <x:v>Round</x:v>
      </x:c>
      <x:c r="C1938" t="str">
        <x:v>F</x:v>
      </x:c>
      <x:c r="D1938" t="str">
        <x:v>FL</x:v>
      </x:c>
      <x:c r="E1938" s="36" t="n">
        <x:v>70295</x:v>
      </x:c>
      <x:c r="F1938" s="36" t="n">
        <x:v>6830</x:v>
      </x:c>
      <x:c r="G1938" s="42" t="n">
        <x:v>1.4650364650364651</x:v>
      </x:c>
      <x:c r="H1938" s="36" t="n">
        <x:f>E1938*G1938</x:f>
        <x:v>102984.73830973831</x:v>
      </x:c>
      <x:c r="I1938" s="36" t="n">
        <x:f>IFERROR(H1938/A1938,0)</x:f>
        <x:v>25746.18457743458</x:v>
      </x:c>
      <x:c r="J1938" s="67" t="str">
        <x:v>Modeled from live base + Sep-2026 quality ratio</x:v>
      </x:c>
      <x:c r="K1938" s="67" t="str">
        <x:v>https://www.stonealgo.com/diamond-prices/</x:v>
      </x:c>
      <x:c r="L1938" s="67" t="str">
        <x:v>https://www.pricescope.com/blog/natural-diamond-prices-september-2026</x:v>
      </x:c>
    </x:row>
    <x:row r="1939">
      <x:c r="A1939" t="n">
        <x:v>4</x:v>
      </x:c>
      <x:c r="B1939" t="str">
        <x:v>Round</x:v>
      </x:c>
      <x:c r="C1939" t="str">
        <x:v>F</x:v>
      </x:c>
      <x:c r="D1939" t="str">
        <x:v>IF</x:v>
      </x:c>
      <x:c r="E1939" s="36" t="n">
        <x:v>70295</x:v>
      </x:c>
      <x:c r="F1939" s="36" t="n">
        <x:v>7302</x:v>
      </x:c>
      <x:c r="G1939" s="42" t="n">
        <x:v>1.5662805662805663</x:v>
      </x:c>
      <x:c r="H1939" s="36" t="n">
        <x:f>E1939*G1939</x:f>
        <x:v>110101.69240669241</x:v>
      </x:c>
      <x:c r="I1939" s="36" t="n">
        <x:f>IFERROR(H1939/A1939,0)</x:f>
        <x:v>27525.423101673103</x:v>
      </x:c>
      <x:c r="J1939" s="67" t="str">
        <x:v>Modeled from live base + Sep-2026 quality ratio</x:v>
      </x:c>
      <x:c r="K1939" s="67" t="str">
        <x:v>https://www.stonealgo.com/diamond-prices/</x:v>
      </x:c>
      <x:c r="L1939" s="67" t="str">
        <x:v>https://www.pricescope.com/blog/natural-diamond-prices-september-2026</x:v>
      </x:c>
    </x:row>
    <x:row r="1940">
      <x:c r="A1940" t="n">
        <x:v>4</x:v>
      </x:c>
      <x:c r="B1940" t="str">
        <x:v>Round</x:v>
      </x:c>
      <x:c r="C1940" t="str">
        <x:v>F</x:v>
      </x:c>
      <x:c r="D1940" t="str">
        <x:v>VVS1</x:v>
      </x:c>
      <x:c r="E1940" s="36" t="n">
        <x:v>70295</x:v>
      </x:c>
      <x:c r="F1940" s="36" t="n">
        <x:v>7542</x:v>
      </x:c>
      <x:c r="G1940" s="42" t="n">
        <x:v>1.6177606177606179</x:v>
      </x:c>
      <x:c r="H1940" s="36" t="n">
        <x:f>E1940*G1940</x:f>
        <x:v>113720.48262548263</x:v>
      </x:c>
      <x:c r="I1940" s="36" t="n">
        <x:f>IFERROR(H1940/A1940,0)</x:f>
        <x:v>28430.12065637066</x:v>
      </x:c>
      <x:c r="J1940" s="67" t="str">
        <x:v>Modeled from live base + Sep-2026 quality ratio</x:v>
      </x:c>
      <x:c r="K1940" s="67" t="str">
        <x:v>https://www.stonealgo.com/diamond-prices/</x:v>
      </x:c>
      <x:c r="L1940" s="67" t="str">
        <x:v>https://www.pricescope.com/blog/natural-diamond-prices-september-2026</x:v>
      </x:c>
    </x:row>
    <x:row r="1941">
      <x:c r="A1941" t="n">
        <x:v>4</x:v>
      </x:c>
      <x:c r="B1941" t="str">
        <x:v>Round</x:v>
      </x:c>
      <x:c r="C1941" t="str">
        <x:v>F</x:v>
      </x:c>
      <x:c r="D1941" t="str">
        <x:v>VVS2</x:v>
      </x:c>
      <x:c r="E1941" s="36" t="n">
        <x:v>70295</x:v>
      </x:c>
      <x:c r="F1941" s="36" t="n">
        <x:v>6352</x:v>
      </x:c>
      <x:c r="G1941" s="42" t="n">
        <x:v>1.3625053625053625</x:v>
      </x:c>
      <x:c r="H1941" s="36" t="n">
        <x:f>E1941*G1941</x:f>
        <x:v>95777.31445731445</x:v>
      </x:c>
      <x:c r="I1941" s="36" t="n">
        <x:f>IFERROR(H1941/A1941,0)</x:f>
        <x:v>23944.328614328613</x:v>
      </x:c>
      <x:c r="J1941" s="67" t="str">
        <x:v>Modeled from live base + Sep-2026 quality ratio</x:v>
      </x:c>
      <x:c r="K1941" s="67" t="str">
        <x:v>https://www.stonealgo.com/diamond-prices/</x:v>
      </x:c>
      <x:c r="L1941" s="67" t="str">
        <x:v>https://www.pricescope.com/blog/natural-diamond-prices-september-2026</x:v>
      </x:c>
    </x:row>
    <x:row r="1942">
      <x:c r="A1942" t="n">
        <x:v>4</x:v>
      </x:c>
      <x:c r="B1942" t="str">
        <x:v>Round</x:v>
      </x:c>
      <x:c r="C1942" t="str">
        <x:v>F</x:v>
      </x:c>
      <x:c r="D1942" t="str">
        <x:v>VS1</x:v>
      </x:c>
      <x:c r="E1942" s="36" t="n">
        <x:v>70295</x:v>
      </x:c>
      <x:c r="F1942" s="36" t="n">
        <x:v>5647</x:v>
      </x:c>
      <x:c r="G1942" s="42" t="n">
        <x:v>1.2112827112827114</x:v>
      </x:c>
      <x:c r="H1942" s="36" t="n">
        <x:f>E1942*G1942</x:f>
        <x:v>85147.1181896182</x:v>
      </x:c>
      <x:c r="I1942" s="36" t="n">
        <x:f>IFERROR(H1942/A1942,0)</x:f>
        <x:v>21286.77954740455</x:v>
      </x:c>
      <x:c r="J1942" s="67" t="str">
        <x:v>Modeled from live base + Sep-2026 quality ratio</x:v>
      </x:c>
      <x:c r="K1942" s="67" t="str">
        <x:v>https://www.stonealgo.com/diamond-prices/</x:v>
      </x:c>
      <x:c r="L1942" s="67" t="str">
        <x:v>https://www.pricescope.com/blog/natural-diamond-prices-september-2026</x:v>
      </x:c>
    </x:row>
    <x:row r="1943">
      <x:c r="A1943" t="n">
        <x:v>4</x:v>
      </x:c>
      <x:c r="B1943" t="str">
        <x:v>Round</x:v>
      </x:c>
      <x:c r="C1943" t="str">
        <x:v>F</x:v>
      </x:c>
      <x:c r="D1943" t="str">
        <x:v>VS2</x:v>
      </x:c>
      <x:c r="E1943" s="36" t="n">
        <x:v>70295</x:v>
      </x:c>
      <x:c r="F1943" s="36" t="n">
        <x:v>4730</x:v>
      </x:c>
      <x:c r="G1943" s="42" t="n">
        <x:v>1.0145860145860146</x:v>
      </x:c>
      <x:c r="H1943" s="36" t="n">
        <x:f>E1943*G1943</x:f>
        <x:v>71320.32389532389</x:v>
      </x:c>
      <x:c r="I1943" s="36" t="n">
        <x:f>IFERROR(H1943/A1943,0)</x:f>
        <x:v>17830.080973830973</x:v>
      </x:c>
      <x:c r="J1943" s="67" t="str">
        <x:v>Modeled from live base + Sep-2026 quality ratio</x:v>
      </x:c>
      <x:c r="K1943" s="67" t="str">
        <x:v>https://www.stonealgo.com/diamond-prices/</x:v>
      </x:c>
      <x:c r="L1943" s="67" t="str">
        <x:v>https://www.pricescope.com/blog/natural-diamond-prices-september-2026</x:v>
      </x:c>
    </x:row>
    <x:row r="1944">
      <x:c r="A1944" t="n">
        <x:v>4</x:v>
      </x:c>
      <x:c r="B1944" t="str">
        <x:v>Round</x:v>
      </x:c>
      <x:c r="C1944" t="str">
        <x:v>F</x:v>
      </x:c>
      <x:c r="D1944" t="str">
        <x:v>SI1</x:v>
      </x:c>
      <x:c r="E1944" s="36" t="n">
        <x:v>70295</x:v>
      </x:c>
      <x:c r="F1944" s="36" t="n">
        <x:v>3331</x:v>
      </x:c>
      <x:c r="G1944" s="42" t="n">
        <x:v>0.7145002145002145</x:v>
      </x:c>
      <x:c r="H1944" s="36" t="n">
        <x:f>E1944*G1944</x:f>
        <x:v>50225.79257829258</x:v>
      </x:c>
      <x:c r="I1944" s="36" t="n">
        <x:f>IFERROR(H1944/A1944,0)</x:f>
        <x:v>12556.448144573145</x:v>
      </x:c>
      <x:c r="J1944" s="67" t="str">
        <x:v>Modeled from live base + Sep-2026 quality ratio</x:v>
      </x:c>
      <x:c r="K1944" s="67" t="str">
        <x:v>https://www.stonealgo.com/diamond-prices/</x:v>
      </x:c>
      <x:c r="L1944" s="67" t="str">
        <x:v>https://www.pricescope.com/blog/natural-diamond-prices-september-2026</x:v>
      </x:c>
    </x:row>
    <x:row r="1945">
      <x:c r="A1945" t="n">
        <x:v>4</x:v>
      </x:c>
      <x:c r="B1945" t="str">
        <x:v>Round</x:v>
      </x:c>
      <x:c r="C1945" t="str">
        <x:v>F</x:v>
      </x:c>
      <x:c r="D1945" t="str">
        <x:v>SI2</x:v>
      </x:c>
      <x:c r="E1945" s="36" t="n">
        <x:v>70295</x:v>
      </x:c>
      <x:c r="F1945" s="36" t="n">
        <x:v>2733</x:v>
      </x:c>
      <x:c r="G1945" s="42" t="n">
        <x:v>0.5862290862290862</x:v>
      </x:c>
      <x:c r="H1945" s="36" t="n">
        <x:f>E1945*G1945</x:f>
        <x:v>41208.97361647362</x:v>
      </x:c>
      <x:c r="I1945" s="36" t="n">
        <x:f>IFERROR(H1945/A1945,0)</x:f>
        <x:v>10302.243404118404</x:v>
      </x:c>
      <x:c r="J1945" s="67" t="str">
        <x:v>Modeled from live base + Sep-2026 quality ratio</x:v>
      </x:c>
      <x:c r="K1945" s="67" t="str">
        <x:v>https://www.stonealgo.com/diamond-prices/</x:v>
      </x:c>
      <x:c r="L1945" s="67" t="str">
        <x:v>https://www.pricescope.com/blog/natural-diamond-prices-september-2026</x:v>
      </x:c>
    </x:row>
    <x:row r="1946">
      <x:c r="A1946" t="n">
        <x:v>4</x:v>
      </x:c>
      <x:c r="B1946" t="str">
        <x:v>Round</x:v>
      </x:c>
      <x:c r="C1946" t="str">
        <x:v>G</x:v>
      </x:c>
      <x:c r="D1946" t="str">
        <x:v>FL</x:v>
      </x:c>
      <x:c r="E1946" s="36" t="n">
        <x:v>70295</x:v>
      </x:c>
      <x:c r="F1946" s="36" t="n">
        <x:v>5905</x:v>
      </x:c>
      <x:c r="G1946" s="42" t="n">
        <x:v>1.2666237666237665</x:v>
      </x:c>
      <x:c r="H1946" s="36" t="n">
        <x:f>E1946*G1946</x:f>
        <x:v>89037.31767481766</x:v>
      </x:c>
      <x:c r="I1946" s="36" t="n">
        <x:f>IFERROR(H1946/A1946,0)</x:f>
        <x:v>22259.329418704416</x:v>
      </x:c>
      <x:c r="J1946" s="67" t="str">
        <x:v>Modeled from live base + Sep-2026 quality ratio</x:v>
      </x:c>
      <x:c r="K1946" s="67" t="str">
        <x:v>https://www.stonealgo.com/diamond-prices/</x:v>
      </x:c>
      <x:c r="L1946" s="67" t="str">
        <x:v>https://www.pricescope.com/blog/natural-diamond-prices-september-2026</x:v>
      </x:c>
    </x:row>
    <x:row r="1947">
      <x:c r="A1947" t="n">
        <x:v>4</x:v>
      </x:c>
      <x:c r="B1947" t="str">
        <x:v>Round</x:v>
      </x:c>
      <x:c r="C1947" t="str">
        <x:v>G</x:v>
      </x:c>
      <x:c r="D1947" t="str">
        <x:v>IF</x:v>
      </x:c>
      <x:c r="E1947" s="36" t="n">
        <x:v>70295</x:v>
      </x:c>
      <x:c r="F1947" s="36" t="n">
        <x:v>5601</x:v>
      </x:c>
      <x:c r="G1947" s="42" t="n">
        <x:v>1.2014157014157014</x:v>
      </x:c>
      <x:c r="H1947" s="36" t="n">
        <x:f>E1947*G1947</x:f>
        <x:v>84453.51673101673</x:v>
      </x:c>
      <x:c r="I1947" s="36" t="n">
        <x:f>IFERROR(H1947/A1947,0)</x:f>
        <x:v>21113.379182754183</x:v>
      </x:c>
      <x:c r="J1947" s="67" t="str">
        <x:v>Modeled from live base + Sep-2026 quality ratio</x:v>
      </x:c>
      <x:c r="K1947" s="67" t="str">
        <x:v>https://www.stonealgo.com/diamond-prices/</x:v>
      </x:c>
      <x:c r="L1947" s="67" t="str">
        <x:v>https://www.pricescope.com/blog/natural-diamond-prices-september-2026</x:v>
      </x:c>
    </x:row>
    <x:row r="1948">
      <x:c r="A1948" t="n">
        <x:v>4</x:v>
      </x:c>
      <x:c r="B1948" t="str">
        <x:v>Round</x:v>
      </x:c>
      <x:c r="C1948" t="str">
        <x:v>G</x:v>
      </x:c>
      <x:c r="D1948" t="str">
        <x:v>VVS1</x:v>
      </x:c>
      <x:c r="E1948" s="36" t="n">
        <x:v>70295</x:v>
      </x:c>
      <x:c r="F1948" s="36" t="n">
        <x:v>5124</x:v>
      </x:c>
      <x:c r="G1948" s="42" t="n">
        <x:v>1.0990990990990992</x:v>
      </x:c>
      <x:c r="H1948" s="36" t="n">
        <x:f>E1948*G1948</x:f>
        <x:v>77261.17117117118</x:v>
      </x:c>
      <x:c r="I1948" s="36" t="n">
        <x:f>IFERROR(H1948/A1948,0)</x:f>
        <x:v>19315.292792792796</x:v>
      </x:c>
      <x:c r="J1948" s="67" t="str">
        <x:v>Modeled from live base + Sep-2026 quality ratio</x:v>
      </x:c>
      <x:c r="K1948" s="67" t="str">
        <x:v>https://www.stonealgo.com/diamond-prices/</x:v>
      </x:c>
      <x:c r="L1948" s="67" t="str">
        <x:v>https://www.pricescope.com/blog/natural-diamond-prices-september-2026</x:v>
      </x:c>
    </x:row>
    <x:row r="1949">
      <x:c r="A1949" t="n">
        <x:v>4</x:v>
      </x:c>
      <x:c r="B1949" t="str">
        <x:v>Round</x:v>
      </x:c>
      <x:c r="C1949" t="str">
        <x:v>G</x:v>
      </x:c>
      <x:c r="D1949" t="str">
        <x:v>VVS2</x:v>
      </x:c>
      <x:c r="E1949" s="36" t="n">
        <x:v>70295</x:v>
      </x:c>
      <x:c r="F1949" s="36" t="n">
        <x:v>4962</x:v>
      </x:c>
      <x:c r="G1949" s="42" t="n">
        <x:v>1.0643500643500643</x:v>
      </x:c>
      <x:c r="H1949" s="36" t="n">
        <x:f>E1949*G1949</x:f>
        <x:v>74818.48777348777</x:v>
      </x:c>
      <x:c r="I1949" s="36" t="n">
        <x:f>IFERROR(H1949/A1949,0)</x:f>
        <x:v>18704.62194337194</x:v>
      </x:c>
      <x:c r="J1949" s="67" t="str">
        <x:v>Modeled from live base + Sep-2026 quality ratio</x:v>
      </x:c>
      <x:c r="K1949" s="67" t="str">
        <x:v>https://www.stonealgo.com/diamond-prices/</x:v>
      </x:c>
      <x:c r="L1949" s="67" t="str">
        <x:v>https://www.pricescope.com/blog/natural-diamond-prices-september-2026</x:v>
      </x:c>
    </x:row>
    <x:row r="1950">
      <x:c r="A1950" t="n">
        <x:v>4</x:v>
      </x:c>
      <x:c r="B1950" t="str">
        <x:v>Round</x:v>
      </x:c>
      <x:c r="C1950" t="str">
        <x:v>G</x:v>
      </x:c>
      <x:c r="D1950" t="str">
        <x:v>VS1</x:v>
      </x:c>
      <x:c r="E1950" s="36" t="n">
        <x:v>70295</x:v>
      </x:c>
      <x:c r="F1950" s="36" t="n">
        <x:v>4615</x:v>
      </x:c>
      <x:c r="G1950" s="42" t="n">
        <x:v>0.98991848991849</x:v>
      </x:c>
      <x:c r="H1950" s="36" t="n">
        <x:f>E1950*G1950</x:f>
        <x:v>69586.32024882025</x:v>
      </x:c>
      <x:c r="I1950" s="36" t="n">
        <x:f>IFERROR(H1950/A1950,0)</x:f>
        <x:v>17396.580062205063</x:v>
      </x:c>
      <x:c r="J1950" s="67" t="str">
        <x:v>Modeled from live base + Sep-2026 quality ratio</x:v>
      </x:c>
      <x:c r="K1950" s="67" t="str">
        <x:v>https://www.stonealgo.com/diamond-prices/</x:v>
      </x:c>
      <x:c r="L1950" s="67" t="str">
        <x:v>https://www.pricescope.com/blog/natural-diamond-prices-september-2026</x:v>
      </x:c>
    </x:row>
    <x:row r="1951">
      <x:c r="A1951" t="n">
        <x:v>4</x:v>
      </x:c>
      <x:c r="B1951" t="str">
        <x:v>Round</x:v>
      </x:c>
      <x:c r="C1951" t="str">
        <x:v>G</x:v>
      </x:c>
      <x:c r="D1951" t="str">
        <x:v>VS2</x:v>
      </x:c>
      <x:c r="E1951" s="36" t="n">
        <x:v>70295</x:v>
      </x:c>
      <x:c r="F1951" s="36" t="n">
        <x:v>4585</x:v>
      </x:c>
      <x:c r="G1951" s="42" t="n">
        <x:v>0.9834834834834835</x:v>
      </x:c>
      <x:c r="H1951" s="36" t="n">
        <x:f>E1951*G1951</x:f>
        <x:v>69133.97147147146</x:v>
      </x:c>
      <x:c r="I1951" s="36" t="n">
        <x:f>IFERROR(H1951/A1951,0)</x:f>
        <x:v>17283.492867867866</x:v>
      </x:c>
      <x:c r="J1951" s="67" t="str">
        <x:v>Modeled from live base + Sep-2026 quality ratio</x:v>
      </x:c>
      <x:c r="K1951" s="67" t="str">
        <x:v>https://www.stonealgo.com/diamond-prices/</x:v>
      </x:c>
      <x:c r="L1951" s="67" t="str">
        <x:v>https://www.pricescope.com/blog/natural-diamond-prices-september-2026</x:v>
      </x:c>
    </x:row>
    <x:row r="1952">
      <x:c r="A1952" t="n">
        <x:v>4</x:v>
      </x:c>
      <x:c r="B1952" t="str">
        <x:v>Round</x:v>
      </x:c>
      <x:c r="C1952" t="str">
        <x:v>G</x:v>
      </x:c>
      <x:c r="D1952" t="str">
        <x:v>SI1</x:v>
      </x:c>
      <x:c r="E1952" s="36" t="n">
        <x:v>70295</x:v>
      </x:c>
      <x:c r="F1952" s="36" t="n">
        <x:v>3664</x:v>
      </x:c>
      <x:c r="G1952" s="42" t="n">
        <x:v>0.7859287859287859</x:v>
      </x:c>
      <x:c r="H1952" s="36" t="n">
        <x:f>E1952*G1952</x:f>
        <x:v>55246.864006864</x:v>
      </x:c>
      <x:c r="I1952" s="36" t="n">
        <x:f>IFERROR(H1952/A1952,0)</x:f>
        <x:v>13811.716001716</x:v>
      </x:c>
      <x:c r="J1952" s="67" t="str">
        <x:v>Modeled from live base + Sep-2026 quality ratio</x:v>
      </x:c>
      <x:c r="K1952" s="67" t="str">
        <x:v>https://www.stonealgo.com/diamond-prices/</x:v>
      </x:c>
      <x:c r="L1952" s="67" t="str">
        <x:v>https://www.pricescope.com/blog/natural-diamond-prices-september-2026</x:v>
      </x:c>
    </x:row>
    <x:row r="1953">
      <x:c r="A1953" t="n">
        <x:v>4</x:v>
      </x:c>
      <x:c r="B1953" t="str">
        <x:v>Round</x:v>
      </x:c>
      <x:c r="C1953" t="str">
        <x:v>G</x:v>
      </x:c>
      <x:c r="D1953" t="str">
        <x:v>SI2</x:v>
      </x:c>
      <x:c r="E1953" s="36" t="n">
        <x:v>70295</x:v>
      </x:c>
      <x:c r="F1953" s="36" t="n">
        <x:v>2537</x:v>
      </x:c>
      <x:c r="G1953" s="42" t="n">
        <x:v>0.5441870441870442</x:v>
      </x:c>
      <x:c r="H1953" s="36" t="n">
        <x:f>E1953*G1953</x:f>
        <x:v>38253.62827112828</x:v>
      </x:c>
      <x:c r="I1953" s="36" t="n">
        <x:f>IFERROR(H1953/A1953,0)</x:f>
        <x:v>9563.40706778207</x:v>
      </x:c>
      <x:c r="J1953" s="67" t="str">
        <x:v>Modeled from live base + Sep-2026 quality ratio</x:v>
      </x:c>
      <x:c r="K1953" s="67" t="str">
        <x:v>https://www.stonealgo.com/diamond-prices/</x:v>
      </x:c>
      <x:c r="L1953" s="67" t="str">
        <x:v>https://www.pricescope.com/blog/natural-diamond-prices-september-2026</x:v>
      </x:c>
    </x:row>
    <x:row r="1954">
      <x:c r="A1954" t="n">
        <x:v>4</x:v>
      </x:c>
      <x:c r="B1954" t="str">
        <x:v>Round</x:v>
      </x:c>
      <x:c r="C1954" t="str">
        <x:v>H</x:v>
      </x:c>
      <x:c r="D1954" t="str">
        <x:v>FL</x:v>
      </x:c>
      <x:c r="E1954" s="36" t="n">
        <x:v>70295</x:v>
      </x:c>
      <x:c r="F1954" s="36" t="n">
        <x:v>4563</x:v>
      </x:c>
      <x:c r="G1954" s="42" t="n">
        <x:v>0.9787644787644788</x:v>
      </x:c>
      <x:c r="H1954" s="36" t="n">
        <x:f>E1954*G1954</x:f>
        <x:v>68802.24903474904</x:v>
      </x:c>
      <x:c r="I1954" s="36" t="n">
        <x:f>IFERROR(H1954/A1954,0)</x:f>
        <x:v>17200.56225868726</x:v>
      </x:c>
      <x:c r="J1954" s="67" t="str">
        <x:v>Modeled from live base + Sep-2026 quality ratio</x:v>
      </x:c>
      <x:c r="K1954" s="67" t="str">
        <x:v>https://www.stonealgo.com/diamond-prices/</x:v>
      </x:c>
      <x:c r="L1954" s="67" t="str">
        <x:v>https://www.pricescope.com/blog/natural-diamond-prices-september-2026</x:v>
      </x:c>
    </x:row>
    <x:row r="1955">
      <x:c r="A1955" t="n">
        <x:v>4</x:v>
      </x:c>
      <x:c r="B1955" t="str">
        <x:v>Round</x:v>
      </x:c>
      <x:c r="C1955" t="str">
        <x:v>H</x:v>
      </x:c>
      <x:c r="D1955" t="str">
        <x:v>IF</x:v>
      </x:c>
      <x:c r="E1955" s="36" t="n">
        <x:v>70295</x:v>
      </x:c>
      <x:c r="F1955" s="36" t="n">
        <x:v>4809</x:v>
      </x:c>
      <x:c r="G1955" s="42" t="n">
        <x:v>1.0315315315315314</x:v>
      </x:c>
      <x:c r="H1955" s="36" t="n">
        <x:f>E1955*G1955</x:f>
        <x:v>72511.50900900901</x:v>
      </x:c>
      <x:c r="I1955" s="36" t="n">
        <x:f>IFERROR(H1955/A1955,0)</x:f>
        <x:v>18127.877252252252</x:v>
      </x:c>
      <x:c r="J1955" s="67" t="str">
        <x:v>Modeled from live base + Sep-2026 quality ratio</x:v>
      </x:c>
      <x:c r="K1955" s="67" t="str">
        <x:v>https://www.stonealgo.com/diamond-prices/</x:v>
      </x:c>
      <x:c r="L1955" s="67" t="str">
        <x:v>https://www.pricescope.com/blog/natural-diamond-prices-september-2026</x:v>
      </x:c>
    </x:row>
    <x:row r="1956">
      <x:c r="A1956" t="n">
        <x:v>4</x:v>
      </x:c>
      <x:c r="B1956" t="str">
        <x:v>Round</x:v>
      </x:c>
      <x:c r="C1956" t="str">
        <x:v>H</x:v>
      </x:c>
      <x:c r="D1956" t="str">
        <x:v>VVS1</x:v>
      </x:c>
      <x:c r="E1956" s="36" t="n">
        <x:v>70295</x:v>
      </x:c>
      <x:c r="F1956" s="36" t="n">
        <x:v>4911</x:v>
      </x:c>
      <x:c r="G1956" s="42" t="n">
        <x:v>1.0534105534105533</x:v>
      </x:c>
      <x:c r="H1956" s="36" t="n">
        <x:f>E1956*G1956</x:f>
        <x:v>74049.49485199485</x:v>
      </x:c>
      <x:c r="I1956" s="36" t="n">
        <x:f>IFERROR(H1956/A1956,0)</x:f>
        <x:v>18512.373712998713</x:v>
      </x:c>
      <x:c r="J1956" s="67" t="str">
        <x:v>Modeled from live base + Sep-2026 quality ratio</x:v>
      </x:c>
      <x:c r="K1956" s="67" t="str">
        <x:v>https://www.stonealgo.com/diamond-prices/</x:v>
      </x:c>
      <x:c r="L1956" s="67" t="str">
        <x:v>https://www.pricescope.com/blog/natural-diamond-prices-september-2026</x:v>
      </x:c>
    </x:row>
    <x:row r="1957">
      <x:c r="A1957" t="n">
        <x:v>4</x:v>
      </x:c>
      <x:c r="B1957" t="str">
        <x:v>Round</x:v>
      </x:c>
      <x:c r="C1957" t="str">
        <x:v>H</x:v>
      </x:c>
      <x:c r="D1957" t="str">
        <x:v>VVS2</x:v>
      </x:c>
      <x:c r="E1957" s="36" t="n">
        <x:v>70295</x:v>
      </x:c>
      <x:c r="F1957" s="36" t="n">
        <x:v>4046</x:v>
      </x:c>
      <x:c r="G1957" s="42" t="n">
        <x:v>0.8678678678678678</x:v>
      </x:c>
      <x:c r="H1957" s="36" t="n">
        <x:f>E1957*G1957</x:f>
        <x:v>61006.77177177177</x:v>
      </x:c>
      <x:c r="I1957" s="36" t="n">
        <x:f>IFERROR(H1957/A1957,0)</x:f>
        <x:v>15251.692942942942</x:v>
      </x:c>
      <x:c r="J1957" s="67" t="str">
        <x:v>Modeled from live base + Sep-2026 quality ratio</x:v>
      </x:c>
      <x:c r="K1957" s="67" t="str">
        <x:v>https://www.stonealgo.com/diamond-prices/</x:v>
      </x:c>
      <x:c r="L1957" s="67" t="str">
        <x:v>https://www.pricescope.com/blog/natural-diamond-prices-september-2026</x:v>
      </x:c>
    </x:row>
    <x:row r="1958">
      <x:c r="A1958" t="n">
        <x:v>4</x:v>
      </x:c>
      <x:c r="B1958" t="str">
        <x:v>Round</x:v>
      </x:c>
      <x:c r="C1958" t="str">
        <x:v>H</x:v>
      </x:c>
      <x:c r="D1958" t="str">
        <x:v>VS1</x:v>
      </x:c>
      <x:c r="E1958" s="36" t="n">
        <x:v>70295</x:v>
      </x:c>
      <x:c r="F1958" s="36" t="n">
        <x:v>3893</x:v>
      </x:c>
      <x:c r="G1958" s="42" t="n">
        <x:v>0.8350493350493351</x:v>
      </x:c>
      <x:c r="H1958" s="36" t="n">
        <x:f>E1958*G1958</x:f>
        <x:v>58699.79300729301</x:v>
      </x:c>
      <x:c r="I1958" s="36" t="n">
        <x:f>IFERROR(H1958/A1958,0)</x:f>
        <x:v>14674.948251823253</x:v>
      </x:c>
      <x:c r="J1958" s="67" t="str">
        <x:v>Modeled from live base + Sep-2026 quality ratio</x:v>
      </x:c>
      <x:c r="K1958" s="67" t="str">
        <x:v>https://www.stonealgo.com/diamond-prices/</x:v>
      </x:c>
      <x:c r="L1958" s="67" t="str">
        <x:v>https://www.pricescope.com/blog/natural-diamond-prices-september-2026</x:v>
      </x:c>
    </x:row>
    <x:row r="1959">
      <x:c r="A1959" t="n">
        <x:v>4</x:v>
      </x:c>
      <x:c r="B1959" t="str">
        <x:v>Round</x:v>
      </x:c>
      <x:c r="C1959" t="str">
        <x:v>H</x:v>
      </x:c>
      <x:c r="D1959" t="str">
        <x:v>VS2</x:v>
      </x:c>
      <x:c r="E1959" s="36" t="n">
        <x:v>70295</x:v>
      </x:c>
      <x:c r="F1959" s="36" t="n">
        <x:v>3989</x:v>
      </x:c>
      <x:c r="G1959" s="42" t="n">
        <x:v>0.8556413556413557</x:v>
      </x:c>
      <x:c r="H1959" s="36" t="n">
        <x:f>E1959*G1959</x:f>
        <x:v>60147.3090948091</x:v>
      </x:c>
      <x:c r="I1959" s="36" t="n">
        <x:f>IFERROR(H1959/A1959,0)</x:f>
        <x:v>15036.827273702274</x:v>
      </x:c>
      <x:c r="J1959" s="67" t="str">
        <x:v>Modeled from live base + Sep-2026 quality ratio</x:v>
      </x:c>
      <x:c r="K1959" s="67" t="str">
        <x:v>https://www.stonealgo.com/diamond-prices/</x:v>
      </x:c>
      <x:c r="L1959" s="67" t="str">
        <x:v>https://www.pricescope.com/blog/natural-diamond-prices-september-2026</x:v>
      </x:c>
    </x:row>
    <x:row r="1960">
      <x:c r="A1960" t="n">
        <x:v>4</x:v>
      </x:c>
      <x:c r="B1960" t="str">
        <x:v>Round</x:v>
      </x:c>
      <x:c r="C1960" t="str">
        <x:v>H</x:v>
      </x:c>
      <x:c r="D1960" t="str">
        <x:v>SI1</x:v>
      </x:c>
      <x:c r="E1960" s="36" t="n">
        <x:v>70295</x:v>
      </x:c>
      <x:c r="F1960" s="36" t="n">
        <x:v>2828</x:v>
      </x:c>
      <x:c r="G1960" s="42" t="n">
        <x:v>0.6066066066066066</x:v>
      </x:c>
      <x:c r="H1960" s="36" t="n">
        <x:f>E1960*G1960</x:f>
        <x:v>42641.41141141141</x:v>
      </x:c>
      <x:c r="I1960" s="36" t="n">
        <x:f>IFERROR(H1960/A1960,0)</x:f>
        <x:v>10660.352852852853</x:v>
      </x:c>
      <x:c r="J1960" s="67" t="str">
        <x:v>Modeled from live base + Sep-2026 quality ratio</x:v>
      </x:c>
      <x:c r="K1960" s="67" t="str">
        <x:v>https://www.stonealgo.com/diamond-prices/</x:v>
      </x:c>
      <x:c r="L1960" s="67" t="str">
        <x:v>https://www.pricescope.com/blog/natural-diamond-prices-september-2026</x:v>
      </x:c>
    </x:row>
    <x:row r="1961">
      <x:c r="A1961" t="n">
        <x:v>4</x:v>
      </x:c>
      <x:c r="B1961" t="str">
        <x:v>Round</x:v>
      </x:c>
      <x:c r="C1961" t="str">
        <x:v>H</x:v>
      </x:c>
      <x:c r="D1961" t="str">
        <x:v>SI2</x:v>
      </x:c>
      <x:c r="E1961" s="36" t="n">
        <x:v>70295</x:v>
      </x:c>
      <x:c r="F1961" s="36" t="n">
        <x:v>2328</x:v>
      </x:c>
      <x:c r="G1961" s="42" t="n">
        <x:v>0.49935649935649934</x:v>
      </x:c>
      <x:c r="H1961" s="36" t="n">
        <x:f>E1961*G1961</x:f>
        <x:v>35102.26512226512</x:v>
      </x:c>
      <x:c r="I1961" s="36" t="n">
        <x:f>IFERROR(H1961/A1961,0)</x:f>
        <x:v>8775.56628056628</x:v>
      </x:c>
      <x:c r="J1961" s="67" t="str">
        <x:v>Modeled from live base + Sep-2026 quality ratio</x:v>
      </x:c>
      <x:c r="K1961" s="67" t="str">
        <x:v>https://www.stonealgo.com/diamond-prices/</x:v>
      </x:c>
      <x:c r="L1961" s="67" t="str">
        <x:v>https://www.pricescope.com/blog/natural-diamond-prices-september-2026</x:v>
      </x:c>
    </x:row>
    <x:row r="1962">
      <x:c r="A1962" t="n">
        <x:v>4</x:v>
      </x:c>
      <x:c r="B1962" t="str">
        <x:v>Round</x:v>
      </x:c>
      <x:c r="C1962" t="str">
        <x:v>I</x:v>
      </x:c>
      <x:c r="D1962" t="str">
        <x:v>FL</x:v>
      </x:c>
      <x:c r="E1962" s="36" t="n">
        <x:v>70295</x:v>
      </x:c>
      <x:c r="F1962" s="36" t="n">
        <x:v>4623</x:v>
      </x:c>
      <x:c r="G1962" s="42" t="n">
        <x:v>0.9916344916344917</x:v>
      </x:c>
      <x:c r="H1962" s="36" t="n">
        <x:f>E1962*G1962</x:f>
        <x:v>69706.9465894466</x:v>
      </x:c>
      <x:c r="I1962" s="36" t="n">
        <x:f>IFERROR(H1962/A1962,0)</x:f>
        <x:v>17426.73664736165</x:v>
      </x:c>
      <x:c r="J1962" s="67" t="str">
        <x:v>Modeled from live base + Sep-2026 quality ratio</x:v>
      </x:c>
      <x:c r="K1962" s="67" t="str">
        <x:v>https://www.stonealgo.com/diamond-prices/</x:v>
      </x:c>
      <x:c r="L1962" s="67" t="str">
        <x:v>https://www.pricescope.com/blog/natural-diamond-prices-september-2026</x:v>
      </x:c>
    </x:row>
    <x:row r="1963">
      <x:c r="A1963" t="n">
        <x:v>4</x:v>
      </x:c>
      <x:c r="B1963" t="str">
        <x:v>Round</x:v>
      </x:c>
      <x:c r="C1963" t="str">
        <x:v>I</x:v>
      </x:c>
      <x:c r="D1963" t="str">
        <x:v>IF</x:v>
      </x:c>
      <x:c r="E1963" s="36" t="n">
        <x:v>70295</x:v>
      </x:c>
      <x:c r="F1963" s="36" t="n">
        <x:v>4005</x:v>
      </x:c>
      <x:c r="G1963" s="42" t="n">
        <x:v>0.859073359073359</x:v>
      </x:c>
      <x:c r="H1963" s="36" t="n">
        <x:f>E1963*G1963</x:f>
        <x:v>60388.561776061775</x:v>
      </x:c>
      <x:c r="I1963" s="36" t="n">
        <x:f>IFERROR(H1963/A1963,0)</x:f>
        <x:v>15097.140444015444</x:v>
      </x:c>
      <x:c r="J1963" s="67" t="str">
        <x:v>Modeled from live base + Sep-2026 quality ratio</x:v>
      </x:c>
      <x:c r="K1963" s="67" t="str">
        <x:v>https://www.stonealgo.com/diamond-prices/</x:v>
      </x:c>
      <x:c r="L1963" s="67" t="str">
        <x:v>https://www.pricescope.com/blog/natural-diamond-prices-september-2026</x:v>
      </x:c>
    </x:row>
    <x:row r="1964">
      <x:c r="A1964" t="n">
        <x:v>4</x:v>
      </x:c>
      <x:c r="B1964" t="str">
        <x:v>Round</x:v>
      </x:c>
      <x:c r="C1964" t="str">
        <x:v>I</x:v>
      </x:c>
      <x:c r="D1964" t="str">
        <x:v>VVS1</x:v>
      </x:c>
      <x:c r="E1964" s="36" t="n">
        <x:v>70295</x:v>
      </x:c>
      <x:c r="F1964" s="36" t="n">
        <x:v>3670</x:v>
      </x:c>
      <x:c r="G1964" s="42" t="n">
        <x:v>0.7872157872157872</x:v>
      </x:c>
      <x:c r="H1964" s="36" t="n">
        <x:f>E1964*G1964</x:f>
        <x:v>55337.333762333765</x:v>
      </x:c>
      <x:c r="I1964" s="36" t="n">
        <x:f>IFERROR(H1964/A1964,0)</x:f>
        <x:v>13834.333440583441</x:v>
      </x:c>
      <x:c r="J1964" s="67" t="str">
        <x:v>Modeled from live base + Sep-2026 quality ratio</x:v>
      </x:c>
      <x:c r="K1964" s="67" t="str">
        <x:v>https://www.stonealgo.com/diamond-prices/</x:v>
      </x:c>
      <x:c r="L1964" s="67" t="str">
        <x:v>https://www.pricescope.com/blog/natural-diamond-prices-september-2026</x:v>
      </x:c>
    </x:row>
    <x:row r="1965">
      <x:c r="A1965" t="n">
        <x:v>4</x:v>
      </x:c>
      <x:c r="B1965" t="str">
        <x:v>Round</x:v>
      </x:c>
      <x:c r="C1965" t="str">
        <x:v>I</x:v>
      </x:c>
      <x:c r="D1965" t="str">
        <x:v>VVS2</x:v>
      </x:c>
      <x:c r="E1965" s="36" t="n">
        <x:v>70295</x:v>
      </x:c>
      <x:c r="F1965" s="36" t="n">
        <x:v>3447</x:v>
      </x:c>
      <x:c r="G1965" s="42" t="n">
        <x:v>0.7393822393822393</x:v>
      </x:c>
      <x:c r="H1965" s="36" t="n">
        <x:f>E1965*G1965</x:f>
        <x:v>51974.87451737451</x:v>
      </x:c>
      <x:c r="I1965" s="36" t="n">
        <x:f>IFERROR(H1965/A1965,0)</x:f>
        <x:v>12993.718629343628</x:v>
      </x:c>
      <x:c r="J1965" s="67" t="str">
        <x:v>Modeled from live base + Sep-2026 quality ratio</x:v>
      </x:c>
      <x:c r="K1965" s="67" t="str">
        <x:v>https://www.stonealgo.com/diamond-prices/</x:v>
      </x:c>
      <x:c r="L1965" s="67" t="str">
        <x:v>https://www.pricescope.com/blog/natural-diamond-prices-september-2026</x:v>
      </x:c>
    </x:row>
    <x:row r="1966">
      <x:c r="A1966" t="n">
        <x:v>4</x:v>
      </x:c>
      <x:c r="B1966" t="str">
        <x:v>Round</x:v>
      </x:c>
      <x:c r="C1966" t="str">
        <x:v>I</x:v>
      </x:c>
      <x:c r="D1966" t="str">
        <x:v>VS1</x:v>
      </x:c>
      <x:c r="E1966" s="36" t="n">
        <x:v>70295</x:v>
      </x:c>
      <x:c r="F1966" s="36" t="n">
        <x:v>3313</x:v>
      </x:c>
      <x:c r="G1966" s="42" t="n">
        <x:v>0.7106392106392107</x:v>
      </x:c>
      <x:c r="H1966" s="36" t="n">
        <x:f>E1966*G1966</x:f>
        <x:v>49954.38331188331</x:v>
      </x:c>
      <x:c r="I1966" s="36" t="n">
        <x:f>IFERROR(H1966/A1966,0)</x:f>
        <x:v>12488.595827970828</x:v>
      </x:c>
      <x:c r="J1966" s="67" t="str">
        <x:v>Modeled from live base + Sep-2026 quality ratio</x:v>
      </x:c>
      <x:c r="K1966" s="67" t="str">
        <x:v>https://www.stonealgo.com/diamond-prices/</x:v>
      </x:c>
      <x:c r="L1966" s="67" t="str">
        <x:v>https://www.pricescope.com/blog/natural-diamond-prices-september-2026</x:v>
      </x:c>
    </x:row>
    <x:row r="1967">
      <x:c r="A1967" t="n">
        <x:v>4</x:v>
      </x:c>
      <x:c r="B1967" t="str">
        <x:v>Round</x:v>
      </x:c>
      <x:c r="C1967" t="str">
        <x:v>I</x:v>
      </x:c>
      <x:c r="D1967" t="str">
        <x:v>VS2</x:v>
      </x:c>
      <x:c r="E1967" s="36" t="n">
        <x:v>70295</x:v>
      </x:c>
      <x:c r="F1967" s="36" t="n">
        <x:v>3240</x:v>
      </x:c>
      <x:c r="G1967" s="42" t="n">
        <x:v>0.694980694980695</x:v>
      </x:c>
      <x:c r="H1967" s="36" t="n">
        <x:f>E1967*G1967</x:f>
        <x:v>48853.66795366796</x:v>
      </x:c>
      <x:c r="I1967" s="36" t="n">
        <x:f>IFERROR(H1967/A1967,0)</x:f>
        <x:v>12213.41698841699</x:v>
      </x:c>
      <x:c r="J1967" s="67" t="str">
        <x:v>Modeled from live base + Sep-2026 quality ratio</x:v>
      </x:c>
      <x:c r="K1967" s="67" t="str">
        <x:v>https://www.stonealgo.com/diamond-prices/</x:v>
      </x:c>
      <x:c r="L1967" s="67" t="str">
        <x:v>https://www.pricescope.com/blog/natural-diamond-prices-september-2026</x:v>
      </x:c>
    </x:row>
    <x:row r="1968">
      <x:c r="A1968" t="n">
        <x:v>4</x:v>
      </x:c>
      <x:c r="B1968" t="str">
        <x:v>Round</x:v>
      </x:c>
      <x:c r="C1968" t="str">
        <x:v>I</x:v>
      </x:c>
      <x:c r="D1968" t="str">
        <x:v>SI1</x:v>
      </x:c>
      <x:c r="E1968" s="36" t="n">
        <x:v>70295</x:v>
      </x:c>
      <x:c r="F1968" s="36" t="n">
        <x:v>3199</x:v>
      </x:c>
      <x:c r="G1968" s="42" t="n">
        <x:v>0.6861861861861862</x:v>
      </x:c>
      <x:c r="H1968" s="36" t="n">
        <x:f>E1968*G1968</x:f>
        <x:v>48235.45795795796</x:v>
      </x:c>
      <x:c r="I1968" s="36" t="n">
        <x:f>IFERROR(H1968/A1968,0)</x:f>
        <x:v>12058.86448948949</x:v>
      </x:c>
      <x:c r="J1968" s="67" t="str">
        <x:v>Modeled from live base + Sep-2026 quality ratio</x:v>
      </x:c>
      <x:c r="K1968" s="67" t="str">
        <x:v>https://www.stonealgo.com/diamond-prices/</x:v>
      </x:c>
      <x:c r="L1968" s="67" t="str">
        <x:v>https://www.pricescope.com/blog/natural-diamond-prices-september-2026</x:v>
      </x:c>
    </x:row>
    <x:row r="1969">
      <x:c r="A1969" t="n">
        <x:v>4</x:v>
      </x:c>
      <x:c r="B1969" t="str">
        <x:v>Round</x:v>
      </x:c>
      <x:c r="C1969" t="str">
        <x:v>I</x:v>
      </x:c>
      <x:c r="D1969" t="str">
        <x:v>SI2</x:v>
      </x:c>
      <x:c r="E1969" s="36" t="n">
        <x:v>70295</x:v>
      </x:c>
      <x:c r="F1969" s="36" t="n">
        <x:v>2874</x:v>
      </x:c>
      <x:c r="G1969" s="42" t="n">
        <x:v>0.6164736164736164</x:v>
      </x:c>
      <x:c r="H1969" s="36" t="n">
        <x:f>E1969*G1969</x:f>
        <x:v>43335.01287001287</x:v>
      </x:c>
      <x:c r="I1969" s="36" t="n">
        <x:f>IFERROR(H1969/A1969,0)</x:f>
        <x:v>10833.753217503217</x:v>
      </x:c>
      <x:c r="J1969" s="67" t="str">
        <x:v>Modeled from live base + Sep-2026 quality ratio</x:v>
      </x:c>
      <x:c r="K1969" s="67" t="str">
        <x:v>https://www.stonealgo.com/diamond-prices/</x:v>
      </x:c>
      <x:c r="L1969" s="67" t="str">
        <x:v>https://www.pricescope.com/blog/natural-diamond-prices-september-2026</x:v>
      </x:c>
    </x:row>
    <x:row r="1970">
      <x:c r="A1970" t="n">
        <x:v>4</x:v>
      </x:c>
      <x:c r="B1970" t="str">
        <x:v>Round</x:v>
      </x:c>
      <x:c r="C1970" t="str">
        <x:v>J</x:v>
      </x:c>
      <x:c r="D1970" t="str">
        <x:v>FL</x:v>
      </x:c>
      <x:c r="E1970" s="36" t="n">
        <x:v>70295</x:v>
      </x:c>
      <x:c r="F1970" s="36" t="n">
        <x:v>3646</x:v>
      </x:c>
      <x:c r="G1970" s="42" t="n">
        <x:v>0.782067782067782</x:v>
      </x:c>
      <x:c r="H1970" s="36" t="n">
        <x:f>E1970*G1970</x:f>
        <x:v>54975.45474045474</x:v>
      </x:c>
      <x:c r="I1970" s="36" t="n">
        <x:f>IFERROR(H1970/A1970,0)</x:f>
        <x:v>13743.863685113685</x:v>
      </x:c>
      <x:c r="J1970" s="67" t="str">
        <x:v>Modeled from live base + Sep-2026 quality ratio</x:v>
      </x:c>
      <x:c r="K1970" s="67" t="str">
        <x:v>https://www.stonealgo.com/diamond-prices/</x:v>
      </x:c>
      <x:c r="L1970" s="67" t="str">
        <x:v>https://www.pricescope.com/blog/natural-diamond-prices-september-2026</x:v>
      </x:c>
    </x:row>
    <x:row r="1971">
      <x:c r="A1971" t="n">
        <x:v>4</x:v>
      </x:c>
      <x:c r="B1971" t="str">
        <x:v>Round</x:v>
      </x:c>
      <x:c r="C1971" t="str">
        <x:v>J</x:v>
      </x:c>
      <x:c r="D1971" t="str">
        <x:v>IF</x:v>
      </x:c>
      <x:c r="E1971" s="36" t="n">
        <x:v>70295</x:v>
      </x:c>
      <x:c r="F1971" s="36" t="n">
        <x:v>3368</x:v>
      </x:c>
      <x:c r="G1971" s="42" t="n">
        <x:v>0.7224367224367224</x:v>
      </x:c>
      <x:c r="H1971" s="36" t="n">
        <x:f>E1971*G1971</x:f>
        <x:v>50783.6894036894</x:v>
      </x:c>
      <x:c r="I1971" s="36" t="n">
        <x:f>IFERROR(H1971/A1971,0)</x:f>
        <x:v>12695.92235092235</x:v>
      </x:c>
      <x:c r="J1971" s="67" t="str">
        <x:v>Modeled from live base + Sep-2026 quality ratio</x:v>
      </x:c>
      <x:c r="K1971" s="67" t="str">
        <x:v>https://www.stonealgo.com/diamond-prices/</x:v>
      </x:c>
      <x:c r="L1971" s="67" t="str">
        <x:v>https://www.pricescope.com/blog/natural-diamond-prices-september-2026</x:v>
      </x:c>
    </x:row>
    <x:row r="1972">
      <x:c r="A1972" t="n">
        <x:v>4</x:v>
      </x:c>
      <x:c r="B1972" t="str">
        <x:v>Round</x:v>
      </x:c>
      <x:c r="C1972" t="str">
        <x:v>J</x:v>
      </x:c>
      <x:c r="D1972" t="str">
        <x:v>VVS1</x:v>
      </x:c>
      <x:c r="E1972" s="36" t="n">
        <x:v>70295</x:v>
      </x:c>
      <x:c r="F1972" s="36" t="n">
        <x:v>2956</x:v>
      </x:c>
      <x:c r="G1972" s="42" t="n">
        <x:v>0.6340626340626341</x:v>
      </x:c>
      <x:c r="H1972" s="36" t="n">
        <x:f>E1972*G1972</x:f>
        <x:v>44571.43286143286</x:v>
      </x:c>
      <x:c r="I1972" s="36" t="n">
        <x:f>IFERROR(H1972/A1972,0)</x:f>
        <x:v>11142.858215358216</x:v>
      </x:c>
      <x:c r="J1972" s="67" t="str">
        <x:v>Modeled from live base + Sep-2026 quality ratio</x:v>
      </x:c>
      <x:c r="K1972" s="67" t="str">
        <x:v>https://www.stonealgo.com/diamond-prices/</x:v>
      </x:c>
      <x:c r="L1972" s="67" t="str">
        <x:v>https://www.pricescope.com/blog/natural-diamond-prices-september-2026</x:v>
      </x:c>
    </x:row>
    <x:row r="1973">
      <x:c r="A1973" t="n">
        <x:v>4</x:v>
      </x:c>
      <x:c r="B1973" t="str">
        <x:v>Round</x:v>
      </x:c>
      <x:c r="C1973" t="str">
        <x:v>J</x:v>
      </x:c>
      <x:c r="D1973" t="str">
        <x:v>VVS2</x:v>
      </x:c>
      <x:c r="E1973" s="36" t="n">
        <x:v>70295</x:v>
      </x:c>
      <x:c r="F1973" s="36" t="n">
        <x:v>2612</x:v>
      </x:c>
      <x:c r="G1973" s="42" t="n">
        <x:v>0.5602745602745602</x:v>
      </x:c>
      <x:c r="H1973" s="36" t="n">
        <x:f>E1973*G1973</x:f>
        <x:v>39384.500214500214</x:v>
      </x:c>
      <x:c r="I1973" s="36" t="n">
        <x:f>IFERROR(H1973/A1973,0)</x:f>
        <x:v>9846.125053625054</x:v>
      </x:c>
      <x:c r="J1973" s="67" t="str">
        <x:v>Modeled from live base + Sep-2026 quality ratio</x:v>
      </x:c>
      <x:c r="K1973" s="67" t="str">
        <x:v>https://www.stonealgo.com/diamond-prices/</x:v>
      </x:c>
      <x:c r="L1973" s="67" t="str">
        <x:v>https://www.pricescope.com/blog/natural-diamond-prices-september-2026</x:v>
      </x:c>
    </x:row>
    <x:row r="1974">
      <x:c r="A1974" t="n">
        <x:v>4</x:v>
      </x:c>
      <x:c r="B1974" t="str">
        <x:v>Round</x:v>
      </x:c>
      <x:c r="C1974" t="str">
        <x:v>J</x:v>
      </x:c>
      <x:c r="D1974" t="str">
        <x:v>VS1</x:v>
      </x:c>
      <x:c r="E1974" s="36" t="n">
        <x:v>70295</x:v>
      </x:c>
      <x:c r="F1974" s="36" t="n">
        <x:v>3002</x:v>
      </x:c>
      <x:c r="G1974" s="42" t="n">
        <x:v>0.6439296439296439</x:v>
      </x:c>
      <x:c r="H1974" s="36" t="n">
        <x:f>E1974*G1974</x:f>
        <x:v>45265.03432003432</x:v>
      </x:c>
      <x:c r="I1974" s="36" t="n">
        <x:f>IFERROR(H1974/A1974,0)</x:f>
        <x:v>11316.25858000858</x:v>
      </x:c>
      <x:c r="J1974" s="67" t="str">
        <x:v>Modeled from live base + Sep-2026 quality ratio</x:v>
      </x:c>
      <x:c r="K1974" s="67" t="str">
        <x:v>https://www.stonealgo.com/diamond-prices/</x:v>
      </x:c>
      <x:c r="L1974" s="67" t="str">
        <x:v>https://www.pricescope.com/blog/natural-diamond-prices-september-2026</x:v>
      </x:c>
    </x:row>
    <x:row r="1975">
      <x:c r="A1975" t="n">
        <x:v>4</x:v>
      </x:c>
      <x:c r="B1975" t="str">
        <x:v>Round</x:v>
      </x:c>
      <x:c r="C1975" t="str">
        <x:v>J</x:v>
      </x:c>
      <x:c r="D1975" t="str">
        <x:v>VS2</x:v>
      </x:c>
      <x:c r="E1975" s="36" t="n">
        <x:v>70295</x:v>
      </x:c>
      <x:c r="F1975" s="36" t="n">
        <x:v>2559</x:v>
      </x:c>
      <x:c r="G1975" s="42" t="n">
        <x:v>0.5489060489060489</x:v>
      </x:c>
      <x:c r="H1975" s="36" t="n">
        <x:f>E1975*G1975</x:f>
        <x:v>38585.3507078507</x:v>
      </x:c>
      <x:c r="I1975" s="36" t="n">
        <x:f>IFERROR(H1975/A1975,0)</x:f>
        <x:v>9646.337676962676</x:v>
      </x:c>
      <x:c r="J1975" s="67" t="str">
        <x:v>Modeled from live base + Sep-2026 quality ratio</x:v>
      </x:c>
      <x:c r="K1975" s="67" t="str">
        <x:v>https://www.stonealgo.com/diamond-prices/</x:v>
      </x:c>
      <x:c r="L1975" s="67" t="str">
        <x:v>https://www.pricescope.com/blog/natural-diamond-prices-september-2026</x:v>
      </x:c>
    </x:row>
    <x:row r="1976">
      <x:c r="A1976" t="n">
        <x:v>4</x:v>
      </x:c>
      <x:c r="B1976" t="str">
        <x:v>Round</x:v>
      </x:c>
      <x:c r="C1976" t="str">
        <x:v>J</x:v>
      </x:c>
      <x:c r="D1976" t="str">
        <x:v>SI1</x:v>
      </x:c>
      <x:c r="E1976" s="36" t="n">
        <x:v>70295</x:v>
      </x:c>
      <x:c r="F1976" s="36" t="n">
        <x:v>2195</x:v>
      </x:c>
      <x:c r="G1976" s="42" t="n">
        <x:v>0.47082797082797084</x:v>
      </x:c>
      <x:c r="H1976" s="36" t="n">
        <x:f>E1976*G1976</x:f>
        <x:v>33096.85220935221</x:v>
      </x:c>
      <x:c r="I1976" s="36" t="n">
        <x:f>IFERROR(H1976/A1976,0)</x:f>
        <x:v>8274.213052338053</x:v>
      </x:c>
      <x:c r="J1976" s="67" t="str">
        <x:v>Modeled from live base + Sep-2026 quality ratio</x:v>
      </x:c>
      <x:c r="K1976" s="67" t="str">
        <x:v>https://www.stonealgo.com/diamond-prices/</x:v>
      </x:c>
      <x:c r="L1976" s="67" t="str">
        <x:v>https://www.pricescope.com/blog/natural-diamond-prices-september-2026</x:v>
      </x:c>
    </x:row>
    <x:row r="1977">
      <x:c r="A1977" t="n">
        <x:v>4</x:v>
      </x:c>
      <x:c r="B1977" t="str">
        <x:v>Round</x:v>
      </x:c>
      <x:c r="C1977" t="str">
        <x:v>J</x:v>
      </x:c>
      <x:c r="D1977" t="str">
        <x:v>SI2</x:v>
      </x:c>
      <x:c r="E1977" s="36" t="n">
        <x:v>70295</x:v>
      </x:c>
      <x:c r="F1977" s="36" t="n">
        <x:v>2079</x:v>
      </x:c>
      <x:c r="G1977" s="42" t="n">
        <x:v>0.44594594594594594</x:v>
      </x:c>
      <x:c r="H1977" s="36" t="n">
        <x:f>E1977*G1977</x:f>
        <x:v>31347.77027027027</x:v>
      </x:c>
      <x:c r="I1977" s="36" t="n">
        <x:f>IFERROR(H1977/A1977,0)</x:f>
        <x:v>7836.9425675675675</x:v>
      </x:c>
      <x:c r="J1977" s="67" t="str">
        <x:v>Modeled from live base + Sep-2026 quality ratio</x:v>
      </x:c>
      <x:c r="K1977" s="67" t="str">
        <x:v>https://www.stonealgo.com/diamond-prices/</x:v>
      </x:c>
      <x:c r="L1977" s="67" t="str">
        <x:v>https://www.pricescope.com/blog/natural-diamond-prices-september-2026</x:v>
      </x:c>
    </x:row>
    <x:row r="1978">
      <x:c r="A1978" t="n">
        <x:v>4</x:v>
      </x:c>
      <x:c r="B1978" t="str">
        <x:v>Round</x:v>
      </x:c>
      <x:c r="C1978" t="str">
        <x:v>K</x:v>
      </x:c>
      <x:c r="D1978" t="str">
        <x:v>FL</x:v>
      </x:c>
      <x:c r="E1978" s="36" t="n">
        <x:v>70295</x:v>
      </x:c>
      <x:c r="F1978" s="36" t="n">
        <x:v>2858</x:v>
      </x:c>
      <x:c r="G1978" s="42" t="n">
        <x:v>0.6130416130416131</x:v>
      </x:c>
      <x:c r="H1978" s="36" t="n">
        <x:f>E1978*G1978</x:f>
        <x:v>43093.76018876019</x:v>
      </x:c>
      <x:c r="I1978" s="36" t="n">
        <x:f>IFERROR(H1978/A1978,0)</x:f>
        <x:v>10773.440047190048</x:v>
      </x:c>
      <x:c r="J1978" s="67" t="str">
        <x:v>Modeled from live base + Sep-2026 quality ratio; K/FL quality cell modeled</x:v>
      </x:c>
      <x:c r="K1978" s="67" t="str">
        <x:v>https://www.stonealgo.com/diamond-prices/</x:v>
      </x:c>
      <x:c r="L1978" s="67" t="str">
        <x:v>https://www.pricescope.com/blog/natural-diamond-prices-september-2026</x:v>
      </x:c>
    </x:row>
    <x:row r="1979">
      <x:c r="A1979" t="n">
        <x:v>4</x:v>
      </x:c>
      <x:c r="B1979" t="str">
        <x:v>Round</x:v>
      </x:c>
      <x:c r="C1979" t="str">
        <x:v>K</x:v>
      </x:c>
      <x:c r="D1979" t="str">
        <x:v>IF</x:v>
      </x:c>
      <x:c r="E1979" s="36" t="n">
        <x:v>70295</x:v>
      </x:c>
      <x:c r="F1979" s="36" t="n">
        <x:v>2743</x:v>
      </x:c>
      <x:c r="G1979" s="42" t="n">
        <x:v>0.5883740883740883</x:v>
      </x:c>
      <x:c r="H1979" s="36" t="n">
        <x:f>E1979*G1979</x:f>
        <x:v>41359.75654225654</x:v>
      </x:c>
      <x:c r="I1979" s="36" t="n">
        <x:f>IFERROR(H1979/A1979,0)</x:f>
        <x:v>10339.939135564135</x:v>
      </x:c>
      <x:c r="J1979" s="67" t="str">
        <x:v>Modeled from live base + Sep-2026 quality ratio</x:v>
      </x:c>
      <x:c r="K1979" s="67" t="str">
        <x:v>https://www.stonealgo.com/diamond-prices/</x:v>
      </x:c>
      <x:c r="L1979" s="67" t="str">
        <x:v>https://www.pricescope.com/blog/natural-diamond-prices-september-2026</x:v>
      </x:c>
    </x:row>
    <x:row r="1980">
      <x:c r="A1980" t="n">
        <x:v>4</x:v>
      </x:c>
      <x:c r="B1980" t="str">
        <x:v>Round</x:v>
      </x:c>
      <x:c r="C1980" t="str">
        <x:v>K</x:v>
      </x:c>
      <x:c r="D1980" t="str">
        <x:v>VVS1</x:v>
      </x:c>
      <x:c r="E1980" s="36" t="n">
        <x:v>70295</x:v>
      </x:c>
      <x:c r="F1980" s="36" t="n">
        <x:v>2529</x:v>
      </x:c>
      <x:c r="G1980" s="42" t="n">
        <x:v>0.5424710424710425</x:v>
      </x:c>
      <x:c r="H1980" s="36" t="n">
        <x:f>E1980*G1980</x:f>
        <x:v>38133.00193050193</x:v>
      </x:c>
      <x:c r="I1980" s="36" t="n">
        <x:f>IFERROR(H1980/A1980,0)</x:f>
        <x:v>9533.250482625483</x:v>
      </x:c>
      <x:c r="J1980" s="67" t="str">
        <x:v>Modeled from live base + Sep-2026 quality ratio</x:v>
      </x:c>
      <x:c r="K1980" s="67" t="str">
        <x:v>https://www.stonealgo.com/diamond-prices/</x:v>
      </x:c>
      <x:c r="L1980" s="67" t="str">
        <x:v>https://www.pricescope.com/blog/natural-diamond-prices-september-2026</x:v>
      </x:c>
    </x:row>
    <x:row r="1981">
      <x:c r="A1981" t="n">
        <x:v>4</x:v>
      </x:c>
      <x:c r="B1981" t="str">
        <x:v>Round</x:v>
      </x:c>
      <x:c r="C1981" t="str">
        <x:v>K</x:v>
      </x:c>
      <x:c r="D1981" t="str">
        <x:v>VVS2</x:v>
      </x:c>
      <x:c r="E1981" s="36" t="n">
        <x:v>70295</x:v>
      </x:c>
      <x:c r="F1981" s="36" t="n">
        <x:v>2374</x:v>
      </x:c>
      <x:c r="G1981" s="42" t="n">
        <x:v>0.5092235092235092</x:v>
      </x:c>
      <x:c r="H1981" s="36" t="n">
        <x:f>E1981*G1981</x:f>
        <x:v>35795.86658086658</x:v>
      </x:c>
      <x:c r="I1981" s="36" t="n">
        <x:f>IFERROR(H1981/A1981,0)</x:f>
        <x:v>8948.966645216646</x:v>
      </x:c>
      <x:c r="J1981" s="67" t="str">
        <x:v>Modeled from live base + Sep-2026 quality ratio</x:v>
      </x:c>
      <x:c r="K1981" s="67" t="str">
        <x:v>https://www.stonealgo.com/diamond-prices/</x:v>
      </x:c>
      <x:c r="L1981" s="67" t="str">
        <x:v>https://www.pricescope.com/blog/natural-diamond-prices-september-2026</x:v>
      </x:c>
    </x:row>
    <x:row r="1982">
      <x:c r="A1982" t="n">
        <x:v>4</x:v>
      </x:c>
      <x:c r="B1982" t="str">
        <x:v>Round</x:v>
      </x:c>
      <x:c r="C1982" t="str">
        <x:v>K</x:v>
      </x:c>
      <x:c r="D1982" t="str">
        <x:v>VS1</x:v>
      </x:c>
      <x:c r="E1982" s="36" t="n">
        <x:v>70295</x:v>
      </x:c>
      <x:c r="F1982" s="36" t="n">
        <x:v>2223</x:v>
      </x:c>
      <x:c r="G1982" s="42" t="n">
        <x:v>0.4768339768339768</x:v>
      </x:c>
      <x:c r="H1982" s="36" t="n">
        <x:f>E1982*G1982</x:f>
        <x:v>33519.0444015444</x:v>
      </x:c>
      <x:c r="I1982" s="36" t="n">
        <x:f>IFERROR(H1982/A1982,0)</x:f>
        <x:v>8379.7611003861</x:v>
      </x:c>
      <x:c r="J1982" s="67" t="str">
        <x:v>Modeled from live base + Sep-2026 quality ratio</x:v>
      </x:c>
      <x:c r="K1982" s="67" t="str">
        <x:v>https://www.stonealgo.com/diamond-prices/</x:v>
      </x:c>
      <x:c r="L1982" s="67" t="str">
        <x:v>https://www.pricescope.com/blog/natural-diamond-prices-september-2026</x:v>
      </x:c>
    </x:row>
    <x:row r="1983">
      <x:c r="A1983" t="n">
        <x:v>4</x:v>
      </x:c>
      <x:c r="B1983" t="str">
        <x:v>Round</x:v>
      </x:c>
      <x:c r="C1983" t="str">
        <x:v>K</x:v>
      </x:c>
      <x:c r="D1983" t="str">
        <x:v>VS2</x:v>
      </x:c>
      <x:c r="E1983" s="36" t="n">
        <x:v>70295</x:v>
      </x:c>
      <x:c r="F1983" s="36" t="n">
        <x:v>2098</x:v>
      </x:c>
      <x:c r="G1983" s="42" t="n">
        <x:v>0.45002145002145</x:v>
      </x:c>
      <x:c r="H1983" s="36" t="n">
        <x:f>E1983*G1983</x:f>
        <x:v>31634.25782925783</x:v>
      </x:c>
      <x:c r="I1983" s="36" t="n">
        <x:f>IFERROR(H1983/A1983,0)</x:f>
        <x:v>7908.564457314457</x:v>
      </x:c>
      <x:c r="J1983" s="67" t="str">
        <x:v>Modeled from live base + Sep-2026 quality ratio</x:v>
      </x:c>
      <x:c r="K1983" s="67" t="str">
        <x:v>https://www.stonealgo.com/diamond-prices/</x:v>
      </x:c>
      <x:c r="L1983" s="67" t="str">
        <x:v>https://www.pricescope.com/blog/natural-diamond-prices-september-2026</x:v>
      </x:c>
    </x:row>
    <x:row r="1984">
      <x:c r="A1984" t="n">
        <x:v>4</x:v>
      </x:c>
      <x:c r="B1984" t="str">
        <x:v>Round</x:v>
      </x:c>
      <x:c r="C1984" t="str">
        <x:v>K</x:v>
      </x:c>
      <x:c r="D1984" t="str">
        <x:v>SI1</x:v>
      </x:c>
      <x:c r="E1984" s="36" t="n">
        <x:v>70295</x:v>
      </x:c>
      <x:c r="F1984" s="36" t="n">
        <x:v>1922</x:v>
      </x:c>
      <x:c r="G1984" s="42" t="n">
        <x:v>0.41226941226941227</x:v>
      </x:c>
      <x:c r="H1984" s="36" t="n">
        <x:f>E1984*G1984</x:f>
        <x:v>28980.478335478336</x:v>
      </x:c>
      <x:c r="I1984" s="36" t="n">
        <x:f>IFERROR(H1984/A1984,0)</x:f>
        <x:v>7245.119583869584</x:v>
      </x:c>
      <x:c r="J1984" s="67" t="str">
        <x:v>Modeled from live base + Sep-2026 quality ratio</x:v>
      </x:c>
      <x:c r="K1984" s="67" t="str">
        <x:v>https://www.stonealgo.com/diamond-prices/</x:v>
      </x:c>
      <x:c r="L1984" s="67" t="str">
        <x:v>https://www.pricescope.com/blog/natural-diamond-prices-september-2026</x:v>
      </x:c>
    </x:row>
    <x:row r="1985">
      <x:c r="A1985" t="n">
        <x:v>4</x:v>
      </x:c>
      <x:c r="B1985" t="str">
        <x:v>Round</x:v>
      </x:c>
      <x:c r="C1985" t="str">
        <x:v>K</x:v>
      </x:c>
      <x:c r="D1985" t="str">
        <x:v>SI2</x:v>
      </x:c>
      <x:c r="E1985" s="36" t="n">
        <x:v>70295</x:v>
      </x:c>
      <x:c r="F1985" s="36" t="n">
        <x:v>1764</x:v>
      </x:c>
      <x:c r="G1985" s="42" t="n">
        <x:v>0.3783783783783784</x:v>
      </x:c>
      <x:c r="H1985" s="36" t="n">
        <x:f>E1985*G1985</x:f>
        <x:v>26598.10810810811</x:v>
      </x:c>
      <x:c r="I1985" s="36" t="n">
        <x:f>IFERROR(H1985/A1985,0)</x:f>
        <x:v>6649.5270270270275</x:v>
      </x:c>
      <x:c r="J1985" s="67" t="str">
        <x:v>Modeled from live base + Sep-2026 quality ratio</x:v>
      </x:c>
      <x:c r="K1985" s="67" t="str">
        <x:v>https://www.stonealgo.com/diamond-prices/</x:v>
      </x:c>
      <x:c r="L1985" s="67" t="str">
        <x:v>https://www.pricescope.com/blog/natural-diamond-prices-september-2026</x:v>
      </x:c>
    </x:row>
    <x:row r="1986">
      <x:c r="A1986" t="n">
        <x:v>4</x:v>
      </x:c>
      <x:c r="B1986" t="str">
        <x:v>Oval</x:v>
      </x:c>
      <x:c r="C1986" t="str">
        <x:v>D</x:v>
      </x:c>
      <x:c r="D1986" t="str">
        <x:v>FL</x:v>
      </x:c>
      <x:c r="E1986" s="36" t="n">
        <x:v>79865</x:v>
      </x:c>
      <x:c r="F1986" s="36" t="n">
        <x:v>12665</x:v>
      </x:c>
      <x:c r="G1986" s="42" t="n">
        <x:v>2.7166452166452166</x:v>
      </x:c>
      <x:c r="H1986" s="36" t="n">
        <x:f>E1986*G1986</x:f>
        <x:v>216964.87022737024</x:v>
      </x:c>
      <x:c r="I1986" s="36" t="n">
        <x:f>IFERROR(H1986/A1986,0)</x:f>
        <x:v>54241.21755684256</x:v>
      </x:c>
      <x:c r="J1986" s="67" t="str">
        <x:v>Modeled from live base + Sep-2026 quality ratio</x:v>
      </x:c>
      <x:c r="K1986" s="67" t="str">
        <x:v>https://www.stonealgo.com/diamond-prices/</x:v>
      </x:c>
      <x:c r="L1986" s="67" t="str">
        <x:v>https://www.pricescope.com/blog/natural-diamond-prices-september-2026</x:v>
      </x:c>
    </x:row>
    <x:row r="1987">
      <x:c r="A1987" t="n">
        <x:v>4</x:v>
      </x:c>
      <x:c r="B1987" t="str">
        <x:v>Oval</x:v>
      </x:c>
      <x:c r="C1987" t="str">
        <x:v>D</x:v>
      </x:c>
      <x:c r="D1987" t="str">
        <x:v>IF</x:v>
      </x:c>
      <x:c r="E1987" s="36" t="n">
        <x:v>79865</x:v>
      </x:c>
      <x:c r="F1987" s="36" t="n">
        <x:v>13240</x:v>
      </x:c>
      <x:c r="G1987" s="42" t="n">
        <x:v>2.83998283998284</x:v>
      </x:c>
      <x:c r="H1987" s="36" t="n">
        <x:f>E1987*G1987</x:f>
        <x:v>226815.22951522953</x:v>
      </x:c>
      <x:c r="I1987" s="36" t="n">
        <x:f>IFERROR(H1987/A1987,0)</x:f>
        <x:v>56703.80737880738</x:v>
      </x:c>
      <x:c r="J1987" s="67" t="str">
        <x:v>Modeled from live base + Sep-2026 quality ratio</x:v>
      </x:c>
      <x:c r="K1987" s="67" t="str">
        <x:v>https://www.stonealgo.com/diamond-prices/</x:v>
      </x:c>
      <x:c r="L1987" s="67" t="str">
        <x:v>https://www.pricescope.com/blog/natural-diamond-prices-september-2026</x:v>
      </x:c>
    </x:row>
    <x:row r="1988">
      <x:c r="A1988" t="n">
        <x:v>4</x:v>
      </x:c>
      <x:c r="B1988" t="str">
        <x:v>Oval</x:v>
      </x:c>
      <x:c r="C1988" t="str">
        <x:v>D</x:v>
      </x:c>
      <x:c r="D1988" t="str">
        <x:v>VVS1</x:v>
      </x:c>
      <x:c r="E1988" s="36" t="n">
        <x:v>79865</x:v>
      </x:c>
      <x:c r="F1988" s="36" t="n">
        <x:v>9555</x:v>
      </x:c>
      <x:c r="G1988" s="42" t="n">
        <x:v>2.0495495495495497</x:v>
      </x:c>
      <x:c r="H1988" s="36" t="n">
        <x:f>E1988*G1988</x:f>
        <x:v>163687.2747747748</x:v>
      </x:c>
      <x:c r="I1988" s="36" t="n">
        <x:f>IFERROR(H1988/A1988,0)</x:f>
        <x:v>40921.8186936937</x:v>
      </x:c>
      <x:c r="J1988" s="67" t="str">
        <x:v>Modeled from live base + Sep-2026 quality ratio</x:v>
      </x:c>
      <x:c r="K1988" s="67" t="str">
        <x:v>https://www.stonealgo.com/diamond-prices/</x:v>
      </x:c>
      <x:c r="L1988" s="67" t="str">
        <x:v>https://www.pricescope.com/blog/natural-diamond-prices-september-2026</x:v>
      </x:c>
    </x:row>
    <x:row r="1989">
      <x:c r="A1989" t="n">
        <x:v>4</x:v>
      </x:c>
      <x:c r="B1989" t="str">
        <x:v>Oval</x:v>
      </x:c>
      <x:c r="C1989" t="str">
        <x:v>D</x:v>
      </x:c>
      <x:c r="D1989" t="str">
        <x:v>VVS2</x:v>
      </x:c>
      <x:c r="E1989" s="36" t="n">
        <x:v>79865</x:v>
      </x:c>
      <x:c r="F1989" s="36" t="n">
        <x:v>6660</x:v>
      </x:c>
      <x:c r="G1989" s="42" t="n">
        <x:v>1.4285714285714286</x:v>
      </x:c>
      <x:c r="H1989" s="36" t="n">
        <x:f>E1989*G1989</x:f>
        <x:v>114092.85714285714</x:v>
      </x:c>
      <x:c r="I1989" s="36" t="n">
        <x:f>IFERROR(H1989/A1989,0)</x:f>
        <x:v>28523.214285714286</x:v>
      </x:c>
      <x:c r="J1989" s="67" t="str">
        <x:v>Modeled from live base + Sep-2026 quality ratio</x:v>
      </x:c>
      <x:c r="K1989" s="67" t="str">
        <x:v>https://www.stonealgo.com/diamond-prices/</x:v>
      </x:c>
      <x:c r="L1989" s="67" t="str">
        <x:v>https://www.pricescope.com/blog/natural-diamond-prices-september-2026</x:v>
      </x:c>
    </x:row>
    <x:row r="1990">
      <x:c r="A1990" t="n">
        <x:v>4</x:v>
      </x:c>
      <x:c r="B1990" t="str">
        <x:v>Oval</x:v>
      </x:c>
      <x:c r="C1990" t="str">
        <x:v>D</x:v>
      </x:c>
      <x:c r="D1990" t="str">
        <x:v>VS1</x:v>
      </x:c>
      <x:c r="E1990" s="36" t="n">
        <x:v>79865</x:v>
      </x:c>
      <x:c r="F1990" s="36" t="n">
        <x:v>6247</x:v>
      </x:c>
      <x:c r="G1990" s="42" t="n">
        <x:v>1.33998283998284</x:v>
      </x:c>
      <x:c r="H1990" s="36" t="n">
        <x:f>E1990*G1990</x:f>
        <x:v>107017.72951522951</x:v>
      </x:c>
      <x:c r="I1990" s="36" t="n">
        <x:f>IFERROR(H1990/A1990,0)</x:f>
        <x:v>26754.432378807378</x:v>
      </x:c>
      <x:c r="J1990" s="67" t="str">
        <x:v>Modeled from live base + Sep-2026 quality ratio</x:v>
      </x:c>
      <x:c r="K1990" s="67" t="str">
        <x:v>https://www.stonealgo.com/diamond-prices/</x:v>
      </x:c>
      <x:c r="L1990" s="67" t="str">
        <x:v>https://www.pricescope.com/blog/natural-diamond-prices-september-2026</x:v>
      </x:c>
    </x:row>
    <x:row r="1991">
      <x:c r="A1991" t="n">
        <x:v>4</x:v>
      </x:c>
      <x:c r="B1991" t="str">
        <x:v>Oval</x:v>
      </x:c>
      <x:c r="C1991" t="str">
        <x:v>D</x:v>
      </x:c>
      <x:c r="D1991" t="str">
        <x:v>VS2</x:v>
      </x:c>
      <x:c r="E1991" s="36" t="n">
        <x:v>79865</x:v>
      </x:c>
      <x:c r="F1991" s="36" t="n">
        <x:v>5841</x:v>
      </x:c>
      <x:c r="G1991" s="42" t="n">
        <x:v>1.252895752895753</x:v>
      </x:c>
      <x:c r="H1991" s="36" t="n">
        <x:f>E1991*G1991</x:f>
        <x:v>100062.5193050193</x:v>
      </x:c>
      <x:c r="I1991" s="36" t="n">
        <x:f>IFERROR(H1991/A1991,0)</x:f>
        <x:v>25015.629826254826</x:v>
      </x:c>
      <x:c r="J1991" s="67" t="str">
        <x:v>Modeled from live base + Sep-2026 quality ratio</x:v>
      </x:c>
      <x:c r="K1991" s="67" t="str">
        <x:v>https://www.stonealgo.com/diamond-prices/</x:v>
      </x:c>
      <x:c r="L1991" s="67" t="str">
        <x:v>https://www.pricescope.com/blog/natural-diamond-prices-september-2026</x:v>
      </x:c>
    </x:row>
    <x:row r="1992">
      <x:c r="A1992" t="n">
        <x:v>4</x:v>
      </x:c>
      <x:c r="B1992" t="str">
        <x:v>Oval</x:v>
      </x:c>
      <x:c r="C1992" t="str">
        <x:v>D</x:v>
      </x:c>
      <x:c r="D1992" t="str">
        <x:v>SI1</x:v>
      </x:c>
      <x:c r="E1992" s="36" t="n">
        <x:v>79865</x:v>
      </x:c>
      <x:c r="F1992" s="36" t="n">
        <x:v>3762</x:v>
      </x:c>
      <x:c r="G1992" s="42" t="n">
        <x:v>0.806949806949807</x:v>
      </x:c>
      <x:c r="H1992" s="36" t="n">
        <x:f>E1992*G1992</x:f>
        <x:v>64447.04633204634</x:v>
      </x:c>
      <x:c r="I1992" s="36" t="n">
        <x:f>IFERROR(H1992/A1992,0)</x:f>
        <x:v>16111.761583011585</x:v>
      </x:c>
      <x:c r="J1992" s="67" t="str">
        <x:v>Modeled from live base + Sep-2026 quality ratio</x:v>
      </x:c>
      <x:c r="K1992" s="67" t="str">
        <x:v>https://www.stonealgo.com/diamond-prices/</x:v>
      </x:c>
      <x:c r="L1992" s="67" t="str">
        <x:v>https://www.pricescope.com/blog/natural-diamond-prices-september-2026</x:v>
      </x:c>
    </x:row>
    <x:row r="1993">
      <x:c r="A1993" t="n">
        <x:v>4</x:v>
      </x:c>
      <x:c r="B1993" t="str">
        <x:v>Oval</x:v>
      </x:c>
      <x:c r="C1993" t="str">
        <x:v>D</x:v>
      </x:c>
      <x:c r="D1993" t="str">
        <x:v>SI2</x:v>
      </x:c>
      <x:c r="E1993" s="36" t="n">
        <x:v>79865</x:v>
      </x:c>
      <x:c r="F1993" s="36" t="n">
        <x:v>3026</x:v>
      </x:c>
      <x:c r="G1993" s="42" t="n">
        <x:v>0.6490776490776491</x:v>
      </x:c>
      <x:c r="H1993" s="36" t="n">
        <x:f>E1993*G1993</x:f>
        <x:v>51838.58644358644</x:v>
      </x:c>
      <x:c r="I1993" s="36" t="n">
        <x:f>IFERROR(H1993/A1993,0)</x:f>
        <x:v>12959.64661089661</x:v>
      </x:c>
      <x:c r="J1993" s="67" t="str">
        <x:v>Modeled from live base + Sep-2026 quality ratio</x:v>
      </x:c>
      <x:c r="K1993" s="67" t="str">
        <x:v>https://www.stonealgo.com/diamond-prices/</x:v>
      </x:c>
      <x:c r="L1993" s="67" t="str">
        <x:v>https://www.pricescope.com/blog/natural-diamond-prices-september-2026</x:v>
      </x:c>
    </x:row>
    <x:row r="1994">
      <x:c r="A1994" t="n">
        <x:v>4</x:v>
      </x:c>
      <x:c r="B1994" t="str">
        <x:v>Oval</x:v>
      </x:c>
      <x:c r="C1994" t="str">
        <x:v>E</x:v>
      </x:c>
      <x:c r="D1994" t="str">
        <x:v>FL</x:v>
      </x:c>
      <x:c r="E1994" s="36" t="n">
        <x:v>79865</x:v>
      </x:c>
      <x:c r="F1994" s="36" t="n">
        <x:v>10072</x:v>
      </x:c>
      <x:c r="G1994" s="42" t="n">
        <x:v>2.1604461604461602</x:v>
      </x:c>
      <x:c r="H1994" s="36" t="n">
        <x:f>E1994*G1994</x:f>
        <x:v>172544.03260403257</x:v>
      </x:c>
      <x:c r="I1994" s="36" t="n">
        <x:f>IFERROR(H1994/A1994,0)</x:f>
        <x:v>43136.00815100814</x:v>
      </x:c>
      <x:c r="J1994" s="67" t="str">
        <x:v>Modeled from live base + Sep-2026 quality ratio</x:v>
      </x:c>
      <x:c r="K1994" s="67" t="str">
        <x:v>https://www.stonealgo.com/diamond-prices/</x:v>
      </x:c>
      <x:c r="L1994" s="67" t="str">
        <x:v>https://www.pricescope.com/blog/natural-diamond-prices-september-2026</x:v>
      </x:c>
    </x:row>
    <x:row r="1995">
      <x:c r="A1995" t="n">
        <x:v>4</x:v>
      </x:c>
      <x:c r="B1995" t="str">
        <x:v>Oval</x:v>
      </x:c>
      <x:c r="C1995" t="str">
        <x:v>E</x:v>
      </x:c>
      <x:c r="D1995" t="str">
        <x:v>IF</x:v>
      </x:c>
      <x:c r="E1995" s="36" t="n">
        <x:v>79865</x:v>
      </x:c>
      <x:c r="F1995" s="36" t="n">
        <x:v>8672</x:v>
      </x:c>
      <x:c r="G1995" s="42" t="n">
        <x:v>1.8601458601458603</x:v>
      </x:c>
      <x:c r="H1995" s="36" t="n">
        <x:f>E1995*G1995</x:f>
        <x:v>148560.54912054914</x:v>
      </x:c>
      <x:c r="I1995" s="36" t="n">
        <x:f>IFERROR(H1995/A1995,0)</x:f>
        <x:v>37140.137280137285</x:v>
      </x:c>
      <x:c r="J1995" s="67" t="str">
        <x:v>Modeled from live base + Sep-2026 quality ratio</x:v>
      </x:c>
      <x:c r="K1995" s="67" t="str">
        <x:v>https://www.stonealgo.com/diamond-prices/</x:v>
      </x:c>
      <x:c r="L1995" s="67" t="str">
        <x:v>https://www.pricescope.com/blog/natural-diamond-prices-september-2026</x:v>
      </x:c>
    </x:row>
    <x:row r="1996">
      <x:c r="A1996" t="n">
        <x:v>4</x:v>
      </x:c>
      <x:c r="B1996" t="str">
        <x:v>Oval</x:v>
      </x:c>
      <x:c r="C1996" t="str">
        <x:v>E</x:v>
      </x:c>
      <x:c r="D1996" t="str">
        <x:v>VVS1</x:v>
      </x:c>
      <x:c r="E1996" s="36" t="n">
        <x:v>79865</x:v>
      </x:c>
      <x:c r="F1996" s="36" t="n">
        <x:v>7842</x:v>
      </x:c>
      <x:c r="G1996" s="42" t="n">
        <x:v>1.6821106821106822</x:v>
      </x:c>
      <x:c r="H1996" s="36" t="n">
        <x:f>E1996*G1996</x:f>
        <x:v>134341.76962676964</x:v>
      </x:c>
      <x:c r="I1996" s="36" t="n">
        <x:f>IFERROR(H1996/A1996,0)</x:f>
        <x:v>33585.44240669241</x:v>
      </x:c>
      <x:c r="J1996" s="67" t="str">
        <x:v>Modeled from live base + Sep-2026 quality ratio</x:v>
      </x:c>
      <x:c r="K1996" s="67" t="str">
        <x:v>https://www.stonealgo.com/diamond-prices/</x:v>
      </x:c>
      <x:c r="L1996" s="67" t="str">
        <x:v>https://www.pricescope.com/blog/natural-diamond-prices-september-2026</x:v>
      </x:c>
    </x:row>
    <x:row r="1997">
      <x:c r="A1997" t="n">
        <x:v>4</x:v>
      </x:c>
      <x:c r="B1997" t="str">
        <x:v>Oval</x:v>
      </x:c>
      <x:c r="C1997" t="str">
        <x:v>E</x:v>
      </x:c>
      <x:c r="D1997" t="str">
        <x:v>VVS2</x:v>
      </x:c>
      <x:c r="E1997" s="36" t="n">
        <x:v>79865</x:v>
      </x:c>
      <x:c r="F1997" s="36" t="n">
        <x:v>6880</x:v>
      </x:c>
      <x:c r="G1997" s="42" t="n">
        <x:v>1.4757614757614759</x:v>
      </x:c>
      <x:c r="H1997" s="36" t="n">
        <x:f>E1997*G1997</x:f>
        <x:v>117861.69026169027</x:v>
      </x:c>
      <x:c r="I1997" s="36" t="n">
        <x:f>IFERROR(H1997/A1997,0)</x:f>
        <x:v>29465.422565422567</x:v>
      </x:c>
      <x:c r="J1997" s="67" t="str">
        <x:v>Modeled from live base + Sep-2026 quality ratio</x:v>
      </x:c>
      <x:c r="K1997" s="67" t="str">
        <x:v>https://www.stonealgo.com/diamond-prices/</x:v>
      </x:c>
      <x:c r="L1997" s="67" t="str">
        <x:v>https://www.pricescope.com/blog/natural-diamond-prices-september-2026</x:v>
      </x:c>
    </x:row>
    <x:row r="1998">
      <x:c r="A1998" t="n">
        <x:v>4</x:v>
      </x:c>
      <x:c r="B1998" t="str">
        <x:v>Oval</x:v>
      </x:c>
      <x:c r="C1998" t="str">
        <x:v>E</x:v>
      </x:c>
      <x:c r="D1998" t="str">
        <x:v>VS1</x:v>
      </x:c>
      <x:c r="E1998" s="36" t="n">
        <x:v>79865</x:v>
      </x:c>
      <x:c r="F1998" s="36" t="n">
        <x:v>6307</x:v>
      </x:c>
      <x:c r="G1998" s="42" t="n">
        <x:v>1.352852852852853</x:v>
      </x:c>
      <x:c r="H1998" s="36" t="n">
        <x:f>E1998*G1998</x:f>
        <x:v>108045.5930930931</x:v>
      </x:c>
      <x:c r="I1998" s="36" t="n">
        <x:f>IFERROR(H1998/A1998,0)</x:f>
        <x:v>27011.398273273277</x:v>
      </x:c>
      <x:c r="J1998" s="67" t="str">
        <x:v>Modeled from live base + Sep-2026 quality ratio</x:v>
      </x:c>
      <x:c r="K1998" s="67" t="str">
        <x:v>https://www.stonealgo.com/diamond-prices/</x:v>
      </x:c>
      <x:c r="L1998" s="67" t="str">
        <x:v>https://www.pricescope.com/blog/natural-diamond-prices-september-2026</x:v>
      </x:c>
    </x:row>
    <x:row r="1999">
      <x:c r="A1999" t="n">
        <x:v>4</x:v>
      </x:c>
      <x:c r="B1999" t="str">
        <x:v>Oval</x:v>
      </x:c>
      <x:c r="C1999" t="str">
        <x:v>E</x:v>
      </x:c>
      <x:c r="D1999" t="str">
        <x:v>VS2</x:v>
      </x:c>
      <x:c r="E1999" s="36" t="n">
        <x:v>79865</x:v>
      </x:c>
      <x:c r="F1999" s="36" t="n">
        <x:v>5249</x:v>
      </x:c>
      <x:c r="G1999" s="42" t="n">
        <x:v>1.125911625911626</x:v>
      </x:c>
      <x:c r="H1999" s="36" t="n">
        <x:f>E1999*G1999</x:f>
        <x:v>89920.93200343201</x:v>
      </x:c>
      <x:c r="I1999" s="36" t="n">
        <x:f>IFERROR(H1999/A1999,0)</x:f>
        <x:v>22480.233000858003</x:v>
      </x:c>
      <x:c r="J1999" s="67" t="str">
        <x:v>Modeled from live base + Sep-2026 quality ratio</x:v>
      </x:c>
      <x:c r="K1999" s="67" t="str">
        <x:v>https://www.stonealgo.com/diamond-prices/</x:v>
      </x:c>
      <x:c r="L1999" s="67" t="str">
        <x:v>https://www.pricescope.com/blog/natural-diamond-prices-september-2026</x:v>
      </x:c>
    </x:row>
    <x:row r="2000">
      <x:c r="A2000" t="n">
        <x:v>4</x:v>
      </x:c>
      <x:c r="B2000" t="str">
        <x:v>Oval</x:v>
      </x:c>
      <x:c r="C2000" t="str">
        <x:v>E</x:v>
      </x:c>
      <x:c r="D2000" t="str">
        <x:v>SI1</x:v>
      </x:c>
      <x:c r="E2000" s="36" t="n">
        <x:v>79865</x:v>
      </x:c>
      <x:c r="F2000" s="36" t="n">
        <x:v>3551</x:v>
      </x:c>
      <x:c r="G2000" s="42" t="n">
        <x:v>0.7616902616902617</x:v>
      </x:c>
      <x:c r="H2000" s="36" t="n">
        <x:f>E2000*G2000</x:f>
        <x:v>60832.392749892744</x:v>
      </x:c>
      <x:c r="I2000" s="36" t="n">
        <x:f>IFERROR(H2000/A2000,0)</x:f>
        <x:v>15208.098187473186</x:v>
      </x:c>
      <x:c r="J2000" s="67" t="str">
        <x:v>Modeled from live base + Sep-2026 quality ratio</x:v>
      </x:c>
      <x:c r="K2000" s="67" t="str">
        <x:v>https://www.stonealgo.com/diamond-prices/</x:v>
      </x:c>
      <x:c r="L2000" s="67" t="str">
        <x:v>https://www.pricescope.com/blog/natural-diamond-prices-september-2026</x:v>
      </x:c>
    </x:row>
    <x:row r="2001">
      <x:c r="A2001" t="n">
        <x:v>4</x:v>
      </x:c>
      <x:c r="B2001" t="str">
        <x:v>Oval</x:v>
      </x:c>
      <x:c r="C2001" t="str">
        <x:v>E</x:v>
      </x:c>
      <x:c r="D2001" t="str">
        <x:v>SI2</x:v>
      </x:c>
      <x:c r="E2001" s="36" t="n">
        <x:v>79865</x:v>
      </x:c>
      <x:c r="F2001" s="36" t="n">
        <x:v>2993</x:v>
      </x:c>
      <x:c r="G2001" s="42" t="n">
        <x:v>0.641999141999142</x:v>
      </x:c>
      <x:c r="H2001" s="36" t="n">
        <x:f>E2001*G2001</x:f>
        <x:v>51273.26147576147</x:v>
      </x:c>
      <x:c r="I2001" s="36" t="n">
        <x:f>IFERROR(H2001/A2001,0)</x:f>
        <x:v>12818.315368940368</x:v>
      </x:c>
      <x:c r="J2001" s="67" t="str">
        <x:v>Modeled from live base + Sep-2026 quality ratio</x:v>
      </x:c>
      <x:c r="K2001" s="67" t="str">
        <x:v>https://www.stonealgo.com/diamond-prices/</x:v>
      </x:c>
      <x:c r="L2001" s="67" t="str">
        <x:v>https://www.pricescope.com/blog/natural-diamond-prices-september-2026</x:v>
      </x:c>
    </x:row>
    <x:row r="2002">
      <x:c r="A2002" t="n">
        <x:v>4</x:v>
      </x:c>
      <x:c r="B2002" t="str">
        <x:v>Oval</x:v>
      </x:c>
      <x:c r="C2002" t="str">
        <x:v>F</x:v>
      </x:c>
      <x:c r="D2002" t="str">
        <x:v>FL</x:v>
      </x:c>
      <x:c r="E2002" s="36" t="n">
        <x:v>79865</x:v>
      </x:c>
      <x:c r="F2002" s="36" t="n">
        <x:v>6830</x:v>
      </x:c>
      <x:c r="G2002" s="42" t="n">
        <x:v>1.4650364650364651</x:v>
      </x:c>
      <x:c r="H2002" s="36" t="n">
        <x:f>E2002*G2002</x:f>
        <x:v>117005.13728013729</x:v>
      </x:c>
      <x:c r="I2002" s="36" t="n">
        <x:f>IFERROR(H2002/A2002,0)</x:f>
        <x:v>29251.284320034323</x:v>
      </x:c>
      <x:c r="J2002" s="67" t="str">
        <x:v>Modeled from live base + Sep-2026 quality ratio</x:v>
      </x:c>
      <x:c r="K2002" s="67" t="str">
        <x:v>https://www.stonealgo.com/diamond-prices/</x:v>
      </x:c>
      <x:c r="L2002" s="67" t="str">
        <x:v>https://www.pricescope.com/blog/natural-diamond-prices-september-2026</x:v>
      </x:c>
    </x:row>
    <x:row r="2003">
      <x:c r="A2003" t="n">
        <x:v>4</x:v>
      </x:c>
      <x:c r="B2003" t="str">
        <x:v>Oval</x:v>
      </x:c>
      <x:c r="C2003" t="str">
        <x:v>F</x:v>
      </x:c>
      <x:c r="D2003" t="str">
        <x:v>IF</x:v>
      </x:c>
      <x:c r="E2003" s="36" t="n">
        <x:v>79865</x:v>
      </x:c>
      <x:c r="F2003" s="36" t="n">
        <x:v>7302</x:v>
      </x:c>
      <x:c r="G2003" s="42" t="n">
        <x:v>1.5662805662805663</x:v>
      </x:c>
      <x:c r="H2003" s="36" t="n">
        <x:f>E2003*G2003</x:f>
        <x:v>125090.99742599743</x:v>
      </x:c>
      <x:c r="I2003" s="36" t="n">
        <x:f>IFERROR(H2003/A2003,0)</x:f>
        <x:v>31272.749356499357</x:v>
      </x:c>
      <x:c r="J2003" s="67" t="str">
        <x:v>Modeled from live base + Sep-2026 quality ratio</x:v>
      </x:c>
      <x:c r="K2003" s="67" t="str">
        <x:v>https://www.stonealgo.com/diamond-prices/</x:v>
      </x:c>
      <x:c r="L2003" s="67" t="str">
        <x:v>https://www.pricescope.com/blog/natural-diamond-prices-september-2026</x:v>
      </x:c>
    </x:row>
    <x:row r="2004">
      <x:c r="A2004" t="n">
        <x:v>4</x:v>
      </x:c>
      <x:c r="B2004" t="str">
        <x:v>Oval</x:v>
      </x:c>
      <x:c r="C2004" t="str">
        <x:v>F</x:v>
      </x:c>
      <x:c r="D2004" t="str">
        <x:v>VVS1</x:v>
      </x:c>
      <x:c r="E2004" s="36" t="n">
        <x:v>79865</x:v>
      </x:c>
      <x:c r="F2004" s="36" t="n">
        <x:v>7542</x:v>
      </x:c>
      <x:c r="G2004" s="42" t="n">
        <x:v>1.6177606177606179</x:v>
      </x:c>
      <x:c r="H2004" s="36" t="n">
        <x:f>E2004*G2004</x:f>
        <x:v>129202.45173745175</x:v>
      </x:c>
      <x:c r="I2004" s="36" t="n">
        <x:f>IFERROR(H2004/A2004,0)</x:f>
        <x:v>32300.612934362936</x:v>
      </x:c>
      <x:c r="J2004" s="67" t="str">
        <x:v>Modeled from live base + Sep-2026 quality ratio</x:v>
      </x:c>
      <x:c r="K2004" s="67" t="str">
        <x:v>https://www.stonealgo.com/diamond-prices/</x:v>
      </x:c>
      <x:c r="L2004" s="67" t="str">
        <x:v>https://www.pricescope.com/blog/natural-diamond-prices-september-2026</x:v>
      </x:c>
    </x:row>
    <x:row r="2005">
      <x:c r="A2005" t="n">
        <x:v>4</x:v>
      </x:c>
      <x:c r="B2005" t="str">
        <x:v>Oval</x:v>
      </x:c>
      <x:c r="C2005" t="str">
        <x:v>F</x:v>
      </x:c>
      <x:c r="D2005" t="str">
        <x:v>VVS2</x:v>
      </x:c>
      <x:c r="E2005" s="36" t="n">
        <x:v>79865</x:v>
      </x:c>
      <x:c r="F2005" s="36" t="n">
        <x:v>6352</x:v>
      </x:c>
      <x:c r="G2005" s="42" t="n">
        <x:v>1.3625053625053625</x:v>
      </x:c>
      <x:c r="H2005" s="36" t="n">
        <x:f>E2005*G2005</x:f>
        <x:v>108816.49077649077</x:v>
      </x:c>
      <x:c r="I2005" s="36" t="n">
        <x:f>IFERROR(H2005/A2005,0)</x:f>
        <x:v>27204.122694122692</x:v>
      </x:c>
      <x:c r="J2005" s="67" t="str">
        <x:v>Modeled from live base + Sep-2026 quality ratio</x:v>
      </x:c>
      <x:c r="K2005" s="67" t="str">
        <x:v>https://www.stonealgo.com/diamond-prices/</x:v>
      </x:c>
      <x:c r="L2005" s="67" t="str">
        <x:v>https://www.pricescope.com/blog/natural-diamond-prices-september-2026</x:v>
      </x:c>
    </x:row>
    <x:row r="2006">
      <x:c r="A2006" t="n">
        <x:v>4</x:v>
      </x:c>
      <x:c r="B2006" t="str">
        <x:v>Oval</x:v>
      </x:c>
      <x:c r="C2006" t="str">
        <x:v>F</x:v>
      </x:c>
      <x:c r="D2006" t="str">
        <x:v>VS1</x:v>
      </x:c>
      <x:c r="E2006" s="36" t="n">
        <x:v>79865</x:v>
      </x:c>
      <x:c r="F2006" s="36" t="n">
        <x:v>5647</x:v>
      </x:c>
      <x:c r="G2006" s="42" t="n">
        <x:v>1.2112827112827114</x:v>
      </x:c>
      <x:c r="H2006" s="36" t="n">
        <x:f>E2006*G2006</x:f>
        <x:v>96739.09373659374</x:v>
      </x:c>
      <x:c r="I2006" s="36" t="n">
        <x:f>IFERROR(H2006/A2006,0)</x:f>
        <x:v>24184.773434148436</x:v>
      </x:c>
      <x:c r="J2006" s="67" t="str">
        <x:v>Modeled from live base + Sep-2026 quality ratio</x:v>
      </x:c>
      <x:c r="K2006" s="67" t="str">
        <x:v>https://www.stonealgo.com/diamond-prices/</x:v>
      </x:c>
      <x:c r="L2006" s="67" t="str">
        <x:v>https://www.pricescope.com/blog/natural-diamond-prices-september-2026</x:v>
      </x:c>
    </x:row>
    <x:row r="2007">
      <x:c r="A2007" t="n">
        <x:v>4</x:v>
      </x:c>
      <x:c r="B2007" t="str">
        <x:v>Oval</x:v>
      </x:c>
      <x:c r="C2007" t="str">
        <x:v>F</x:v>
      </x:c>
      <x:c r="D2007" t="str">
        <x:v>VS2</x:v>
      </x:c>
      <x:c r="E2007" s="36" t="n">
        <x:v>79865</x:v>
      </x:c>
      <x:c r="F2007" s="36" t="n">
        <x:v>4730</x:v>
      </x:c>
      <x:c r="G2007" s="42" t="n">
        <x:v>1.0145860145860146</x:v>
      </x:c>
      <x:c r="H2007" s="36" t="n">
        <x:f>E2007*G2007</x:f>
        <x:v>81029.91205491206</x:v>
      </x:c>
      <x:c r="I2007" s="36" t="n">
        <x:f>IFERROR(H2007/A2007,0)</x:f>
        <x:v>20257.478013728014</x:v>
      </x:c>
      <x:c r="J2007" s="67" t="str">
        <x:v>Modeled from live base + Sep-2026 quality ratio</x:v>
      </x:c>
      <x:c r="K2007" s="67" t="str">
        <x:v>https://www.stonealgo.com/diamond-prices/</x:v>
      </x:c>
      <x:c r="L2007" s="67" t="str">
        <x:v>https://www.pricescope.com/blog/natural-diamond-prices-september-2026</x:v>
      </x:c>
    </x:row>
    <x:row r="2008">
      <x:c r="A2008" t="n">
        <x:v>4</x:v>
      </x:c>
      <x:c r="B2008" t="str">
        <x:v>Oval</x:v>
      </x:c>
      <x:c r="C2008" t="str">
        <x:v>F</x:v>
      </x:c>
      <x:c r="D2008" t="str">
        <x:v>SI1</x:v>
      </x:c>
      <x:c r="E2008" s="36" t="n">
        <x:v>79865</x:v>
      </x:c>
      <x:c r="F2008" s="36" t="n">
        <x:v>3331</x:v>
      </x:c>
      <x:c r="G2008" s="42" t="n">
        <x:v>0.7145002145002145</x:v>
      </x:c>
      <x:c r="H2008" s="36" t="n">
        <x:f>E2008*G2008</x:f>
        <x:v>57063.55963105963</x:v>
      </x:c>
      <x:c r="I2008" s="36" t="n">
        <x:f>IFERROR(H2008/A2008,0)</x:f>
        <x:v>14265.889907764908</x:v>
      </x:c>
      <x:c r="J2008" s="67" t="str">
        <x:v>Modeled from live base + Sep-2026 quality ratio</x:v>
      </x:c>
      <x:c r="K2008" s="67" t="str">
        <x:v>https://www.stonealgo.com/diamond-prices/</x:v>
      </x:c>
      <x:c r="L2008" s="67" t="str">
        <x:v>https://www.pricescope.com/blog/natural-diamond-prices-september-2026</x:v>
      </x:c>
    </x:row>
    <x:row r="2009">
      <x:c r="A2009" t="n">
        <x:v>4</x:v>
      </x:c>
      <x:c r="B2009" t="str">
        <x:v>Oval</x:v>
      </x:c>
      <x:c r="C2009" t="str">
        <x:v>F</x:v>
      </x:c>
      <x:c r="D2009" t="str">
        <x:v>SI2</x:v>
      </x:c>
      <x:c r="E2009" s="36" t="n">
        <x:v>79865</x:v>
      </x:c>
      <x:c r="F2009" s="36" t="n">
        <x:v>2733</x:v>
      </x:c>
      <x:c r="G2009" s="42" t="n">
        <x:v>0.5862290862290862</x:v>
      </x:c>
      <x:c r="H2009" s="36" t="n">
        <x:f>E2009*G2009</x:f>
        <x:v>46819.18597168597</x:v>
      </x:c>
      <x:c r="I2009" s="36" t="n">
        <x:f>IFERROR(H2009/A2009,0)</x:f>
        <x:v>11704.796492921492</x:v>
      </x:c>
      <x:c r="J2009" s="67" t="str">
        <x:v>Modeled from live base + Sep-2026 quality ratio</x:v>
      </x:c>
      <x:c r="K2009" s="67" t="str">
        <x:v>https://www.stonealgo.com/diamond-prices/</x:v>
      </x:c>
      <x:c r="L2009" s="67" t="str">
        <x:v>https://www.pricescope.com/blog/natural-diamond-prices-september-2026</x:v>
      </x:c>
    </x:row>
    <x:row r="2010">
      <x:c r="A2010" t="n">
        <x:v>4</x:v>
      </x:c>
      <x:c r="B2010" t="str">
        <x:v>Oval</x:v>
      </x:c>
      <x:c r="C2010" t="str">
        <x:v>G</x:v>
      </x:c>
      <x:c r="D2010" t="str">
        <x:v>FL</x:v>
      </x:c>
      <x:c r="E2010" s="36" t="n">
        <x:v>79865</x:v>
      </x:c>
      <x:c r="F2010" s="36" t="n">
        <x:v>5905</x:v>
      </x:c>
      <x:c r="G2010" s="42" t="n">
        <x:v>1.2666237666237665</x:v>
      </x:c>
      <x:c r="H2010" s="36" t="n">
        <x:f>E2010*G2010</x:f>
        <x:v>101158.90712140712</x:v>
      </x:c>
      <x:c r="I2010" s="36" t="n">
        <x:f>IFERROR(H2010/A2010,0)</x:f>
        <x:v>25289.72678035178</x:v>
      </x:c>
      <x:c r="J2010" s="67" t="str">
        <x:v>Modeled from live base + Sep-2026 quality ratio</x:v>
      </x:c>
      <x:c r="K2010" s="67" t="str">
        <x:v>https://www.stonealgo.com/diamond-prices/</x:v>
      </x:c>
      <x:c r="L2010" s="67" t="str">
        <x:v>https://www.pricescope.com/blog/natural-diamond-prices-september-2026</x:v>
      </x:c>
    </x:row>
    <x:row r="2011">
      <x:c r="A2011" t="n">
        <x:v>4</x:v>
      </x:c>
      <x:c r="B2011" t="str">
        <x:v>Oval</x:v>
      </x:c>
      <x:c r="C2011" t="str">
        <x:v>G</x:v>
      </x:c>
      <x:c r="D2011" t="str">
        <x:v>IF</x:v>
      </x:c>
      <x:c r="E2011" s="36" t="n">
        <x:v>79865</x:v>
      </x:c>
      <x:c r="F2011" s="36" t="n">
        <x:v>5601</x:v>
      </x:c>
      <x:c r="G2011" s="42" t="n">
        <x:v>1.2014157014157014</x:v>
      </x:c>
      <x:c r="H2011" s="36" t="n">
        <x:f>E2011*G2011</x:f>
        <x:v>95951.064993565</x:v>
      </x:c>
      <x:c r="I2011" s="36" t="n">
        <x:f>IFERROR(H2011/A2011,0)</x:f>
        <x:v>23987.76624839125</x:v>
      </x:c>
      <x:c r="J2011" s="67" t="str">
        <x:v>Modeled from live base + Sep-2026 quality ratio</x:v>
      </x:c>
      <x:c r="K2011" s="67" t="str">
        <x:v>https://www.stonealgo.com/diamond-prices/</x:v>
      </x:c>
      <x:c r="L2011" s="67" t="str">
        <x:v>https://www.pricescope.com/blog/natural-diamond-prices-september-2026</x:v>
      </x:c>
    </x:row>
    <x:row r="2012">
      <x:c r="A2012" t="n">
        <x:v>4</x:v>
      </x:c>
      <x:c r="B2012" t="str">
        <x:v>Oval</x:v>
      </x:c>
      <x:c r="C2012" t="str">
        <x:v>G</x:v>
      </x:c>
      <x:c r="D2012" t="str">
        <x:v>VVS1</x:v>
      </x:c>
      <x:c r="E2012" s="36" t="n">
        <x:v>79865</x:v>
      </x:c>
      <x:c r="F2012" s="36" t="n">
        <x:v>5124</x:v>
      </x:c>
      <x:c r="G2012" s="42" t="n">
        <x:v>1.0990990990990992</x:v>
      </x:c>
      <x:c r="H2012" s="36" t="n">
        <x:f>E2012*G2012</x:f>
        <x:v>87779.54954954956</x:v>
      </x:c>
      <x:c r="I2012" s="36" t="n">
        <x:f>IFERROR(H2012/A2012,0)</x:f>
        <x:v>21944.88738738739</x:v>
      </x:c>
      <x:c r="J2012" s="67" t="str">
        <x:v>Modeled from live base + Sep-2026 quality ratio</x:v>
      </x:c>
      <x:c r="K2012" s="67" t="str">
        <x:v>https://www.stonealgo.com/diamond-prices/</x:v>
      </x:c>
      <x:c r="L2012" s="67" t="str">
        <x:v>https://www.pricescope.com/blog/natural-diamond-prices-september-2026</x:v>
      </x:c>
    </x:row>
    <x:row r="2013">
      <x:c r="A2013" t="n">
        <x:v>4</x:v>
      </x:c>
      <x:c r="B2013" t="str">
        <x:v>Oval</x:v>
      </x:c>
      <x:c r="C2013" t="str">
        <x:v>G</x:v>
      </x:c>
      <x:c r="D2013" t="str">
        <x:v>VVS2</x:v>
      </x:c>
      <x:c r="E2013" s="36" t="n">
        <x:v>79865</x:v>
      </x:c>
      <x:c r="F2013" s="36" t="n">
        <x:v>4962</x:v>
      </x:c>
      <x:c r="G2013" s="42" t="n">
        <x:v>1.0643500643500643</x:v>
      </x:c>
      <x:c r="H2013" s="36" t="n">
        <x:f>E2013*G2013</x:f>
        <x:v>85004.31788931788</x:v>
      </x:c>
      <x:c r="I2013" s="36" t="n">
        <x:f>IFERROR(H2013/A2013,0)</x:f>
        <x:v>21251.07947232947</x:v>
      </x:c>
      <x:c r="J2013" s="67" t="str">
        <x:v>Modeled from live base + Sep-2026 quality ratio</x:v>
      </x:c>
      <x:c r="K2013" s="67" t="str">
        <x:v>https://www.stonealgo.com/diamond-prices/</x:v>
      </x:c>
      <x:c r="L2013" s="67" t="str">
        <x:v>https://www.pricescope.com/blog/natural-diamond-prices-september-2026</x:v>
      </x:c>
    </x:row>
    <x:row r="2014">
      <x:c r="A2014" t="n">
        <x:v>4</x:v>
      </x:c>
      <x:c r="B2014" t="str">
        <x:v>Oval</x:v>
      </x:c>
      <x:c r="C2014" t="str">
        <x:v>G</x:v>
      </x:c>
      <x:c r="D2014" t="str">
        <x:v>VS1</x:v>
      </x:c>
      <x:c r="E2014" s="36" t="n">
        <x:v>79865</x:v>
      </x:c>
      <x:c r="F2014" s="36" t="n">
        <x:v>4615</x:v>
      </x:c>
      <x:c r="G2014" s="42" t="n">
        <x:v>0.98991848991849</x:v>
      </x:c>
      <x:c r="H2014" s="36" t="n">
        <x:f>E2014*G2014</x:f>
        <x:v>79059.8401973402</x:v>
      </x:c>
      <x:c r="I2014" s="36" t="n">
        <x:f>IFERROR(H2014/A2014,0)</x:f>
        <x:v>19764.96004933505</x:v>
      </x:c>
      <x:c r="J2014" s="67" t="str">
        <x:v>Modeled from live base + Sep-2026 quality ratio</x:v>
      </x:c>
      <x:c r="K2014" s="67" t="str">
        <x:v>https://www.stonealgo.com/diamond-prices/</x:v>
      </x:c>
      <x:c r="L2014" s="67" t="str">
        <x:v>https://www.pricescope.com/blog/natural-diamond-prices-september-2026</x:v>
      </x:c>
    </x:row>
    <x:row r="2015">
      <x:c r="A2015" t="n">
        <x:v>4</x:v>
      </x:c>
      <x:c r="B2015" t="str">
        <x:v>Oval</x:v>
      </x:c>
      <x:c r="C2015" t="str">
        <x:v>G</x:v>
      </x:c>
      <x:c r="D2015" t="str">
        <x:v>VS2</x:v>
      </x:c>
      <x:c r="E2015" s="36" t="n">
        <x:v>79865</x:v>
      </x:c>
      <x:c r="F2015" s="36" t="n">
        <x:v>4585</x:v>
      </x:c>
      <x:c r="G2015" s="42" t="n">
        <x:v>0.9834834834834835</x:v>
      </x:c>
      <x:c r="H2015" s="36" t="n">
        <x:f>E2015*G2015</x:f>
        <x:v>78545.9084084084</x:v>
      </x:c>
      <x:c r="I2015" s="36" t="n">
        <x:f>IFERROR(H2015/A2015,0)</x:f>
        <x:v>19636.4771021021</x:v>
      </x:c>
      <x:c r="J2015" s="67" t="str">
        <x:v>Modeled from live base + Sep-2026 quality ratio</x:v>
      </x:c>
      <x:c r="K2015" s="67" t="str">
        <x:v>https://www.stonealgo.com/diamond-prices/</x:v>
      </x:c>
      <x:c r="L2015" s="67" t="str">
        <x:v>https://www.pricescope.com/blog/natural-diamond-prices-september-2026</x:v>
      </x:c>
    </x:row>
    <x:row r="2016">
      <x:c r="A2016" t="n">
        <x:v>4</x:v>
      </x:c>
      <x:c r="B2016" t="str">
        <x:v>Oval</x:v>
      </x:c>
      <x:c r="C2016" t="str">
        <x:v>G</x:v>
      </x:c>
      <x:c r="D2016" t="str">
        <x:v>SI1</x:v>
      </x:c>
      <x:c r="E2016" s="36" t="n">
        <x:v>79865</x:v>
      </x:c>
      <x:c r="F2016" s="36" t="n">
        <x:v>3664</x:v>
      </x:c>
      <x:c r="G2016" s="42" t="n">
        <x:v>0.7859287859287859</x:v>
      </x:c>
      <x:c r="H2016" s="36" t="n">
        <x:f>E2016*G2016</x:f>
        <x:v>62768.202488202485</x:v>
      </x:c>
      <x:c r="I2016" s="36" t="n">
        <x:f>IFERROR(H2016/A2016,0)</x:f>
        <x:v>15692.050622050621</x:v>
      </x:c>
      <x:c r="J2016" s="67" t="str">
        <x:v>Modeled from live base + Sep-2026 quality ratio</x:v>
      </x:c>
      <x:c r="K2016" s="67" t="str">
        <x:v>https://www.stonealgo.com/diamond-prices/</x:v>
      </x:c>
      <x:c r="L2016" s="67" t="str">
        <x:v>https://www.pricescope.com/blog/natural-diamond-prices-september-2026</x:v>
      </x:c>
    </x:row>
    <x:row r="2017">
      <x:c r="A2017" t="n">
        <x:v>4</x:v>
      </x:c>
      <x:c r="B2017" t="str">
        <x:v>Oval</x:v>
      </x:c>
      <x:c r="C2017" t="str">
        <x:v>G</x:v>
      </x:c>
      <x:c r="D2017" t="str">
        <x:v>SI2</x:v>
      </x:c>
      <x:c r="E2017" s="36" t="n">
        <x:v>79865</x:v>
      </x:c>
      <x:c r="F2017" s="36" t="n">
        <x:v>2537</x:v>
      </x:c>
      <x:c r="G2017" s="42" t="n">
        <x:v>0.5441870441870442</x:v>
      </x:c>
      <x:c r="H2017" s="36" t="n">
        <x:f>E2017*G2017</x:f>
        <x:v>43461.498283998284</x:v>
      </x:c>
      <x:c r="I2017" s="36" t="n">
        <x:f>IFERROR(H2017/A2017,0)</x:f>
        <x:v>10865.374570999571</x:v>
      </x:c>
      <x:c r="J2017" s="67" t="str">
        <x:v>Modeled from live base + Sep-2026 quality ratio</x:v>
      </x:c>
      <x:c r="K2017" s="67" t="str">
        <x:v>https://www.stonealgo.com/diamond-prices/</x:v>
      </x:c>
      <x:c r="L2017" s="67" t="str">
        <x:v>https://www.pricescope.com/blog/natural-diamond-prices-september-2026</x:v>
      </x:c>
    </x:row>
    <x:row r="2018">
      <x:c r="A2018" t="n">
        <x:v>4</x:v>
      </x:c>
      <x:c r="B2018" t="str">
        <x:v>Oval</x:v>
      </x:c>
      <x:c r="C2018" t="str">
        <x:v>H</x:v>
      </x:c>
      <x:c r="D2018" t="str">
        <x:v>FL</x:v>
      </x:c>
      <x:c r="E2018" s="36" t="n">
        <x:v>79865</x:v>
      </x:c>
      <x:c r="F2018" s="36" t="n">
        <x:v>4563</x:v>
      </x:c>
      <x:c r="G2018" s="42" t="n">
        <x:v>0.9787644787644788</x:v>
      </x:c>
      <x:c r="H2018" s="36" t="n">
        <x:f>E2018*G2018</x:f>
        <x:v>78169.0250965251</x:v>
      </x:c>
      <x:c r="I2018" s="36" t="n">
        <x:f>IFERROR(H2018/A2018,0)</x:f>
        <x:v>19542.256274131276</x:v>
      </x:c>
      <x:c r="J2018" s="67" t="str">
        <x:v>Modeled from live base + Sep-2026 quality ratio</x:v>
      </x:c>
      <x:c r="K2018" s="67" t="str">
        <x:v>https://www.stonealgo.com/diamond-prices/</x:v>
      </x:c>
      <x:c r="L2018" s="67" t="str">
        <x:v>https://www.pricescope.com/blog/natural-diamond-prices-september-2026</x:v>
      </x:c>
    </x:row>
    <x:row r="2019">
      <x:c r="A2019" t="n">
        <x:v>4</x:v>
      </x:c>
      <x:c r="B2019" t="str">
        <x:v>Oval</x:v>
      </x:c>
      <x:c r="C2019" t="str">
        <x:v>H</x:v>
      </x:c>
      <x:c r="D2019" t="str">
        <x:v>IF</x:v>
      </x:c>
      <x:c r="E2019" s="36" t="n">
        <x:v>79865</x:v>
      </x:c>
      <x:c r="F2019" s="36" t="n">
        <x:v>4809</x:v>
      </x:c>
      <x:c r="G2019" s="42" t="n">
        <x:v>1.0315315315315314</x:v>
      </x:c>
      <x:c r="H2019" s="36" t="n">
        <x:f>E2019*G2019</x:f>
        <x:v>82383.26576576575</x:v>
      </x:c>
      <x:c r="I2019" s="36" t="n">
        <x:f>IFERROR(H2019/A2019,0)</x:f>
        <x:v>20595.81644144144</x:v>
      </x:c>
      <x:c r="J2019" s="67" t="str">
        <x:v>Modeled from live base + Sep-2026 quality ratio</x:v>
      </x:c>
      <x:c r="K2019" s="67" t="str">
        <x:v>https://www.stonealgo.com/diamond-prices/</x:v>
      </x:c>
      <x:c r="L2019" s="67" t="str">
        <x:v>https://www.pricescope.com/blog/natural-diamond-prices-september-2026</x:v>
      </x:c>
    </x:row>
    <x:row r="2020">
      <x:c r="A2020" t="n">
        <x:v>4</x:v>
      </x:c>
      <x:c r="B2020" t="str">
        <x:v>Oval</x:v>
      </x:c>
      <x:c r="C2020" t="str">
        <x:v>H</x:v>
      </x:c>
      <x:c r="D2020" t="str">
        <x:v>VVS1</x:v>
      </x:c>
      <x:c r="E2020" s="36" t="n">
        <x:v>79865</x:v>
      </x:c>
      <x:c r="F2020" s="36" t="n">
        <x:v>4911</x:v>
      </x:c>
      <x:c r="G2020" s="42" t="n">
        <x:v>1.0534105534105533</x:v>
      </x:c>
      <x:c r="H2020" s="36" t="n">
        <x:f>E2020*G2020</x:f>
        <x:v>84130.63384813385</x:v>
      </x:c>
      <x:c r="I2020" s="36" t="n">
        <x:f>IFERROR(H2020/A2020,0)</x:f>
        <x:v>21032.65846203346</x:v>
      </x:c>
      <x:c r="J2020" s="67" t="str">
        <x:v>Modeled from live base + Sep-2026 quality ratio</x:v>
      </x:c>
      <x:c r="K2020" s="67" t="str">
        <x:v>https://www.stonealgo.com/diamond-prices/</x:v>
      </x:c>
      <x:c r="L2020" s="67" t="str">
        <x:v>https://www.pricescope.com/blog/natural-diamond-prices-september-2026</x:v>
      </x:c>
    </x:row>
    <x:row r="2021">
      <x:c r="A2021" t="n">
        <x:v>4</x:v>
      </x:c>
      <x:c r="B2021" t="str">
        <x:v>Oval</x:v>
      </x:c>
      <x:c r="C2021" t="str">
        <x:v>H</x:v>
      </x:c>
      <x:c r="D2021" t="str">
        <x:v>VVS2</x:v>
      </x:c>
      <x:c r="E2021" s="36" t="n">
        <x:v>79865</x:v>
      </x:c>
      <x:c r="F2021" s="36" t="n">
        <x:v>4046</x:v>
      </x:c>
      <x:c r="G2021" s="42" t="n">
        <x:v>0.8678678678678678</x:v>
      </x:c>
      <x:c r="H2021" s="36" t="n">
        <x:f>E2021*G2021</x:f>
        <x:v>69312.26726726726</x:v>
      </x:c>
      <x:c r="I2021" s="36" t="n">
        <x:f>IFERROR(H2021/A2021,0)</x:f>
        <x:v>17328.066816816816</x:v>
      </x:c>
      <x:c r="J2021" s="67" t="str">
        <x:v>Modeled from live base + Sep-2026 quality ratio</x:v>
      </x:c>
      <x:c r="K2021" s="67" t="str">
        <x:v>https://www.stonealgo.com/diamond-prices/</x:v>
      </x:c>
      <x:c r="L2021" s="67" t="str">
        <x:v>https://www.pricescope.com/blog/natural-diamond-prices-september-2026</x:v>
      </x:c>
    </x:row>
    <x:row r="2022">
      <x:c r="A2022" t="n">
        <x:v>4</x:v>
      </x:c>
      <x:c r="B2022" t="str">
        <x:v>Oval</x:v>
      </x:c>
      <x:c r="C2022" t="str">
        <x:v>H</x:v>
      </x:c>
      <x:c r="D2022" t="str">
        <x:v>VS1</x:v>
      </x:c>
      <x:c r="E2022" s="36" t="n">
        <x:v>79865</x:v>
      </x:c>
      <x:c r="F2022" s="36" t="n">
        <x:v>3893</x:v>
      </x:c>
      <x:c r="G2022" s="42" t="n">
        <x:v>0.8350493350493351</x:v>
      </x:c>
      <x:c r="H2022" s="36" t="n">
        <x:f>E2022*G2022</x:f>
        <x:v>66691.21514371515</x:v>
      </x:c>
      <x:c r="I2022" s="36" t="n">
        <x:f>IFERROR(H2022/A2022,0)</x:f>
        <x:v>16672.803785928787</x:v>
      </x:c>
      <x:c r="J2022" s="67" t="str">
        <x:v>Modeled from live base + Sep-2026 quality ratio</x:v>
      </x:c>
      <x:c r="K2022" s="67" t="str">
        <x:v>https://www.stonealgo.com/diamond-prices/</x:v>
      </x:c>
      <x:c r="L2022" s="67" t="str">
        <x:v>https://www.pricescope.com/blog/natural-diamond-prices-september-2026</x:v>
      </x:c>
    </x:row>
    <x:row r="2023">
      <x:c r="A2023" t="n">
        <x:v>4</x:v>
      </x:c>
      <x:c r="B2023" t="str">
        <x:v>Oval</x:v>
      </x:c>
      <x:c r="C2023" t="str">
        <x:v>H</x:v>
      </x:c>
      <x:c r="D2023" t="str">
        <x:v>VS2</x:v>
      </x:c>
      <x:c r="E2023" s="36" t="n">
        <x:v>79865</x:v>
      </x:c>
      <x:c r="F2023" s="36" t="n">
        <x:v>3989</x:v>
      </x:c>
      <x:c r="G2023" s="42" t="n">
        <x:v>0.8556413556413557</x:v>
      </x:c>
      <x:c r="H2023" s="36" t="n">
        <x:f>E2023*G2023</x:f>
        <x:v>68335.79686829688</x:v>
      </x:c>
      <x:c r="I2023" s="36" t="n">
        <x:f>IFERROR(H2023/A2023,0)</x:f>
        <x:v>17083.94921707422</x:v>
      </x:c>
      <x:c r="J2023" s="67" t="str">
        <x:v>Modeled from live base + Sep-2026 quality ratio</x:v>
      </x:c>
      <x:c r="K2023" s="67" t="str">
        <x:v>https://www.stonealgo.com/diamond-prices/</x:v>
      </x:c>
      <x:c r="L2023" s="67" t="str">
        <x:v>https://www.pricescope.com/blog/natural-diamond-prices-september-2026</x:v>
      </x:c>
    </x:row>
    <x:row r="2024">
      <x:c r="A2024" t="n">
        <x:v>4</x:v>
      </x:c>
      <x:c r="B2024" t="str">
        <x:v>Oval</x:v>
      </x:c>
      <x:c r="C2024" t="str">
        <x:v>H</x:v>
      </x:c>
      <x:c r="D2024" t="str">
        <x:v>SI1</x:v>
      </x:c>
      <x:c r="E2024" s="36" t="n">
        <x:v>79865</x:v>
      </x:c>
      <x:c r="F2024" s="36" t="n">
        <x:v>2828</x:v>
      </x:c>
      <x:c r="G2024" s="42" t="n">
        <x:v>0.6066066066066066</x:v>
      </x:c>
      <x:c r="H2024" s="36" t="n">
        <x:f>E2024*G2024</x:f>
        <x:v>48446.636636636635</x:v>
      </x:c>
      <x:c r="I2024" s="36" t="n">
        <x:f>IFERROR(H2024/A2024,0)</x:f>
        <x:v>12111.659159159159</x:v>
      </x:c>
      <x:c r="J2024" s="67" t="str">
        <x:v>Modeled from live base + Sep-2026 quality ratio</x:v>
      </x:c>
      <x:c r="K2024" s="67" t="str">
        <x:v>https://www.stonealgo.com/diamond-prices/</x:v>
      </x:c>
      <x:c r="L2024" s="67" t="str">
        <x:v>https://www.pricescope.com/blog/natural-diamond-prices-september-2026</x:v>
      </x:c>
    </x:row>
    <x:row r="2025">
      <x:c r="A2025" t="n">
        <x:v>4</x:v>
      </x:c>
      <x:c r="B2025" t="str">
        <x:v>Oval</x:v>
      </x:c>
      <x:c r="C2025" t="str">
        <x:v>H</x:v>
      </x:c>
      <x:c r="D2025" t="str">
        <x:v>SI2</x:v>
      </x:c>
      <x:c r="E2025" s="36" t="n">
        <x:v>79865</x:v>
      </x:c>
      <x:c r="F2025" s="36" t="n">
        <x:v>2328</x:v>
      </x:c>
      <x:c r="G2025" s="42" t="n">
        <x:v>0.49935649935649934</x:v>
      </x:c>
      <x:c r="H2025" s="36" t="n">
        <x:f>E2025*G2025</x:f>
        <x:v>39881.10682110682</x:v>
      </x:c>
      <x:c r="I2025" s="36" t="n">
        <x:f>IFERROR(H2025/A2025,0)</x:f>
        <x:v>9970.276705276705</x:v>
      </x:c>
      <x:c r="J2025" s="67" t="str">
        <x:v>Modeled from live base + Sep-2026 quality ratio</x:v>
      </x:c>
      <x:c r="K2025" s="67" t="str">
        <x:v>https://www.stonealgo.com/diamond-prices/</x:v>
      </x:c>
      <x:c r="L2025" s="67" t="str">
        <x:v>https://www.pricescope.com/blog/natural-diamond-prices-september-2026</x:v>
      </x:c>
    </x:row>
    <x:row r="2026">
      <x:c r="A2026" t="n">
        <x:v>4</x:v>
      </x:c>
      <x:c r="B2026" t="str">
        <x:v>Oval</x:v>
      </x:c>
      <x:c r="C2026" t="str">
        <x:v>I</x:v>
      </x:c>
      <x:c r="D2026" t="str">
        <x:v>FL</x:v>
      </x:c>
      <x:c r="E2026" s="36" t="n">
        <x:v>79865</x:v>
      </x:c>
      <x:c r="F2026" s="36" t="n">
        <x:v>4623</x:v>
      </x:c>
      <x:c r="G2026" s="42" t="n">
        <x:v>0.9916344916344917</x:v>
      </x:c>
      <x:c r="H2026" s="36" t="n">
        <x:f>E2026*G2026</x:f>
        <x:v>79196.88867438868</x:v>
      </x:c>
      <x:c r="I2026" s="36" t="n">
        <x:f>IFERROR(H2026/A2026,0)</x:f>
        <x:v>19799.22216859717</x:v>
      </x:c>
      <x:c r="J2026" s="67" t="str">
        <x:v>Modeled from live base + Sep-2026 quality ratio</x:v>
      </x:c>
      <x:c r="K2026" s="67" t="str">
        <x:v>https://www.stonealgo.com/diamond-prices/</x:v>
      </x:c>
      <x:c r="L2026" s="67" t="str">
        <x:v>https://www.pricescope.com/blog/natural-diamond-prices-september-2026</x:v>
      </x:c>
    </x:row>
    <x:row r="2027">
      <x:c r="A2027" t="n">
        <x:v>4</x:v>
      </x:c>
      <x:c r="B2027" t="str">
        <x:v>Oval</x:v>
      </x:c>
      <x:c r="C2027" t="str">
        <x:v>I</x:v>
      </x:c>
      <x:c r="D2027" t="str">
        <x:v>IF</x:v>
      </x:c>
      <x:c r="E2027" s="36" t="n">
        <x:v>79865</x:v>
      </x:c>
      <x:c r="F2027" s="36" t="n">
        <x:v>4005</x:v>
      </x:c>
      <x:c r="G2027" s="42" t="n">
        <x:v>0.859073359073359</x:v>
      </x:c>
      <x:c r="H2027" s="36" t="n">
        <x:f>E2027*G2027</x:f>
        <x:v>68609.89382239382</x:v>
      </x:c>
      <x:c r="I2027" s="36" t="n">
        <x:f>IFERROR(H2027/A2027,0)</x:f>
        <x:v>17152.473455598454</x:v>
      </x:c>
      <x:c r="J2027" s="67" t="str">
        <x:v>Modeled from live base + Sep-2026 quality ratio</x:v>
      </x:c>
      <x:c r="K2027" s="67" t="str">
        <x:v>https://www.stonealgo.com/diamond-prices/</x:v>
      </x:c>
      <x:c r="L2027" s="67" t="str">
        <x:v>https://www.pricescope.com/blog/natural-diamond-prices-september-2026</x:v>
      </x:c>
    </x:row>
    <x:row r="2028">
      <x:c r="A2028" t="n">
        <x:v>4</x:v>
      </x:c>
      <x:c r="B2028" t="str">
        <x:v>Oval</x:v>
      </x:c>
      <x:c r="C2028" t="str">
        <x:v>I</x:v>
      </x:c>
      <x:c r="D2028" t="str">
        <x:v>VVS1</x:v>
      </x:c>
      <x:c r="E2028" s="36" t="n">
        <x:v>79865</x:v>
      </x:c>
      <x:c r="F2028" s="36" t="n">
        <x:v>3670</x:v>
      </x:c>
      <x:c r="G2028" s="42" t="n">
        <x:v>0.7872157872157872</x:v>
      </x:c>
      <x:c r="H2028" s="36" t="n">
        <x:f>E2028*G2028</x:f>
        <x:v>62870.988845988846</x:v>
      </x:c>
      <x:c r="I2028" s="36" t="n">
        <x:f>IFERROR(H2028/A2028,0)</x:f>
        <x:v>15717.747211497212</x:v>
      </x:c>
      <x:c r="J2028" s="67" t="str">
        <x:v>Modeled from live base + Sep-2026 quality ratio</x:v>
      </x:c>
      <x:c r="K2028" s="67" t="str">
        <x:v>https://www.stonealgo.com/diamond-prices/</x:v>
      </x:c>
      <x:c r="L2028" s="67" t="str">
        <x:v>https://www.pricescope.com/blog/natural-diamond-prices-september-2026</x:v>
      </x:c>
    </x:row>
    <x:row r="2029">
      <x:c r="A2029" t="n">
        <x:v>4</x:v>
      </x:c>
      <x:c r="B2029" t="str">
        <x:v>Oval</x:v>
      </x:c>
      <x:c r="C2029" t="str">
        <x:v>I</x:v>
      </x:c>
      <x:c r="D2029" t="str">
        <x:v>VVS2</x:v>
      </x:c>
      <x:c r="E2029" s="36" t="n">
        <x:v>79865</x:v>
      </x:c>
      <x:c r="F2029" s="36" t="n">
        <x:v>3447</x:v>
      </x:c>
      <x:c r="G2029" s="42" t="n">
        <x:v>0.7393822393822393</x:v>
      </x:c>
      <x:c r="H2029" s="36" t="n">
        <x:f>E2029*G2029</x:f>
        <x:v>59050.762548262544</x:v>
      </x:c>
      <x:c r="I2029" s="36" t="n">
        <x:f>IFERROR(H2029/A2029,0)</x:f>
        <x:v>14762.690637065636</x:v>
      </x:c>
      <x:c r="J2029" s="67" t="str">
        <x:v>Modeled from live base + Sep-2026 quality ratio</x:v>
      </x:c>
      <x:c r="K2029" s="67" t="str">
        <x:v>https://www.stonealgo.com/diamond-prices/</x:v>
      </x:c>
      <x:c r="L2029" s="67" t="str">
        <x:v>https://www.pricescope.com/blog/natural-diamond-prices-september-2026</x:v>
      </x:c>
    </x:row>
    <x:row r="2030">
      <x:c r="A2030" t="n">
        <x:v>4</x:v>
      </x:c>
      <x:c r="B2030" t="str">
        <x:v>Oval</x:v>
      </x:c>
      <x:c r="C2030" t="str">
        <x:v>I</x:v>
      </x:c>
      <x:c r="D2030" t="str">
        <x:v>VS1</x:v>
      </x:c>
      <x:c r="E2030" s="36" t="n">
        <x:v>79865</x:v>
      </x:c>
      <x:c r="F2030" s="36" t="n">
        <x:v>3313</x:v>
      </x:c>
      <x:c r="G2030" s="42" t="n">
        <x:v>0.7106392106392107</x:v>
      </x:c>
      <x:c r="H2030" s="36" t="n">
        <x:f>E2030*G2030</x:f>
        <x:v>56755.20055770056</x:v>
      </x:c>
      <x:c r="I2030" s="36" t="n">
        <x:f>IFERROR(H2030/A2030,0)</x:f>
        <x:v>14188.80013942514</x:v>
      </x:c>
      <x:c r="J2030" s="67" t="str">
        <x:v>Modeled from live base + Sep-2026 quality ratio</x:v>
      </x:c>
      <x:c r="K2030" s="67" t="str">
        <x:v>https://www.stonealgo.com/diamond-prices/</x:v>
      </x:c>
      <x:c r="L2030" s="67" t="str">
        <x:v>https://www.pricescope.com/blog/natural-diamond-prices-september-2026</x:v>
      </x:c>
    </x:row>
    <x:row r="2031">
      <x:c r="A2031" t="n">
        <x:v>4</x:v>
      </x:c>
      <x:c r="B2031" t="str">
        <x:v>Oval</x:v>
      </x:c>
      <x:c r="C2031" t="str">
        <x:v>I</x:v>
      </x:c>
      <x:c r="D2031" t="str">
        <x:v>VS2</x:v>
      </x:c>
      <x:c r="E2031" s="36" t="n">
        <x:v>79865</x:v>
      </x:c>
      <x:c r="F2031" s="36" t="n">
        <x:v>3240</x:v>
      </x:c>
      <x:c r="G2031" s="42" t="n">
        <x:v>0.694980694980695</x:v>
      </x:c>
      <x:c r="H2031" s="36" t="n">
        <x:f>E2031*G2031</x:f>
        <x:v>55504.63320463321</x:v>
      </x:c>
      <x:c r="I2031" s="36" t="n">
        <x:f>IFERROR(H2031/A2031,0)</x:f>
        <x:v>13876.158301158302</x:v>
      </x:c>
      <x:c r="J2031" s="67" t="str">
        <x:v>Modeled from live base + Sep-2026 quality ratio</x:v>
      </x:c>
      <x:c r="K2031" s="67" t="str">
        <x:v>https://www.stonealgo.com/diamond-prices/</x:v>
      </x:c>
      <x:c r="L2031" s="67" t="str">
        <x:v>https://www.pricescope.com/blog/natural-diamond-prices-september-2026</x:v>
      </x:c>
    </x:row>
    <x:row r="2032">
      <x:c r="A2032" t="n">
        <x:v>4</x:v>
      </x:c>
      <x:c r="B2032" t="str">
        <x:v>Oval</x:v>
      </x:c>
      <x:c r="C2032" t="str">
        <x:v>I</x:v>
      </x:c>
      <x:c r="D2032" t="str">
        <x:v>SI1</x:v>
      </x:c>
      <x:c r="E2032" s="36" t="n">
        <x:v>79865</x:v>
      </x:c>
      <x:c r="F2032" s="36" t="n">
        <x:v>3199</x:v>
      </x:c>
      <x:c r="G2032" s="42" t="n">
        <x:v>0.6861861861861862</x:v>
      </x:c>
      <x:c r="H2032" s="36" t="n">
        <x:f>E2032*G2032</x:f>
        <x:v>54802.25975975976</x:v>
      </x:c>
      <x:c r="I2032" s="36" t="n">
        <x:f>IFERROR(H2032/A2032,0)</x:f>
        <x:v>13700.56493993994</x:v>
      </x:c>
      <x:c r="J2032" s="67" t="str">
        <x:v>Modeled from live base + Sep-2026 quality ratio</x:v>
      </x:c>
      <x:c r="K2032" s="67" t="str">
        <x:v>https://www.stonealgo.com/diamond-prices/</x:v>
      </x:c>
      <x:c r="L2032" s="67" t="str">
        <x:v>https://www.pricescope.com/blog/natural-diamond-prices-september-2026</x:v>
      </x:c>
    </x:row>
    <x:row r="2033">
      <x:c r="A2033" t="n">
        <x:v>4</x:v>
      </x:c>
      <x:c r="B2033" t="str">
        <x:v>Oval</x:v>
      </x:c>
      <x:c r="C2033" t="str">
        <x:v>I</x:v>
      </x:c>
      <x:c r="D2033" t="str">
        <x:v>SI2</x:v>
      </x:c>
      <x:c r="E2033" s="36" t="n">
        <x:v>79865</x:v>
      </x:c>
      <x:c r="F2033" s="36" t="n">
        <x:v>2874</x:v>
      </x:c>
      <x:c r="G2033" s="42" t="n">
        <x:v>0.6164736164736164</x:v>
      </x:c>
      <x:c r="H2033" s="36" t="n">
        <x:f>E2033*G2033</x:f>
        <x:v>49234.66537966538</x:v>
      </x:c>
      <x:c r="I2033" s="36" t="n">
        <x:f>IFERROR(H2033/A2033,0)</x:f>
        <x:v>12308.666344916344</x:v>
      </x:c>
      <x:c r="J2033" s="67" t="str">
        <x:v>Modeled from live base + Sep-2026 quality ratio</x:v>
      </x:c>
      <x:c r="K2033" s="67" t="str">
        <x:v>https://www.stonealgo.com/diamond-prices/</x:v>
      </x:c>
      <x:c r="L2033" s="67" t="str">
        <x:v>https://www.pricescope.com/blog/natural-diamond-prices-september-2026</x:v>
      </x:c>
    </x:row>
    <x:row r="2034">
      <x:c r="A2034" t="n">
        <x:v>4</x:v>
      </x:c>
      <x:c r="B2034" t="str">
        <x:v>Oval</x:v>
      </x:c>
      <x:c r="C2034" t="str">
        <x:v>J</x:v>
      </x:c>
      <x:c r="D2034" t="str">
        <x:v>FL</x:v>
      </x:c>
      <x:c r="E2034" s="36" t="n">
        <x:v>79865</x:v>
      </x:c>
      <x:c r="F2034" s="36" t="n">
        <x:v>3646</x:v>
      </x:c>
      <x:c r="G2034" s="42" t="n">
        <x:v>0.782067782067782</x:v>
      </x:c>
      <x:c r="H2034" s="36" t="n">
        <x:f>E2034*G2034</x:f>
        <x:v>62459.84341484341</x:v>
      </x:c>
      <x:c r="I2034" s="36" t="n">
        <x:f>IFERROR(H2034/A2034,0)</x:f>
        <x:v>15614.960853710852</x:v>
      </x:c>
      <x:c r="J2034" s="67" t="str">
        <x:v>Modeled from live base + Sep-2026 quality ratio</x:v>
      </x:c>
      <x:c r="K2034" s="67" t="str">
        <x:v>https://www.stonealgo.com/diamond-prices/</x:v>
      </x:c>
      <x:c r="L2034" s="67" t="str">
        <x:v>https://www.pricescope.com/blog/natural-diamond-prices-september-2026</x:v>
      </x:c>
    </x:row>
    <x:row r="2035">
      <x:c r="A2035" t="n">
        <x:v>4</x:v>
      </x:c>
      <x:c r="B2035" t="str">
        <x:v>Oval</x:v>
      </x:c>
      <x:c r="C2035" t="str">
        <x:v>J</x:v>
      </x:c>
      <x:c r="D2035" t="str">
        <x:v>IF</x:v>
      </x:c>
      <x:c r="E2035" s="36" t="n">
        <x:v>79865</x:v>
      </x:c>
      <x:c r="F2035" s="36" t="n">
        <x:v>3368</x:v>
      </x:c>
      <x:c r="G2035" s="42" t="n">
        <x:v>0.7224367224367224</x:v>
      </x:c>
      <x:c r="H2035" s="36" t="n">
        <x:f>E2035*G2035</x:f>
        <x:v>57697.40883740884</x:v>
      </x:c>
      <x:c r="I2035" s="36" t="n">
        <x:f>IFERROR(H2035/A2035,0)</x:f>
        <x:v>14424.35220935221</x:v>
      </x:c>
      <x:c r="J2035" s="67" t="str">
        <x:v>Modeled from live base + Sep-2026 quality ratio</x:v>
      </x:c>
      <x:c r="K2035" s="67" t="str">
        <x:v>https://www.stonealgo.com/diamond-prices/</x:v>
      </x:c>
      <x:c r="L2035" s="67" t="str">
        <x:v>https://www.pricescope.com/blog/natural-diamond-prices-september-2026</x:v>
      </x:c>
    </x:row>
    <x:row r="2036">
      <x:c r="A2036" t="n">
        <x:v>4</x:v>
      </x:c>
      <x:c r="B2036" t="str">
        <x:v>Oval</x:v>
      </x:c>
      <x:c r="C2036" t="str">
        <x:v>J</x:v>
      </x:c>
      <x:c r="D2036" t="str">
        <x:v>VVS1</x:v>
      </x:c>
      <x:c r="E2036" s="36" t="n">
        <x:v>79865</x:v>
      </x:c>
      <x:c r="F2036" s="36" t="n">
        <x:v>2956</x:v>
      </x:c>
      <x:c r="G2036" s="42" t="n">
        <x:v>0.6340626340626341</x:v>
      </x:c>
      <x:c r="H2036" s="36" t="n">
        <x:f>E2036*G2036</x:f>
        <x:v>50639.41226941227</x:v>
      </x:c>
      <x:c r="I2036" s="36" t="n">
        <x:f>IFERROR(H2036/A2036,0)</x:f>
        <x:v>12659.853067353068</x:v>
      </x:c>
      <x:c r="J2036" s="67" t="str">
        <x:v>Modeled from live base + Sep-2026 quality ratio</x:v>
      </x:c>
      <x:c r="K2036" s="67" t="str">
        <x:v>https://www.stonealgo.com/diamond-prices/</x:v>
      </x:c>
      <x:c r="L2036" s="67" t="str">
        <x:v>https://www.pricescope.com/blog/natural-diamond-prices-september-2026</x:v>
      </x:c>
    </x:row>
    <x:row r="2037">
      <x:c r="A2037" t="n">
        <x:v>4</x:v>
      </x:c>
      <x:c r="B2037" t="str">
        <x:v>Oval</x:v>
      </x:c>
      <x:c r="C2037" t="str">
        <x:v>J</x:v>
      </x:c>
      <x:c r="D2037" t="str">
        <x:v>VVS2</x:v>
      </x:c>
      <x:c r="E2037" s="36" t="n">
        <x:v>79865</x:v>
      </x:c>
      <x:c r="F2037" s="36" t="n">
        <x:v>2612</x:v>
      </x:c>
      <x:c r="G2037" s="42" t="n">
        <x:v>0.5602745602745602</x:v>
      </x:c>
      <x:c r="H2037" s="36" t="n">
        <x:f>E2037*G2037</x:f>
        <x:v>44746.32775632775</x:v>
      </x:c>
      <x:c r="I2037" s="36" t="n">
        <x:f>IFERROR(H2037/A2037,0)</x:f>
        <x:v>11186.581939081938</x:v>
      </x:c>
      <x:c r="J2037" s="67" t="str">
        <x:v>Modeled from live base + Sep-2026 quality ratio</x:v>
      </x:c>
      <x:c r="K2037" s="67" t="str">
        <x:v>https://www.stonealgo.com/diamond-prices/</x:v>
      </x:c>
      <x:c r="L2037" s="67" t="str">
        <x:v>https://www.pricescope.com/blog/natural-diamond-prices-september-2026</x:v>
      </x:c>
    </x:row>
    <x:row r="2038">
      <x:c r="A2038" t="n">
        <x:v>4</x:v>
      </x:c>
      <x:c r="B2038" t="str">
        <x:v>Oval</x:v>
      </x:c>
      <x:c r="C2038" t="str">
        <x:v>J</x:v>
      </x:c>
      <x:c r="D2038" t="str">
        <x:v>VS1</x:v>
      </x:c>
      <x:c r="E2038" s="36" t="n">
        <x:v>79865</x:v>
      </x:c>
      <x:c r="F2038" s="36" t="n">
        <x:v>3002</x:v>
      </x:c>
      <x:c r="G2038" s="42" t="n">
        <x:v>0.6439296439296439</x:v>
      </x:c>
      <x:c r="H2038" s="36" t="n">
        <x:f>E2038*G2038</x:f>
        <x:v>51427.44101244101</x:v>
      </x:c>
      <x:c r="I2038" s="36" t="n">
        <x:f>IFERROR(H2038/A2038,0)</x:f>
        <x:v>12856.860253110253</x:v>
      </x:c>
      <x:c r="J2038" s="67" t="str">
        <x:v>Modeled from live base + Sep-2026 quality ratio</x:v>
      </x:c>
      <x:c r="K2038" s="67" t="str">
        <x:v>https://www.stonealgo.com/diamond-prices/</x:v>
      </x:c>
      <x:c r="L2038" s="67" t="str">
        <x:v>https://www.pricescope.com/blog/natural-diamond-prices-september-2026</x:v>
      </x:c>
    </x:row>
    <x:row r="2039">
      <x:c r="A2039" t="n">
        <x:v>4</x:v>
      </x:c>
      <x:c r="B2039" t="str">
        <x:v>Oval</x:v>
      </x:c>
      <x:c r="C2039" t="str">
        <x:v>J</x:v>
      </x:c>
      <x:c r="D2039" t="str">
        <x:v>VS2</x:v>
      </x:c>
      <x:c r="E2039" s="36" t="n">
        <x:v>79865</x:v>
      </x:c>
      <x:c r="F2039" s="36" t="n">
        <x:v>2559</x:v>
      </x:c>
      <x:c r="G2039" s="42" t="n">
        <x:v>0.5489060489060489</x:v>
      </x:c>
      <x:c r="H2039" s="36" t="n">
        <x:f>E2039*G2039</x:f>
        <x:v>43838.3815958816</x:v>
      </x:c>
      <x:c r="I2039" s="36" t="n">
        <x:f>IFERROR(H2039/A2039,0)</x:f>
        <x:v>10959.5953989704</x:v>
      </x:c>
      <x:c r="J2039" s="67" t="str">
        <x:v>Modeled from live base + Sep-2026 quality ratio</x:v>
      </x:c>
      <x:c r="K2039" s="67" t="str">
        <x:v>https://www.stonealgo.com/diamond-prices/</x:v>
      </x:c>
      <x:c r="L2039" s="67" t="str">
        <x:v>https://www.pricescope.com/blog/natural-diamond-prices-september-2026</x:v>
      </x:c>
    </x:row>
    <x:row r="2040">
      <x:c r="A2040" t="n">
        <x:v>4</x:v>
      </x:c>
      <x:c r="B2040" t="str">
        <x:v>Oval</x:v>
      </x:c>
      <x:c r="C2040" t="str">
        <x:v>J</x:v>
      </x:c>
      <x:c r="D2040" t="str">
        <x:v>SI1</x:v>
      </x:c>
      <x:c r="E2040" s="36" t="n">
        <x:v>79865</x:v>
      </x:c>
      <x:c r="F2040" s="36" t="n">
        <x:v>2195</x:v>
      </x:c>
      <x:c r="G2040" s="42" t="n">
        <x:v>0.47082797082797084</x:v>
      </x:c>
      <x:c r="H2040" s="36" t="n">
        <x:f>E2040*G2040</x:f>
        <x:v>37602.675890175895</x:v>
      </x:c>
      <x:c r="I2040" s="36" t="n">
        <x:f>IFERROR(H2040/A2040,0)</x:f>
        <x:v>9400.668972543974</x:v>
      </x:c>
      <x:c r="J2040" s="67" t="str">
        <x:v>Modeled from live base + Sep-2026 quality ratio</x:v>
      </x:c>
      <x:c r="K2040" s="67" t="str">
        <x:v>https://www.stonealgo.com/diamond-prices/</x:v>
      </x:c>
      <x:c r="L2040" s="67" t="str">
        <x:v>https://www.pricescope.com/blog/natural-diamond-prices-september-2026</x:v>
      </x:c>
    </x:row>
    <x:row r="2041">
      <x:c r="A2041" t="n">
        <x:v>4</x:v>
      </x:c>
      <x:c r="B2041" t="str">
        <x:v>Oval</x:v>
      </x:c>
      <x:c r="C2041" t="str">
        <x:v>J</x:v>
      </x:c>
      <x:c r="D2041" t="str">
        <x:v>SI2</x:v>
      </x:c>
      <x:c r="E2041" s="36" t="n">
        <x:v>79865</x:v>
      </x:c>
      <x:c r="F2041" s="36" t="n">
        <x:v>2079</x:v>
      </x:c>
      <x:c r="G2041" s="42" t="n">
        <x:v>0.44594594594594594</x:v>
      </x:c>
      <x:c r="H2041" s="36" t="n">
        <x:f>E2041*G2041</x:f>
        <x:v>35615.47297297297</x:v>
      </x:c>
      <x:c r="I2041" s="36" t="n">
        <x:f>IFERROR(H2041/A2041,0)</x:f>
        <x:v>8903.868243243243</x:v>
      </x:c>
      <x:c r="J2041" s="67" t="str">
        <x:v>Modeled from live base + Sep-2026 quality ratio</x:v>
      </x:c>
      <x:c r="K2041" s="67" t="str">
        <x:v>https://www.stonealgo.com/diamond-prices/</x:v>
      </x:c>
      <x:c r="L2041" s="67" t="str">
        <x:v>https://www.pricescope.com/blog/natural-diamond-prices-september-2026</x:v>
      </x:c>
    </x:row>
    <x:row r="2042">
      <x:c r="A2042" t="n">
        <x:v>4</x:v>
      </x:c>
      <x:c r="B2042" t="str">
        <x:v>Oval</x:v>
      </x:c>
      <x:c r="C2042" t="str">
        <x:v>K</x:v>
      </x:c>
      <x:c r="D2042" t="str">
        <x:v>FL</x:v>
      </x:c>
      <x:c r="E2042" s="36" t="n">
        <x:v>79865</x:v>
      </x:c>
      <x:c r="F2042" s="36" t="n">
        <x:v>2858</x:v>
      </x:c>
      <x:c r="G2042" s="42" t="n">
        <x:v>0.6130416130416131</x:v>
      </x:c>
      <x:c r="H2042" s="36" t="n">
        <x:f>E2042*G2042</x:f>
        <x:v>48960.56842556843</x:v>
      </x:c>
      <x:c r="I2042" s="36" t="n">
        <x:f>IFERROR(H2042/A2042,0)</x:f>
        <x:v>12240.142106392108</x:v>
      </x:c>
      <x:c r="J2042" s="67" t="str">
        <x:v>Modeled from live base + Sep-2026 quality ratio; K/FL quality cell modeled</x:v>
      </x:c>
      <x:c r="K2042" s="67" t="str">
        <x:v>https://www.stonealgo.com/diamond-prices/</x:v>
      </x:c>
      <x:c r="L2042" s="67" t="str">
        <x:v>https://www.pricescope.com/blog/natural-diamond-prices-september-2026</x:v>
      </x:c>
    </x:row>
    <x:row r="2043">
      <x:c r="A2043" t="n">
        <x:v>4</x:v>
      </x:c>
      <x:c r="B2043" t="str">
        <x:v>Oval</x:v>
      </x:c>
      <x:c r="C2043" t="str">
        <x:v>K</x:v>
      </x:c>
      <x:c r="D2043" t="str">
        <x:v>IF</x:v>
      </x:c>
      <x:c r="E2043" s="36" t="n">
        <x:v>79865</x:v>
      </x:c>
      <x:c r="F2043" s="36" t="n">
        <x:v>2743</x:v>
      </x:c>
      <x:c r="G2043" s="42" t="n">
        <x:v>0.5883740883740883</x:v>
      </x:c>
      <x:c r="H2043" s="36" t="n">
        <x:f>E2043*G2043</x:f>
        <x:v>46990.49656799657</x:v>
      </x:c>
      <x:c r="I2043" s="36" t="n">
        <x:f>IFERROR(H2043/A2043,0)</x:f>
        <x:v>11747.624141999142</x:v>
      </x:c>
      <x:c r="J2043" s="67" t="str">
        <x:v>Modeled from live base + Sep-2026 quality ratio</x:v>
      </x:c>
      <x:c r="K2043" s="67" t="str">
        <x:v>https://www.stonealgo.com/diamond-prices/</x:v>
      </x:c>
      <x:c r="L2043" s="67" t="str">
        <x:v>https://www.pricescope.com/blog/natural-diamond-prices-september-2026</x:v>
      </x:c>
    </x:row>
    <x:row r="2044">
      <x:c r="A2044" t="n">
        <x:v>4</x:v>
      </x:c>
      <x:c r="B2044" t="str">
        <x:v>Oval</x:v>
      </x:c>
      <x:c r="C2044" t="str">
        <x:v>K</x:v>
      </x:c>
      <x:c r="D2044" t="str">
        <x:v>VVS1</x:v>
      </x:c>
      <x:c r="E2044" s="36" t="n">
        <x:v>79865</x:v>
      </x:c>
      <x:c r="F2044" s="36" t="n">
        <x:v>2529</x:v>
      </x:c>
      <x:c r="G2044" s="42" t="n">
        <x:v>0.5424710424710425</x:v>
      </x:c>
      <x:c r="H2044" s="36" t="n">
        <x:f>E2044*G2044</x:f>
        <x:v>43324.44980694981</x:v>
      </x:c>
      <x:c r="I2044" s="36" t="n">
        <x:f>IFERROR(H2044/A2044,0)</x:f>
        <x:v>10831.112451737452</x:v>
      </x:c>
      <x:c r="J2044" s="67" t="str">
        <x:v>Modeled from live base + Sep-2026 quality ratio</x:v>
      </x:c>
      <x:c r="K2044" s="67" t="str">
        <x:v>https://www.stonealgo.com/diamond-prices/</x:v>
      </x:c>
      <x:c r="L2044" s="67" t="str">
        <x:v>https://www.pricescope.com/blog/natural-diamond-prices-september-2026</x:v>
      </x:c>
    </x:row>
    <x:row r="2045">
      <x:c r="A2045" t="n">
        <x:v>4</x:v>
      </x:c>
      <x:c r="B2045" t="str">
        <x:v>Oval</x:v>
      </x:c>
      <x:c r="C2045" t="str">
        <x:v>K</x:v>
      </x:c>
      <x:c r="D2045" t="str">
        <x:v>VVS2</x:v>
      </x:c>
      <x:c r="E2045" s="36" t="n">
        <x:v>79865</x:v>
      </x:c>
      <x:c r="F2045" s="36" t="n">
        <x:v>2374</x:v>
      </x:c>
      <x:c r="G2045" s="42" t="n">
        <x:v>0.5092235092235092</x:v>
      </x:c>
      <x:c r="H2045" s="36" t="n">
        <x:f>E2045*G2045</x:f>
        <x:v>40669.13556413556</x:v>
      </x:c>
      <x:c r="I2045" s="36" t="n">
        <x:f>IFERROR(H2045/A2045,0)</x:f>
        <x:v>10167.28389103389</x:v>
      </x:c>
      <x:c r="J2045" s="67" t="str">
        <x:v>Modeled from live base + Sep-2026 quality ratio</x:v>
      </x:c>
      <x:c r="K2045" s="67" t="str">
        <x:v>https://www.stonealgo.com/diamond-prices/</x:v>
      </x:c>
      <x:c r="L2045" s="67" t="str">
        <x:v>https://www.pricescope.com/blog/natural-diamond-prices-september-2026</x:v>
      </x:c>
    </x:row>
    <x:row r="2046">
      <x:c r="A2046" t="n">
        <x:v>4</x:v>
      </x:c>
      <x:c r="B2046" t="str">
        <x:v>Oval</x:v>
      </x:c>
      <x:c r="C2046" t="str">
        <x:v>K</x:v>
      </x:c>
      <x:c r="D2046" t="str">
        <x:v>VS1</x:v>
      </x:c>
      <x:c r="E2046" s="36" t="n">
        <x:v>79865</x:v>
      </x:c>
      <x:c r="F2046" s="36" t="n">
        <x:v>2223</x:v>
      </x:c>
      <x:c r="G2046" s="42" t="n">
        <x:v>0.4768339768339768</x:v>
      </x:c>
      <x:c r="H2046" s="36" t="n">
        <x:f>E2046*G2046</x:f>
        <x:v>38082.34555984556</x:v>
      </x:c>
      <x:c r="I2046" s="36" t="n">
        <x:f>IFERROR(H2046/A2046,0)</x:f>
        <x:v>9520.58638996139</x:v>
      </x:c>
      <x:c r="J2046" s="67" t="str">
        <x:v>Modeled from live base + Sep-2026 quality ratio</x:v>
      </x:c>
      <x:c r="K2046" s="67" t="str">
        <x:v>https://www.stonealgo.com/diamond-prices/</x:v>
      </x:c>
      <x:c r="L2046" s="67" t="str">
        <x:v>https://www.pricescope.com/blog/natural-diamond-prices-september-2026</x:v>
      </x:c>
    </x:row>
    <x:row r="2047">
      <x:c r="A2047" t="n">
        <x:v>4</x:v>
      </x:c>
      <x:c r="B2047" t="str">
        <x:v>Oval</x:v>
      </x:c>
      <x:c r="C2047" t="str">
        <x:v>K</x:v>
      </x:c>
      <x:c r="D2047" t="str">
        <x:v>VS2</x:v>
      </x:c>
      <x:c r="E2047" s="36" t="n">
        <x:v>79865</x:v>
      </x:c>
      <x:c r="F2047" s="36" t="n">
        <x:v>2098</x:v>
      </x:c>
      <x:c r="G2047" s="42" t="n">
        <x:v>0.45002145002145</x:v>
      </x:c>
      <x:c r="H2047" s="36" t="n">
        <x:f>E2047*G2047</x:f>
        <x:v>35940.96310596311</x:v>
      </x:c>
      <x:c r="I2047" s="36" t="n">
        <x:f>IFERROR(H2047/A2047,0)</x:f>
        <x:v>8985.240776490777</x:v>
      </x:c>
      <x:c r="J2047" s="67" t="str">
        <x:v>Modeled from live base + Sep-2026 quality ratio</x:v>
      </x:c>
      <x:c r="K2047" s="67" t="str">
        <x:v>https://www.stonealgo.com/diamond-prices/</x:v>
      </x:c>
      <x:c r="L2047" s="67" t="str">
        <x:v>https://www.pricescope.com/blog/natural-diamond-prices-september-2026</x:v>
      </x:c>
    </x:row>
    <x:row r="2048">
      <x:c r="A2048" t="n">
        <x:v>4</x:v>
      </x:c>
      <x:c r="B2048" t="str">
        <x:v>Oval</x:v>
      </x:c>
      <x:c r="C2048" t="str">
        <x:v>K</x:v>
      </x:c>
      <x:c r="D2048" t="str">
        <x:v>SI1</x:v>
      </x:c>
      <x:c r="E2048" s="36" t="n">
        <x:v>79865</x:v>
      </x:c>
      <x:c r="F2048" s="36" t="n">
        <x:v>1922</x:v>
      </x:c>
      <x:c r="G2048" s="42" t="n">
        <x:v>0.41226941226941227</x:v>
      </x:c>
      <x:c r="H2048" s="36" t="n">
        <x:f>E2048*G2048</x:f>
        <x:v>32925.89661089661</x:v>
      </x:c>
      <x:c r="I2048" s="36" t="n">
        <x:f>IFERROR(H2048/A2048,0)</x:f>
        <x:v>8231.474152724153</x:v>
      </x:c>
      <x:c r="J2048" s="67" t="str">
        <x:v>Modeled from live base + Sep-2026 quality ratio</x:v>
      </x:c>
      <x:c r="K2048" s="67" t="str">
        <x:v>https://www.stonealgo.com/diamond-prices/</x:v>
      </x:c>
      <x:c r="L2048" s="67" t="str">
        <x:v>https://www.pricescope.com/blog/natural-diamond-prices-september-2026</x:v>
      </x:c>
    </x:row>
    <x:row r="2049">
      <x:c r="A2049" t="n">
        <x:v>4</x:v>
      </x:c>
      <x:c r="B2049" t="str">
        <x:v>Oval</x:v>
      </x:c>
      <x:c r="C2049" t="str">
        <x:v>K</x:v>
      </x:c>
      <x:c r="D2049" t="str">
        <x:v>SI2</x:v>
      </x:c>
      <x:c r="E2049" s="36" t="n">
        <x:v>79865</x:v>
      </x:c>
      <x:c r="F2049" s="36" t="n">
        <x:v>1764</x:v>
      </x:c>
      <x:c r="G2049" s="42" t="n">
        <x:v>0.3783783783783784</x:v>
      </x:c>
      <x:c r="H2049" s="36" t="n">
        <x:f>E2049*G2049</x:f>
        <x:v>30219.18918918919</x:v>
      </x:c>
      <x:c r="I2049" s="36" t="n">
        <x:f>IFERROR(H2049/A2049,0)</x:f>
        <x:v>7554.7972972972975</x:v>
      </x:c>
      <x:c r="J2049" s="67" t="str">
        <x:v>Modeled from live base + Sep-2026 quality ratio</x:v>
      </x:c>
      <x:c r="K2049" s="67" t="str">
        <x:v>https://www.stonealgo.com/diamond-prices/</x:v>
      </x:c>
      <x:c r="L2049" s="67" t="str">
        <x:v>https://www.pricescope.com/blog/natural-diamond-prices-september-2026</x:v>
      </x:c>
    </x:row>
    <x:row r="2050">
      <x:c r="A2050" t="n">
        <x:v>4</x:v>
      </x:c>
      <x:c r="B2050" t="str">
        <x:v>Princess</x:v>
      </x:c>
      <x:c r="C2050" t="str">
        <x:v>D</x:v>
      </x:c>
      <x:c r="D2050" t="str">
        <x:v>FL</x:v>
      </x:c>
      <x:c r="E2050" s="36" t="n">
        <x:v>62400</x:v>
      </x:c>
      <x:c r="F2050" s="36" t="n">
        <x:v>12665</x:v>
      </x:c>
      <x:c r="G2050" s="42" t="n">
        <x:v>2.7166452166452166</x:v>
      </x:c>
      <x:c r="H2050" s="36" t="n">
        <x:f>E2050*G2050</x:f>
        <x:v>169518.6615186615</x:v>
      </x:c>
      <x:c r="I2050" s="36" t="n">
        <x:f>IFERROR(H2050/A2050,0)</x:f>
        <x:v>42379.66537966538</x:v>
      </x:c>
      <x:c r="J2050" s="67" t="str">
        <x:v>Modeled from live base + Sep-2026 quality ratio</x:v>
      </x:c>
      <x:c r="K2050" s="67" t="str">
        <x:v>https://www.stonealgo.com/diamond-prices/</x:v>
      </x:c>
      <x:c r="L2050" s="67" t="str">
        <x:v>https://www.pricescope.com/blog/natural-diamond-prices-september-2026</x:v>
      </x:c>
    </x:row>
    <x:row r="2051">
      <x:c r="A2051" t="n">
        <x:v>4</x:v>
      </x:c>
      <x:c r="B2051" t="str">
        <x:v>Princess</x:v>
      </x:c>
      <x:c r="C2051" t="str">
        <x:v>D</x:v>
      </x:c>
      <x:c r="D2051" t="str">
        <x:v>IF</x:v>
      </x:c>
      <x:c r="E2051" s="36" t="n">
        <x:v>62400</x:v>
      </x:c>
      <x:c r="F2051" s="36" t="n">
        <x:v>13240</x:v>
      </x:c>
      <x:c r="G2051" s="42" t="n">
        <x:v>2.83998283998284</x:v>
      </x:c>
      <x:c r="H2051" s="36" t="n">
        <x:f>E2051*G2051</x:f>
        <x:v>177214.92921492923</x:v>
      </x:c>
      <x:c r="I2051" s="36" t="n">
        <x:f>IFERROR(H2051/A2051,0)</x:f>
        <x:v>44303.73230373231</x:v>
      </x:c>
      <x:c r="J2051" s="67" t="str">
        <x:v>Modeled from live base + Sep-2026 quality ratio</x:v>
      </x:c>
      <x:c r="K2051" s="67" t="str">
        <x:v>https://www.stonealgo.com/diamond-prices/</x:v>
      </x:c>
      <x:c r="L2051" s="67" t="str">
        <x:v>https://www.pricescope.com/blog/natural-diamond-prices-september-2026</x:v>
      </x:c>
    </x:row>
    <x:row r="2052">
      <x:c r="A2052" t="n">
        <x:v>4</x:v>
      </x:c>
      <x:c r="B2052" t="str">
        <x:v>Princess</x:v>
      </x:c>
      <x:c r="C2052" t="str">
        <x:v>D</x:v>
      </x:c>
      <x:c r="D2052" t="str">
        <x:v>VVS1</x:v>
      </x:c>
      <x:c r="E2052" s="36" t="n">
        <x:v>62400</x:v>
      </x:c>
      <x:c r="F2052" s="36" t="n">
        <x:v>9555</x:v>
      </x:c>
      <x:c r="G2052" s="42" t="n">
        <x:v>2.0495495495495497</x:v>
      </x:c>
      <x:c r="H2052" s="36" t="n">
        <x:f>E2052*G2052</x:f>
        <x:v>127891.89189189191</x:v>
      </x:c>
      <x:c r="I2052" s="36" t="n">
        <x:f>IFERROR(H2052/A2052,0)</x:f>
        <x:v>31972.972972972977</x:v>
      </x:c>
      <x:c r="J2052" s="67" t="str">
        <x:v>Modeled from live base + Sep-2026 quality ratio</x:v>
      </x:c>
      <x:c r="K2052" s="67" t="str">
        <x:v>https://www.stonealgo.com/diamond-prices/</x:v>
      </x:c>
      <x:c r="L2052" s="67" t="str">
        <x:v>https://www.pricescope.com/blog/natural-diamond-prices-september-2026</x:v>
      </x:c>
    </x:row>
    <x:row r="2053">
      <x:c r="A2053" t="n">
        <x:v>4</x:v>
      </x:c>
      <x:c r="B2053" t="str">
        <x:v>Princess</x:v>
      </x:c>
      <x:c r="C2053" t="str">
        <x:v>D</x:v>
      </x:c>
      <x:c r="D2053" t="str">
        <x:v>VVS2</x:v>
      </x:c>
      <x:c r="E2053" s="36" t="n">
        <x:v>62400</x:v>
      </x:c>
      <x:c r="F2053" s="36" t="n">
        <x:v>6660</x:v>
      </x:c>
      <x:c r="G2053" s="42" t="n">
        <x:v>1.4285714285714286</x:v>
      </x:c>
      <x:c r="H2053" s="36" t="n">
        <x:f>E2053*G2053</x:f>
        <x:v>89142.85714285714</x:v>
      </x:c>
      <x:c r="I2053" s="36" t="n">
        <x:f>IFERROR(H2053/A2053,0)</x:f>
        <x:v>22285.714285714286</x:v>
      </x:c>
      <x:c r="J2053" s="67" t="str">
        <x:v>Modeled from live base + Sep-2026 quality ratio</x:v>
      </x:c>
      <x:c r="K2053" s="67" t="str">
        <x:v>https://www.stonealgo.com/diamond-prices/</x:v>
      </x:c>
      <x:c r="L2053" s="67" t="str">
        <x:v>https://www.pricescope.com/blog/natural-diamond-prices-september-2026</x:v>
      </x:c>
    </x:row>
    <x:row r="2054">
      <x:c r="A2054" t="n">
        <x:v>4</x:v>
      </x:c>
      <x:c r="B2054" t="str">
        <x:v>Princess</x:v>
      </x:c>
      <x:c r="C2054" t="str">
        <x:v>D</x:v>
      </x:c>
      <x:c r="D2054" t="str">
        <x:v>VS1</x:v>
      </x:c>
      <x:c r="E2054" s="36" t="n">
        <x:v>62400</x:v>
      </x:c>
      <x:c r="F2054" s="36" t="n">
        <x:v>6247</x:v>
      </x:c>
      <x:c r="G2054" s="42" t="n">
        <x:v>1.33998283998284</x:v>
      </x:c>
      <x:c r="H2054" s="36" t="n">
        <x:f>E2054*G2054</x:f>
        <x:v>83614.92921492922</x:v>
      </x:c>
      <x:c r="I2054" s="36" t="n">
        <x:f>IFERROR(H2054/A2054,0)</x:f>
        <x:v>20903.732303732304</x:v>
      </x:c>
      <x:c r="J2054" s="67" t="str">
        <x:v>Modeled from live base + Sep-2026 quality ratio</x:v>
      </x:c>
      <x:c r="K2054" s="67" t="str">
        <x:v>https://www.stonealgo.com/diamond-prices/</x:v>
      </x:c>
      <x:c r="L2054" s="67" t="str">
        <x:v>https://www.pricescope.com/blog/natural-diamond-prices-september-2026</x:v>
      </x:c>
    </x:row>
    <x:row r="2055">
      <x:c r="A2055" t="n">
        <x:v>4</x:v>
      </x:c>
      <x:c r="B2055" t="str">
        <x:v>Princess</x:v>
      </x:c>
      <x:c r="C2055" t="str">
        <x:v>D</x:v>
      </x:c>
      <x:c r="D2055" t="str">
        <x:v>VS2</x:v>
      </x:c>
      <x:c r="E2055" s="36" t="n">
        <x:v>62400</x:v>
      </x:c>
      <x:c r="F2055" s="36" t="n">
        <x:v>5841</x:v>
      </x:c>
      <x:c r="G2055" s="42" t="n">
        <x:v>1.252895752895753</x:v>
      </x:c>
      <x:c r="H2055" s="36" t="n">
        <x:f>E2055*G2055</x:f>
        <x:v>78180.69498069499</x:v>
      </x:c>
      <x:c r="I2055" s="36" t="n">
        <x:f>IFERROR(H2055/A2055,0)</x:f>
        <x:v>19545.173745173746</x:v>
      </x:c>
      <x:c r="J2055" s="67" t="str">
        <x:v>Modeled from live base + Sep-2026 quality ratio</x:v>
      </x:c>
      <x:c r="K2055" s="67" t="str">
        <x:v>https://www.stonealgo.com/diamond-prices/</x:v>
      </x:c>
      <x:c r="L2055" s="67" t="str">
        <x:v>https://www.pricescope.com/blog/natural-diamond-prices-september-2026</x:v>
      </x:c>
    </x:row>
    <x:row r="2056">
      <x:c r="A2056" t="n">
        <x:v>4</x:v>
      </x:c>
      <x:c r="B2056" t="str">
        <x:v>Princess</x:v>
      </x:c>
      <x:c r="C2056" t="str">
        <x:v>D</x:v>
      </x:c>
      <x:c r="D2056" t="str">
        <x:v>SI1</x:v>
      </x:c>
      <x:c r="E2056" s="36" t="n">
        <x:v>62400</x:v>
      </x:c>
      <x:c r="F2056" s="36" t="n">
        <x:v>3762</x:v>
      </x:c>
      <x:c r="G2056" s="42" t="n">
        <x:v>0.806949806949807</x:v>
      </x:c>
      <x:c r="H2056" s="36" t="n">
        <x:f>E2056*G2056</x:f>
        <x:v>50353.66795366796</x:v>
      </x:c>
      <x:c r="I2056" s="36" t="n">
        <x:f>IFERROR(H2056/A2056,0)</x:f>
        <x:v>12588.41698841699</x:v>
      </x:c>
      <x:c r="J2056" s="67" t="str">
        <x:v>Modeled from live base + Sep-2026 quality ratio</x:v>
      </x:c>
      <x:c r="K2056" s="67" t="str">
        <x:v>https://www.stonealgo.com/diamond-prices/</x:v>
      </x:c>
      <x:c r="L2056" s="67" t="str">
        <x:v>https://www.pricescope.com/blog/natural-diamond-prices-september-2026</x:v>
      </x:c>
    </x:row>
    <x:row r="2057">
      <x:c r="A2057" t="n">
        <x:v>4</x:v>
      </x:c>
      <x:c r="B2057" t="str">
        <x:v>Princess</x:v>
      </x:c>
      <x:c r="C2057" t="str">
        <x:v>D</x:v>
      </x:c>
      <x:c r="D2057" t="str">
        <x:v>SI2</x:v>
      </x:c>
      <x:c r="E2057" s="36" t="n">
        <x:v>62400</x:v>
      </x:c>
      <x:c r="F2057" s="36" t="n">
        <x:v>3026</x:v>
      </x:c>
      <x:c r="G2057" s="42" t="n">
        <x:v>0.6490776490776491</x:v>
      </x:c>
      <x:c r="H2057" s="36" t="n">
        <x:f>E2057*G2057</x:f>
        <x:v>40502.4453024453</x:v>
      </x:c>
      <x:c r="I2057" s="36" t="n">
        <x:f>IFERROR(H2057/A2057,0)</x:f>
        <x:v>10125.611325611326</x:v>
      </x:c>
      <x:c r="J2057" s="67" t="str">
        <x:v>Modeled from live base + Sep-2026 quality ratio</x:v>
      </x:c>
      <x:c r="K2057" s="67" t="str">
        <x:v>https://www.stonealgo.com/diamond-prices/</x:v>
      </x:c>
      <x:c r="L2057" s="67" t="str">
        <x:v>https://www.pricescope.com/blog/natural-diamond-prices-september-2026</x:v>
      </x:c>
    </x:row>
    <x:row r="2058">
      <x:c r="A2058" t="n">
        <x:v>4</x:v>
      </x:c>
      <x:c r="B2058" t="str">
        <x:v>Princess</x:v>
      </x:c>
      <x:c r="C2058" t="str">
        <x:v>E</x:v>
      </x:c>
      <x:c r="D2058" t="str">
        <x:v>FL</x:v>
      </x:c>
      <x:c r="E2058" s="36" t="n">
        <x:v>62400</x:v>
      </x:c>
      <x:c r="F2058" s="36" t="n">
        <x:v>10072</x:v>
      </x:c>
      <x:c r="G2058" s="42" t="n">
        <x:v>2.1604461604461602</x:v>
      </x:c>
      <x:c r="H2058" s="36" t="n">
        <x:f>E2058*G2058</x:f>
        <x:v>134811.84041184039</x:v>
      </x:c>
      <x:c r="I2058" s="36" t="n">
        <x:f>IFERROR(H2058/A2058,0)</x:f>
        <x:v>33702.960102960096</x:v>
      </x:c>
      <x:c r="J2058" s="67" t="str">
        <x:v>Modeled from live base + Sep-2026 quality ratio</x:v>
      </x:c>
      <x:c r="K2058" s="67" t="str">
        <x:v>https://www.stonealgo.com/diamond-prices/</x:v>
      </x:c>
      <x:c r="L2058" s="67" t="str">
        <x:v>https://www.pricescope.com/blog/natural-diamond-prices-september-2026</x:v>
      </x:c>
    </x:row>
    <x:row r="2059">
      <x:c r="A2059" t="n">
        <x:v>4</x:v>
      </x:c>
      <x:c r="B2059" t="str">
        <x:v>Princess</x:v>
      </x:c>
      <x:c r="C2059" t="str">
        <x:v>E</x:v>
      </x:c>
      <x:c r="D2059" t="str">
        <x:v>IF</x:v>
      </x:c>
      <x:c r="E2059" s="36" t="n">
        <x:v>62400</x:v>
      </x:c>
      <x:c r="F2059" s="36" t="n">
        <x:v>8672</x:v>
      </x:c>
      <x:c r="G2059" s="42" t="n">
        <x:v>1.8601458601458603</x:v>
      </x:c>
      <x:c r="H2059" s="36" t="n">
        <x:f>E2059*G2059</x:f>
        <x:v>116073.10167310169</x:v>
      </x:c>
      <x:c r="I2059" s="36" t="n">
        <x:f>IFERROR(H2059/A2059,0)</x:f>
        <x:v>29018.27541827542</x:v>
      </x:c>
      <x:c r="J2059" s="67" t="str">
        <x:v>Modeled from live base + Sep-2026 quality ratio</x:v>
      </x:c>
      <x:c r="K2059" s="67" t="str">
        <x:v>https://www.stonealgo.com/diamond-prices/</x:v>
      </x:c>
      <x:c r="L2059" s="67" t="str">
        <x:v>https://www.pricescope.com/blog/natural-diamond-prices-september-2026</x:v>
      </x:c>
    </x:row>
    <x:row r="2060">
      <x:c r="A2060" t="n">
        <x:v>4</x:v>
      </x:c>
      <x:c r="B2060" t="str">
        <x:v>Princess</x:v>
      </x:c>
      <x:c r="C2060" t="str">
        <x:v>E</x:v>
      </x:c>
      <x:c r="D2060" t="str">
        <x:v>VVS1</x:v>
      </x:c>
      <x:c r="E2060" s="36" t="n">
        <x:v>62400</x:v>
      </x:c>
      <x:c r="F2060" s="36" t="n">
        <x:v>7842</x:v>
      </x:c>
      <x:c r="G2060" s="42" t="n">
        <x:v>1.6821106821106822</x:v>
      </x:c>
      <x:c r="H2060" s="36" t="n">
        <x:f>E2060*G2060</x:f>
        <x:v>104963.70656370657</x:v>
      </x:c>
      <x:c r="I2060" s="36" t="n">
        <x:f>IFERROR(H2060/A2060,0)</x:f>
        <x:v>26240.926640926642</x:v>
      </x:c>
      <x:c r="J2060" s="67" t="str">
        <x:v>Modeled from live base + Sep-2026 quality ratio</x:v>
      </x:c>
      <x:c r="K2060" s="67" t="str">
        <x:v>https://www.stonealgo.com/diamond-prices/</x:v>
      </x:c>
      <x:c r="L2060" s="67" t="str">
        <x:v>https://www.pricescope.com/blog/natural-diamond-prices-september-2026</x:v>
      </x:c>
    </x:row>
    <x:row r="2061">
      <x:c r="A2061" t="n">
        <x:v>4</x:v>
      </x:c>
      <x:c r="B2061" t="str">
        <x:v>Princess</x:v>
      </x:c>
      <x:c r="C2061" t="str">
        <x:v>E</x:v>
      </x:c>
      <x:c r="D2061" t="str">
        <x:v>VVS2</x:v>
      </x:c>
      <x:c r="E2061" s="36" t="n">
        <x:v>62400</x:v>
      </x:c>
      <x:c r="F2061" s="36" t="n">
        <x:v>6880</x:v>
      </x:c>
      <x:c r="G2061" s="42" t="n">
        <x:v>1.4757614757614759</x:v>
      </x:c>
      <x:c r="H2061" s="36" t="n">
        <x:f>E2061*G2061</x:f>
        <x:v>92087.5160875161</x:v>
      </x:c>
      <x:c r="I2061" s="36" t="n">
        <x:f>IFERROR(H2061/A2061,0)</x:f>
        <x:v>23021.879021879024</x:v>
      </x:c>
      <x:c r="J2061" s="67" t="str">
        <x:v>Modeled from live base + Sep-2026 quality ratio</x:v>
      </x:c>
      <x:c r="K2061" s="67" t="str">
        <x:v>https://www.stonealgo.com/diamond-prices/</x:v>
      </x:c>
      <x:c r="L2061" s="67" t="str">
        <x:v>https://www.pricescope.com/blog/natural-diamond-prices-september-2026</x:v>
      </x:c>
    </x:row>
    <x:row r="2062">
      <x:c r="A2062" t="n">
        <x:v>4</x:v>
      </x:c>
      <x:c r="B2062" t="str">
        <x:v>Princess</x:v>
      </x:c>
      <x:c r="C2062" t="str">
        <x:v>E</x:v>
      </x:c>
      <x:c r="D2062" t="str">
        <x:v>VS1</x:v>
      </x:c>
      <x:c r="E2062" s="36" t="n">
        <x:v>62400</x:v>
      </x:c>
      <x:c r="F2062" s="36" t="n">
        <x:v>6307</x:v>
      </x:c>
      <x:c r="G2062" s="42" t="n">
        <x:v>1.352852852852853</x:v>
      </x:c>
      <x:c r="H2062" s="36" t="n">
        <x:f>E2062*G2062</x:f>
        <x:v>84418.01801801802</x:v>
      </x:c>
      <x:c r="I2062" s="36" t="n">
        <x:f>IFERROR(H2062/A2062,0)</x:f>
        <x:v>21104.504504504504</x:v>
      </x:c>
      <x:c r="J2062" s="67" t="str">
        <x:v>Modeled from live base + Sep-2026 quality ratio</x:v>
      </x:c>
      <x:c r="K2062" s="67" t="str">
        <x:v>https://www.stonealgo.com/diamond-prices/</x:v>
      </x:c>
      <x:c r="L2062" s="67" t="str">
        <x:v>https://www.pricescope.com/blog/natural-diamond-prices-september-2026</x:v>
      </x:c>
    </x:row>
    <x:row r="2063">
      <x:c r="A2063" t="n">
        <x:v>4</x:v>
      </x:c>
      <x:c r="B2063" t="str">
        <x:v>Princess</x:v>
      </x:c>
      <x:c r="C2063" t="str">
        <x:v>E</x:v>
      </x:c>
      <x:c r="D2063" t="str">
        <x:v>VS2</x:v>
      </x:c>
      <x:c r="E2063" s="36" t="n">
        <x:v>62400</x:v>
      </x:c>
      <x:c r="F2063" s="36" t="n">
        <x:v>5249</x:v>
      </x:c>
      <x:c r="G2063" s="42" t="n">
        <x:v>1.125911625911626</x:v>
      </x:c>
      <x:c r="H2063" s="36" t="n">
        <x:f>E2063*G2063</x:f>
        <x:v>70256.88545688546</x:v>
      </x:c>
      <x:c r="I2063" s="36" t="n">
        <x:f>IFERROR(H2063/A2063,0)</x:f>
        <x:v>17564.221364221365</x:v>
      </x:c>
      <x:c r="J2063" s="67" t="str">
        <x:v>Modeled from live base + Sep-2026 quality ratio</x:v>
      </x:c>
      <x:c r="K2063" s="67" t="str">
        <x:v>https://www.stonealgo.com/diamond-prices/</x:v>
      </x:c>
      <x:c r="L2063" s="67" t="str">
        <x:v>https://www.pricescope.com/blog/natural-diamond-prices-september-2026</x:v>
      </x:c>
    </x:row>
    <x:row r="2064">
      <x:c r="A2064" t="n">
        <x:v>4</x:v>
      </x:c>
      <x:c r="B2064" t="str">
        <x:v>Princess</x:v>
      </x:c>
      <x:c r="C2064" t="str">
        <x:v>E</x:v>
      </x:c>
      <x:c r="D2064" t="str">
        <x:v>SI1</x:v>
      </x:c>
      <x:c r="E2064" s="36" t="n">
        <x:v>62400</x:v>
      </x:c>
      <x:c r="F2064" s="36" t="n">
        <x:v>3551</x:v>
      </x:c>
      <x:c r="G2064" s="42" t="n">
        <x:v>0.7616902616902617</x:v>
      </x:c>
      <x:c r="H2064" s="36" t="n">
        <x:f>E2064*G2064</x:f>
        <x:v>47529.47232947233</x:v>
      </x:c>
      <x:c r="I2064" s="36" t="n">
        <x:f>IFERROR(H2064/A2064,0)</x:f>
        <x:v>11882.368082368082</x:v>
      </x:c>
      <x:c r="J2064" s="67" t="str">
        <x:v>Modeled from live base + Sep-2026 quality ratio</x:v>
      </x:c>
      <x:c r="K2064" s="67" t="str">
        <x:v>https://www.stonealgo.com/diamond-prices/</x:v>
      </x:c>
      <x:c r="L2064" s="67" t="str">
        <x:v>https://www.pricescope.com/blog/natural-diamond-prices-september-2026</x:v>
      </x:c>
    </x:row>
    <x:row r="2065">
      <x:c r="A2065" t="n">
        <x:v>4</x:v>
      </x:c>
      <x:c r="B2065" t="str">
        <x:v>Princess</x:v>
      </x:c>
      <x:c r="C2065" t="str">
        <x:v>E</x:v>
      </x:c>
      <x:c r="D2065" t="str">
        <x:v>SI2</x:v>
      </x:c>
      <x:c r="E2065" s="36" t="n">
        <x:v>62400</x:v>
      </x:c>
      <x:c r="F2065" s="36" t="n">
        <x:v>2993</x:v>
      </x:c>
      <x:c r="G2065" s="42" t="n">
        <x:v>0.641999141999142</x:v>
      </x:c>
      <x:c r="H2065" s="36" t="n">
        <x:f>E2065*G2065</x:f>
        <x:v>40060.74646074646</x:v>
      </x:c>
      <x:c r="I2065" s="36" t="n">
        <x:f>IFERROR(H2065/A2065,0)</x:f>
        <x:v>10015.186615186614</x:v>
      </x:c>
      <x:c r="J2065" s="67" t="str">
        <x:v>Modeled from live base + Sep-2026 quality ratio</x:v>
      </x:c>
      <x:c r="K2065" s="67" t="str">
        <x:v>https://www.stonealgo.com/diamond-prices/</x:v>
      </x:c>
      <x:c r="L2065" s="67" t="str">
        <x:v>https://www.pricescope.com/blog/natural-diamond-prices-september-2026</x:v>
      </x:c>
    </x:row>
    <x:row r="2066">
      <x:c r="A2066" t="n">
        <x:v>4</x:v>
      </x:c>
      <x:c r="B2066" t="str">
        <x:v>Princess</x:v>
      </x:c>
      <x:c r="C2066" t="str">
        <x:v>F</x:v>
      </x:c>
      <x:c r="D2066" t="str">
        <x:v>FL</x:v>
      </x:c>
      <x:c r="E2066" s="36" t="n">
        <x:v>62400</x:v>
      </x:c>
      <x:c r="F2066" s="36" t="n">
        <x:v>6830</x:v>
      </x:c>
      <x:c r="G2066" s="42" t="n">
        <x:v>1.4650364650364651</x:v>
      </x:c>
      <x:c r="H2066" s="36" t="n">
        <x:f>E2066*G2066</x:f>
        <x:v>91418.27541827543</x:v>
      </x:c>
      <x:c r="I2066" s="36" t="n">
        <x:f>IFERROR(H2066/A2066,0)</x:f>
        <x:v>22854.568854568857</x:v>
      </x:c>
      <x:c r="J2066" s="67" t="str">
        <x:v>Modeled from live base + Sep-2026 quality ratio</x:v>
      </x:c>
      <x:c r="K2066" s="67" t="str">
        <x:v>https://www.stonealgo.com/diamond-prices/</x:v>
      </x:c>
      <x:c r="L2066" s="67" t="str">
        <x:v>https://www.pricescope.com/blog/natural-diamond-prices-september-2026</x:v>
      </x:c>
    </x:row>
    <x:row r="2067">
      <x:c r="A2067" t="n">
        <x:v>4</x:v>
      </x:c>
      <x:c r="B2067" t="str">
        <x:v>Princess</x:v>
      </x:c>
      <x:c r="C2067" t="str">
        <x:v>F</x:v>
      </x:c>
      <x:c r="D2067" t="str">
        <x:v>IF</x:v>
      </x:c>
      <x:c r="E2067" s="36" t="n">
        <x:v>62400</x:v>
      </x:c>
      <x:c r="F2067" s="36" t="n">
        <x:v>7302</x:v>
      </x:c>
      <x:c r="G2067" s="42" t="n">
        <x:v>1.5662805662805663</x:v>
      </x:c>
      <x:c r="H2067" s="36" t="n">
        <x:f>E2067*G2067</x:f>
        <x:v>97735.90733590734</x:v>
      </x:c>
      <x:c r="I2067" s="36" t="n">
        <x:f>IFERROR(H2067/A2067,0)</x:f>
        <x:v>24433.976833976834</x:v>
      </x:c>
      <x:c r="J2067" s="67" t="str">
        <x:v>Modeled from live base + Sep-2026 quality ratio</x:v>
      </x:c>
      <x:c r="K2067" s="67" t="str">
        <x:v>https://www.stonealgo.com/diamond-prices/</x:v>
      </x:c>
      <x:c r="L2067" s="67" t="str">
        <x:v>https://www.pricescope.com/blog/natural-diamond-prices-september-2026</x:v>
      </x:c>
    </x:row>
    <x:row r="2068">
      <x:c r="A2068" t="n">
        <x:v>4</x:v>
      </x:c>
      <x:c r="B2068" t="str">
        <x:v>Princess</x:v>
      </x:c>
      <x:c r="C2068" t="str">
        <x:v>F</x:v>
      </x:c>
      <x:c r="D2068" t="str">
        <x:v>VVS1</x:v>
      </x:c>
      <x:c r="E2068" s="36" t="n">
        <x:v>62400</x:v>
      </x:c>
      <x:c r="F2068" s="36" t="n">
        <x:v>7542</x:v>
      </x:c>
      <x:c r="G2068" s="42" t="n">
        <x:v>1.6177606177606179</x:v>
      </x:c>
      <x:c r="H2068" s="36" t="n">
        <x:f>E2068*G2068</x:f>
        <x:v>100948.26254826256</x:v>
      </x:c>
      <x:c r="I2068" s="36" t="n">
        <x:f>IFERROR(H2068/A2068,0)</x:f>
        <x:v>25237.06563706564</x:v>
      </x:c>
      <x:c r="J2068" s="67" t="str">
        <x:v>Modeled from live base + Sep-2026 quality ratio</x:v>
      </x:c>
      <x:c r="K2068" s="67" t="str">
        <x:v>https://www.stonealgo.com/diamond-prices/</x:v>
      </x:c>
      <x:c r="L2068" s="67" t="str">
        <x:v>https://www.pricescope.com/blog/natural-diamond-prices-september-2026</x:v>
      </x:c>
    </x:row>
    <x:row r="2069">
      <x:c r="A2069" t="n">
        <x:v>4</x:v>
      </x:c>
      <x:c r="B2069" t="str">
        <x:v>Princess</x:v>
      </x:c>
      <x:c r="C2069" t="str">
        <x:v>F</x:v>
      </x:c>
      <x:c r="D2069" t="str">
        <x:v>VVS2</x:v>
      </x:c>
      <x:c r="E2069" s="36" t="n">
        <x:v>62400</x:v>
      </x:c>
      <x:c r="F2069" s="36" t="n">
        <x:v>6352</x:v>
      </x:c>
      <x:c r="G2069" s="42" t="n">
        <x:v>1.3625053625053625</x:v>
      </x:c>
      <x:c r="H2069" s="36" t="n">
        <x:f>E2069*G2069</x:f>
        <x:v>85020.33462033462</x:v>
      </x:c>
      <x:c r="I2069" s="36" t="n">
        <x:f>IFERROR(H2069/A2069,0)</x:f>
        <x:v>21255.083655083654</x:v>
      </x:c>
      <x:c r="J2069" s="67" t="str">
        <x:v>Modeled from live base + Sep-2026 quality ratio</x:v>
      </x:c>
      <x:c r="K2069" s="67" t="str">
        <x:v>https://www.stonealgo.com/diamond-prices/</x:v>
      </x:c>
      <x:c r="L2069" s="67" t="str">
        <x:v>https://www.pricescope.com/blog/natural-diamond-prices-september-2026</x:v>
      </x:c>
    </x:row>
    <x:row r="2070">
      <x:c r="A2070" t="n">
        <x:v>4</x:v>
      </x:c>
      <x:c r="B2070" t="str">
        <x:v>Princess</x:v>
      </x:c>
      <x:c r="C2070" t="str">
        <x:v>F</x:v>
      </x:c>
      <x:c r="D2070" t="str">
        <x:v>VS1</x:v>
      </x:c>
      <x:c r="E2070" s="36" t="n">
        <x:v>62400</x:v>
      </x:c>
      <x:c r="F2070" s="36" t="n">
        <x:v>5647</x:v>
      </x:c>
      <x:c r="G2070" s="42" t="n">
        <x:v>1.2112827112827114</x:v>
      </x:c>
      <x:c r="H2070" s="36" t="n">
        <x:f>E2070*G2070</x:f>
        <x:v>75584.04118404118</x:v>
      </x:c>
      <x:c r="I2070" s="36" t="n">
        <x:f>IFERROR(H2070/A2070,0)</x:f>
        <x:v>18896.010296010296</x:v>
      </x:c>
      <x:c r="J2070" s="67" t="str">
        <x:v>Modeled from live base + Sep-2026 quality ratio</x:v>
      </x:c>
      <x:c r="K2070" s="67" t="str">
        <x:v>https://www.stonealgo.com/diamond-prices/</x:v>
      </x:c>
      <x:c r="L2070" s="67" t="str">
        <x:v>https://www.pricescope.com/blog/natural-diamond-prices-september-2026</x:v>
      </x:c>
    </x:row>
    <x:row r="2071">
      <x:c r="A2071" t="n">
        <x:v>4</x:v>
      </x:c>
      <x:c r="B2071" t="str">
        <x:v>Princess</x:v>
      </x:c>
      <x:c r="C2071" t="str">
        <x:v>F</x:v>
      </x:c>
      <x:c r="D2071" t="str">
        <x:v>VS2</x:v>
      </x:c>
      <x:c r="E2071" s="36" t="n">
        <x:v>62400</x:v>
      </x:c>
      <x:c r="F2071" s="36" t="n">
        <x:v>4730</x:v>
      </x:c>
      <x:c r="G2071" s="42" t="n">
        <x:v>1.0145860145860146</x:v>
      </x:c>
      <x:c r="H2071" s="36" t="n">
        <x:f>E2071*G2071</x:f>
        <x:v>63310.167310167315</x:v>
      </x:c>
      <x:c r="I2071" s="36" t="n">
        <x:f>IFERROR(H2071/A2071,0)</x:f>
        <x:v>15827.541827541829</x:v>
      </x:c>
      <x:c r="J2071" s="67" t="str">
        <x:v>Modeled from live base + Sep-2026 quality ratio</x:v>
      </x:c>
      <x:c r="K2071" s="67" t="str">
        <x:v>https://www.stonealgo.com/diamond-prices/</x:v>
      </x:c>
      <x:c r="L2071" s="67" t="str">
        <x:v>https://www.pricescope.com/blog/natural-diamond-prices-september-2026</x:v>
      </x:c>
    </x:row>
    <x:row r="2072">
      <x:c r="A2072" t="n">
        <x:v>4</x:v>
      </x:c>
      <x:c r="B2072" t="str">
        <x:v>Princess</x:v>
      </x:c>
      <x:c r="C2072" t="str">
        <x:v>F</x:v>
      </x:c>
      <x:c r="D2072" t="str">
        <x:v>SI1</x:v>
      </x:c>
      <x:c r="E2072" s="36" t="n">
        <x:v>62400</x:v>
      </x:c>
      <x:c r="F2072" s="36" t="n">
        <x:v>3331</x:v>
      </x:c>
      <x:c r="G2072" s="42" t="n">
        <x:v>0.7145002145002145</x:v>
      </x:c>
      <x:c r="H2072" s="36" t="n">
        <x:f>E2072*G2072</x:f>
        <x:v>44584.81338481339</x:v>
      </x:c>
      <x:c r="I2072" s="36" t="n">
        <x:f>IFERROR(H2072/A2072,0)</x:f>
        <x:v>11146.203346203347</x:v>
      </x:c>
      <x:c r="J2072" s="67" t="str">
        <x:v>Modeled from live base + Sep-2026 quality ratio</x:v>
      </x:c>
      <x:c r="K2072" s="67" t="str">
        <x:v>https://www.stonealgo.com/diamond-prices/</x:v>
      </x:c>
      <x:c r="L2072" s="67" t="str">
        <x:v>https://www.pricescope.com/blog/natural-diamond-prices-september-2026</x:v>
      </x:c>
    </x:row>
    <x:row r="2073">
      <x:c r="A2073" t="n">
        <x:v>4</x:v>
      </x:c>
      <x:c r="B2073" t="str">
        <x:v>Princess</x:v>
      </x:c>
      <x:c r="C2073" t="str">
        <x:v>F</x:v>
      </x:c>
      <x:c r="D2073" t="str">
        <x:v>SI2</x:v>
      </x:c>
      <x:c r="E2073" s="36" t="n">
        <x:v>62400</x:v>
      </x:c>
      <x:c r="F2073" s="36" t="n">
        <x:v>2733</x:v>
      </x:c>
      <x:c r="G2073" s="42" t="n">
        <x:v>0.5862290862290862</x:v>
      </x:c>
      <x:c r="H2073" s="36" t="n">
        <x:f>E2073*G2073</x:f>
        <x:v>36580.69498069498</x:v>
      </x:c>
      <x:c r="I2073" s="36" t="n">
        <x:f>IFERROR(H2073/A2073,0)</x:f>
        <x:v>9145.173745173744</x:v>
      </x:c>
      <x:c r="J2073" s="67" t="str">
        <x:v>Modeled from live base + Sep-2026 quality ratio</x:v>
      </x:c>
      <x:c r="K2073" s="67" t="str">
        <x:v>https://www.stonealgo.com/diamond-prices/</x:v>
      </x:c>
      <x:c r="L2073" s="67" t="str">
        <x:v>https://www.pricescope.com/blog/natural-diamond-prices-september-2026</x:v>
      </x:c>
    </x:row>
    <x:row r="2074">
      <x:c r="A2074" t="n">
        <x:v>4</x:v>
      </x:c>
      <x:c r="B2074" t="str">
        <x:v>Princess</x:v>
      </x:c>
      <x:c r="C2074" t="str">
        <x:v>G</x:v>
      </x:c>
      <x:c r="D2074" t="str">
        <x:v>FL</x:v>
      </x:c>
      <x:c r="E2074" s="36" t="n">
        <x:v>62400</x:v>
      </x:c>
      <x:c r="F2074" s="36" t="n">
        <x:v>5905</x:v>
      </x:c>
      <x:c r="G2074" s="42" t="n">
        <x:v>1.2666237666237665</x:v>
      </x:c>
      <x:c r="H2074" s="36" t="n">
        <x:f>E2074*G2074</x:f>
        <x:v>79037.32303732303</x:v>
      </x:c>
      <x:c r="I2074" s="36" t="n">
        <x:f>IFERROR(H2074/A2074,0)</x:f>
        <x:v>19759.330759330758</x:v>
      </x:c>
      <x:c r="J2074" s="67" t="str">
        <x:v>Modeled from live base + Sep-2026 quality ratio</x:v>
      </x:c>
      <x:c r="K2074" s="67" t="str">
        <x:v>https://www.stonealgo.com/diamond-prices/</x:v>
      </x:c>
      <x:c r="L2074" s="67" t="str">
        <x:v>https://www.pricescope.com/blog/natural-diamond-prices-september-2026</x:v>
      </x:c>
    </x:row>
    <x:row r="2075">
      <x:c r="A2075" t="n">
        <x:v>4</x:v>
      </x:c>
      <x:c r="B2075" t="str">
        <x:v>Princess</x:v>
      </x:c>
      <x:c r="C2075" t="str">
        <x:v>G</x:v>
      </x:c>
      <x:c r="D2075" t="str">
        <x:v>IF</x:v>
      </x:c>
      <x:c r="E2075" s="36" t="n">
        <x:v>62400</x:v>
      </x:c>
      <x:c r="F2075" s="36" t="n">
        <x:v>5601</x:v>
      </x:c>
      <x:c r="G2075" s="42" t="n">
        <x:v>1.2014157014157014</x:v>
      </x:c>
      <x:c r="H2075" s="36" t="n">
        <x:f>E2075*G2075</x:f>
        <x:v>74968.33976833976</x:v>
      </x:c>
      <x:c r="I2075" s="36" t="n">
        <x:f>IFERROR(H2075/A2075,0)</x:f>
        <x:v>18742.08494208494</x:v>
      </x:c>
      <x:c r="J2075" s="67" t="str">
        <x:v>Modeled from live base + Sep-2026 quality ratio</x:v>
      </x:c>
      <x:c r="K2075" s="67" t="str">
        <x:v>https://www.stonealgo.com/diamond-prices/</x:v>
      </x:c>
      <x:c r="L2075" s="67" t="str">
        <x:v>https://www.pricescope.com/blog/natural-diamond-prices-september-2026</x:v>
      </x:c>
    </x:row>
    <x:row r="2076">
      <x:c r="A2076" t="n">
        <x:v>4</x:v>
      </x:c>
      <x:c r="B2076" t="str">
        <x:v>Princess</x:v>
      </x:c>
      <x:c r="C2076" t="str">
        <x:v>G</x:v>
      </x:c>
      <x:c r="D2076" t="str">
        <x:v>VVS1</x:v>
      </x:c>
      <x:c r="E2076" s="36" t="n">
        <x:v>62400</x:v>
      </x:c>
      <x:c r="F2076" s="36" t="n">
        <x:v>5124</x:v>
      </x:c>
      <x:c r="G2076" s="42" t="n">
        <x:v>1.0990990990990992</x:v>
      </x:c>
      <x:c r="H2076" s="36" t="n">
        <x:f>E2076*G2076</x:f>
        <x:v>68583.78378378379</x:v>
      </x:c>
      <x:c r="I2076" s="36" t="n">
        <x:f>IFERROR(H2076/A2076,0)</x:f>
        <x:v>17145.945945945947</x:v>
      </x:c>
      <x:c r="J2076" s="67" t="str">
        <x:v>Modeled from live base + Sep-2026 quality ratio</x:v>
      </x:c>
      <x:c r="K2076" s="67" t="str">
        <x:v>https://www.stonealgo.com/diamond-prices/</x:v>
      </x:c>
      <x:c r="L2076" s="67" t="str">
        <x:v>https://www.pricescope.com/blog/natural-diamond-prices-september-2026</x:v>
      </x:c>
    </x:row>
    <x:row r="2077">
      <x:c r="A2077" t="n">
        <x:v>4</x:v>
      </x:c>
      <x:c r="B2077" t="str">
        <x:v>Princess</x:v>
      </x:c>
      <x:c r="C2077" t="str">
        <x:v>G</x:v>
      </x:c>
      <x:c r="D2077" t="str">
        <x:v>VVS2</x:v>
      </x:c>
      <x:c r="E2077" s="36" t="n">
        <x:v>62400</x:v>
      </x:c>
      <x:c r="F2077" s="36" t="n">
        <x:v>4962</x:v>
      </x:c>
      <x:c r="G2077" s="42" t="n">
        <x:v>1.0643500643500643</x:v>
      </x:c>
      <x:c r="H2077" s="36" t="n">
        <x:f>E2077*G2077</x:f>
        <x:v>66415.44401544401</x:v>
      </x:c>
      <x:c r="I2077" s="36" t="n">
        <x:f>IFERROR(H2077/A2077,0)</x:f>
        <x:v>16603.861003861002</x:v>
      </x:c>
      <x:c r="J2077" s="67" t="str">
        <x:v>Modeled from live base + Sep-2026 quality ratio</x:v>
      </x:c>
      <x:c r="K2077" s="67" t="str">
        <x:v>https://www.stonealgo.com/diamond-prices/</x:v>
      </x:c>
      <x:c r="L2077" s="67" t="str">
        <x:v>https://www.pricescope.com/blog/natural-diamond-prices-september-2026</x:v>
      </x:c>
    </x:row>
    <x:row r="2078">
      <x:c r="A2078" t="n">
        <x:v>4</x:v>
      </x:c>
      <x:c r="B2078" t="str">
        <x:v>Princess</x:v>
      </x:c>
      <x:c r="C2078" t="str">
        <x:v>G</x:v>
      </x:c>
      <x:c r="D2078" t="str">
        <x:v>VS1</x:v>
      </x:c>
      <x:c r="E2078" s="36" t="n">
        <x:v>62400</x:v>
      </x:c>
      <x:c r="F2078" s="36" t="n">
        <x:v>4615</x:v>
      </x:c>
      <x:c r="G2078" s="42" t="n">
        <x:v>0.98991848991849</x:v>
      </x:c>
      <x:c r="H2078" s="36" t="n">
        <x:f>E2078*G2078</x:f>
        <x:v>61770.91377091377</x:v>
      </x:c>
      <x:c r="I2078" s="36" t="n">
        <x:f>IFERROR(H2078/A2078,0)</x:f>
        <x:v>15442.728442728443</x:v>
      </x:c>
      <x:c r="J2078" s="67" t="str">
        <x:v>Modeled from live base + Sep-2026 quality ratio</x:v>
      </x:c>
      <x:c r="K2078" s="67" t="str">
        <x:v>https://www.stonealgo.com/diamond-prices/</x:v>
      </x:c>
      <x:c r="L2078" s="67" t="str">
        <x:v>https://www.pricescope.com/blog/natural-diamond-prices-september-2026</x:v>
      </x:c>
    </x:row>
    <x:row r="2079">
      <x:c r="A2079" t="n">
        <x:v>4</x:v>
      </x:c>
      <x:c r="B2079" t="str">
        <x:v>Princess</x:v>
      </x:c>
      <x:c r="C2079" t="str">
        <x:v>G</x:v>
      </x:c>
      <x:c r="D2079" t="str">
        <x:v>VS2</x:v>
      </x:c>
      <x:c r="E2079" s="36" t="n">
        <x:v>62400</x:v>
      </x:c>
      <x:c r="F2079" s="36" t="n">
        <x:v>4585</x:v>
      </x:c>
      <x:c r="G2079" s="42" t="n">
        <x:v>0.9834834834834835</x:v>
      </x:c>
      <x:c r="H2079" s="36" t="n">
        <x:f>E2079*G2079</x:f>
        <x:v>61369.36936936937</x:v>
      </x:c>
      <x:c r="I2079" s="36" t="n">
        <x:f>IFERROR(H2079/A2079,0)</x:f>
        <x:v>15342.342342342343</x:v>
      </x:c>
      <x:c r="J2079" s="67" t="str">
        <x:v>Modeled from live base + Sep-2026 quality ratio</x:v>
      </x:c>
      <x:c r="K2079" s="67" t="str">
        <x:v>https://www.stonealgo.com/diamond-prices/</x:v>
      </x:c>
      <x:c r="L2079" s="67" t="str">
        <x:v>https://www.pricescope.com/blog/natural-diamond-prices-september-2026</x:v>
      </x:c>
    </x:row>
    <x:row r="2080">
      <x:c r="A2080" t="n">
        <x:v>4</x:v>
      </x:c>
      <x:c r="B2080" t="str">
        <x:v>Princess</x:v>
      </x:c>
      <x:c r="C2080" t="str">
        <x:v>G</x:v>
      </x:c>
      <x:c r="D2080" t="str">
        <x:v>SI1</x:v>
      </x:c>
      <x:c r="E2080" s="36" t="n">
        <x:v>62400</x:v>
      </x:c>
      <x:c r="F2080" s="36" t="n">
        <x:v>3664</x:v>
      </x:c>
      <x:c r="G2080" s="42" t="n">
        <x:v>0.7859287859287859</x:v>
      </x:c>
      <x:c r="H2080" s="36" t="n">
        <x:f>E2080*G2080</x:f>
        <x:v>49041.95624195624</x:v>
      </x:c>
      <x:c r="I2080" s="36" t="n">
        <x:f>IFERROR(H2080/A2080,0)</x:f>
        <x:v>12260.48906048906</x:v>
      </x:c>
      <x:c r="J2080" s="67" t="str">
        <x:v>Modeled from live base + Sep-2026 quality ratio</x:v>
      </x:c>
      <x:c r="K2080" s="67" t="str">
        <x:v>https://www.stonealgo.com/diamond-prices/</x:v>
      </x:c>
      <x:c r="L2080" s="67" t="str">
        <x:v>https://www.pricescope.com/blog/natural-diamond-prices-september-2026</x:v>
      </x:c>
    </x:row>
    <x:row r="2081">
      <x:c r="A2081" t="n">
        <x:v>4</x:v>
      </x:c>
      <x:c r="B2081" t="str">
        <x:v>Princess</x:v>
      </x:c>
      <x:c r="C2081" t="str">
        <x:v>G</x:v>
      </x:c>
      <x:c r="D2081" t="str">
        <x:v>SI2</x:v>
      </x:c>
      <x:c r="E2081" s="36" t="n">
        <x:v>62400</x:v>
      </x:c>
      <x:c r="F2081" s="36" t="n">
        <x:v>2537</x:v>
      </x:c>
      <x:c r="G2081" s="42" t="n">
        <x:v>0.5441870441870442</x:v>
      </x:c>
      <x:c r="H2081" s="36" t="n">
        <x:f>E2081*G2081</x:f>
        <x:v>33957.27155727156</x:v>
      </x:c>
      <x:c r="I2081" s="36" t="n">
        <x:f>IFERROR(H2081/A2081,0)</x:f>
        <x:v>8489.31788931789</x:v>
      </x:c>
      <x:c r="J2081" s="67" t="str">
        <x:v>Modeled from live base + Sep-2026 quality ratio</x:v>
      </x:c>
      <x:c r="K2081" s="67" t="str">
        <x:v>https://www.stonealgo.com/diamond-prices/</x:v>
      </x:c>
      <x:c r="L2081" s="67" t="str">
        <x:v>https://www.pricescope.com/blog/natural-diamond-prices-september-2026</x:v>
      </x:c>
    </x:row>
    <x:row r="2082">
      <x:c r="A2082" t="n">
        <x:v>4</x:v>
      </x:c>
      <x:c r="B2082" t="str">
        <x:v>Princess</x:v>
      </x:c>
      <x:c r="C2082" t="str">
        <x:v>H</x:v>
      </x:c>
      <x:c r="D2082" t="str">
        <x:v>FL</x:v>
      </x:c>
      <x:c r="E2082" s="36" t="n">
        <x:v>62400</x:v>
      </x:c>
      <x:c r="F2082" s="36" t="n">
        <x:v>4563</x:v>
      </x:c>
      <x:c r="G2082" s="42" t="n">
        <x:v>0.9787644787644788</x:v>
      </x:c>
      <x:c r="H2082" s="36" t="n">
        <x:f>E2082*G2082</x:f>
        <x:v>61074.903474903476</x:v>
      </x:c>
      <x:c r="I2082" s="36" t="n">
        <x:f>IFERROR(H2082/A2082,0)</x:f>
        <x:v>15268.725868725869</x:v>
      </x:c>
      <x:c r="J2082" s="67" t="str">
        <x:v>Modeled from live base + Sep-2026 quality ratio</x:v>
      </x:c>
      <x:c r="K2082" s="67" t="str">
        <x:v>https://www.stonealgo.com/diamond-prices/</x:v>
      </x:c>
      <x:c r="L2082" s="67" t="str">
        <x:v>https://www.pricescope.com/blog/natural-diamond-prices-september-2026</x:v>
      </x:c>
    </x:row>
    <x:row r="2083">
      <x:c r="A2083" t="n">
        <x:v>4</x:v>
      </x:c>
      <x:c r="B2083" t="str">
        <x:v>Princess</x:v>
      </x:c>
      <x:c r="C2083" t="str">
        <x:v>H</x:v>
      </x:c>
      <x:c r="D2083" t="str">
        <x:v>IF</x:v>
      </x:c>
      <x:c r="E2083" s="36" t="n">
        <x:v>62400</x:v>
      </x:c>
      <x:c r="F2083" s="36" t="n">
        <x:v>4809</x:v>
      </x:c>
      <x:c r="G2083" s="42" t="n">
        <x:v>1.0315315315315314</x:v>
      </x:c>
      <x:c r="H2083" s="36" t="n">
        <x:f>E2083*G2083</x:f>
        <x:v>64367.56756756756</x:v>
      </x:c>
      <x:c r="I2083" s="36" t="n">
        <x:f>IFERROR(H2083/A2083,0)</x:f>
        <x:v>16091.89189189189</x:v>
      </x:c>
      <x:c r="J2083" s="67" t="str">
        <x:v>Modeled from live base + Sep-2026 quality ratio</x:v>
      </x:c>
      <x:c r="K2083" s="67" t="str">
        <x:v>https://www.stonealgo.com/diamond-prices/</x:v>
      </x:c>
      <x:c r="L2083" s="67" t="str">
        <x:v>https://www.pricescope.com/blog/natural-diamond-prices-september-2026</x:v>
      </x:c>
    </x:row>
    <x:row r="2084">
      <x:c r="A2084" t="n">
        <x:v>4</x:v>
      </x:c>
      <x:c r="B2084" t="str">
        <x:v>Princess</x:v>
      </x:c>
      <x:c r="C2084" t="str">
        <x:v>H</x:v>
      </x:c>
      <x:c r="D2084" t="str">
        <x:v>VVS1</x:v>
      </x:c>
      <x:c r="E2084" s="36" t="n">
        <x:v>62400</x:v>
      </x:c>
      <x:c r="F2084" s="36" t="n">
        <x:v>4911</x:v>
      </x:c>
      <x:c r="G2084" s="42" t="n">
        <x:v>1.0534105534105533</x:v>
      </x:c>
      <x:c r="H2084" s="36" t="n">
        <x:f>E2084*G2084</x:f>
        <x:v>65732.81853281854</x:v>
      </x:c>
      <x:c r="I2084" s="36" t="n">
        <x:f>IFERROR(H2084/A2084,0)</x:f>
        <x:v>16433.204633204634</x:v>
      </x:c>
      <x:c r="J2084" s="67" t="str">
        <x:v>Modeled from live base + Sep-2026 quality ratio</x:v>
      </x:c>
      <x:c r="K2084" s="67" t="str">
        <x:v>https://www.stonealgo.com/diamond-prices/</x:v>
      </x:c>
      <x:c r="L2084" s="67" t="str">
        <x:v>https://www.pricescope.com/blog/natural-diamond-prices-september-2026</x:v>
      </x:c>
    </x:row>
    <x:row r="2085">
      <x:c r="A2085" t="n">
        <x:v>4</x:v>
      </x:c>
      <x:c r="B2085" t="str">
        <x:v>Princess</x:v>
      </x:c>
      <x:c r="C2085" t="str">
        <x:v>H</x:v>
      </x:c>
      <x:c r="D2085" t="str">
        <x:v>VVS2</x:v>
      </x:c>
      <x:c r="E2085" s="36" t="n">
        <x:v>62400</x:v>
      </x:c>
      <x:c r="F2085" s="36" t="n">
        <x:v>4046</x:v>
      </x:c>
      <x:c r="G2085" s="42" t="n">
        <x:v>0.8678678678678678</x:v>
      </x:c>
      <x:c r="H2085" s="36" t="n">
        <x:f>E2085*G2085</x:f>
        <x:v>54154.954954954956</x:v>
      </x:c>
      <x:c r="I2085" s="36" t="n">
        <x:f>IFERROR(H2085/A2085,0)</x:f>
        <x:v>13538.738738738739</x:v>
      </x:c>
      <x:c r="J2085" s="67" t="str">
        <x:v>Modeled from live base + Sep-2026 quality ratio</x:v>
      </x:c>
      <x:c r="K2085" s="67" t="str">
        <x:v>https://www.stonealgo.com/diamond-prices/</x:v>
      </x:c>
      <x:c r="L2085" s="67" t="str">
        <x:v>https://www.pricescope.com/blog/natural-diamond-prices-september-2026</x:v>
      </x:c>
    </x:row>
    <x:row r="2086">
      <x:c r="A2086" t="n">
        <x:v>4</x:v>
      </x:c>
      <x:c r="B2086" t="str">
        <x:v>Princess</x:v>
      </x:c>
      <x:c r="C2086" t="str">
        <x:v>H</x:v>
      </x:c>
      <x:c r="D2086" t="str">
        <x:v>VS1</x:v>
      </x:c>
      <x:c r="E2086" s="36" t="n">
        <x:v>62400</x:v>
      </x:c>
      <x:c r="F2086" s="36" t="n">
        <x:v>3893</x:v>
      </x:c>
      <x:c r="G2086" s="42" t="n">
        <x:v>0.8350493350493351</x:v>
      </x:c>
      <x:c r="H2086" s="36" t="n">
        <x:f>E2086*G2086</x:f>
        <x:v>52107.07850707851</x:v>
      </x:c>
      <x:c r="I2086" s="36" t="n">
        <x:f>IFERROR(H2086/A2086,0)</x:f>
        <x:v>13026.769626769628</x:v>
      </x:c>
      <x:c r="J2086" s="67" t="str">
        <x:v>Modeled from live base + Sep-2026 quality ratio</x:v>
      </x:c>
      <x:c r="K2086" s="67" t="str">
        <x:v>https://www.stonealgo.com/diamond-prices/</x:v>
      </x:c>
      <x:c r="L2086" s="67" t="str">
        <x:v>https://www.pricescope.com/blog/natural-diamond-prices-september-2026</x:v>
      </x:c>
    </x:row>
    <x:row r="2087">
      <x:c r="A2087" t="n">
        <x:v>4</x:v>
      </x:c>
      <x:c r="B2087" t="str">
        <x:v>Princess</x:v>
      </x:c>
      <x:c r="C2087" t="str">
        <x:v>H</x:v>
      </x:c>
      <x:c r="D2087" t="str">
        <x:v>VS2</x:v>
      </x:c>
      <x:c r="E2087" s="36" t="n">
        <x:v>62400</x:v>
      </x:c>
      <x:c r="F2087" s="36" t="n">
        <x:v>3989</x:v>
      </x:c>
      <x:c r="G2087" s="42" t="n">
        <x:v>0.8556413556413557</x:v>
      </x:c>
      <x:c r="H2087" s="36" t="n">
        <x:f>E2087*G2087</x:f>
        <x:v>53392.02059202059</x:v>
      </x:c>
      <x:c r="I2087" s="36" t="n">
        <x:f>IFERROR(H2087/A2087,0)</x:f>
        <x:v>13348.005148005148</x:v>
      </x:c>
      <x:c r="J2087" s="67" t="str">
        <x:v>Modeled from live base + Sep-2026 quality ratio</x:v>
      </x:c>
      <x:c r="K2087" s="67" t="str">
        <x:v>https://www.stonealgo.com/diamond-prices/</x:v>
      </x:c>
      <x:c r="L2087" s="67" t="str">
        <x:v>https://www.pricescope.com/blog/natural-diamond-prices-september-2026</x:v>
      </x:c>
    </x:row>
    <x:row r="2088">
      <x:c r="A2088" t="n">
        <x:v>4</x:v>
      </x:c>
      <x:c r="B2088" t="str">
        <x:v>Princess</x:v>
      </x:c>
      <x:c r="C2088" t="str">
        <x:v>H</x:v>
      </x:c>
      <x:c r="D2088" t="str">
        <x:v>SI1</x:v>
      </x:c>
      <x:c r="E2088" s="36" t="n">
        <x:v>62400</x:v>
      </x:c>
      <x:c r="F2088" s="36" t="n">
        <x:v>2828</x:v>
      </x:c>
      <x:c r="G2088" s="42" t="n">
        <x:v>0.6066066066066066</x:v>
      </x:c>
      <x:c r="H2088" s="36" t="n">
        <x:f>E2088*G2088</x:f>
        <x:v>37852.25225225225</x:v>
      </x:c>
      <x:c r="I2088" s="36" t="n">
        <x:f>IFERROR(H2088/A2088,0)</x:f>
        <x:v>9463.063063063062</x:v>
      </x:c>
      <x:c r="J2088" s="67" t="str">
        <x:v>Modeled from live base + Sep-2026 quality ratio</x:v>
      </x:c>
      <x:c r="K2088" s="67" t="str">
        <x:v>https://www.stonealgo.com/diamond-prices/</x:v>
      </x:c>
      <x:c r="L2088" s="67" t="str">
        <x:v>https://www.pricescope.com/blog/natural-diamond-prices-september-2026</x:v>
      </x:c>
    </x:row>
    <x:row r="2089">
      <x:c r="A2089" t="n">
        <x:v>4</x:v>
      </x:c>
      <x:c r="B2089" t="str">
        <x:v>Princess</x:v>
      </x:c>
      <x:c r="C2089" t="str">
        <x:v>H</x:v>
      </x:c>
      <x:c r="D2089" t="str">
        <x:v>SI2</x:v>
      </x:c>
      <x:c r="E2089" s="36" t="n">
        <x:v>62400</x:v>
      </x:c>
      <x:c r="F2089" s="36" t="n">
        <x:v>2328</x:v>
      </x:c>
      <x:c r="G2089" s="42" t="n">
        <x:v>0.49935649935649934</x:v>
      </x:c>
      <x:c r="H2089" s="36" t="n">
        <x:f>E2089*G2089</x:f>
        <x:v>31159.84555984556</x:v>
      </x:c>
      <x:c r="I2089" s="36" t="n">
        <x:f>IFERROR(H2089/A2089,0)</x:f>
        <x:v>7789.96138996139</x:v>
      </x:c>
      <x:c r="J2089" s="67" t="str">
        <x:v>Modeled from live base + Sep-2026 quality ratio</x:v>
      </x:c>
      <x:c r="K2089" s="67" t="str">
        <x:v>https://www.stonealgo.com/diamond-prices/</x:v>
      </x:c>
      <x:c r="L2089" s="67" t="str">
        <x:v>https://www.pricescope.com/blog/natural-diamond-prices-september-2026</x:v>
      </x:c>
    </x:row>
    <x:row r="2090">
      <x:c r="A2090" t="n">
        <x:v>4</x:v>
      </x:c>
      <x:c r="B2090" t="str">
        <x:v>Princess</x:v>
      </x:c>
      <x:c r="C2090" t="str">
        <x:v>I</x:v>
      </x:c>
      <x:c r="D2090" t="str">
        <x:v>FL</x:v>
      </x:c>
      <x:c r="E2090" s="36" t="n">
        <x:v>62400</x:v>
      </x:c>
      <x:c r="F2090" s="36" t="n">
        <x:v>4623</x:v>
      </x:c>
      <x:c r="G2090" s="42" t="n">
        <x:v>0.9916344916344917</x:v>
      </x:c>
      <x:c r="H2090" s="36" t="n">
        <x:f>E2090*G2090</x:f>
        <x:v>61877.99227799228</x:v>
      </x:c>
      <x:c r="I2090" s="36" t="n">
        <x:f>IFERROR(H2090/A2090,0)</x:f>
        <x:v>15469.49806949807</x:v>
      </x:c>
      <x:c r="J2090" s="67" t="str">
        <x:v>Modeled from live base + Sep-2026 quality ratio</x:v>
      </x:c>
      <x:c r="K2090" s="67" t="str">
        <x:v>https://www.stonealgo.com/diamond-prices/</x:v>
      </x:c>
      <x:c r="L2090" s="67" t="str">
        <x:v>https://www.pricescope.com/blog/natural-diamond-prices-september-2026</x:v>
      </x:c>
    </x:row>
    <x:row r="2091">
      <x:c r="A2091" t="n">
        <x:v>4</x:v>
      </x:c>
      <x:c r="B2091" t="str">
        <x:v>Princess</x:v>
      </x:c>
      <x:c r="C2091" t="str">
        <x:v>I</x:v>
      </x:c>
      <x:c r="D2091" t="str">
        <x:v>IF</x:v>
      </x:c>
      <x:c r="E2091" s="36" t="n">
        <x:v>62400</x:v>
      </x:c>
      <x:c r="F2091" s="36" t="n">
        <x:v>4005</x:v>
      </x:c>
      <x:c r="G2091" s="42" t="n">
        <x:v>0.859073359073359</x:v>
      </x:c>
      <x:c r="H2091" s="36" t="n">
        <x:f>E2091*G2091</x:f>
        <x:v>53606.1776061776</x:v>
      </x:c>
      <x:c r="I2091" s="36" t="n">
        <x:f>IFERROR(H2091/A2091,0)</x:f>
        <x:v>13401.5444015444</x:v>
      </x:c>
      <x:c r="J2091" s="67" t="str">
        <x:v>Modeled from live base + Sep-2026 quality ratio</x:v>
      </x:c>
      <x:c r="K2091" s="67" t="str">
        <x:v>https://www.stonealgo.com/diamond-prices/</x:v>
      </x:c>
      <x:c r="L2091" s="67" t="str">
        <x:v>https://www.pricescope.com/blog/natural-diamond-prices-september-2026</x:v>
      </x:c>
    </x:row>
    <x:row r="2092">
      <x:c r="A2092" t="n">
        <x:v>4</x:v>
      </x:c>
      <x:c r="B2092" t="str">
        <x:v>Princess</x:v>
      </x:c>
      <x:c r="C2092" t="str">
        <x:v>I</x:v>
      </x:c>
      <x:c r="D2092" t="str">
        <x:v>VVS1</x:v>
      </x:c>
      <x:c r="E2092" s="36" t="n">
        <x:v>62400</x:v>
      </x:c>
      <x:c r="F2092" s="36" t="n">
        <x:v>3670</x:v>
      </x:c>
      <x:c r="G2092" s="42" t="n">
        <x:v>0.7872157872157872</x:v>
      </x:c>
      <x:c r="H2092" s="36" t="n">
        <x:f>E2092*G2092</x:f>
        <x:v>49122.265122265126</x:v>
      </x:c>
      <x:c r="I2092" s="36" t="n">
        <x:f>IFERROR(H2092/A2092,0)</x:f>
        <x:v>12280.566280566281</x:v>
      </x:c>
      <x:c r="J2092" s="67" t="str">
        <x:v>Modeled from live base + Sep-2026 quality ratio</x:v>
      </x:c>
      <x:c r="K2092" s="67" t="str">
        <x:v>https://www.stonealgo.com/diamond-prices/</x:v>
      </x:c>
      <x:c r="L2092" s="67" t="str">
        <x:v>https://www.pricescope.com/blog/natural-diamond-prices-september-2026</x:v>
      </x:c>
    </x:row>
    <x:row r="2093">
      <x:c r="A2093" t="n">
        <x:v>4</x:v>
      </x:c>
      <x:c r="B2093" t="str">
        <x:v>Princess</x:v>
      </x:c>
      <x:c r="C2093" t="str">
        <x:v>I</x:v>
      </x:c>
      <x:c r="D2093" t="str">
        <x:v>VVS2</x:v>
      </x:c>
      <x:c r="E2093" s="36" t="n">
        <x:v>62400</x:v>
      </x:c>
      <x:c r="F2093" s="36" t="n">
        <x:v>3447</x:v>
      </x:c>
      <x:c r="G2093" s="42" t="n">
        <x:v>0.7393822393822393</x:v>
      </x:c>
      <x:c r="H2093" s="36" t="n">
        <x:f>E2093*G2093</x:f>
        <x:v>46137.45173745174</x:v>
      </x:c>
      <x:c r="I2093" s="36" t="n">
        <x:f>IFERROR(H2093/A2093,0)</x:f>
        <x:v>11534.362934362935</x:v>
      </x:c>
      <x:c r="J2093" s="67" t="str">
        <x:v>Modeled from live base + Sep-2026 quality ratio</x:v>
      </x:c>
      <x:c r="K2093" s="67" t="str">
        <x:v>https://www.stonealgo.com/diamond-prices/</x:v>
      </x:c>
      <x:c r="L2093" s="67" t="str">
        <x:v>https://www.pricescope.com/blog/natural-diamond-prices-september-2026</x:v>
      </x:c>
    </x:row>
    <x:row r="2094">
      <x:c r="A2094" t="n">
        <x:v>4</x:v>
      </x:c>
      <x:c r="B2094" t="str">
        <x:v>Princess</x:v>
      </x:c>
      <x:c r="C2094" t="str">
        <x:v>I</x:v>
      </x:c>
      <x:c r="D2094" t="str">
        <x:v>VS1</x:v>
      </x:c>
      <x:c r="E2094" s="36" t="n">
        <x:v>62400</x:v>
      </x:c>
      <x:c r="F2094" s="36" t="n">
        <x:v>3313</x:v>
      </x:c>
      <x:c r="G2094" s="42" t="n">
        <x:v>0.7106392106392107</x:v>
      </x:c>
      <x:c r="H2094" s="36" t="n">
        <x:f>E2094*G2094</x:f>
        <x:v>44343.886743886746</x:v>
      </x:c>
      <x:c r="I2094" s="36" t="n">
        <x:f>IFERROR(H2094/A2094,0)</x:f>
        <x:v>11085.971685971686</x:v>
      </x:c>
      <x:c r="J2094" s="67" t="str">
        <x:v>Modeled from live base + Sep-2026 quality ratio</x:v>
      </x:c>
      <x:c r="K2094" s="67" t="str">
        <x:v>https://www.stonealgo.com/diamond-prices/</x:v>
      </x:c>
      <x:c r="L2094" s="67" t="str">
        <x:v>https://www.pricescope.com/blog/natural-diamond-prices-september-2026</x:v>
      </x:c>
    </x:row>
    <x:row r="2095">
      <x:c r="A2095" t="n">
        <x:v>4</x:v>
      </x:c>
      <x:c r="B2095" t="str">
        <x:v>Princess</x:v>
      </x:c>
      <x:c r="C2095" t="str">
        <x:v>I</x:v>
      </x:c>
      <x:c r="D2095" t="str">
        <x:v>VS2</x:v>
      </x:c>
      <x:c r="E2095" s="36" t="n">
        <x:v>62400</x:v>
      </x:c>
      <x:c r="F2095" s="36" t="n">
        <x:v>3240</x:v>
      </x:c>
      <x:c r="G2095" s="42" t="n">
        <x:v>0.694980694980695</x:v>
      </x:c>
      <x:c r="H2095" s="36" t="n">
        <x:f>E2095*G2095</x:f>
        <x:v>43366.79536679537</x:v>
      </x:c>
      <x:c r="I2095" s="36" t="n">
        <x:f>IFERROR(H2095/A2095,0)</x:f>
        <x:v>10841.698841698842</x:v>
      </x:c>
      <x:c r="J2095" s="67" t="str">
        <x:v>Modeled from live base + Sep-2026 quality ratio</x:v>
      </x:c>
      <x:c r="K2095" s="67" t="str">
        <x:v>https://www.stonealgo.com/diamond-prices/</x:v>
      </x:c>
      <x:c r="L2095" s="67" t="str">
        <x:v>https://www.pricescope.com/blog/natural-diamond-prices-september-2026</x:v>
      </x:c>
    </x:row>
    <x:row r="2096">
      <x:c r="A2096" t="n">
        <x:v>4</x:v>
      </x:c>
      <x:c r="B2096" t="str">
        <x:v>Princess</x:v>
      </x:c>
      <x:c r="C2096" t="str">
        <x:v>I</x:v>
      </x:c>
      <x:c r="D2096" t="str">
        <x:v>SI1</x:v>
      </x:c>
      <x:c r="E2096" s="36" t="n">
        <x:v>62400</x:v>
      </x:c>
      <x:c r="F2096" s="36" t="n">
        <x:v>3199</x:v>
      </x:c>
      <x:c r="G2096" s="42" t="n">
        <x:v>0.6861861861861862</x:v>
      </x:c>
      <x:c r="H2096" s="36" t="n">
        <x:f>E2096*G2096</x:f>
        <x:v>42818.01801801802</x:v>
      </x:c>
      <x:c r="I2096" s="36" t="n">
        <x:f>IFERROR(H2096/A2096,0)</x:f>
        <x:v>10704.504504504504</x:v>
      </x:c>
      <x:c r="J2096" s="67" t="str">
        <x:v>Modeled from live base + Sep-2026 quality ratio</x:v>
      </x:c>
      <x:c r="K2096" s="67" t="str">
        <x:v>https://www.stonealgo.com/diamond-prices/</x:v>
      </x:c>
      <x:c r="L2096" s="67" t="str">
        <x:v>https://www.pricescope.com/blog/natural-diamond-prices-september-2026</x:v>
      </x:c>
    </x:row>
    <x:row r="2097">
      <x:c r="A2097" t="n">
        <x:v>4</x:v>
      </x:c>
      <x:c r="B2097" t="str">
        <x:v>Princess</x:v>
      </x:c>
      <x:c r="C2097" t="str">
        <x:v>I</x:v>
      </x:c>
      <x:c r="D2097" t="str">
        <x:v>SI2</x:v>
      </x:c>
      <x:c r="E2097" s="36" t="n">
        <x:v>62400</x:v>
      </x:c>
      <x:c r="F2097" s="36" t="n">
        <x:v>2874</x:v>
      </x:c>
      <x:c r="G2097" s="42" t="n">
        <x:v>0.6164736164736164</x:v>
      </x:c>
      <x:c r="H2097" s="36" t="n">
        <x:f>E2097*G2097</x:f>
        <x:v>38467.95366795366</x:v>
      </x:c>
      <x:c r="I2097" s="36" t="n">
        <x:f>IFERROR(H2097/A2097,0)</x:f>
        <x:v>9616.988416988415</x:v>
      </x:c>
      <x:c r="J2097" s="67" t="str">
        <x:v>Modeled from live base + Sep-2026 quality ratio</x:v>
      </x:c>
      <x:c r="K2097" s="67" t="str">
        <x:v>https://www.stonealgo.com/diamond-prices/</x:v>
      </x:c>
      <x:c r="L2097" s="67" t="str">
        <x:v>https://www.pricescope.com/blog/natural-diamond-prices-september-2026</x:v>
      </x:c>
    </x:row>
    <x:row r="2098">
      <x:c r="A2098" t="n">
        <x:v>4</x:v>
      </x:c>
      <x:c r="B2098" t="str">
        <x:v>Princess</x:v>
      </x:c>
      <x:c r="C2098" t="str">
        <x:v>J</x:v>
      </x:c>
      <x:c r="D2098" t="str">
        <x:v>FL</x:v>
      </x:c>
      <x:c r="E2098" s="36" t="n">
        <x:v>62400</x:v>
      </x:c>
      <x:c r="F2098" s="36" t="n">
        <x:v>3646</x:v>
      </x:c>
      <x:c r="G2098" s="42" t="n">
        <x:v>0.782067782067782</x:v>
      </x:c>
      <x:c r="H2098" s="36" t="n">
        <x:f>E2098*G2098</x:f>
        <x:v>48801.0296010296</x:v>
      </x:c>
      <x:c r="I2098" s="36" t="n">
        <x:f>IFERROR(H2098/A2098,0)</x:f>
        <x:v>12200.2574002574</x:v>
      </x:c>
      <x:c r="J2098" s="67" t="str">
        <x:v>Modeled from live base + Sep-2026 quality ratio</x:v>
      </x:c>
      <x:c r="K2098" s="67" t="str">
        <x:v>https://www.stonealgo.com/diamond-prices/</x:v>
      </x:c>
      <x:c r="L2098" s="67" t="str">
        <x:v>https://www.pricescope.com/blog/natural-diamond-prices-september-2026</x:v>
      </x:c>
    </x:row>
    <x:row r="2099">
      <x:c r="A2099" t="n">
        <x:v>4</x:v>
      </x:c>
      <x:c r="B2099" t="str">
        <x:v>Princess</x:v>
      </x:c>
      <x:c r="C2099" t="str">
        <x:v>J</x:v>
      </x:c>
      <x:c r="D2099" t="str">
        <x:v>IF</x:v>
      </x:c>
      <x:c r="E2099" s="36" t="n">
        <x:v>62400</x:v>
      </x:c>
      <x:c r="F2099" s="36" t="n">
        <x:v>3368</x:v>
      </x:c>
      <x:c r="G2099" s="42" t="n">
        <x:v>0.7224367224367224</x:v>
      </x:c>
      <x:c r="H2099" s="36" t="n">
        <x:f>E2099*G2099</x:f>
        <x:v>45080.05148005148</x:v>
      </x:c>
      <x:c r="I2099" s="36" t="n">
        <x:f>IFERROR(H2099/A2099,0)</x:f>
        <x:v>11270.01287001287</x:v>
      </x:c>
      <x:c r="J2099" s="67" t="str">
        <x:v>Modeled from live base + Sep-2026 quality ratio</x:v>
      </x:c>
      <x:c r="K2099" s="67" t="str">
        <x:v>https://www.stonealgo.com/diamond-prices/</x:v>
      </x:c>
      <x:c r="L2099" s="67" t="str">
        <x:v>https://www.pricescope.com/blog/natural-diamond-prices-september-2026</x:v>
      </x:c>
    </x:row>
    <x:row r="2100">
      <x:c r="A2100" t="n">
        <x:v>4</x:v>
      </x:c>
      <x:c r="B2100" t="str">
        <x:v>Princess</x:v>
      </x:c>
      <x:c r="C2100" t="str">
        <x:v>J</x:v>
      </x:c>
      <x:c r="D2100" t="str">
        <x:v>VVS1</x:v>
      </x:c>
      <x:c r="E2100" s="36" t="n">
        <x:v>62400</x:v>
      </x:c>
      <x:c r="F2100" s="36" t="n">
        <x:v>2956</x:v>
      </x:c>
      <x:c r="G2100" s="42" t="n">
        <x:v>0.6340626340626341</x:v>
      </x:c>
      <x:c r="H2100" s="36" t="n">
        <x:f>E2100*G2100</x:f>
        <x:v>39565.508365508365</x:v>
      </x:c>
      <x:c r="I2100" s="36" t="n">
        <x:f>IFERROR(H2100/A2100,0)</x:f>
        <x:v>9891.377091377091</x:v>
      </x:c>
      <x:c r="J2100" s="67" t="str">
        <x:v>Modeled from live base + Sep-2026 quality ratio</x:v>
      </x:c>
      <x:c r="K2100" s="67" t="str">
        <x:v>https://www.stonealgo.com/diamond-prices/</x:v>
      </x:c>
      <x:c r="L2100" s="67" t="str">
        <x:v>https://www.pricescope.com/blog/natural-diamond-prices-september-2026</x:v>
      </x:c>
    </x:row>
    <x:row r="2101">
      <x:c r="A2101" t="n">
        <x:v>4</x:v>
      </x:c>
      <x:c r="B2101" t="str">
        <x:v>Princess</x:v>
      </x:c>
      <x:c r="C2101" t="str">
        <x:v>J</x:v>
      </x:c>
      <x:c r="D2101" t="str">
        <x:v>VVS2</x:v>
      </x:c>
      <x:c r="E2101" s="36" t="n">
        <x:v>62400</x:v>
      </x:c>
      <x:c r="F2101" s="36" t="n">
        <x:v>2612</x:v>
      </x:c>
      <x:c r="G2101" s="42" t="n">
        <x:v>0.5602745602745602</x:v>
      </x:c>
      <x:c r="H2101" s="36" t="n">
        <x:f>E2101*G2101</x:f>
        <x:v>34961.13256113256</x:v>
      </x:c>
      <x:c r="I2101" s="36" t="n">
        <x:f>IFERROR(H2101/A2101,0)</x:f>
        <x:v>8740.28314028314</x:v>
      </x:c>
      <x:c r="J2101" s="67" t="str">
        <x:v>Modeled from live base + Sep-2026 quality ratio</x:v>
      </x:c>
      <x:c r="K2101" s="67" t="str">
        <x:v>https://www.stonealgo.com/diamond-prices/</x:v>
      </x:c>
      <x:c r="L2101" s="67" t="str">
        <x:v>https://www.pricescope.com/blog/natural-diamond-prices-september-2026</x:v>
      </x:c>
    </x:row>
    <x:row r="2102">
      <x:c r="A2102" t="n">
        <x:v>4</x:v>
      </x:c>
      <x:c r="B2102" t="str">
        <x:v>Princess</x:v>
      </x:c>
      <x:c r="C2102" t="str">
        <x:v>J</x:v>
      </x:c>
      <x:c r="D2102" t="str">
        <x:v>VS1</x:v>
      </x:c>
      <x:c r="E2102" s="36" t="n">
        <x:v>62400</x:v>
      </x:c>
      <x:c r="F2102" s="36" t="n">
        <x:v>3002</x:v>
      </x:c>
      <x:c r="G2102" s="42" t="n">
        <x:v>0.6439296439296439</x:v>
      </x:c>
      <x:c r="H2102" s="36" t="n">
        <x:f>E2102*G2102</x:f>
        <x:v>40181.20978120978</x:v>
      </x:c>
      <x:c r="I2102" s="36" t="n">
        <x:f>IFERROR(H2102/A2102,0)</x:f>
        <x:v>10045.302445302445</x:v>
      </x:c>
      <x:c r="J2102" s="67" t="str">
        <x:v>Modeled from live base + Sep-2026 quality ratio</x:v>
      </x:c>
      <x:c r="K2102" s="67" t="str">
        <x:v>https://www.stonealgo.com/diamond-prices/</x:v>
      </x:c>
      <x:c r="L2102" s="67" t="str">
        <x:v>https://www.pricescope.com/blog/natural-diamond-prices-september-2026</x:v>
      </x:c>
    </x:row>
    <x:row r="2103">
      <x:c r="A2103" t="n">
        <x:v>4</x:v>
      </x:c>
      <x:c r="B2103" t="str">
        <x:v>Princess</x:v>
      </x:c>
      <x:c r="C2103" t="str">
        <x:v>J</x:v>
      </x:c>
      <x:c r="D2103" t="str">
        <x:v>VS2</x:v>
      </x:c>
      <x:c r="E2103" s="36" t="n">
        <x:v>62400</x:v>
      </x:c>
      <x:c r="F2103" s="36" t="n">
        <x:v>2559</x:v>
      </x:c>
      <x:c r="G2103" s="42" t="n">
        <x:v>0.5489060489060489</x:v>
      </x:c>
      <x:c r="H2103" s="36" t="n">
        <x:f>E2103*G2103</x:f>
        <x:v>34251.73745173745</x:v>
      </x:c>
      <x:c r="I2103" s="36" t="n">
        <x:f>IFERROR(H2103/A2103,0)</x:f>
        <x:v>8562.934362934362</x:v>
      </x:c>
      <x:c r="J2103" s="67" t="str">
        <x:v>Modeled from live base + Sep-2026 quality ratio</x:v>
      </x:c>
      <x:c r="K2103" s="67" t="str">
        <x:v>https://www.stonealgo.com/diamond-prices/</x:v>
      </x:c>
      <x:c r="L2103" s="67" t="str">
        <x:v>https://www.pricescope.com/blog/natural-diamond-prices-september-2026</x:v>
      </x:c>
    </x:row>
    <x:row r="2104">
      <x:c r="A2104" t="n">
        <x:v>4</x:v>
      </x:c>
      <x:c r="B2104" t="str">
        <x:v>Princess</x:v>
      </x:c>
      <x:c r="C2104" t="str">
        <x:v>J</x:v>
      </x:c>
      <x:c r="D2104" t="str">
        <x:v>SI1</x:v>
      </x:c>
      <x:c r="E2104" s="36" t="n">
        <x:v>62400</x:v>
      </x:c>
      <x:c r="F2104" s="36" t="n">
        <x:v>2195</x:v>
      </x:c>
      <x:c r="G2104" s="42" t="n">
        <x:v>0.47082797082797084</x:v>
      </x:c>
      <x:c r="H2104" s="36" t="n">
        <x:f>E2104*G2104</x:f>
        <x:v>29379.66537966538</x:v>
      </x:c>
      <x:c r="I2104" s="36" t="n">
        <x:f>IFERROR(H2104/A2104,0)</x:f>
        <x:v>7344.916344916345</x:v>
      </x:c>
      <x:c r="J2104" s="67" t="str">
        <x:v>Modeled from live base + Sep-2026 quality ratio</x:v>
      </x:c>
      <x:c r="K2104" s="67" t="str">
        <x:v>https://www.stonealgo.com/diamond-prices/</x:v>
      </x:c>
      <x:c r="L2104" s="67" t="str">
        <x:v>https://www.pricescope.com/blog/natural-diamond-prices-september-2026</x:v>
      </x:c>
    </x:row>
    <x:row r="2105">
      <x:c r="A2105" t="n">
        <x:v>4</x:v>
      </x:c>
      <x:c r="B2105" t="str">
        <x:v>Princess</x:v>
      </x:c>
      <x:c r="C2105" t="str">
        <x:v>J</x:v>
      </x:c>
      <x:c r="D2105" t="str">
        <x:v>SI2</x:v>
      </x:c>
      <x:c r="E2105" s="36" t="n">
        <x:v>62400</x:v>
      </x:c>
      <x:c r="F2105" s="36" t="n">
        <x:v>2079</x:v>
      </x:c>
      <x:c r="G2105" s="42" t="n">
        <x:v>0.44594594594594594</x:v>
      </x:c>
      <x:c r="H2105" s="36" t="n">
        <x:f>E2105*G2105</x:f>
        <x:v>27827.027027027027</x:v>
      </x:c>
      <x:c r="I2105" s="36" t="n">
        <x:f>IFERROR(H2105/A2105,0)</x:f>
        <x:v>6956.756756756757</x:v>
      </x:c>
      <x:c r="J2105" s="67" t="str">
        <x:v>Modeled from live base + Sep-2026 quality ratio</x:v>
      </x:c>
      <x:c r="K2105" s="67" t="str">
        <x:v>https://www.stonealgo.com/diamond-prices/</x:v>
      </x:c>
      <x:c r="L2105" s="67" t="str">
        <x:v>https://www.pricescope.com/blog/natural-diamond-prices-september-2026</x:v>
      </x:c>
    </x:row>
    <x:row r="2106">
      <x:c r="A2106" t="n">
        <x:v>4</x:v>
      </x:c>
      <x:c r="B2106" t="str">
        <x:v>Princess</x:v>
      </x:c>
      <x:c r="C2106" t="str">
        <x:v>K</x:v>
      </x:c>
      <x:c r="D2106" t="str">
        <x:v>FL</x:v>
      </x:c>
      <x:c r="E2106" s="36" t="n">
        <x:v>62400</x:v>
      </x:c>
      <x:c r="F2106" s="36" t="n">
        <x:v>2858</x:v>
      </x:c>
      <x:c r="G2106" s="42" t="n">
        <x:v>0.6130416130416131</x:v>
      </x:c>
      <x:c r="H2106" s="36" t="n">
        <x:f>E2106*G2106</x:f>
        <x:v>38253.79665379666</x:v>
      </x:c>
      <x:c r="I2106" s="36" t="n">
        <x:f>IFERROR(H2106/A2106,0)</x:f>
        <x:v>9563.449163449164</x:v>
      </x:c>
      <x:c r="J2106" s="67" t="str">
        <x:v>Modeled from live base + Sep-2026 quality ratio; K/FL quality cell modeled</x:v>
      </x:c>
      <x:c r="K2106" s="67" t="str">
        <x:v>https://www.stonealgo.com/diamond-prices/</x:v>
      </x:c>
      <x:c r="L2106" s="67" t="str">
        <x:v>https://www.pricescope.com/blog/natural-diamond-prices-september-2026</x:v>
      </x:c>
    </x:row>
    <x:row r="2107">
      <x:c r="A2107" t="n">
        <x:v>4</x:v>
      </x:c>
      <x:c r="B2107" t="str">
        <x:v>Princess</x:v>
      </x:c>
      <x:c r="C2107" t="str">
        <x:v>K</x:v>
      </x:c>
      <x:c r="D2107" t="str">
        <x:v>IF</x:v>
      </x:c>
      <x:c r="E2107" s="36" t="n">
        <x:v>62400</x:v>
      </x:c>
      <x:c r="F2107" s="36" t="n">
        <x:v>2743</x:v>
      </x:c>
      <x:c r="G2107" s="42" t="n">
        <x:v>0.5883740883740883</x:v>
      </x:c>
      <x:c r="H2107" s="36" t="n">
        <x:f>E2107*G2107</x:f>
        <x:v>36714.543114543114</x:v>
      </x:c>
      <x:c r="I2107" s="36" t="n">
        <x:f>IFERROR(H2107/A2107,0)</x:f>
        <x:v>9178.635778635778</x:v>
      </x:c>
      <x:c r="J2107" s="67" t="str">
        <x:v>Modeled from live base + Sep-2026 quality ratio</x:v>
      </x:c>
      <x:c r="K2107" s="67" t="str">
        <x:v>https://www.stonealgo.com/diamond-prices/</x:v>
      </x:c>
      <x:c r="L2107" s="67" t="str">
        <x:v>https://www.pricescope.com/blog/natural-diamond-prices-september-2026</x:v>
      </x:c>
    </x:row>
    <x:row r="2108">
      <x:c r="A2108" t="n">
        <x:v>4</x:v>
      </x:c>
      <x:c r="B2108" t="str">
        <x:v>Princess</x:v>
      </x:c>
      <x:c r="C2108" t="str">
        <x:v>K</x:v>
      </x:c>
      <x:c r="D2108" t="str">
        <x:v>VVS1</x:v>
      </x:c>
      <x:c r="E2108" s="36" t="n">
        <x:v>62400</x:v>
      </x:c>
      <x:c r="F2108" s="36" t="n">
        <x:v>2529</x:v>
      </x:c>
      <x:c r="G2108" s="42" t="n">
        <x:v>0.5424710424710425</x:v>
      </x:c>
      <x:c r="H2108" s="36" t="n">
        <x:f>E2108*G2108</x:f>
        <x:v>33850.193050193055</x:v>
      </x:c>
      <x:c r="I2108" s="36" t="n">
        <x:f>IFERROR(H2108/A2108,0)</x:f>
        <x:v>8462.548262548264</x:v>
      </x:c>
      <x:c r="J2108" s="67" t="str">
        <x:v>Modeled from live base + Sep-2026 quality ratio</x:v>
      </x:c>
      <x:c r="K2108" s="67" t="str">
        <x:v>https://www.stonealgo.com/diamond-prices/</x:v>
      </x:c>
      <x:c r="L2108" s="67" t="str">
        <x:v>https://www.pricescope.com/blog/natural-diamond-prices-september-2026</x:v>
      </x:c>
    </x:row>
    <x:row r="2109">
      <x:c r="A2109" t="n">
        <x:v>4</x:v>
      </x:c>
      <x:c r="B2109" t="str">
        <x:v>Princess</x:v>
      </x:c>
      <x:c r="C2109" t="str">
        <x:v>K</x:v>
      </x:c>
      <x:c r="D2109" t="str">
        <x:v>VVS2</x:v>
      </x:c>
      <x:c r="E2109" s="36" t="n">
        <x:v>62400</x:v>
      </x:c>
      <x:c r="F2109" s="36" t="n">
        <x:v>2374</x:v>
      </x:c>
      <x:c r="G2109" s="42" t="n">
        <x:v>0.5092235092235092</x:v>
      </x:c>
      <x:c r="H2109" s="36" t="n">
        <x:f>E2109*G2109</x:f>
        <x:v>31775.546975546975</x:v>
      </x:c>
      <x:c r="I2109" s="36" t="n">
        <x:f>IFERROR(H2109/A2109,0)</x:f>
        <x:v>7943.886743886744</x:v>
      </x:c>
      <x:c r="J2109" s="67" t="str">
        <x:v>Modeled from live base + Sep-2026 quality ratio</x:v>
      </x:c>
      <x:c r="K2109" s="67" t="str">
        <x:v>https://www.stonealgo.com/diamond-prices/</x:v>
      </x:c>
      <x:c r="L2109" s="67" t="str">
        <x:v>https://www.pricescope.com/blog/natural-diamond-prices-september-2026</x:v>
      </x:c>
    </x:row>
    <x:row r="2110">
      <x:c r="A2110" t="n">
        <x:v>4</x:v>
      </x:c>
      <x:c r="B2110" t="str">
        <x:v>Princess</x:v>
      </x:c>
      <x:c r="C2110" t="str">
        <x:v>K</x:v>
      </x:c>
      <x:c r="D2110" t="str">
        <x:v>VS1</x:v>
      </x:c>
      <x:c r="E2110" s="36" t="n">
        <x:v>62400</x:v>
      </x:c>
      <x:c r="F2110" s="36" t="n">
        <x:v>2223</x:v>
      </x:c>
      <x:c r="G2110" s="42" t="n">
        <x:v>0.4768339768339768</x:v>
      </x:c>
      <x:c r="H2110" s="36" t="n">
        <x:f>E2110*G2110</x:f>
        <x:v>29754.440154440155</x:v>
      </x:c>
      <x:c r="I2110" s="36" t="n">
        <x:f>IFERROR(H2110/A2110,0)</x:f>
        <x:v>7438.610038610039</x:v>
      </x:c>
      <x:c r="J2110" s="67" t="str">
        <x:v>Modeled from live base + Sep-2026 quality ratio</x:v>
      </x:c>
      <x:c r="K2110" s="67" t="str">
        <x:v>https://www.stonealgo.com/diamond-prices/</x:v>
      </x:c>
      <x:c r="L2110" s="67" t="str">
        <x:v>https://www.pricescope.com/blog/natural-diamond-prices-september-2026</x:v>
      </x:c>
    </x:row>
    <x:row r="2111">
      <x:c r="A2111" t="n">
        <x:v>4</x:v>
      </x:c>
      <x:c r="B2111" t="str">
        <x:v>Princess</x:v>
      </x:c>
      <x:c r="C2111" t="str">
        <x:v>K</x:v>
      </x:c>
      <x:c r="D2111" t="str">
        <x:v>VS2</x:v>
      </x:c>
      <x:c r="E2111" s="36" t="n">
        <x:v>62400</x:v>
      </x:c>
      <x:c r="F2111" s="36" t="n">
        <x:v>2098</x:v>
      </x:c>
      <x:c r="G2111" s="42" t="n">
        <x:v>0.45002145002145</x:v>
      </x:c>
      <x:c r="H2111" s="36" t="n">
        <x:f>E2111*G2111</x:f>
        <x:v>28081.33848133848</x:v>
      </x:c>
      <x:c r="I2111" s="36" t="n">
        <x:f>IFERROR(H2111/A2111,0)</x:f>
        <x:v>7020.33462033462</x:v>
      </x:c>
      <x:c r="J2111" s="67" t="str">
        <x:v>Modeled from live base + Sep-2026 quality ratio</x:v>
      </x:c>
      <x:c r="K2111" s="67" t="str">
        <x:v>https://www.stonealgo.com/diamond-prices/</x:v>
      </x:c>
      <x:c r="L2111" s="67" t="str">
        <x:v>https://www.pricescope.com/blog/natural-diamond-prices-september-2026</x:v>
      </x:c>
    </x:row>
    <x:row r="2112">
      <x:c r="A2112" t="n">
        <x:v>4</x:v>
      </x:c>
      <x:c r="B2112" t="str">
        <x:v>Princess</x:v>
      </x:c>
      <x:c r="C2112" t="str">
        <x:v>K</x:v>
      </x:c>
      <x:c r="D2112" t="str">
        <x:v>SI1</x:v>
      </x:c>
      <x:c r="E2112" s="36" t="n">
        <x:v>62400</x:v>
      </x:c>
      <x:c r="F2112" s="36" t="n">
        <x:v>1922</x:v>
      </x:c>
      <x:c r="G2112" s="42" t="n">
        <x:v>0.41226941226941227</x:v>
      </x:c>
      <x:c r="H2112" s="36" t="n">
        <x:f>E2112*G2112</x:f>
        <x:v>25725.611325611324</x:v>
      </x:c>
      <x:c r="I2112" s="36" t="n">
        <x:f>IFERROR(H2112/A2112,0)</x:f>
        <x:v>6431.402831402831</x:v>
      </x:c>
      <x:c r="J2112" s="67" t="str">
        <x:v>Modeled from live base + Sep-2026 quality ratio</x:v>
      </x:c>
      <x:c r="K2112" s="67" t="str">
        <x:v>https://www.stonealgo.com/diamond-prices/</x:v>
      </x:c>
      <x:c r="L2112" s="67" t="str">
        <x:v>https://www.pricescope.com/blog/natural-diamond-prices-september-2026</x:v>
      </x:c>
    </x:row>
    <x:row r="2113">
      <x:c r="A2113" t="n">
        <x:v>4</x:v>
      </x:c>
      <x:c r="B2113" t="str">
        <x:v>Princess</x:v>
      </x:c>
      <x:c r="C2113" t="str">
        <x:v>K</x:v>
      </x:c>
      <x:c r="D2113" t="str">
        <x:v>SI2</x:v>
      </x:c>
      <x:c r="E2113" s="36" t="n">
        <x:v>62400</x:v>
      </x:c>
      <x:c r="F2113" s="36" t="n">
        <x:v>1764</x:v>
      </x:c>
      <x:c r="G2113" s="42" t="n">
        <x:v>0.3783783783783784</x:v>
      </x:c>
      <x:c r="H2113" s="36" t="n">
        <x:f>E2113*G2113</x:f>
        <x:v>23610.810810810814</x:v>
      </x:c>
      <x:c r="I2113" s="36" t="n">
        <x:f>IFERROR(H2113/A2113,0)</x:f>
        <x:v>5902.702702702703</x:v>
      </x:c>
      <x:c r="J2113" s="67" t="str">
        <x:v>Modeled from live base + Sep-2026 quality ratio</x:v>
      </x:c>
      <x:c r="K2113" s="67" t="str">
        <x:v>https://www.stonealgo.com/diamond-prices/</x:v>
      </x:c>
      <x:c r="L2113" s="67" t="str">
        <x:v>https://www.pricescope.com/blog/natural-diamond-prices-september-2026</x:v>
      </x:c>
    </x:row>
    <x:row r="2114">
      <x:c r="A2114" t="n">
        <x:v>4</x:v>
      </x:c>
      <x:c r="B2114" t="str">
        <x:v>Emerald</x:v>
      </x:c>
      <x:c r="C2114" t="str">
        <x:v>D</x:v>
      </x:c>
      <x:c r="D2114" t="str">
        <x:v>FL</x:v>
      </x:c>
      <x:c r="E2114" s="36" t="n">
        <x:v>70400</x:v>
      </x:c>
      <x:c r="F2114" s="36" t="n">
        <x:v>12665</x:v>
      </x:c>
      <x:c r="G2114" s="42" t="n">
        <x:v>2.7166452166452166</x:v>
      </x:c>
      <x:c r="H2114" s="36" t="n">
        <x:f>E2114*G2114</x:f>
        <x:v>191251.82325182325</x:v>
      </x:c>
      <x:c r="I2114" s="36" t="n">
        <x:f>IFERROR(H2114/A2114,0)</x:f>
        <x:v>47812.95581295581</x:v>
      </x:c>
      <x:c r="J2114" s="67" t="str">
        <x:v>Modeled from live base + Sep-2026 quality ratio</x:v>
      </x:c>
      <x:c r="K2114" s="67" t="str">
        <x:v>https://www.stonealgo.com/diamond-prices/</x:v>
      </x:c>
      <x:c r="L2114" s="67" t="str">
        <x:v>https://www.pricescope.com/blog/natural-diamond-prices-september-2026</x:v>
      </x:c>
    </x:row>
    <x:row r="2115">
      <x:c r="A2115" t="n">
        <x:v>4</x:v>
      </x:c>
      <x:c r="B2115" t="str">
        <x:v>Emerald</x:v>
      </x:c>
      <x:c r="C2115" t="str">
        <x:v>D</x:v>
      </x:c>
      <x:c r="D2115" t="str">
        <x:v>IF</x:v>
      </x:c>
      <x:c r="E2115" s="36" t="n">
        <x:v>70400</x:v>
      </x:c>
      <x:c r="F2115" s="36" t="n">
        <x:v>13240</x:v>
      </x:c>
      <x:c r="G2115" s="42" t="n">
        <x:v>2.83998283998284</x:v>
      </x:c>
      <x:c r="H2115" s="36" t="n">
        <x:f>E2115*G2115</x:f>
        <x:v>199934.79193479195</x:v>
      </x:c>
      <x:c r="I2115" s="36" t="n">
        <x:f>IFERROR(H2115/A2115,0)</x:f>
        <x:v>49983.69798369799</x:v>
      </x:c>
      <x:c r="J2115" s="67" t="str">
        <x:v>Modeled from live base + Sep-2026 quality ratio</x:v>
      </x:c>
      <x:c r="K2115" s="67" t="str">
        <x:v>https://www.stonealgo.com/diamond-prices/</x:v>
      </x:c>
      <x:c r="L2115" s="67" t="str">
        <x:v>https://www.pricescope.com/blog/natural-diamond-prices-september-2026</x:v>
      </x:c>
    </x:row>
    <x:row r="2116">
      <x:c r="A2116" t="n">
        <x:v>4</x:v>
      </x:c>
      <x:c r="B2116" t="str">
        <x:v>Emerald</x:v>
      </x:c>
      <x:c r="C2116" t="str">
        <x:v>D</x:v>
      </x:c>
      <x:c r="D2116" t="str">
        <x:v>VVS1</x:v>
      </x:c>
      <x:c r="E2116" s="36" t="n">
        <x:v>70400</x:v>
      </x:c>
      <x:c r="F2116" s="36" t="n">
        <x:v>9555</x:v>
      </x:c>
      <x:c r="G2116" s="42" t="n">
        <x:v>2.0495495495495497</x:v>
      </x:c>
      <x:c r="H2116" s="36" t="n">
        <x:f>E2116*G2116</x:f>
        <x:v>144288.2882882883</x:v>
      </x:c>
      <x:c r="I2116" s="36" t="n">
        <x:f>IFERROR(H2116/A2116,0)</x:f>
        <x:v>36072.07207207208</x:v>
      </x:c>
      <x:c r="J2116" s="67" t="str">
        <x:v>Modeled from live base + Sep-2026 quality ratio</x:v>
      </x:c>
      <x:c r="K2116" s="67" t="str">
        <x:v>https://www.stonealgo.com/diamond-prices/</x:v>
      </x:c>
      <x:c r="L2116" s="67" t="str">
        <x:v>https://www.pricescope.com/blog/natural-diamond-prices-september-2026</x:v>
      </x:c>
    </x:row>
    <x:row r="2117">
      <x:c r="A2117" t="n">
        <x:v>4</x:v>
      </x:c>
      <x:c r="B2117" t="str">
        <x:v>Emerald</x:v>
      </x:c>
      <x:c r="C2117" t="str">
        <x:v>D</x:v>
      </x:c>
      <x:c r="D2117" t="str">
        <x:v>VVS2</x:v>
      </x:c>
      <x:c r="E2117" s="36" t="n">
        <x:v>70400</x:v>
      </x:c>
      <x:c r="F2117" s="36" t="n">
        <x:v>6660</x:v>
      </x:c>
      <x:c r="G2117" s="42" t="n">
        <x:v>1.4285714285714286</x:v>
      </x:c>
      <x:c r="H2117" s="36" t="n">
        <x:f>E2117*G2117</x:f>
        <x:v>100571.42857142858</x:v>
      </x:c>
      <x:c r="I2117" s="36" t="n">
        <x:f>IFERROR(H2117/A2117,0)</x:f>
        <x:v>25142.857142857145</x:v>
      </x:c>
      <x:c r="J2117" s="67" t="str">
        <x:v>Modeled from live base + Sep-2026 quality ratio</x:v>
      </x:c>
      <x:c r="K2117" s="67" t="str">
        <x:v>https://www.stonealgo.com/diamond-prices/</x:v>
      </x:c>
      <x:c r="L2117" s="67" t="str">
        <x:v>https://www.pricescope.com/blog/natural-diamond-prices-september-2026</x:v>
      </x:c>
    </x:row>
    <x:row r="2118">
      <x:c r="A2118" t="n">
        <x:v>4</x:v>
      </x:c>
      <x:c r="B2118" t="str">
        <x:v>Emerald</x:v>
      </x:c>
      <x:c r="C2118" t="str">
        <x:v>D</x:v>
      </x:c>
      <x:c r="D2118" t="str">
        <x:v>VS1</x:v>
      </x:c>
      <x:c r="E2118" s="36" t="n">
        <x:v>70400</x:v>
      </x:c>
      <x:c r="F2118" s="36" t="n">
        <x:v>6247</x:v>
      </x:c>
      <x:c r="G2118" s="42" t="n">
        <x:v>1.33998283998284</x:v>
      </x:c>
      <x:c r="H2118" s="36" t="n">
        <x:f>E2118*G2118</x:f>
        <x:v>94334.79193479194</x:v>
      </x:c>
      <x:c r="I2118" s="36" t="n">
        <x:f>IFERROR(H2118/A2118,0)</x:f>
        <x:v>23583.697983697984</x:v>
      </x:c>
      <x:c r="J2118" s="67" t="str">
        <x:v>Modeled from live base + Sep-2026 quality ratio</x:v>
      </x:c>
      <x:c r="K2118" s="67" t="str">
        <x:v>https://www.stonealgo.com/diamond-prices/</x:v>
      </x:c>
      <x:c r="L2118" s="67" t="str">
        <x:v>https://www.pricescope.com/blog/natural-diamond-prices-september-2026</x:v>
      </x:c>
    </x:row>
    <x:row r="2119">
      <x:c r="A2119" t="n">
        <x:v>4</x:v>
      </x:c>
      <x:c r="B2119" t="str">
        <x:v>Emerald</x:v>
      </x:c>
      <x:c r="C2119" t="str">
        <x:v>D</x:v>
      </x:c>
      <x:c r="D2119" t="str">
        <x:v>VS2</x:v>
      </x:c>
      <x:c r="E2119" s="36" t="n">
        <x:v>70400</x:v>
      </x:c>
      <x:c r="F2119" s="36" t="n">
        <x:v>5841</x:v>
      </x:c>
      <x:c r="G2119" s="42" t="n">
        <x:v>1.252895752895753</x:v>
      </x:c>
      <x:c r="H2119" s="36" t="n">
        <x:f>E2119*G2119</x:f>
        <x:v>88203.861003861</x:v>
      </x:c>
      <x:c r="I2119" s="36" t="n">
        <x:f>IFERROR(H2119/A2119,0)</x:f>
        <x:v>22050.96525096525</x:v>
      </x:c>
      <x:c r="J2119" s="67" t="str">
        <x:v>Modeled from live base + Sep-2026 quality ratio</x:v>
      </x:c>
      <x:c r="K2119" s="67" t="str">
        <x:v>https://www.stonealgo.com/diamond-prices/</x:v>
      </x:c>
      <x:c r="L2119" s="67" t="str">
        <x:v>https://www.pricescope.com/blog/natural-diamond-prices-september-2026</x:v>
      </x:c>
    </x:row>
    <x:row r="2120">
      <x:c r="A2120" t="n">
        <x:v>4</x:v>
      </x:c>
      <x:c r="B2120" t="str">
        <x:v>Emerald</x:v>
      </x:c>
      <x:c r="C2120" t="str">
        <x:v>D</x:v>
      </x:c>
      <x:c r="D2120" t="str">
        <x:v>SI1</x:v>
      </x:c>
      <x:c r="E2120" s="36" t="n">
        <x:v>70400</x:v>
      </x:c>
      <x:c r="F2120" s="36" t="n">
        <x:v>3762</x:v>
      </x:c>
      <x:c r="G2120" s="42" t="n">
        <x:v>0.806949806949807</x:v>
      </x:c>
      <x:c r="H2120" s="36" t="n">
        <x:f>E2120*G2120</x:f>
        <x:v>56809.26640926641</x:v>
      </x:c>
      <x:c r="I2120" s="36" t="n">
        <x:f>IFERROR(H2120/A2120,0)</x:f>
        <x:v>14202.316602316603</x:v>
      </x:c>
      <x:c r="J2120" s="67" t="str">
        <x:v>Modeled from live base + Sep-2026 quality ratio</x:v>
      </x:c>
      <x:c r="K2120" s="67" t="str">
        <x:v>https://www.stonealgo.com/diamond-prices/</x:v>
      </x:c>
      <x:c r="L2120" s="67" t="str">
        <x:v>https://www.pricescope.com/blog/natural-diamond-prices-september-2026</x:v>
      </x:c>
    </x:row>
    <x:row r="2121">
      <x:c r="A2121" t="n">
        <x:v>4</x:v>
      </x:c>
      <x:c r="B2121" t="str">
        <x:v>Emerald</x:v>
      </x:c>
      <x:c r="C2121" t="str">
        <x:v>D</x:v>
      </x:c>
      <x:c r="D2121" t="str">
        <x:v>SI2</x:v>
      </x:c>
      <x:c r="E2121" s="36" t="n">
        <x:v>70400</x:v>
      </x:c>
      <x:c r="F2121" s="36" t="n">
        <x:v>3026</x:v>
      </x:c>
      <x:c r="G2121" s="42" t="n">
        <x:v>0.6490776490776491</x:v>
      </x:c>
      <x:c r="H2121" s="36" t="n">
        <x:f>E2121*G2121</x:f>
        <x:v>45695.066495066494</x:v>
      </x:c>
      <x:c r="I2121" s="36" t="n">
        <x:f>IFERROR(H2121/A2121,0)</x:f>
        <x:v>11423.766623766624</x:v>
      </x:c>
      <x:c r="J2121" s="67" t="str">
        <x:v>Modeled from live base + Sep-2026 quality ratio</x:v>
      </x:c>
      <x:c r="K2121" s="67" t="str">
        <x:v>https://www.stonealgo.com/diamond-prices/</x:v>
      </x:c>
      <x:c r="L2121" s="67" t="str">
        <x:v>https://www.pricescope.com/blog/natural-diamond-prices-september-2026</x:v>
      </x:c>
    </x:row>
    <x:row r="2122">
      <x:c r="A2122" t="n">
        <x:v>4</x:v>
      </x:c>
      <x:c r="B2122" t="str">
        <x:v>Emerald</x:v>
      </x:c>
      <x:c r="C2122" t="str">
        <x:v>E</x:v>
      </x:c>
      <x:c r="D2122" t="str">
        <x:v>FL</x:v>
      </x:c>
      <x:c r="E2122" s="36" t="n">
        <x:v>70400</x:v>
      </x:c>
      <x:c r="F2122" s="36" t="n">
        <x:v>10072</x:v>
      </x:c>
      <x:c r="G2122" s="42" t="n">
        <x:v>2.1604461604461602</x:v>
      </x:c>
      <x:c r="H2122" s="36" t="n">
        <x:f>E2122*G2122</x:f>
        <x:v>152095.40969540967</x:v>
      </x:c>
      <x:c r="I2122" s="36" t="n">
        <x:f>IFERROR(H2122/A2122,0)</x:f>
        <x:v>38023.85242385242</x:v>
      </x:c>
      <x:c r="J2122" s="67" t="str">
        <x:v>Modeled from live base + Sep-2026 quality ratio</x:v>
      </x:c>
      <x:c r="K2122" s="67" t="str">
        <x:v>https://www.stonealgo.com/diamond-prices/</x:v>
      </x:c>
      <x:c r="L2122" s="67" t="str">
        <x:v>https://www.pricescope.com/blog/natural-diamond-prices-september-2026</x:v>
      </x:c>
    </x:row>
    <x:row r="2123">
      <x:c r="A2123" t="n">
        <x:v>4</x:v>
      </x:c>
      <x:c r="B2123" t="str">
        <x:v>Emerald</x:v>
      </x:c>
      <x:c r="C2123" t="str">
        <x:v>E</x:v>
      </x:c>
      <x:c r="D2123" t="str">
        <x:v>IF</x:v>
      </x:c>
      <x:c r="E2123" s="36" t="n">
        <x:v>70400</x:v>
      </x:c>
      <x:c r="F2123" s="36" t="n">
        <x:v>8672</x:v>
      </x:c>
      <x:c r="G2123" s="42" t="n">
        <x:v>1.8601458601458603</x:v>
      </x:c>
      <x:c r="H2123" s="36" t="n">
        <x:f>E2123*G2123</x:f>
        <x:v>130954.26855426856</x:v>
      </x:c>
      <x:c r="I2123" s="36" t="n">
        <x:f>IFERROR(H2123/A2123,0)</x:f>
        <x:v>32738.56713856714</x:v>
      </x:c>
      <x:c r="J2123" s="67" t="str">
        <x:v>Modeled from live base + Sep-2026 quality ratio</x:v>
      </x:c>
      <x:c r="K2123" s="67" t="str">
        <x:v>https://www.stonealgo.com/diamond-prices/</x:v>
      </x:c>
      <x:c r="L2123" s="67" t="str">
        <x:v>https://www.pricescope.com/blog/natural-diamond-prices-september-2026</x:v>
      </x:c>
    </x:row>
    <x:row r="2124">
      <x:c r="A2124" t="n">
        <x:v>4</x:v>
      </x:c>
      <x:c r="B2124" t="str">
        <x:v>Emerald</x:v>
      </x:c>
      <x:c r="C2124" t="str">
        <x:v>E</x:v>
      </x:c>
      <x:c r="D2124" t="str">
        <x:v>VVS1</x:v>
      </x:c>
      <x:c r="E2124" s="36" t="n">
        <x:v>70400</x:v>
      </x:c>
      <x:c r="F2124" s="36" t="n">
        <x:v>7842</x:v>
      </x:c>
      <x:c r="G2124" s="42" t="n">
        <x:v>1.6821106821106822</x:v>
      </x:c>
      <x:c r="H2124" s="36" t="n">
        <x:f>E2124*G2124</x:f>
        <x:v>118420.59202059203</x:v>
      </x:c>
      <x:c r="I2124" s="36" t="n">
        <x:f>IFERROR(H2124/A2124,0)</x:f>
        <x:v>29605.148005148007</x:v>
      </x:c>
      <x:c r="J2124" s="67" t="str">
        <x:v>Modeled from live base + Sep-2026 quality ratio</x:v>
      </x:c>
      <x:c r="K2124" s="67" t="str">
        <x:v>https://www.stonealgo.com/diamond-prices/</x:v>
      </x:c>
      <x:c r="L2124" s="67" t="str">
        <x:v>https://www.pricescope.com/blog/natural-diamond-prices-september-2026</x:v>
      </x:c>
    </x:row>
    <x:row r="2125">
      <x:c r="A2125" t="n">
        <x:v>4</x:v>
      </x:c>
      <x:c r="B2125" t="str">
        <x:v>Emerald</x:v>
      </x:c>
      <x:c r="C2125" t="str">
        <x:v>E</x:v>
      </x:c>
      <x:c r="D2125" t="str">
        <x:v>VVS2</x:v>
      </x:c>
      <x:c r="E2125" s="36" t="n">
        <x:v>70400</x:v>
      </x:c>
      <x:c r="F2125" s="36" t="n">
        <x:v>6880</x:v>
      </x:c>
      <x:c r="G2125" s="42" t="n">
        <x:v>1.4757614757614759</x:v>
      </x:c>
      <x:c r="H2125" s="36" t="n">
        <x:f>E2125*G2125</x:f>
        <x:v>103893.6078936079</x:v>
      </x:c>
      <x:c r="I2125" s="36" t="n">
        <x:f>IFERROR(H2125/A2125,0)</x:f>
        <x:v>25973.401973401975</x:v>
      </x:c>
      <x:c r="J2125" s="67" t="str">
        <x:v>Modeled from live base + Sep-2026 quality ratio</x:v>
      </x:c>
      <x:c r="K2125" s="67" t="str">
        <x:v>https://www.stonealgo.com/diamond-prices/</x:v>
      </x:c>
      <x:c r="L2125" s="67" t="str">
        <x:v>https://www.pricescope.com/blog/natural-diamond-prices-september-2026</x:v>
      </x:c>
    </x:row>
    <x:row r="2126">
      <x:c r="A2126" t="n">
        <x:v>4</x:v>
      </x:c>
      <x:c r="B2126" t="str">
        <x:v>Emerald</x:v>
      </x:c>
      <x:c r="C2126" t="str">
        <x:v>E</x:v>
      </x:c>
      <x:c r="D2126" t="str">
        <x:v>VS1</x:v>
      </x:c>
      <x:c r="E2126" s="36" t="n">
        <x:v>70400</x:v>
      </x:c>
      <x:c r="F2126" s="36" t="n">
        <x:v>6307</x:v>
      </x:c>
      <x:c r="G2126" s="42" t="n">
        <x:v>1.352852852852853</x:v>
      </x:c>
      <x:c r="H2126" s="36" t="n">
        <x:f>E2126*G2126</x:f>
        <x:v>95240.84084084084</x:v>
      </x:c>
      <x:c r="I2126" s="36" t="n">
        <x:f>IFERROR(H2126/A2126,0)</x:f>
        <x:v>23810.21021021021</x:v>
      </x:c>
      <x:c r="J2126" s="67" t="str">
        <x:v>Modeled from live base + Sep-2026 quality ratio</x:v>
      </x:c>
      <x:c r="K2126" s="67" t="str">
        <x:v>https://www.stonealgo.com/diamond-prices/</x:v>
      </x:c>
      <x:c r="L2126" s="67" t="str">
        <x:v>https://www.pricescope.com/blog/natural-diamond-prices-september-2026</x:v>
      </x:c>
    </x:row>
    <x:row r="2127">
      <x:c r="A2127" t="n">
        <x:v>4</x:v>
      </x:c>
      <x:c r="B2127" t="str">
        <x:v>Emerald</x:v>
      </x:c>
      <x:c r="C2127" t="str">
        <x:v>E</x:v>
      </x:c>
      <x:c r="D2127" t="str">
        <x:v>VS2</x:v>
      </x:c>
      <x:c r="E2127" s="36" t="n">
        <x:v>70400</x:v>
      </x:c>
      <x:c r="F2127" s="36" t="n">
        <x:v>5249</x:v>
      </x:c>
      <x:c r="G2127" s="42" t="n">
        <x:v>1.125911625911626</x:v>
      </x:c>
      <x:c r="H2127" s="36" t="n">
        <x:f>E2127*G2127</x:f>
        <x:v>79264.17846417846</x:v>
      </x:c>
      <x:c r="I2127" s="36" t="n">
        <x:f>IFERROR(H2127/A2127,0)</x:f>
        <x:v>19816.044616044615</x:v>
      </x:c>
      <x:c r="J2127" s="67" t="str">
        <x:v>Modeled from live base + Sep-2026 quality ratio</x:v>
      </x:c>
      <x:c r="K2127" s="67" t="str">
        <x:v>https://www.stonealgo.com/diamond-prices/</x:v>
      </x:c>
      <x:c r="L2127" s="67" t="str">
        <x:v>https://www.pricescope.com/blog/natural-diamond-prices-september-2026</x:v>
      </x:c>
    </x:row>
    <x:row r="2128">
      <x:c r="A2128" t="n">
        <x:v>4</x:v>
      </x:c>
      <x:c r="B2128" t="str">
        <x:v>Emerald</x:v>
      </x:c>
      <x:c r="C2128" t="str">
        <x:v>E</x:v>
      </x:c>
      <x:c r="D2128" t="str">
        <x:v>SI1</x:v>
      </x:c>
      <x:c r="E2128" s="36" t="n">
        <x:v>70400</x:v>
      </x:c>
      <x:c r="F2128" s="36" t="n">
        <x:v>3551</x:v>
      </x:c>
      <x:c r="G2128" s="42" t="n">
        <x:v>0.7616902616902617</x:v>
      </x:c>
      <x:c r="H2128" s="36" t="n">
        <x:f>E2128*G2128</x:f>
        <x:v>53622.99442299442</x:v>
      </x:c>
      <x:c r="I2128" s="36" t="n">
        <x:f>IFERROR(H2128/A2128,0)</x:f>
        <x:v>13405.748605748606</x:v>
      </x:c>
      <x:c r="J2128" s="67" t="str">
        <x:v>Modeled from live base + Sep-2026 quality ratio</x:v>
      </x:c>
      <x:c r="K2128" s="67" t="str">
        <x:v>https://www.stonealgo.com/diamond-prices/</x:v>
      </x:c>
      <x:c r="L2128" s="67" t="str">
        <x:v>https://www.pricescope.com/blog/natural-diamond-prices-september-2026</x:v>
      </x:c>
    </x:row>
    <x:row r="2129">
      <x:c r="A2129" t="n">
        <x:v>4</x:v>
      </x:c>
      <x:c r="B2129" t="str">
        <x:v>Emerald</x:v>
      </x:c>
      <x:c r="C2129" t="str">
        <x:v>E</x:v>
      </x:c>
      <x:c r="D2129" t="str">
        <x:v>SI2</x:v>
      </x:c>
      <x:c r="E2129" s="36" t="n">
        <x:v>70400</x:v>
      </x:c>
      <x:c r="F2129" s="36" t="n">
        <x:v>2993</x:v>
      </x:c>
      <x:c r="G2129" s="42" t="n">
        <x:v>0.641999141999142</x:v>
      </x:c>
      <x:c r="H2129" s="36" t="n">
        <x:f>E2129*G2129</x:f>
        <x:v>45196.73959673959</x:v>
      </x:c>
      <x:c r="I2129" s="36" t="n">
        <x:f>IFERROR(H2129/A2129,0)</x:f>
        <x:v>11299.184899184898</x:v>
      </x:c>
      <x:c r="J2129" s="67" t="str">
        <x:v>Modeled from live base + Sep-2026 quality ratio</x:v>
      </x:c>
      <x:c r="K2129" s="67" t="str">
        <x:v>https://www.stonealgo.com/diamond-prices/</x:v>
      </x:c>
      <x:c r="L2129" s="67" t="str">
        <x:v>https://www.pricescope.com/blog/natural-diamond-prices-september-2026</x:v>
      </x:c>
    </x:row>
    <x:row r="2130">
      <x:c r="A2130" t="n">
        <x:v>4</x:v>
      </x:c>
      <x:c r="B2130" t="str">
        <x:v>Emerald</x:v>
      </x:c>
      <x:c r="C2130" t="str">
        <x:v>F</x:v>
      </x:c>
      <x:c r="D2130" t="str">
        <x:v>FL</x:v>
      </x:c>
      <x:c r="E2130" s="36" t="n">
        <x:v>70400</x:v>
      </x:c>
      <x:c r="F2130" s="36" t="n">
        <x:v>6830</x:v>
      </x:c>
      <x:c r="G2130" s="42" t="n">
        <x:v>1.4650364650364651</x:v>
      </x:c>
      <x:c r="H2130" s="36" t="n">
        <x:f>E2130*G2130</x:f>
        <x:v>103138.56713856714</x:v>
      </x:c>
      <x:c r="I2130" s="36" t="n">
        <x:f>IFERROR(H2130/A2130,0)</x:f>
        <x:v>25784.641784641786</x:v>
      </x:c>
      <x:c r="J2130" s="67" t="str">
        <x:v>Modeled from live base + Sep-2026 quality ratio</x:v>
      </x:c>
      <x:c r="K2130" s="67" t="str">
        <x:v>https://www.stonealgo.com/diamond-prices/</x:v>
      </x:c>
      <x:c r="L2130" s="67" t="str">
        <x:v>https://www.pricescope.com/blog/natural-diamond-prices-september-2026</x:v>
      </x:c>
    </x:row>
    <x:row r="2131">
      <x:c r="A2131" t="n">
        <x:v>4</x:v>
      </x:c>
      <x:c r="B2131" t="str">
        <x:v>Emerald</x:v>
      </x:c>
      <x:c r="C2131" t="str">
        <x:v>F</x:v>
      </x:c>
      <x:c r="D2131" t="str">
        <x:v>IF</x:v>
      </x:c>
      <x:c r="E2131" s="36" t="n">
        <x:v>70400</x:v>
      </x:c>
      <x:c r="F2131" s="36" t="n">
        <x:v>7302</x:v>
      </x:c>
      <x:c r="G2131" s="42" t="n">
        <x:v>1.5662805662805663</x:v>
      </x:c>
      <x:c r="H2131" s="36" t="n">
        <x:f>E2131*G2131</x:f>
        <x:v>110266.15186615186</x:v>
      </x:c>
      <x:c r="I2131" s="36" t="n">
        <x:f>IFERROR(H2131/A2131,0)</x:f>
        <x:v>27566.537966537966</x:v>
      </x:c>
      <x:c r="J2131" s="67" t="str">
        <x:v>Modeled from live base + Sep-2026 quality ratio</x:v>
      </x:c>
      <x:c r="K2131" s="67" t="str">
        <x:v>https://www.stonealgo.com/diamond-prices/</x:v>
      </x:c>
      <x:c r="L2131" s="67" t="str">
        <x:v>https://www.pricescope.com/blog/natural-diamond-prices-september-2026</x:v>
      </x:c>
    </x:row>
    <x:row r="2132">
      <x:c r="A2132" t="n">
        <x:v>4</x:v>
      </x:c>
      <x:c r="B2132" t="str">
        <x:v>Emerald</x:v>
      </x:c>
      <x:c r="C2132" t="str">
        <x:v>F</x:v>
      </x:c>
      <x:c r="D2132" t="str">
        <x:v>VVS1</x:v>
      </x:c>
      <x:c r="E2132" s="36" t="n">
        <x:v>70400</x:v>
      </x:c>
      <x:c r="F2132" s="36" t="n">
        <x:v>7542</x:v>
      </x:c>
      <x:c r="G2132" s="42" t="n">
        <x:v>1.6177606177606179</x:v>
      </x:c>
      <x:c r="H2132" s="36" t="n">
        <x:f>E2132*G2132</x:f>
        <x:v>113890.3474903475</x:v>
      </x:c>
      <x:c r="I2132" s="36" t="n">
        <x:f>IFERROR(H2132/A2132,0)</x:f>
        <x:v>28472.586872586875</x:v>
      </x:c>
      <x:c r="J2132" s="67" t="str">
        <x:v>Modeled from live base + Sep-2026 quality ratio</x:v>
      </x:c>
      <x:c r="K2132" s="67" t="str">
        <x:v>https://www.stonealgo.com/diamond-prices/</x:v>
      </x:c>
      <x:c r="L2132" s="67" t="str">
        <x:v>https://www.pricescope.com/blog/natural-diamond-prices-september-2026</x:v>
      </x:c>
    </x:row>
    <x:row r="2133">
      <x:c r="A2133" t="n">
        <x:v>4</x:v>
      </x:c>
      <x:c r="B2133" t="str">
        <x:v>Emerald</x:v>
      </x:c>
      <x:c r="C2133" t="str">
        <x:v>F</x:v>
      </x:c>
      <x:c r="D2133" t="str">
        <x:v>VVS2</x:v>
      </x:c>
      <x:c r="E2133" s="36" t="n">
        <x:v>70400</x:v>
      </x:c>
      <x:c r="F2133" s="36" t="n">
        <x:v>6352</x:v>
      </x:c>
      <x:c r="G2133" s="42" t="n">
        <x:v>1.3625053625053625</x:v>
      </x:c>
      <x:c r="H2133" s="36" t="n">
        <x:f>E2133*G2133</x:f>
        <x:v>95920.37752037751</x:v>
      </x:c>
      <x:c r="I2133" s="36" t="n">
        <x:f>IFERROR(H2133/A2133,0)</x:f>
        <x:v>23980.09438009438</x:v>
      </x:c>
      <x:c r="J2133" s="67" t="str">
        <x:v>Modeled from live base + Sep-2026 quality ratio</x:v>
      </x:c>
      <x:c r="K2133" s="67" t="str">
        <x:v>https://www.stonealgo.com/diamond-prices/</x:v>
      </x:c>
      <x:c r="L2133" s="67" t="str">
        <x:v>https://www.pricescope.com/blog/natural-diamond-prices-september-2026</x:v>
      </x:c>
    </x:row>
    <x:row r="2134">
      <x:c r="A2134" t="n">
        <x:v>4</x:v>
      </x:c>
      <x:c r="B2134" t="str">
        <x:v>Emerald</x:v>
      </x:c>
      <x:c r="C2134" t="str">
        <x:v>F</x:v>
      </x:c>
      <x:c r="D2134" t="str">
        <x:v>VS1</x:v>
      </x:c>
      <x:c r="E2134" s="36" t="n">
        <x:v>70400</x:v>
      </x:c>
      <x:c r="F2134" s="36" t="n">
        <x:v>5647</x:v>
      </x:c>
      <x:c r="G2134" s="42" t="n">
        <x:v>1.2112827112827114</x:v>
      </x:c>
      <x:c r="H2134" s="36" t="n">
        <x:f>E2134*G2134</x:f>
        <x:v>85274.30287430288</x:v>
      </x:c>
      <x:c r="I2134" s="36" t="n">
        <x:f>IFERROR(H2134/A2134,0)</x:f>
        <x:v>21318.57571857572</x:v>
      </x:c>
      <x:c r="J2134" s="67" t="str">
        <x:v>Modeled from live base + Sep-2026 quality ratio</x:v>
      </x:c>
      <x:c r="K2134" s="67" t="str">
        <x:v>https://www.stonealgo.com/diamond-prices/</x:v>
      </x:c>
      <x:c r="L2134" s="67" t="str">
        <x:v>https://www.pricescope.com/blog/natural-diamond-prices-september-2026</x:v>
      </x:c>
    </x:row>
    <x:row r="2135">
      <x:c r="A2135" t="n">
        <x:v>4</x:v>
      </x:c>
      <x:c r="B2135" t="str">
        <x:v>Emerald</x:v>
      </x:c>
      <x:c r="C2135" t="str">
        <x:v>F</x:v>
      </x:c>
      <x:c r="D2135" t="str">
        <x:v>VS2</x:v>
      </x:c>
      <x:c r="E2135" s="36" t="n">
        <x:v>70400</x:v>
      </x:c>
      <x:c r="F2135" s="36" t="n">
        <x:v>4730</x:v>
      </x:c>
      <x:c r="G2135" s="42" t="n">
        <x:v>1.0145860145860146</x:v>
      </x:c>
      <x:c r="H2135" s="36" t="n">
        <x:f>E2135*G2135</x:f>
        <x:v>71426.85542685543</x:v>
      </x:c>
      <x:c r="I2135" s="36" t="n">
        <x:f>IFERROR(H2135/A2135,0)</x:f>
        <x:v>17856.713856713857</x:v>
      </x:c>
      <x:c r="J2135" s="67" t="str">
        <x:v>Modeled from live base + Sep-2026 quality ratio</x:v>
      </x:c>
      <x:c r="K2135" s="67" t="str">
        <x:v>https://www.stonealgo.com/diamond-prices/</x:v>
      </x:c>
      <x:c r="L2135" s="67" t="str">
        <x:v>https://www.pricescope.com/blog/natural-diamond-prices-september-2026</x:v>
      </x:c>
    </x:row>
    <x:row r="2136">
      <x:c r="A2136" t="n">
        <x:v>4</x:v>
      </x:c>
      <x:c r="B2136" t="str">
        <x:v>Emerald</x:v>
      </x:c>
      <x:c r="C2136" t="str">
        <x:v>F</x:v>
      </x:c>
      <x:c r="D2136" t="str">
        <x:v>SI1</x:v>
      </x:c>
      <x:c r="E2136" s="36" t="n">
        <x:v>70400</x:v>
      </x:c>
      <x:c r="F2136" s="36" t="n">
        <x:v>3331</x:v>
      </x:c>
      <x:c r="G2136" s="42" t="n">
        <x:v>0.7145002145002145</x:v>
      </x:c>
      <x:c r="H2136" s="36" t="n">
        <x:f>E2136*G2136</x:f>
        <x:v>50300.8151008151</x:v>
      </x:c>
      <x:c r="I2136" s="36" t="n">
        <x:f>IFERROR(H2136/A2136,0)</x:f>
        <x:v>12575.203775203776</x:v>
      </x:c>
      <x:c r="J2136" s="67" t="str">
        <x:v>Modeled from live base + Sep-2026 quality ratio</x:v>
      </x:c>
      <x:c r="K2136" s="67" t="str">
        <x:v>https://www.stonealgo.com/diamond-prices/</x:v>
      </x:c>
      <x:c r="L2136" s="67" t="str">
        <x:v>https://www.pricescope.com/blog/natural-diamond-prices-september-2026</x:v>
      </x:c>
    </x:row>
    <x:row r="2137">
      <x:c r="A2137" t="n">
        <x:v>4</x:v>
      </x:c>
      <x:c r="B2137" t="str">
        <x:v>Emerald</x:v>
      </x:c>
      <x:c r="C2137" t="str">
        <x:v>F</x:v>
      </x:c>
      <x:c r="D2137" t="str">
        <x:v>SI2</x:v>
      </x:c>
      <x:c r="E2137" s="36" t="n">
        <x:v>70400</x:v>
      </x:c>
      <x:c r="F2137" s="36" t="n">
        <x:v>2733</x:v>
      </x:c>
      <x:c r="G2137" s="42" t="n">
        <x:v>0.5862290862290862</x:v>
      </x:c>
      <x:c r="H2137" s="36" t="n">
        <x:f>E2137*G2137</x:f>
        <x:v>41270.52767052767</x:v>
      </x:c>
      <x:c r="I2137" s="36" t="n">
        <x:f>IFERROR(H2137/A2137,0)</x:f>
        <x:v>10317.631917631918</x:v>
      </x:c>
      <x:c r="J2137" s="67" t="str">
        <x:v>Modeled from live base + Sep-2026 quality ratio</x:v>
      </x:c>
      <x:c r="K2137" s="67" t="str">
        <x:v>https://www.stonealgo.com/diamond-prices/</x:v>
      </x:c>
      <x:c r="L2137" s="67" t="str">
        <x:v>https://www.pricescope.com/blog/natural-diamond-prices-september-2026</x:v>
      </x:c>
    </x:row>
    <x:row r="2138">
      <x:c r="A2138" t="n">
        <x:v>4</x:v>
      </x:c>
      <x:c r="B2138" t="str">
        <x:v>Emerald</x:v>
      </x:c>
      <x:c r="C2138" t="str">
        <x:v>G</x:v>
      </x:c>
      <x:c r="D2138" t="str">
        <x:v>FL</x:v>
      </x:c>
      <x:c r="E2138" s="36" t="n">
        <x:v>70400</x:v>
      </x:c>
      <x:c r="F2138" s="36" t="n">
        <x:v>5905</x:v>
      </x:c>
      <x:c r="G2138" s="42" t="n">
        <x:v>1.2666237666237665</x:v>
      </x:c>
      <x:c r="H2138" s="36" t="n">
        <x:f>E2138*G2138</x:f>
        <x:v>89170.31317031317</x:v>
      </x:c>
      <x:c r="I2138" s="36" t="n">
        <x:f>IFERROR(H2138/A2138,0)</x:f>
        <x:v>22292.57829257829</x:v>
      </x:c>
      <x:c r="J2138" s="67" t="str">
        <x:v>Modeled from live base + Sep-2026 quality ratio</x:v>
      </x:c>
      <x:c r="K2138" s="67" t="str">
        <x:v>https://www.stonealgo.com/diamond-prices/</x:v>
      </x:c>
      <x:c r="L2138" s="67" t="str">
        <x:v>https://www.pricescope.com/blog/natural-diamond-prices-september-2026</x:v>
      </x:c>
    </x:row>
    <x:row r="2139">
      <x:c r="A2139" t="n">
        <x:v>4</x:v>
      </x:c>
      <x:c r="B2139" t="str">
        <x:v>Emerald</x:v>
      </x:c>
      <x:c r="C2139" t="str">
        <x:v>G</x:v>
      </x:c>
      <x:c r="D2139" t="str">
        <x:v>IF</x:v>
      </x:c>
      <x:c r="E2139" s="36" t="n">
        <x:v>70400</x:v>
      </x:c>
      <x:c r="F2139" s="36" t="n">
        <x:v>5601</x:v>
      </x:c>
      <x:c r="G2139" s="42" t="n">
        <x:v>1.2014157014157014</x:v>
      </x:c>
      <x:c r="H2139" s="36" t="n">
        <x:f>E2139*G2139</x:f>
        <x:v>84579.66537966538</x:v>
      </x:c>
      <x:c r="I2139" s="36" t="n">
        <x:f>IFERROR(H2139/A2139,0)</x:f>
        <x:v>21144.916344916346</x:v>
      </x:c>
      <x:c r="J2139" s="67" t="str">
        <x:v>Modeled from live base + Sep-2026 quality ratio</x:v>
      </x:c>
      <x:c r="K2139" s="67" t="str">
        <x:v>https://www.stonealgo.com/diamond-prices/</x:v>
      </x:c>
      <x:c r="L2139" s="67" t="str">
        <x:v>https://www.pricescope.com/blog/natural-diamond-prices-september-2026</x:v>
      </x:c>
    </x:row>
    <x:row r="2140">
      <x:c r="A2140" t="n">
        <x:v>4</x:v>
      </x:c>
      <x:c r="B2140" t="str">
        <x:v>Emerald</x:v>
      </x:c>
      <x:c r="C2140" t="str">
        <x:v>G</x:v>
      </x:c>
      <x:c r="D2140" t="str">
        <x:v>VVS1</x:v>
      </x:c>
      <x:c r="E2140" s="36" t="n">
        <x:v>70400</x:v>
      </x:c>
      <x:c r="F2140" s="36" t="n">
        <x:v>5124</x:v>
      </x:c>
      <x:c r="G2140" s="42" t="n">
        <x:v>1.0990990990990992</x:v>
      </x:c>
      <x:c r="H2140" s="36" t="n">
        <x:f>E2140*G2140</x:f>
        <x:v>77376.57657657658</x:v>
      </x:c>
      <x:c r="I2140" s="36" t="n">
        <x:f>IFERROR(H2140/A2140,0)</x:f>
        <x:v>19344.144144144146</x:v>
      </x:c>
      <x:c r="J2140" s="67" t="str">
        <x:v>Modeled from live base + Sep-2026 quality ratio</x:v>
      </x:c>
      <x:c r="K2140" s="67" t="str">
        <x:v>https://www.stonealgo.com/diamond-prices/</x:v>
      </x:c>
      <x:c r="L2140" s="67" t="str">
        <x:v>https://www.pricescope.com/blog/natural-diamond-prices-september-2026</x:v>
      </x:c>
    </x:row>
    <x:row r="2141">
      <x:c r="A2141" t="n">
        <x:v>4</x:v>
      </x:c>
      <x:c r="B2141" t="str">
        <x:v>Emerald</x:v>
      </x:c>
      <x:c r="C2141" t="str">
        <x:v>G</x:v>
      </x:c>
      <x:c r="D2141" t="str">
        <x:v>VVS2</x:v>
      </x:c>
      <x:c r="E2141" s="36" t="n">
        <x:v>70400</x:v>
      </x:c>
      <x:c r="F2141" s="36" t="n">
        <x:v>4962</x:v>
      </x:c>
      <x:c r="G2141" s="42" t="n">
        <x:v>1.0643500643500643</x:v>
      </x:c>
      <x:c r="H2141" s="36" t="n">
        <x:f>E2141*G2141</x:f>
        <x:v>74930.24453024453</x:v>
      </x:c>
      <x:c r="I2141" s="36" t="n">
        <x:f>IFERROR(H2141/A2141,0)</x:f>
        <x:v>18732.56113256113</x:v>
      </x:c>
      <x:c r="J2141" s="67" t="str">
        <x:v>Modeled from live base + Sep-2026 quality ratio</x:v>
      </x:c>
      <x:c r="K2141" s="67" t="str">
        <x:v>https://www.stonealgo.com/diamond-prices/</x:v>
      </x:c>
      <x:c r="L2141" s="67" t="str">
        <x:v>https://www.pricescope.com/blog/natural-diamond-prices-september-2026</x:v>
      </x:c>
    </x:row>
    <x:row r="2142">
      <x:c r="A2142" t="n">
        <x:v>4</x:v>
      </x:c>
      <x:c r="B2142" t="str">
        <x:v>Emerald</x:v>
      </x:c>
      <x:c r="C2142" t="str">
        <x:v>G</x:v>
      </x:c>
      <x:c r="D2142" t="str">
        <x:v>VS1</x:v>
      </x:c>
      <x:c r="E2142" s="36" t="n">
        <x:v>70400</x:v>
      </x:c>
      <x:c r="F2142" s="36" t="n">
        <x:v>4615</x:v>
      </x:c>
      <x:c r="G2142" s="42" t="n">
        <x:v>0.98991848991849</x:v>
      </x:c>
      <x:c r="H2142" s="36" t="n">
        <x:f>E2142*G2142</x:f>
        <x:v>69690.26169026169</x:v>
      </x:c>
      <x:c r="I2142" s="36" t="n">
        <x:f>IFERROR(H2142/A2142,0)</x:f>
        <x:v>17422.56542256542</x:v>
      </x:c>
      <x:c r="J2142" s="67" t="str">
        <x:v>Modeled from live base + Sep-2026 quality ratio</x:v>
      </x:c>
      <x:c r="K2142" s="67" t="str">
        <x:v>https://www.stonealgo.com/diamond-prices/</x:v>
      </x:c>
      <x:c r="L2142" s="67" t="str">
        <x:v>https://www.pricescope.com/blog/natural-diamond-prices-september-2026</x:v>
      </x:c>
    </x:row>
    <x:row r="2143">
      <x:c r="A2143" t="n">
        <x:v>4</x:v>
      </x:c>
      <x:c r="B2143" t="str">
        <x:v>Emerald</x:v>
      </x:c>
      <x:c r="C2143" t="str">
        <x:v>G</x:v>
      </x:c>
      <x:c r="D2143" t="str">
        <x:v>VS2</x:v>
      </x:c>
      <x:c r="E2143" s="36" t="n">
        <x:v>70400</x:v>
      </x:c>
      <x:c r="F2143" s="36" t="n">
        <x:v>4585</x:v>
      </x:c>
      <x:c r="G2143" s="42" t="n">
        <x:v>0.9834834834834835</x:v>
      </x:c>
      <x:c r="H2143" s="36" t="n">
        <x:f>E2143*G2143</x:f>
        <x:v>69237.23723723723</x:v>
      </x:c>
      <x:c r="I2143" s="36" t="n">
        <x:f>IFERROR(H2143/A2143,0)</x:f>
        <x:v>17309.30930930931</x:v>
      </x:c>
      <x:c r="J2143" s="67" t="str">
        <x:v>Modeled from live base + Sep-2026 quality ratio</x:v>
      </x:c>
      <x:c r="K2143" s="67" t="str">
        <x:v>https://www.stonealgo.com/diamond-prices/</x:v>
      </x:c>
      <x:c r="L2143" s="67" t="str">
        <x:v>https://www.pricescope.com/blog/natural-diamond-prices-september-2026</x:v>
      </x:c>
    </x:row>
    <x:row r="2144">
      <x:c r="A2144" t="n">
        <x:v>4</x:v>
      </x:c>
      <x:c r="B2144" t="str">
        <x:v>Emerald</x:v>
      </x:c>
      <x:c r="C2144" t="str">
        <x:v>G</x:v>
      </x:c>
      <x:c r="D2144" t="str">
        <x:v>SI1</x:v>
      </x:c>
      <x:c r="E2144" s="36" t="n">
        <x:v>70400</x:v>
      </x:c>
      <x:c r="F2144" s="36" t="n">
        <x:v>3664</x:v>
      </x:c>
      <x:c r="G2144" s="42" t="n">
        <x:v>0.7859287859287859</x:v>
      </x:c>
      <x:c r="H2144" s="36" t="n">
        <x:f>E2144*G2144</x:f>
        <x:v>55329.386529386524</x:v>
      </x:c>
      <x:c r="I2144" s="36" t="n">
        <x:f>IFERROR(H2144/A2144,0)</x:f>
        <x:v>13832.346632346631</x:v>
      </x:c>
      <x:c r="J2144" s="67" t="str">
        <x:v>Modeled from live base + Sep-2026 quality ratio</x:v>
      </x:c>
      <x:c r="K2144" s="67" t="str">
        <x:v>https://www.stonealgo.com/diamond-prices/</x:v>
      </x:c>
      <x:c r="L2144" s="67" t="str">
        <x:v>https://www.pricescope.com/blog/natural-diamond-prices-september-2026</x:v>
      </x:c>
    </x:row>
    <x:row r="2145">
      <x:c r="A2145" t="n">
        <x:v>4</x:v>
      </x:c>
      <x:c r="B2145" t="str">
        <x:v>Emerald</x:v>
      </x:c>
      <x:c r="C2145" t="str">
        <x:v>G</x:v>
      </x:c>
      <x:c r="D2145" t="str">
        <x:v>SI2</x:v>
      </x:c>
      <x:c r="E2145" s="36" t="n">
        <x:v>70400</x:v>
      </x:c>
      <x:c r="F2145" s="36" t="n">
        <x:v>2537</x:v>
      </x:c>
      <x:c r="G2145" s="42" t="n">
        <x:v>0.5441870441870442</x:v>
      </x:c>
      <x:c r="H2145" s="36" t="n">
        <x:f>E2145*G2145</x:f>
        <x:v>38310.767910767914</x:v>
      </x:c>
      <x:c r="I2145" s="36" t="n">
        <x:f>IFERROR(H2145/A2145,0)</x:f>
        <x:v>9577.691977691979</x:v>
      </x:c>
      <x:c r="J2145" s="67" t="str">
        <x:v>Modeled from live base + Sep-2026 quality ratio</x:v>
      </x:c>
      <x:c r="K2145" s="67" t="str">
        <x:v>https://www.stonealgo.com/diamond-prices/</x:v>
      </x:c>
      <x:c r="L2145" s="67" t="str">
        <x:v>https://www.pricescope.com/blog/natural-diamond-prices-september-2026</x:v>
      </x:c>
    </x:row>
    <x:row r="2146">
      <x:c r="A2146" t="n">
        <x:v>4</x:v>
      </x:c>
      <x:c r="B2146" t="str">
        <x:v>Emerald</x:v>
      </x:c>
      <x:c r="C2146" t="str">
        <x:v>H</x:v>
      </x:c>
      <x:c r="D2146" t="str">
        <x:v>FL</x:v>
      </x:c>
      <x:c r="E2146" s="36" t="n">
        <x:v>70400</x:v>
      </x:c>
      <x:c r="F2146" s="36" t="n">
        <x:v>4563</x:v>
      </x:c>
      <x:c r="G2146" s="42" t="n">
        <x:v>0.9787644787644788</x:v>
      </x:c>
      <x:c r="H2146" s="36" t="n">
        <x:f>E2146*G2146</x:f>
        <x:v>68905.0193050193</x:v>
      </x:c>
      <x:c r="I2146" s="36" t="n">
        <x:f>IFERROR(H2146/A2146,0)</x:f>
        <x:v>17226.254826254826</x:v>
      </x:c>
      <x:c r="J2146" s="67" t="str">
        <x:v>Modeled from live base + Sep-2026 quality ratio</x:v>
      </x:c>
      <x:c r="K2146" s="67" t="str">
        <x:v>https://www.stonealgo.com/diamond-prices/</x:v>
      </x:c>
      <x:c r="L2146" s="67" t="str">
        <x:v>https://www.pricescope.com/blog/natural-diamond-prices-september-2026</x:v>
      </x:c>
    </x:row>
    <x:row r="2147">
      <x:c r="A2147" t="n">
        <x:v>4</x:v>
      </x:c>
      <x:c r="B2147" t="str">
        <x:v>Emerald</x:v>
      </x:c>
      <x:c r="C2147" t="str">
        <x:v>H</x:v>
      </x:c>
      <x:c r="D2147" t="str">
        <x:v>IF</x:v>
      </x:c>
      <x:c r="E2147" s="36" t="n">
        <x:v>70400</x:v>
      </x:c>
      <x:c r="F2147" s="36" t="n">
        <x:v>4809</x:v>
      </x:c>
      <x:c r="G2147" s="42" t="n">
        <x:v>1.0315315315315314</x:v>
      </x:c>
      <x:c r="H2147" s="36" t="n">
        <x:f>E2147*G2147</x:f>
        <x:v>72619.81981981981</x:v>
      </x:c>
      <x:c r="I2147" s="36" t="n">
        <x:f>IFERROR(H2147/A2147,0)</x:f>
        <x:v>18154.954954954952</x:v>
      </x:c>
      <x:c r="J2147" s="67" t="str">
        <x:v>Modeled from live base + Sep-2026 quality ratio</x:v>
      </x:c>
      <x:c r="K2147" s="67" t="str">
        <x:v>https://www.stonealgo.com/diamond-prices/</x:v>
      </x:c>
      <x:c r="L2147" s="67" t="str">
        <x:v>https://www.pricescope.com/blog/natural-diamond-prices-september-2026</x:v>
      </x:c>
    </x:row>
    <x:row r="2148">
      <x:c r="A2148" t="n">
        <x:v>4</x:v>
      </x:c>
      <x:c r="B2148" t="str">
        <x:v>Emerald</x:v>
      </x:c>
      <x:c r="C2148" t="str">
        <x:v>H</x:v>
      </x:c>
      <x:c r="D2148" t="str">
        <x:v>VVS1</x:v>
      </x:c>
      <x:c r="E2148" s="36" t="n">
        <x:v>70400</x:v>
      </x:c>
      <x:c r="F2148" s="36" t="n">
        <x:v>4911</x:v>
      </x:c>
      <x:c r="G2148" s="42" t="n">
        <x:v>1.0534105534105533</x:v>
      </x:c>
      <x:c r="H2148" s="36" t="n">
        <x:f>E2148*G2148</x:f>
        <x:v>74160.10296010296</x:v>
      </x:c>
      <x:c r="I2148" s="36" t="n">
        <x:f>IFERROR(H2148/A2148,0)</x:f>
        <x:v>18540.02574002574</x:v>
      </x:c>
      <x:c r="J2148" s="67" t="str">
        <x:v>Modeled from live base + Sep-2026 quality ratio</x:v>
      </x:c>
      <x:c r="K2148" s="67" t="str">
        <x:v>https://www.stonealgo.com/diamond-prices/</x:v>
      </x:c>
      <x:c r="L2148" s="67" t="str">
        <x:v>https://www.pricescope.com/blog/natural-diamond-prices-september-2026</x:v>
      </x:c>
    </x:row>
    <x:row r="2149">
      <x:c r="A2149" t="n">
        <x:v>4</x:v>
      </x:c>
      <x:c r="B2149" t="str">
        <x:v>Emerald</x:v>
      </x:c>
      <x:c r="C2149" t="str">
        <x:v>H</x:v>
      </x:c>
      <x:c r="D2149" t="str">
        <x:v>VVS2</x:v>
      </x:c>
      <x:c r="E2149" s="36" t="n">
        <x:v>70400</x:v>
      </x:c>
      <x:c r="F2149" s="36" t="n">
        <x:v>4046</x:v>
      </x:c>
      <x:c r="G2149" s="42" t="n">
        <x:v>0.8678678678678678</x:v>
      </x:c>
      <x:c r="H2149" s="36" t="n">
        <x:f>E2149*G2149</x:f>
        <x:v>61097.8978978979</x:v>
      </x:c>
      <x:c r="I2149" s="36" t="n">
        <x:f>IFERROR(H2149/A2149,0)</x:f>
        <x:v>15274.474474474475</x:v>
      </x:c>
      <x:c r="J2149" s="67" t="str">
        <x:v>Modeled from live base + Sep-2026 quality ratio</x:v>
      </x:c>
      <x:c r="K2149" s="67" t="str">
        <x:v>https://www.stonealgo.com/diamond-prices/</x:v>
      </x:c>
      <x:c r="L2149" s="67" t="str">
        <x:v>https://www.pricescope.com/blog/natural-diamond-prices-september-2026</x:v>
      </x:c>
    </x:row>
    <x:row r="2150">
      <x:c r="A2150" t="n">
        <x:v>4</x:v>
      </x:c>
      <x:c r="B2150" t="str">
        <x:v>Emerald</x:v>
      </x:c>
      <x:c r="C2150" t="str">
        <x:v>H</x:v>
      </x:c>
      <x:c r="D2150" t="str">
        <x:v>VS1</x:v>
      </x:c>
      <x:c r="E2150" s="36" t="n">
        <x:v>70400</x:v>
      </x:c>
      <x:c r="F2150" s="36" t="n">
        <x:v>3893</x:v>
      </x:c>
      <x:c r="G2150" s="42" t="n">
        <x:v>0.8350493350493351</x:v>
      </x:c>
      <x:c r="H2150" s="36" t="n">
        <x:f>E2150*G2150</x:f>
        <x:v>58787.47318747319</x:v>
      </x:c>
      <x:c r="I2150" s="36" t="n">
        <x:f>IFERROR(H2150/A2150,0)</x:f>
        <x:v>14696.868296868297</x:v>
      </x:c>
      <x:c r="J2150" s="67" t="str">
        <x:v>Modeled from live base + Sep-2026 quality ratio</x:v>
      </x:c>
      <x:c r="K2150" s="67" t="str">
        <x:v>https://www.stonealgo.com/diamond-prices/</x:v>
      </x:c>
      <x:c r="L2150" s="67" t="str">
        <x:v>https://www.pricescope.com/blog/natural-diamond-prices-september-2026</x:v>
      </x:c>
    </x:row>
    <x:row r="2151">
      <x:c r="A2151" t="n">
        <x:v>4</x:v>
      </x:c>
      <x:c r="B2151" t="str">
        <x:v>Emerald</x:v>
      </x:c>
      <x:c r="C2151" t="str">
        <x:v>H</x:v>
      </x:c>
      <x:c r="D2151" t="str">
        <x:v>VS2</x:v>
      </x:c>
      <x:c r="E2151" s="36" t="n">
        <x:v>70400</x:v>
      </x:c>
      <x:c r="F2151" s="36" t="n">
        <x:v>3989</x:v>
      </x:c>
      <x:c r="G2151" s="42" t="n">
        <x:v>0.8556413556413557</x:v>
      </x:c>
      <x:c r="H2151" s="36" t="n">
        <x:f>E2151*G2151</x:f>
        <x:v>60237.15143715144</x:v>
      </x:c>
      <x:c r="I2151" s="36" t="n">
        <x:f>IFERROR(H2151/A2151,0)</x:f>
        <x:v>15059.28785928786</x:v>
      </x:c>
      <x:c r="J2151" s="67" t="str">
        <x:v>Modeled from live base + Sep-2026 quality ratio</x:v>
      </x:c>
      <x:c r="K2151" s="67" t="str">
        <x:v>https://www.stonealgo.com/diamond-prices/</x:v>
      </x:c>
      <x:c r="L2151" s="67" t="str">
        <x:v>https://www.pricescope.com/blog/natural-diamond-prices-september-2026</x:v>
      </x:c>
    </x:row>
    <x:row r="2152">
      <x:c r="A2152" t="n">
        <x:v>4</x:v>
      </x:c>
      <x:c r="B2152" t="str">
        <x:v>Emerald</x:v>
      </x:c>
      <x:c r="C2152" t="str">
        <x:v>H</x:v>
      </x:c>
      <x:c r="D2152" t="str">
        <x:v>SI1</x:v>
      </x:c>
      <x:c r="E2152" s="36" t="n">
        <x:v>70400</x:v>
      </x:c>
      <x:c r="F2152" s="36" t="n">
        <x:v>2828</x:v>
      </x:c>
      <x:c r="G2152" s="42" t="n">
        <x:v>0.6066066066066066</x:v>
      </x:c>
      <x:c r="H2152" s="36" t="n">
        <x:f>E2152*G2152</x:f>
        <x:v>42705.1051051051</x:v>
      </x:c>
      <x:c r="I2152" s="36" t="n">
        <x:f>IFERROR(H2152/A2152,0)</x:f>
        <x:v>10676.276276276276</x:v>
      </x:c>
      <x:c r="J2152" s="67" t="str">
        <x:v>Modeled from live base + Sep-2026 quality ratio</x:v>
      </x:c>
      <x:c r="K2152" s="67" t="str">
        <x:v>https://www.stonealgo.com/diamond-prices/</x:v>
      </x:c>
      <x:c r="L2152" s="67" t="str">
        <x:v>https://www.pricescope.com/blog/natural-diamond-prices-september-2026</x:v>
      </x:c>
    </x:row>
    <x:row r="2153">
      <x:c r="A2153" t="n">
        <x:v>4</x:v>
      </x:c>
      <x:c r="B2153" t="str">
        <x:v>Emerald</x:v>
      </x:c>
      <x:c r="C2153" t="str">
        <x:v>H</x:v>
      </x:c>
      <x:c r="D2153" t="str">
        <x:v>SI2</x:v>
      </x:c>
      <x:c r="E2153" s="36" t="n">
        <x:v>70400</x:v>
      </x:c>
      <x:c r="F2153" s="36" t="n">
        <x:v>2328</x:v>
      </x:c>
      <x:c r="G2153" s="42" t="n">
        <x:v>0.49935649935649934</x:v>
      </x:c>
      <x:c r="H2153" s="36" t="n">
        <x:f>E2153*G2153</x:f>
        <x:v>35154.69755469755</x:v>
      </x:c>
      <x:c r="I2153" s="36" t="n">
        <x:f>IFERROR(H2153/A2153,0)</x:f>
        <x:v>8788.674388674388</x:v>
      </x:c>
      <x:c r="J2153" s="67" t="str">
        <x:v>Modeled from live base + Sep-2026 quality ratio</x:v>
      </x:c>
      <x:c r="K2153" s="67" t="str">
        <x:v>https://www.stonealgo.com/diamond-prices/</x:v>
      </x:c>
      <x:c r="L2153" s="67" t="str">
        <x:v>https://www.pricescope.com/blog/natural-diamond-prices-september-2026</x:v>
      </x:c>
    </x:row>
    <x:row r="2154">
      <x:c r="A2154" t="n">
        <x:v>4</x:v>
      </x:c>
      <x:c r="B2154" t="str">
        <x:v>Emerald</x:v>
      </x:c>
      <x:c r="C2154" t="str">
        <x:v>I</x:v>
      </x:c>
      <x:c r="D2154" t="str">
        <x:v>FL</x:v>
      </x:c>
      <x:c r="E2154" s="36" t="n">
        <x:v>70400</x:v>
      </x:c>
      <x:c r="F2154" s="36" t="n">
        <x:v>4623</x:v>
      </x:c>
      <x:c r="G2154" s="42" t="n">
        <x:v>0.9916344916344917</x:v>
      </x:c>
      <x:c r="H2154" s="36" t="n">
        <x:f>E2154*G2154</x:f>
        <x:v>69811.06821106821</x:v>
      </x:c>
      <x:c r="I2154" s="36" t="n">
        <x:f>IFERROR(H2154/A2154,0)</x:f>
        <x:v>17452.767052767053</x:v>
      </x:c>
      <x:c r="J2154" s="67" t="str">
        <x:v>Modeled from live base + Sep-2026 quality ratio</x:v>
      </x:c>
      <x:c r="K2154" s="67" t="str">
        <x:v>https://www.stonealgo.com/diamond-prices/</x:v>
      </x:c>
      <x:c r="L2154" s="67" t="str">
        <x:v>https://www.pricescope.com/blog/natural-diamond-prices-september-2026</x:v>
      </x:c>
    </x:row>
    <x:row r="2155">
      <x:c r="A2155" t="n">
        <x:v>4</x:v>
      </x:c>
      <x:c r="B2155" t="str">
        <x:v>Emerald</x:v>
      </x:c>
      <x:c r="C2155" t="str">
        <x:v>I</x:v>
      </x:c>
      <x:c r="D2155" t="str">
        <x:v>IF</x:v>
      </x:c>
      <x:c r="E2155" s="36" t="n">
        <x:v>70400</x:v>
      </x:c>
      <x:c r="F2155" s="36" t="n">
        <x:v>4005</x:v>
      </x:c>
      <x:c r="G2155" s="42" t="n">
        <x:v>0.859073359073359</x:v>
      </x:c>
      <x:c r="H2155" s="36" t="n">
        <x:f>E2155*G2155</x:f>
        <x:v>60478.764478764475</x:v>
      </x:c>
      <x:c r="I2155" s="36" t="n">
        <x:f>IFERROR(H2155/A2155,0)</x:f>
        <x:v>15119.691119691119</x:v>
      </x:c>
      <x:c r="J2155" s="67" t="str">
        <x:v>Modeled from live base + Sep-2026 quality ratio</x:v>
      </x:c>
      <x:c r="K2155" s="67" t="str">
        <x:v>https://www.stonealgo.com/diamond-prices/</x:v>
      </x:c>
      <x:c r="L2155" s="67" t="str">
        <x:v>https://www.pricescope.com/blog/natural-diamond-prices-september-2026</x:v>
      </x:c>
    </x:row>
    <x:row r="2156">
      <x:c r="A2156" t="n">
        <x:v>4</x:v>
      </x:c>
      <x:c r="B2156" t="str">
        <x:v>Emerald</x:v>
      </x:c>
      <x:c r="C2156" t="str">
        <x:v>I</x:v>
      </x:c>
      <x:c r="D2156" t="str">
        <x:v>VVS1</x:v>
      </x:c>
      <x:c r="E2156" s="36" t="n">
        <x:v>70400</x:v>
      </x:c>
      <x:c r="F2156" s="36" t="n">
        <x:v>3670</x:v>
      </x:c>
      <x:c r="G2156" s="42" t="n">
        <x:v>0.7872157872157872</x:v>
      </x:c>
      <x:c r="H2156" s="36" t="n">
        <x:f>E2156*G2156</x:f>
        <x:v>55419.99141999142</x:v>
      </x:c>
      <x:c r="I2156" s="36" t="n">
        <x:f>IFERROR(H2156/A2156,0)</x:f>
        <x:v>13854.997854997855</x:v>
      </x:c>
      <x:c r="J2156" s="67" t="str">
        <x:v>Modeled from live base + Sep-2026 quality ratio</x:v>
      </x:c>
      <x:c r="K2156" s="67" t="str">
        <x:v>https://www.stonealgo.com/diamond-prices/</x:v>
      </x:c>
      <x:c r="L2156" s="67" t="str">
        <x:v>https://www.pricescope.com/blog/natural-diamond-prices-september-2026</x:v>
      </x:c>
    </x:row>
    <x:row r="2157">
      <x:c r="A2157" t="n">
        <x:v>4</x:v>
      </x:c>
      <x:c r="B2157" t="str">
        <x:v>Emerald</x:v>
      </x:c>
      <x:c r="C2157" t="str">
        <x:v>I</x:v>
      </x:c>
      <x:c r="D2157" t="str">
        <x:v>VVS2</x:v>
      </x:c>
      <x:c r="E2157" s="36" t="n">
        <x:v>70400</x:v>
      </x:c>
      <x:c r="F2157" s="36" t="n">
        <x:v>3447</x:v>
      </x:c>
      <x:c r="G2157" s="42" t="n">
        <x:v>0.7393822393822393</x:v>
      </x:c>
      <x:c r="H2157" s="36" t="n">
        <x:f>E2157*G2157</x:f>
        <x:v>52052.50965250965</x:v>
      </x:c>
      <x:c r="I2157" s="36" t="n">
        <x:f>IFERROR(H2157/A2157,0)</x:f>
        <x:v>13013.127413127413</x:v>
      </x:c>
      <x:c r="J2157" s="67" t="str">
        <x:v>Modeled from live base + Sep-2026 quality ratio</x:v>
      </x:c>
      <x:c r="K2157" s="67" t="str">
        <x:v>https://www.stonealgo.com/diamond-prices/</x:v>
      </x:c>
      <x:c r="L2157" s="67" t="str">
        <x:v>https://www.pricescope.com/blog/natural-diamond-prices-september-2026</x:v>
      </x:c>
    </x:row>
    <x:row r="2158">
      <x:c r="A2158" t="n">
        <x:v>4</x:v>
      </x:c>
      <x:c r="B2158" t="str">
        <x:v>Emerald</x:v>
      </x:c>
      <x:c r="C2158" t="str">
        <x:v>I</x:v>
      </x:c>
      <x:c r="D2158" t="str">
        <x:v>VS1</x:v>
      </x:c>
      <x:c r="E2158" s="36" t="n">
        <x:v>70400</x:v>
      </x:c>
      <x:c r="F2158" s="36" t="n">
        <x:v>3313</x:v>
      </x:c>
      <x:c r="G2158" s="42" t="n">
        <x:v>0.7106392106392107</x:v>
      </x:c>
      <x:c r="H2158" s="36" t="n">
        <x:f>E2158*G2158</x:f>
        <x:v>50029.00042900043</x:v>
      </x:c>
      <x:c r="I2158" s="36" t="n">
        <x:f>IFERROR(H2158/A2158,0)</x:f>
        <x:v>12507.250107250107</x:v>
      </x:c>
      <x:c r="J2158" s="67" t="str">
        <x:v>Modeled from live base + Sep-2026 quality ratio</x:v>
      </x:c>
      <x:c r="K2158" s="67" t="str">
        <x:v>https://www.stonealgo.com/diamond-prices/</x:v>
      </x:c>
      <x:c r="L2158" s="67" t="str">
        <x:v>https://www.pricescope.com/blog/natural-diamond-prices-september-2026</x:v>
      </x:c>
    </x:row>
    <x:row r="2159">
      <x:c r="A2159" t="n">
        <x:v>4</x:v>
      </x:c>
      <x:c r="B2159" t="str">
        <x:v>Emerald</x:v>
      </x:c>
      <x:c r="C2159" t="str">
        <x:v>I</x:v>
      </x:c>
      <x:c r="D2159" t="str">
        <x:v>VS2</x:v>
      </x:c>
      <x:c r="E2159" s="36" t="n">
        <x:v>70400</x:v>
      </x:c>
      <x:c r="F2159" s="36" t="n">
        <x:v>3240</x:v>
      </x:c>
      <x:c r="G2159" s="42" t="n">
        <x:v>0.694980694980695</x:v>
      </x:c>
      <x:c r="H2159" s="36" t="n">
        <x:f>E2159*G2159</x:f>
        <x:v>48926.64092664093</x:v>
      </x:c>
      <x:c r="I2159" s="36" t="n">
        <x:f>IFERROR(H2159/A2159,0)</x:f>
        <x:v>12231.660231660233</x:v>
      </x:c>
      <x:c r="J2159" s="67" t="str">
        <x:v>Modeled from live base + Sep-2026 quality ratio</x:v>
      </x:c>
      <x:c r="K2159" s="67" t="str">
        <x:v>https://www.stonealgo.com/diamond-prices/</x:v>
      </x:c>
      <x:c r="L2159" s="67" t="str">
        <x:v>https://www.pricescope.com/blog/natural-diamond-prices-september-2026</x:v>
      </x:c>
    </x:row>
    <x:row r="2160">
      <x:c r="A2160" t="n">
        <x:v>4</x:v>
      </x:c>
      <x:c r="B2160" t="str">
        <x:v>Emerald</x:v>
      </x:c>
      <x:c r="C2160" t="str">
        <x:v>I</x:v>
      </x:c>
      <x:c r="D2160" t="str">
        <x:v>SI1</x:v>
      </x:c>
      <x:c r="E2160" s="36" t="n">
        <x:v>70400</x:v>
      </x:c>
      <x:c r="F2160" s="36" t="n">
        <x:v>3199</x:v>
      </x:c>
      <x:c r="G2160" s="42" t="n">
        <x:v>0.6861861861861862</x:v>
      </x:c>
      <x:c r="H2160" s="36" t="n">
        <x:f>E2160*G2160</x:f>
        <x:v>48307.50750750751</x:v>
      </x:c>
      <x:c r="I2160" s="36" t="n">
        <x:f>IFERROR(H2160/A2160,0)</x:f>
        <x:v>12076.876876876877</x:v>
      </x:c>
      <x:c r="J2160" s="67" t="str">
        <x:v>Modeled from live base + Sep-2026 quality ratio</x:v>
      </x:c>
      <x:c r="K2160" s="67" t="str">
        <x:v>https://www.stonealgo.com/diamond-prices/</x:v>
      </x:c>
      <x:c r="L2160" s="67" t="str">
        <x:v>https://www.pricescope.com/blog/natural-diamond-prices-september-2026</x:v>
      </x:c>
    </x:row>
    <x:row r="2161">
      <x:c r="A2161" t="n">
        <x:v>4</x:v>
      </x:c>
      <x:c r="B2161" t="str">
        <x:v>Emerald</x:v>
      </x:c>
      <x:c r="C2161" t="str">
        <x:v>I</x:v>
      </x:c>
      <x:c r="D2161" t="str">
        <x:v>SI2</x:v>
      </x:c>
      <x:c r="E2161" s="36" t="n">
        <x:v>70400</x:v>
      </x:c>
      <x:c r="F2161" s="36" t="n">
        <x:v>2874</x:v>
      </x:c>
      <x:c r="G2161" s="42" t="n">
        <x:v>0.6164736164736164</x:v>
      </x:c>
      <x:c r="H2161" s="36" t="n">
        <x:f>E2161*G2161</x:f>
        <x:v>43399.742599742596</x:v>
      </x:c>
      <x:c r="I2161" s="36" t="n">
        <x:f>IFERROR(H2161/A2161,0)</x:f>
        <x:v>10849.935649935649</x:v>
      </x:c>
      <x:c r="J2161" s="67" t="str">
        <x:v>Modeled from live base + Sep-2026 quality ratio</x:v>
      </x:c>
      <x:c r="K2161" s="67" t="str">
        <x:v>https://www.stonealgo.com/diamond-prices/</x:v>
      </x:c>
      <x:c r="L2161" s="67" t="str">
        <x:v>https://www.pricescope.com/blog/natural-diamond-prices-september-2026</x:v>
      </x:c>
    </x:row>
    <x:row r="2162">
      <x:c r="A2162" t="n">
        <x:v>4</x:v>
      </x:c>
      <x:c r="B2162" t="str">
        <x:v>Emerald</x:v>
      </x:c>
      <x:c r="C2162" t="str">
        <x:v>J</x:v>
      </x:c>
      <x:c r="D2162" t="str">
        <x:v>FL</x:v>
      </x:c>
      <x:c r="E2162" s="36" t="n">
        <x:v>70400</x:v>
      </x:c>
      <x:c r="F2162" s="36" t="n">
        <x:v>3646</x:v>
      </x:c>
      <x:c r="G2162" s="42" t="n">
        <x:v>0.782067782067782</x:v>
      </x:c>
      <x:c r="H2162" s="36" t="n">
        <x:f>E2162*G2162</x:f>
        <x:v>55057.57185757186</x:v>
      </x:c>
      <x:c r="I2162" s="36" t="n">
        <x:f>IFERROR(H2162/A2162,0)</x:f>
        <x:v>13764.392964392964</x:v>
      </x:c>
      <x:c r="J2162" s="67" t="str">
        <x:v>Modeled from live base + Sep-2026 quality ratio</x:v>
      </x:c>
      <x:c r="K2162" s="67" t="str">
        <x:v>https://www.stonealgo.com/diamond-prices/</x:v>
      </x:c>
      <x:c r="L2162" s="67" t="str">
        <x:v>https://www.pricescope.com/blog/natural-diamond-prices-september-2026</x:v>
      </x:c>
    </x:row>
    <x:row r="2163">
      <x:c r="A2163" t="n">
        <x:v>4</x:v>
      </x:c>
      <x:c r="B2163" t="str">
        <x:v>Emerald</x:v>
      </x:c>
      <x:c r="C2163" t="str">
        <x:v>J</x:v>
      </x:c>
      <x:c r="D2163" t="str">
        <x:v>IF</x:v>
      </x:c>
      <x:c r="E2163" s="36" t="n">
        <x:v>70400</x:v>
      </x:c>
      <x:c r="F2163" s="36" t="n">
        <x:v>3368</x:v>
      </x:c>
      <x:c r="G2163" s="42" t="n">
        <x:v>0.7224367224367224</x:v>
      </x:c>
      <x:c r="H2163" s="36" t="n">
        <x:f>E2163*G2163</x:f>
        <x:v>50859.54525954526</x:v>
      </x:c>
      <x:c r="I2163" s="36" t="n">
        <x:f>IFERROR(H2163/A2163,0)</x:f>
        <x:v>12714.886314886315</x:v>
      </x:c>
      <x:c r="J2163" s="67" t="str">
        <x:v>Modeled from live base + Sep-2026 quality ratio</x:v>
      </x:c>
      <x:c r="K2163" s="67" t="str">
        <x:v>https://www.stonealgo.com/diamond-prices/</x:v>
      </x:c>
      <x:c r="L2163" s="67" t="str">
        <x:v>https://www.pricescope.com/blog/natural-diamond-prices-september-2026</x:v>
      </x:c>
    </x:row>
    <x:row r="2164">
      <x:c r="A2164" t="n">
        <x:v>4</x:v>
      </x:c>
      <x:c r="B2164" t="str">
        <x:v>Emerald</x:v>
      </x:c>
      <x:c r="C2164" t="str">
        <x:v>J</x:v>
      </x:c>
      <x:c r="D2164" t="str">
        <x:v>VVS1</x:v>
      </x:c>
      <x:c r="E2164" s="36" t="n">
        <x:v>70400</x:v>
      </x:c>
      <x:c r="F2164" s="36" t="n">
        <x:v>2956</x:v>
      </x:c>
      <x:c r="G2164" s="42" t="n">
        <x:v>0.6340626340626341</x:v>
      </x:c>
      <x:c r="H2164" s="36" t="n">
        <x:f>E2164*G2164</x:f>
        <x:v>44638.00943800944</x:v>
      </x:c>
      <x:c r="I2164" s="36" t="n">
        <x:f>IFERROR(H2164/A2164,0)</x:f>
        <x:v>11159.50235950236</x:v>
      </x:c>
      <x:c r="J2164" s="67" t="str">
        <x:v>Modeled from live base + Sep-2026 quality ratio</x:v>
      </x:c>
      <x:c r="K2164" s="67" t="str">
        <x:v>https://www.stonealgo.com/diamond-prices/</x:v>
      </x:c>
      <x:c r="L2164" s="67" t="str">
        <x:v>https://www.pricescope.com/blog/natural-diamond-prices-september-2026</x:v>
      </x:c>
    </x:row>
    <x:row r="2165">
      <x:c r="A2165" t="n">
        <x:v>4</x:v>
      </x:c>
      <x:c r="B2165" t="str">
        <x:v>Emerald</x:v>
      </x:c>
      <x:c r="C2165" t="str">
        <x:v>J</x:v>
      </x:c>
      <x:c r="D2165" t="str">
        <x:v>VVS2</x:v>
      </x:c>
      <x:c r="E2165" s="36" t="n">
        <x:v>70400</x:v>
      </x:c>
      <x:c r="F2165" s="36" t="n">
        <x:v>2612</x:v>
      </x:c>
      <x:c r="G2165" s="42" t="n">
        <x:v>0.5602745602745602</x:v>
      </x:c>
      <x:c r="H2165" s="36" t="n">
        <x:f>E2165*G2165</x:f>
        <x:v>39443.32904332904</x:v>
      </x:c>
      <x:c r="I2165" s="36" t="n">
        <x:f>IFERROR(H2165/A2165,0)</x:f>
        <x:v>9860.83226083226</x:v>
      </x:c>
      <x:c r="J2165" s="67" t="str">
        <x:v>Modeled from live base + Sep-2026 quality ratio</x:v>
      </x:c>
      <x:c r="K2165" s="67" t="str">
        <x:v>https://www.stonealgo.com/diamond-prices/</x:v>
      </x:c>
      <x:c r="L2165" s="67" t="str">
        <x:v>https://www.pricescope.com/blog/natural-diamond-prices-september-2026</x:v>
      </x:c>
    </x:row>
    <x:row r="2166">
      <x:c r="A2166" t="n">
        <x:v>4</x:v>
      </x:c>
      <x:c r="B2166" t="str">
        <x:v>Emerald</x:v>
      </x:c>
      <x:c r="C2166" t="str">
        <x:v>J</x:v>
      </x:c>
      <x:c r="D2166" t="str">
        <x:v>VS1</x:v>
      </x:c>
      <x:c r="E2166" s="36" t="n">
        <x:v>70400</x:v>
      </x:c>
      <x:c r="F2166" s="36" t="n">
        <x:v>3002</x:v>
      </x:c>
      <x:c r="G2166" s="42" t="n">
        <x:v>0.6439296439296439</x:v>
      </x:c>
      <x:c r="H2166" s="36" t="n">
        <x:f>E2166*G2166</x:f>
        <x:v>45332.64693264693</x:v>
      </x:c>
      <x:c r="I2166" s="36" t="n">
        <x:f>IFERROR(H2166/A2166,0)</x:f>
        <x:v>11333.161733161733</x:v>
      </x:c>
      <x:c r="J2166" s="67" t="str">
        <x:v>Modeled from live base + Sep-2026 quality ratio</x:v>
      </x:c>
      <x:c r="K2166" s="67" t="str">
        <x:v>https://www.stonealgo.com/diamond-prices/</x:v>
      </x:c>
      <x:c r="L2166" s="67" t="str">
        <x:v>https://www.pricescope.com/blog/natural-diamond-prices-september-2026</x:v>
      </x:c>
    </x:row>
    <x:row r="2167">
      <x:c r="A2167" t="n">
        <x:v>4</x:v>
      </x:c>
      <x:c r="B2167" t="str">
        <x:v>Emerald</x:v>
      </x:c>
      <x:c r="C2167" t="str">
        <x:v>J</x:v>
      </x:c>
      <x:c r="D2167" t="str">
        <x:v>VS2</x:v>
      </x:c>
      <x:c r="E2167" s="36" t="n">
        <x:v>70400</x:v>
      </x:c>
      <x:c r="F2167" s="36" t="n">
        <x:v>2559</x:v>
      </x:c>
      <x:c r="G2167" s="42" t="n">
        <x:v>0.5489060489060489</x:v>
      </x:c>
      <x:c r="H2167" s="36" t="n">
        <x:f>E2167*G2167</x:f>
        <x:v>38642.98584298584</x:v>
      </x:c>
      <x:c r="I2167" s="36" t="n">
        <x:f>IFERROR(H2167/A2167,0)</x:f>
        <x:v>9660.74646074646</x:v>
      </x:c>
      <x:c r="J2167" s="67" t="str">
        <x:v>Modeled from live base + Sep-2026 quality ratio</x:v>
      </x:c>
      <x:c r="K2167" s="67" t="str">
        <x:v>https://www.stonealgo.com/diamond-prices/</x:v>
      </x:c>
      <x:c r="L2167" s="67" t="str">
        <x:v>https://www.pricescope.com/blog/natural-diamond-prices-september-2026</x:v>
      </x:c>
    </x:row>
    <x:row r="2168">
      <x:c r="A2168" t="n">
        <x:v>4</x:v>
      </x:c>
      <x:c r="B2168" t="str">
        <x:v>Emerald</x:v>
      </x:c>
      <x:c r="C2168" t="str">
        <x:v>J</x:v>
      </x:c>
      <x:c r="D2168" t="str">
        <x:v>SI1</x:v>
      </x:c>
      <x:c r="E2168" s="36" t="n">
        <x:v>70400</x:v>
      </x:c>
      <x:c r="F2168" s="36" t="n">
        <x:v>2195</x:v>
      </x:c>
      <x:c r="G2168" s="42" t="n">
        <x:v>0.47082797082797084</x:v>
      </x:c>
      <x:c r="H2168" s="36" t="n">
        <x:f>E2168*G2168</x:f>
        <x:v>33146.28914628915</x:v>
      </x:c>
      <x:c r="I2168" s="36" t="n">
        <x:f>IFERROR(H2168/A2168,0)</x:f>
        <x:v>8286.572286572287</x:v>
      </x:c>
      <x:c r="J2168" s="67" t="str">
        <x:v>Modeled from live base + Sep-2026 quality ratio</x:v>
      </x:c>
      <x:c r="K2168" s="67" t="str">
        <x:v>https://www.stonealgo.com/diamond-prices/</x:v>
      </x:c>
      <x:c r="L2168" s="67" t="str">
        <x:v>https://www.pricescope.com/blog/natural-diamond-prices-september-2026</x:v>
      </x:c>
    </x:row>
    <x:row r="2169">
      <x:c r="A2169" t="n">
        <x:v>4</x:v>
      </x:c>
      <x:c r="B2169" t="str">
        <x:v>Emerald</x:v>
      </x:c>
      <x:c r="C2169" t="str">
        <x:v>J</x:v>
      </x:c>
      <x:c r="D2169" t="str">
        <x:v>SI2</x:v>
      </x:c>
      <x:c r="E2169" s="36" t="n">
        <x:v>70400</x:v>
      </x:c>
      <x:c r="F2169" s="36" t="n">
        <x:v>2079</x:v>
      </x:c>
      <x:c r="G2169" s="42" t="n">
        <x:v>0.44594594594594594</x:v>
      </x:c>
      <x:c r="H2169" s="36" t="n">
        <x:f>E2169*G2169</x:f>
        <x:v>31394.594594594593</x:v>
      </x:c>
      <x:c r="I2169" s="36" t="n">
        <x:f>IFERROR(H2169/A2169,0)</x:f>
        <x:v>7848.648648648648</x:v>
      </x:c>
      <x:c r="J2169" s="67" t="str">
        <x:v>Modeled from live base + Sep-2026 quality ratio</x:v>
      </x:c>
      <x:c r="K2169" s="67" t="str">
        <x:v>https://www.stonealgo.com/diamond-prices/</x:v>
      </x:c>
      <x:c r="L2169" s="67" t="str">
        <x:v>https://www.pricescope.com/blog/natural-diamond-prices-september-2026</x:v>
      </x:c>
    </x:row>
    <x:row r="2170">
      <x:c r="A2170" t="n">
        <x:v>4</x:v>
      </x:c>
      <x:c r="B2170" t="str">
        <x:v>Emerald</x:v>
      </x:c>
      <x:c r="C2170" t="str">
        <x:v>K</x:v>
      </x:c>
      <x:c r="D2170" t="str">
        <x:v>FL</x:v>
      </x:c>
      <x:c r="E2170" s="36" t="n">
        <x:v>70400</x:v>
      </x:c>
      <x:c r="F2170" s="36" t="n">
        <x:v>2858</x:v>
      </x:c>
      <x:c r="G2170" s="42" t="n">
        <x:v>0.6130416130416131</x:v>
      </x:c>
      <x:c r="H2170" s="36" t="n">
        <x:f>E2170*G2170</x:f>
        <x:v>43158.12955812956</x:v>
      </x:c>
      <x:c r="I2170" s="36" t="n">
        <x:f>IFERROR(H2170/A2170,0)</x:f>
        <x:v>10789.53238953239</x:v>
      </x:c>
      <x:c r="J2170" s="67" t="str">
        <x:v>Modeled from live base + Sep-2026 quality ratio; K/FL quality cell modeled</x:v>
      </x:c>
      <x:c r="K2170" s="67" t="str">
        <x:v>https://www.stonealgo.com/diamond-prices/</x:v>
      </x:c>
      <x:c r="L2170" s="67" t="str">
        <x:v>https://www.pricescope.com/blog/natural-diamond-prices-september-2026</x:v>
      </x:c>
    </x:row>
    <x:row r="2171">
      <x:c r="A2171" t="n">
        <x:v>4</x:v>
      </x:c>
      <x:c r="B2171" t="str">
        <x:v>Emerald</x:v>
      </x:c>
      <x:c r="C2171" t="str">
        <x:v>K</x:v>
      </x:c>
      <x:c r="D2171" t="str">
        <x:v>IF</x:v>
      </x:c>
      <x:c r="E2171" s="36" t="n">
        <x:v>70400</x:v>
      </x:c>
      <x:c r="F2171" s="36" t="n">
        <x:v>2743</x:v>
      </x:c>
      <x:c r="G2171" s="42" t="n">
        <x:v>0.5883740883740883</x:v>
      </x:c>
      <x:c r="H2171" s="36" t="n">
        <x:f>E2171*G2171</x:f>
        <x:v>41421.53582153582</x:v>
      </x:c>
      <x:c r="I2171" s="36" t="n">
        <x:f>IFERROR(H2171/A2171,0)</x:f>
        <x:v>10355.383955383955</x:v>
      </x:c>
      <x:c r="J2171" s="67" t="str">
        <x:v>Modeled from live base + Sep-2026 quality ratio</x:v>
      </x:c>
      <x:c r="K2171" s="67" t="str">
        <x:v>https://www.stonealgo.com/diamond-prices/</x:v>
      </x:c>
      <x:c r="L2171" s="67" t="str">
        <x:v>https://www.pricescope.com/blog/natural-diamond-prices-september-2026</x:v>
      </x:c>
    </x:row>
    <x:row r="2172">
      <x:c r="A2172" t="n">
        <x:v>4</x:v>
      </x:c>
      <x:c r="B2172" t="str">
        <x:v>Emerald</x:v>
      </x:c>
      <x:c r="C2172" t="str">
        <x:v>K</x:v>
      </x:c>
      <x:c r="D2172" t="str">
        <x:v>VVS1</x:v>
      </x:c>
      <x:c r="E2172" s="36" t="n">
        <x:v>70400</x:v>
      </x:c>
      <x:c r="F2172" s="36" t="n">
        <x:v>2529</x:v>
      </x:c>
      <x:c r="G2172" s="42" t="n">
        <x:v>0.5424710424710425</x:v>
      </x:c>
      <x:c r="H2172" s="36" t="n">
        <x:f>E2172*G2172</x:f>
        <x:v>38189.96138996139</x:v>
      </x:c>
      <x:c r="I2172" s="36" t="n">
        <x:f>IFERROR(H2172/A2172,0)</x:f>
        <x:v>9547.490347490348</x:v>
      </x:c>
      <x:c r="J2172" s="67" t="str">
        <x:v>Modeled from live base + Sep-2026 quality ratio</x:v>
      </x:c>
      <x:c r="K2172" s="67" t="str">
        <x:v>https://www.stonealgo.com/diamond-prices/</x:v>
      </x:c>
      <x:c r="L2172" s="67" t="str">
        <x:v>https://www.pricescope.com/blog/natural-diamond-prices-september-2026</x:v>
      </x:c>
    </x:row>
    <x:row r="2173">
      <x:c r="A2173" t="n">
        <x:v>4</x:v>
      </x:c>
      <x:c r="B2173" t="str">
        <x:v>Emerald</x:v>
      </x:c>
      <x:c r="C2173" t="str">
        <x:v>K</x:v>
      </x:c>
      <x:c r="D2173" t="str">
        <x:v>VVS2</x:v>
      </x:c>
      <x:c r="E2173" s="36" t="n">
        <x:v>70400</x:v>
      </x:c>
      <x:c r="F2173" s="36" t="n">
        <x:v>2374</x:v>
      </x:c>
      <x:c r="G2173" s="42" t="n">
        <x:v>0.5092235092235092</x:v>
      </x:c>
      <x:c r="H2173" s="36" t="n">
        <x:f>E2173*G2173</x:f>
        <x:v>35849.33504933505</x:v>
      </x:c>
      <x:c r="I2173" s="36" t="n">
        <x:f>IFERROR(H2173/A2173,0)</x:f>
        <x:v>8962.333762333763</x:v>
      </x:c>
      <x:c r="J2173" s="67" t="str">
        <x:v>Modeled from live base + Sep-2026 quality ratio</x:v>
      </x:c>
      <x:c r="K2173" s="67" t="str">
        <x:v>https://www.stonealgo.com/diamond-prices/</x:v>
      </x:c>
      <x:c r="L2173" s="67" t="str">
        <x:v>https://www.pricescope.com/blog/natural-diamond-prices-september-2026</x:v>
      </x:c>
    </x:row>
    <x:row r="2174">
      <x:c r="A2174" t="n">
        <x:v>4</x:v>
      </x:c>
      <x:c r="B2174" t="str">
        <x:v>Emerald</x:v>
      </x:c>
      <x:c r="C2174" t="str">
        <x:v>K</x:v>
      </x:c>
      <x:c r="D2174" t="str">
        <x:v>VS1</x:v>
      </x:c>
      <x:c r="E2174" s="36" t="n">
        <x:v>70400</x:v>
      </x:c>
      <x:c r="F2174" s="36" t="n">
        <x:v>2223</x:v>
      </x:c>
      <x:c r="G2174" s="42" t="n">
        <x:v>0.4768339768339768</x:v>
      </x:c>
      <x:c r="H2174" s="36" t="n">
        <x:f>E2174*G2174</x:f>
        <x:v>33569.11196911197</x:v>
      </x:c>
      <x:c r="I2174" s="36" t="n">
        <x:f>IFERROR(H2174/A2174,0)</x:f>
        <x:v>8392.277992277992</x:v>
      </x:c>
      <x:c r="J2174" s="67" t="str">
        <x:v>Modeled from live base + Sep-2026 quality ratio</x:v>
      </x:c>
      <x:c r="K2174" s="67" t="str">
        <x:v>https://www.stonealgo.com/diamond-prices/</x:v>
      </x:c>
      <x:c r="L2174" s="67" t="str">
        <x:v>https://www.pricescope.com/blog/natural-diamond-prices-september-2026</x:v>
      </x:c>
    </x:row>
    <x:row r="2175">
      <x:c r="A2175" t="n">
        <x:v>4</x:v>
      </x:c>
      <x:c r="B2175" t="str">
        <x:v>Emerald</x:v>
      </x:c>
      <x:c r="C2175" t="str">
        <x:v>K</x:v>
      </x:c>
      <x:c r="D2175" t="str">
        <x:v>VS2</x:v>
      </x:c>
      <x:c r="E2175" s="36" t="n">
        <x:v>70400</x:v>
      </x:c>
      <x:c r="F2175" s="36" t="n">
        <x:v>2098</x:v>
      </x:c>
      <x:c r="G2175" s="42" t="n">
        <x:v>0.45002145002145</x:v>
      </x:c>
      <x:c r="H2175" s="36" t="n">
        <x:f>E2175*G2175</x:f>
        <x:v>31681.51008151008</x:v>
      </x:c>
      <x:c r="I2175" s="36" t="n">
        <x:f>IFERROR(H2175/A2175,0)</x:f>
        <x:v>7920.37752037752</x:v>
      </x:c>
      <x:c r="J2175" s="67" t="str">
        <x:v>Modeled from live base + Sep-2026 quality ratio</x:v>
      </x:c>
      <x:c r="K2175" s="67" t="str">
        <x:v>https://www.stonealgo.com/diamond-prices/</x:v>
      </x:c>
      <x:c r="L2175" s="67" t="str">
        <x:v>https://www.pricescope.com/blog/natural-diamond-prices-september-2026</x:v>
      </x:c>
    </x:row>
    <x:row r="2176">
      <x:c r="A2176" t="n">
        <x:v>4</x:v>
      </x:c>
      <x:c r="B2176" t="str">
        <x:v>Emerald</x:v>
      </x:c>
      <x:c r="C2176" t="str">
        <x:v>K</x:v>
      </x:c>
      <x:c r="D2176" t="str">
        <x:v>SI1</x:v>
      </x:c>
      <x:c r="E2176" s="36" t="n">
        <x:v>70400</x:v>
      </x:c>
      <x:c r="F2176" s="36" t="n">
        <x:v>1922</x:v>
      </x:c>
      <x:c r="G2176" s="42" t="n">
        <x:v>0.41226941226941227</x:v>
      </x:c>
      <x:c r="H2176" s="36" t="n">
        <x:f>E2176*G2176</x:f>
        <x:v>29023.766623766624</x:v>
      </x:c>
      <x:c r="I2176" s="36" t="n">
        <x:f>IFERROR(H2176/A2176,0)</x:f>
        <x:v>7255.941655941656</x:v>
      </x:c>
      <x:c r="J2176" s="67" t="str">
        <x:v>Modeled from live base + Sep-2026 quality ratio</x:v>
      </x:c>
      <x:c r="K2176" s="67" t="str">
        <x:v>https://www.stonealgo.com/diamond-prices/</x:v>
      </x:c>
      <x:c r="L2176" s="67" t="str">
        <x:v>https://www.pricescope.com/blog/natural-diamond-prices-september-2026</x:v>
      </x:c>
    </x:row>
    <x:row r="2177">
      <x:c r="A2177" t="n">
        <x:v>4</x:v>
      </x:c>
      <x:c r="B2177" t="str">
        <x:v>Emerald</x:v>
      </x:c>
      <x:c r="C2177" t="str">
        <x:v>K</x:v>
      </x:c>
      <x:c r="D2177" t="str">
        <x:v>SI2</x:v>
      </x:c>
      <x:c r="E2177" s="36" t="n">
        <x:v>70400</x:v>
      </x:c>
      <x:c r="F2177" s="36" t="n">
        <x:v>1764</x:v>
      </x:c>
      <x:c r="G2177" s="42" t="n">
        <x:v>0.3783783783783784</x:v>
      </x:c>
      <x:c r="H2177" s="36" t="n">
        <x:f>E2177*G2177</x:f>
        <x:v>26637.83783783784</x:v>
      </x:c>
      <x:c r="I2177" s="36" t="n">
        <x:f>IFERROR(H2177/A2177,0)</x:f>
        <x:v>6659.45945945946</x:v>
      </x:c>
      <x:c r="J2177" s="67" t="str">
        <x:v>Modeled from live base + Sep-2026 quality ratio</x:v>
      </x:c>
      <x:c r="K2177" s="67" t="str">
        <x:v>https://www.stonealgo.com/diamond-prices/</x:v>
      </x:c>
      <x:c r="L2177" s="67" t="str">
        <x:v>https://www.pricescope.com/blog/natural-diamond-prices-september-2026</x:v>
      </x:c>
    </x:row>
    <x:row r="2178">
      <x:c r="A2178" t="n">
        <x:v>4</x:v>
      </x:c>
      <x:c r="B2178" t="str">
        <x:v>Cushion</x:v>
      </x:c>
      <x:c r="C2178" t="str">
        <x:v>D</x:v>
      </x:c>
      <x:c r="D2178" t="str">
        <x:v>FL</x:v>
      </x:c>
      <x:c r="E2178" s="36" t="n">
        <x:v>68000</x:v>
      </x:c>
      <x:c r="F2178" s="36" t="n">
        <x:v>12665</x:v>
      </x:c>
      <x:c r="G2178" s="42" t="n">
        <x:v>2.7166452166452166</x:v>
      </x:c>
      <x:c r="H2178" s="36" t="n">
        <x:f>E2178*G2178</x:f>
        <x:v>184731.87473187473</x:v>
      </x:c>
      <x:c r="I2178" s="36" t="n">
        <x:f>IFERROR(H2178/A2178,0)</x:f>
        <x:v>46182.96868296868</x:v>
      </x:c>
      <x:c r="J2178" s="67" t="str">
        <x:v>Modeled from live base + Sep-2026 quality ratio</x:v>
      </x:c>
      <x:c r="K2178" s="67" t="str">
        <x:v>https://www.stonealgo.com/diamond-prices/</x:v>
      </x:c>
      <x:c r="L2178" s="67" t="str">
        <x:v>https://www.pricescope.com/blog/natural-diamond-prices-september-2026</x:v>
      </x:c>
    </x:row>
    <x:row r="2179">
      <x:c r="A2179" t="n">
        <x:v>4</x:v>
      </x:c>
      <x:c r="B2179" t="str">
        <x:v>Cushion</x:v>
      </x:c>
      <x:c r="C2179" t="str">
        <x:v>D</x:v>
      </x:c>
      <x:c r="D2179" t="str">
        <x:v>IF</x:v>
      </x:c>
      <x:c r="E2179" s="36" t="n">
        <x:v>68000</x:v>
      </x:c>
      <x:c r="F2179" s="36" t="n">
        <x:v>13240</x:v>
      </x:c>
      <x:c r="G2179" s="42" t="n">
        <x:v>2.83998283998284</x:v>
      </x:c>
      <x:c r="H2179" s="36" t="n">
        <x:f>E2179*G2179</x:f>
        <x:v>193118.83311883314</x:v>
      </x:c>
      <x:c r="I2179" s="36" t="n">
        <x:f>IFERROR(H2179/A2179,0)</x:f>
        <x:v>48279.708279708284</x:v>
      </x:c>
      <x:c r="J2179" s="67" t="str">
        <x:v>Modeled from live base + Sep-2026 quality ratio</x:v>
      </x:c>
      <x:c r="K2179" s="67" t="str">
        <x:v>https://www.stonealgo.com/diamond-prices/</x:v>
      </x:c>
      <x:c r="L2179" s="67" t="str">
        <x:v>https://www.pricescope.com/blog/natural-diamond-prices-september-2026</x:v>
      </x:c>
    </x:row>
    <x:row r="2180">
      <x:c r="A2180" t="n">
        <x:v>4</x:v>
      </x:c>
      <x:c r="B2180" t="str">
        <x:v>Cushion</x:v>
      </x:c>
      <x:c r="C2180" t="str">
        <x:v>D</x:v>
      </x:c>
      <x:c r="D2180" t="str">
        <x:v>VVS1</x:v>
      </x:c>
      <x:c r="E2180" s="36" t="n">
        <x:v>68000</x:v>
      </x:c>
      <x:c r="F2180" s="36" t="n">
        <x:v>9555</x:v>
      </x:c>
      <x:c r="G2180" s="42" t="n">
        <x:v>2.0495495495495497</x:v>
      </x:c>
      <x:c r="H2180" s="36" t="n">
        <x:f>E2180*G2180</x:f>
        <x:v>139369.36936936938</x:v>
      </x:c>
      <x:c r="I2180" s="36" t="n">
        <x:f>IFERROR(H2180/A2180,0)</x:f>
        <x:v>34842.342342342345</x:v>
      </x:c>
      <x:c r="J2180" s="67" t="str">
        <x:v>Modeled from live base + Sep-2026 quality ratio</x:v>
      </x:c>
      <x:c r="K2180" s="67" t="str">
        <x:v>https://www.stonealgo.com/diamond-prices/</x:v>
      </x:c>
      <x:c r="L2180" s="67" t="str">
        <x:v>https://www.pricescope.com/blog/natural-diamond-prices-september-2026</x:v>
      </x:c>
    </x:row>
    <x:row r="2181">
      <x:c r="A2181" t="n">
        <x:v>4</x:v>
      </x:c>
      <x:c r="B2181" t="str">
        <x:v>Cushion</x:v>
      </x:c>
      <x:c r="C2181" t="str">
        <x:v>D</x:v>
      </x:c>
      <x:c r="D2181" t="str">
        <x:v>VVS2</x:v>
      </x:c>
      <x:c r="E2181" s="36" t="n">
        <x:v>68000</x:v>
      </x:c>
      <x:c r="F2181" s="36" t="n">
        <x:v>6660</x:v>
      </x:c>
      <x:c r="G2181" s="42" t="n">
        <x:v>1.4285714285714286</x:v>
      </x:c>
      <x:c r="H2181" s="36" t="n">
        <x:f>E2181*G2181</x:f>
        <x:v>97142.85714285714</x:v>
      </x:c>
      <x:c r="I2181" s="36" t="n">
        <x:f>IFERROR(H2181/A2181,0)</x:f>
        <x:v>24285.714285714286</x:v>
      </x:c>
      <x:c r="J2181" s="67" t="str">
        <x:v>Modeled from live base + Sep-2026 quality ratio</x:v>
      </x:c>
      <x:c r="K2181" s="67" t="str">
        <x:v>https://www.stonealgo.com/diamond-prices/</x:v>
      </x:c>
      <x:c r="L2181" s="67" t="str">
        <x:v>https://www.pricescope.com/blog/natural-diamond-prices-september-2026</x:v>
      </x:c>
    </x:row>
    <x:row r="2182">
      <x:c r="A2182" t="n">
        <x:v>4</x:v>
      </x:c>
      <x:c r="B2182" t="str">
        <x:v>Cushion</x:v>
      </x:c>
      <x:c r="C2182" t="str">
        <x:v>D</x:v>
      </x:c>
      <x:c r="D2182" t="str">
        <x:v>VS1</x:v>
      </x:c>
      <x:c r="E2182" s="36" t="n">
        <x:v>68000</x:v>
      </x:c>
      <x:c r="F2182" s="36" t="n">
        <x:v>6247</x:v>
      </x:c>
      <x:c r="G2182" s="42" t="n">
        <x:v>1.33998283998284</x:v>
      </x:c>
      <x:c r="H2182" s="36" t="n">
        <x:f>E2182*G2182</x:f>
        <x:v>91118.83311883312</x:v>
      </x:c>
      <x:c r="I2182" s="36" t="n">
        <x:f>IFERROR(H2182/A2182,0)</x:f>
        <x:v>22779.70827970828</x:v>
      </x:c>
      <x:c r="J2182" s="67" t="str">
        <x:v>Modeled from live base + Sep-2026 quality ratio</x:v>
      </x:c>
      <x:c r="K2182" s="67" t="str">
        <x:v>https://www.stonealgo.com/diamond-prices/</x:v>
      </x:c>
      <x:c r="L2182" s="67" t="str">
        <x:v>https://www.pricescope.com/blog/natural-diamond-prices-september-2026</x:v>
      </x:c>
    </x:row>
    <x:row r="2183">
      <x:c r="A2183" t="n">
        <x:v>4</x:v>
      </x:c>
      <x:c r="B2183" t="str">
        <x:v>Cushion</x:v>
      </x:c>
      <x:c r="C2183" t="str">
        <x:v>D</x:v>
      </x:c>
      <x:c r="D2183" t="str">
        <x:v>VS2</x:v>
      </x:c>
      <x:c r="E2183" s="36" t="n">
        <x:v>68000</x:v>
      </x:c>
      <x:c r="F2183" s="36" t="n">
        <x:v>5841</x:v>
      </x:c>
      <x:c r="G2183" s="42" t="n">
        <x:v>1.252895752895753</x:v>
      </x:c>
      <x:c r="H2183" s="36" t="n">
        <x:f>E2183*G2183</x:f>
        <x:v>85196.9111969112</x:v>
      </x:c>
      <x:c r="I2183" s="36" t="n">
        <x:f>IFERROR(H2183/A2183,0)</x:f>
        <x:v>21299.2277992278</x:v>
      </x:c>
      <x:c r="J2183" s="67" t="str">
        <x:v>Modeled from live base + Sep-2026 quality ratio</x:v>
      </x:c>
      <x:c r="K2183" s="67" t="str">
        <x:v>https://www.stonealgo.com/diamond-prices/</x:v>
      </x:c>
      <x:c r="L2183" s="67" t="str">
        <x:v>https://www.pricescope.com/blog/natural-diamond-prices-september-2026</x:v>
      </x:c>
    </x:row>
    <x:row r="2184">
      <x:c r="A2184" t="n">
        <x:v>4</x:v>
      </x:c>
      <x:c r="B2184" t="str">
        <x:v>Cushion</x:v>
      </x:c>
      <x:c r="C2184" t="str">
        <x:v>D</x:v>
      </x:c>
      <x:c r="D2184" t="str">
        <x:v>SI1</x:v>
      </x:c>
      <x:c r="E2184" s="36" t="n">
        <x:v>68000</x:v>
      </x:c>
      <x:c r="F2184" s="36" t="n">
        <x:v>3762</x:v>
      </x:c>
      <x:c r="G2184" s="42" t="n">
        <x:v>0.806949806949807</x:v>
      </x:c>
      <x:c r="H2184" s="36" t="n">
        <x:f>E2184*G2184</x:f>
        <x:v>54872.58687258688</x:v>
      </x:c>
      <x:c r="I2184" s="36" t="n">
        <x:f>IFERROR(H2184/A2184,0)</x:f>
        <x:v>13718.14671814672</x:v>
      </x:c>
      <x:c r="J2184" s="67" t="str">
        <x:v>Modeled from live base + Sep-2026 quality ratio</x:v>
      </x:c>
      <x:c r="K2184" s="67" t="str">
        <x:v>https://www.stonealgo.com/diamond-prices/</x:v>
      </x:c>
      <x:c r="L2184" s="67" t="str">
        <x:v>https://www.pricescope.com/blog/natural-diamond-prices-september-2026</x:v>
      </x:c>
    </x:row>
    <x:row r="2185">
      <x:c r="A2185" t="n">
        <x:v>4</x:v>
      </x:c>
      <x:c r="B2185" t="str">
        <x:v>Cushion</x:v>
      </x:c>
      <x:c r="C2185" t="str">
        <x:v>D</x:v>
      </x:c>
      <x:c r="D2185" t="str">
        <x:v>SI2</x:v>
      </x:c>
      <x:c r="E2185" s="36" t="n">
        <x:v>68000</x:v>
      </x:c>
      <x:c r="F2185" s="36" t="n">
        <x:v>3026</x:v>
      </x:c>
      <x:c r="G2185" s="42" t="n">
        <x:v>0.6490776490776491</x:v>
      </x:c>
      <x:c r="H2185" s="36" t="n">
        <x:f>E2185*G2185</x:f>
        <x:v>44137.28013728014</x:v>
      </x:c>
      <x:c r="I2185" s="36" t="n">
        <x:f>IFERROR(H2185/A2185,0)</x:f>
        <x:v>11034.320034320035</x:v>
      </x:c>
      <x:c r="J2185" s="67" t="str">
        <x:v>Modeled from live base + Sep-2026 quality ratio</x:v>
      </x:c>
      <x:c r="K2185" s="67" t="str">
        <x:v>https://www.stonealgo.com/diamond-prices/</x:v>
      </x:c>
      <x:c r="L2185" s="67" t="str">
        <x:v>https://www.pricescope.com/blog/natural-diamond-prices-september-2026</x:v>
      </x:c>
    </x:row>
    <x:row r="2186">
      <x:c r="A2186" t="n">
        <x:v>4</x:v>
      </x:c>
      <x:c r="B2186" t="str">
        <x:v>Cushion</x:v>
      </x:c>
      <x:c r="C2186" t="str">
        <x:v>E</x:v>
      </x:c>
      <x:c r="D2186" t="str">
        <x:v>FL</x:v>
      </x:c>
      <x:c r="E2186" s="36" t="n">
        <x:v>68000</x:v>
      </x:c>
      <x:c r="F2186" s="36" t="n">
        <x:v>10072</x:v>
      </x:c>
      <x:c r="G2186" s="42" t="n">
        <x:v>2.1604461604461602</x:v>
      </x:c>
      <x:c r="H2186" s="36" t="n">
        <x:f>E2186*G2186</x:f>
        <x:v>146910.3389103389</x:v>
      </x:c>
      <x:c r="I2186" s="36" t="n">
        <x:f>IFERROR(H2186/A2186,0)</x:f>
        <x:v>36727.584727584726</x:v>
      </x:c>
      <x:c r="J2186" s="67" t="str">
        <x:v>Modeled from live base + Sep-2026 quality ratio</x:v>
      </x:c>
      <x:c r="K2186" s="67" t="str">
        <x:v>https://www.stonealgo.com/diamond-prices/</x:v>
      </x:c>
      <x:c r="L2186" s="67" t="str">
        <x:v>https://www.pricescope.com/blog/natural-diamond-prices-september-2026</x:v>
      </x:c>
    </x:row>
    <x:row r="2187">
      <x:c r="A2187" t="n">
        <x:v>4</x:v>
      </x:c>
      <x:c r="B2187" t="str">
        <x:v>Cushion</x:v>
      </x:c>
      <x:c r="C2187" t="str">
        <x:v>E</x:v>
      </x:c>
      <x:c r="D2187" t="str">
        <x:v>IF</x:v>
      </x:c>
      <x:c r="E2187" s="36" t="n">
        <x:v>68000</x:v>
      </x:c>
      <x:c r="F2187" s="36" t="n">
        <x:v>8672</x:v>
      </x:c>
      <x:c r="G2187" s="42" t="n">
        <x:v>1.8601458601458603</x:v>
      </x:c>
      <x:c r="H2187" s="36" t="n">
        <x:f>E2187*G2187</x:f>
        <x:v>126489.91848991849</x:v>
      </x:c>
      <x:c r="I2187" s="36" t="n">
        <x:f>IFERROR(H2187/A2187,0)</x:f>
        <x:v>31622.479622479623</x:v>
      </x:c>
      <x:c r="J2187" s="67" t="str">
        <x:v>Modeled from live base + Sep-2026 quality ratio</x:v>
      </x:c>
      <x:c r="K2187" s="67" t="str">
        <x:v>https://www.stonealgo.com/diamond-prices/</x:v>
      </x:c>
      <x:c r="L2187" s="67" t="str">
        <x:v>https://www.pricescope.com/blog/natural-diamond-prices-september-2026</x:v>
      </x:c>
    </x:row>
    <x:row r="2188">
      <x:c r="A2188" t="n">
        <x:v>4</x:v>
      </x:c>
      <x:c r="B2188" t="str">
        <x:v>Cushion</x:v>
      </x:c>
      <x:c r="C2188" t="str">
        <x:v>E</x:v>
      </x:c>
      <x:c r="D2188" t="str">
        <x:v>VVS1</x:v>
      </x:c>
      <x:c r="E2188" s="36" t="n">
        <x:v>68000</x:v>
      </x:c>
      <x:c r="F2188" s="36" t="n">
        <x:v>7842</x:v>
      </x:c>
      <x:c r="G2188" s="42" t="n">
        <x:v>1.6821106821106822</x:v>
      </x:c>
      <x:c r="H2188" s="36" t="n">
        <x:f>E2188*G2188</x:f>
        <x:v>114383.52638352639</x:v>
      </x:c>
      <x:c r="I2188" s="36" t="n">
        <x:f>IFERROR(H2188/A2188,0)</x:f>
        <x:v>28595.881595881598</x:v>
      </x:c>
      <x:c r="J2188" s="67" t="str">
        <x:v>Modeled from live base + Sep-2026 quality ratio</x:v>
      </x:c>
      <x:c r="K2188" s="67" t="str">
        <x:v>https://www.stonealgo.com/diamond-prices/</x:v>
      </x:c>
      <x:c r="L2188" s="67" t="str">
        <x:v>https://www.pricescope.com/blog/natural-diamond-prices-september-2026</x:v>
      </x:c>
    </x:row>
    <x:row r="2189">
      <x:c r="A2189" t="n">
        <x:v>4</x:v>
      </x:c>
      <x:c r="B2189" t="str">
        <x:v>Cushion</x:v>
      </x:c>
      <x:c r="C2189" t="str">
        <x:v>E</x:v>
      </x:c>
      <x:c r="D2189" t="str">
        <x:v>VVS2</x:v>
      </x:c>
      <x:c r="E2189" s="36" t="n">
        <x:v>68000</x:v>
      </x:c>
      <x:c r="F2189" s="36" t="n">
        <x:v>6880</x:v>
      </x:c>
      <x:c r="G2189" s="42" t="n">
        <x:v>1.4757614757614759</x:v>
      </x:c>
      <x:c r="H2189" s="36" t="n">
        <x:f>E2189*G2189</x:f>
        <x:v>100351.78035178035</x:v>
      </x:c>
      <x:c r="I2189" s="36" t="n">
        <x:f>IFERROR(H2189/A2189,0)</x:f>
        <x:v>25087.94508794509</x:v>
      </x:c>
      <x:c r="J2189" s="67" t="str">
        <x:v>Modeled from live base + Sep-2026 quality ratio</x:v>
      </x:c>
      <x:c r="K2189" s="67" t="str">
        <x:v>https://www.stonealgo.com/diamond-prices/</x:v>
      </x:c>
      <x:c r="L2189" s="67" t="str">
        <x:v>https://www.pricescope.com/blog/natural-diamond-prices-september-2026</x:v>
      </x:c>
    </x:row>
    <x:row r="2190">
      <x:c r="A2190" t="n">
        <x:v>4</x:v>
      </x:c>
      <x:c r="B2190" t="str">
        <x:v>Cushion</x:v>
      </x:c>
      <x:c r="C2190" t="str">
        <x:v>E</x:v>
      </x:c>
      <x:c r="D2190" t="str">
        <x:v>VS1</x:v>
      </x:c>
      <x:c r="E2190" s="36" t="n">
        <x:v>68000</x:v>
      </x:c>
      <x:c r="F2190" s="36" t="n">
        <x:v>6307</x:v>
      </x:c>
      <x:c r="G2190" s="42" t="n">
        <x:v>1.352852852852853</x:v>
      </x:c>
      <x:c r="H2190" s="36" t="n">
        <x:f>E2190*G2190</x:f>
        <x:v>91993.993993994</x:v>
      </x:c>
      <x:c r="I2190" s="36" t="n">
        <x:f>IFERROR(H2190/A2190,0)</x:f>
        <x:v>22998.4984984985</x:v>
      </x:c>
      <x:c r="J2190" s="67" t="str">
        <x:v>Modeled from live base + Sep-2026 quality ratio</x:v>
      </x:c>
      <x:c r="K2190" s="67" t="str">
        <x:v>https://www.stonealgo.com/diamond-prices/</x:v>
      </x:c>
      <x:c r="L2190" s="67" t="str">
        <x:v>https://www.pricescope.com/blog/natural-diamond-prices-september-2026</x:v>
      </x:c>
    </x:row>
    <x:row r="2191">
      <x:c r="A2191" t="n">
        <x:v>4</x:v>
      </x:c>
      <x:c r="B2191" t="str">
        <x:v>Cushion</x:v>
      </x:c>
      <x:c r="C2191" t="str">
        <x:v>E</x:v>
      </x:c>
      <x:c r="D2191" t="str">
        <x:v>VS2</x:v>
      </x:c>
      <x:c r="E2191" s="36" t="n">
        <x:v>68000</x:v>
      </x:c>
      <x:c r="F2191" s="36" t="n">
        <x:v>5249</x:v>
      </x:c>
      <x:c r="G2191" s="42" t="n">
        <x:v>1.125911625911626</x:v>
      </x:c>
      <x:c r="H2191" s="36" t="n">
        <x:f>E2191*G2191</x:f>
        <x:v>76561.99056199056</x:v>
      </x:c>
      <x:c r="I2191" s="36" t="n">
        <x:f>IFERROR(H2191/A2191,0)</x:f>
        <x:v>19140.49764049764</x:v>
      </x:c>
      <x:c r="J2191" s="67" t="str">
        <x:v>Modeled from live base + Sep-2026 quality ratio</x:v>
      </x:c>
      <x:c r="K2191" s="67" t="str">
        <x:v>https://www.stonealgo.com/diamond-prices/</x:v>
      </x:c>
      <x:c r="L2191" s="67" t="str">
        <x:v>https://www.pricescope.com/blog/natural-diamond-prices-september-2026</x:v>
      </x:c>
    </x:row>
    <x:row r="2192">
      <x:c r="A2192" t="n">
        <x:v>4</x:v>
      </x:c>
      <x:c r="B2192" t="str">
        <x:v>Cushion</x:v>
      </x:c>
      <x:c r="C2192" t="str">
        <x:v>E</x:v>
      </x:c>
      <x:c r="D2192" t="str">
        <x:v>SI1</x:v>
      </x:c>
      <x:c r="E2192" s="36" t="n">
        <x:v>68000</x:v>
      </x:c>
      <x:c r="F2192" s="36" t="n">
        <x:v>3551</x:v>
      </x:c>
      <x:c r="G2192" s="42" t="n">
        <x:v>0.7616902616902617</x:v>
      </x:c>
      <x:c r="H2192" s="36" t="n">
        <x:f>E2192*G2192</x:f>
        <x:v>51794.937794937796</x:v>
      </x:c>
      <x:c r="I2192" s="36" t="n">
        <x:f>IFERROR(H2192/A2192,0)</x:f>
        <x:v>12948.734448734449</x:v>
      </x:c>
      <x:c r="J2192" s="67" t="str">
        <x:v>Modeled from live base + Sep-2026 quality ratio</x:v>
      </x:c>
      <x:c r="K2192" s="67" t="str">
        <x:v>https://www.stonealgo.com/diamond-prices/</x:v>
      </x:c>
      <x:c r="L2192" s="67" t="str">
        <x:v>https://www.pricescope.com/blog/natural-diamond-prices-september-2026</x:v>
      </x:c>
    </x:row>
    <x:row r="2193">
      <x:c r="A2193" t="n">
        <x:v>4</x:v>
      </x:c>
      <x:c r="B2193" t="str">
        <x:v>Cushion</x:v>
      </x:c>
      <x:c r="C2193" t="str">
        <x:v>E</x:v>
      </x:c>
      <x:c r="D2193" t="str">
        <x:v>SI2</x:v>
      </x:c>
      <x:c r="E2193" s="36" t="n">
        <x:v>68000</x:v>
      </x:c>
      <x:c r="F2193" s="36" t="n">
        <x:v>2993</x:v>
      </x:c>
      <x:c r="G2193" s="42" t="n">
        <x:v>0.641999141999142</x:v>
      </x:c>
      <x:c r="H2193" s="36" t="n">
        <x:f>E2193*G2193</x:f>
        <x:v>43655.94165594166</x:v>
      </x:c>
      <x:c r="I2193" s="36" t="n">
        <x:f>IFERROR(H2193/A2193,0)</x:f>
        <x:v>10913.985413985414</x:v>
      </x:c>
      <x:c r="J2193" s="67" t="str">
        <x:v>Modeled from live base + Sep-2026 quality ratio</x:v>
      </x:c>
      <x:c r="K2193" s="67" t="str">
        <x:v>https://www.stonealgo.com/diamond-prices/</x:v>
      </x:c>
      <x:c r="L2193" s="67" t="str">
        <x:v>https://www.pricescope.com/blog/natural-diamond-prices-september-2026</x:v>
      </x:c>
    </x:row>
    <x:row r="2194">
      <x:c r="A2194" t="n">
        <x:v>4</x:v>
      </x:c>
      <x:c r="B2194" t="str">
        <x:v>Cushion</x:v>
      </x:c>
      <x:c r="C2194" t="str">
        <x:v>F</x:v>
      </x:c>
      <x:c r="D2194" t="str">
        <x:v>FL</x:v>
      </x:c>
      <x:c r="E2194" s="36" t="n">
        <x:v>68000</x:v>
      </x:c>
      <x:c r="F2194" s="36" t="n">
        <x:v>6830</x:v>
      </x:c>
      <x:c r="G2194" s="42" t="n">
        <x:v>1.4650364650364651</x:v>
      </x:c>
      <x:c r="H2194" s="36" t="n">
        <x:f>E2194*G2194</x:f>
        <x:v>99622.47962247963</x:v>
      </x:c>
      <x:c r="I2194" s="36" t="n">
        <x:f>IFERROR(H2194/A2194,0)</x:f>
        <x:v>24905.619905619908</x:v>
      </x:c>
      <x:c r="J2194" s="67" t="str">
        <x:v>Modeled from live base + Sep-2026 quality ratio</x:v>
      </x:c>
      <x:c r="K2194" s="67" t="str">
        <x:v>https://www.stonealgo.com/diamond-prices/</x:v>
      </x:c>
      <x:c r="L2194" s="67" t="str">
        <x:v>https://www.pricescope.com/blog/natural-diamond-prices-september-2026</x:v>
      </x:c>
    </x:row>
    <x:row r="2195">
      <x:c r="A2195" t="n">
        <x:v>4</x:v>
      </x:c>
      <x:c r="B2195" t="str">
        <x:v>Cushion</x:v>
      </x:c>
      <x:c r="C2195" t="str">
        <x:v>F</x:v>
      </x:c>
      <x:c r="D2195" t="str">
        <x:v>IF</x:v>
      </x:c>
      <x:c r="E2195" s="36" t="n">
        <x:v>68000</x:v>
      </x:c>
      <x:c r="F2195" s="36" t="n">
        <x:v>7302</x:v>
      </x:c>
      <x:c r="G2195" s="42" t="n">
        <x:v>1.5662805662805663</x:v>
      </x:c>
      <x:c r="H2195" s="36" t="n">
        <x:f>E2195*G2195</x:f>
        <x:v>106507.0785070785</x:v>
      </x:c>
      <x:c r="I2195" s="36" t="n">
        <x:f>IFERROR(H2195/A2195,0)</x:f>
        <x:v>26626.769626769626</x:v>
      </x:c>
      <x:c r="J2195" s="67" t="str">
        <x:v>Modeled from live base + Sep-2026 quality ratio</x:v>
      </x:c>
      <x:c r="K2195" s="67" t="str">
        <x:v>https://www.stonealgo.com/diamond-prices/</x:v>
      </x:c>
      <x:c r="L2195" s="67" t="str">
        <x:v>https://www.pricescope.com/blog/natural-diamond-prices-september-2026</x:v>
      </x:c>
    </x:row>
    <x:row r="2196">
      <x:c r="A2196" t="n">
        <x:v>4</x:v>
      </x:c>
      <x:c r="B2196" t="str">
        <x:v>Cushion</x:v>
      </x:c>
      <x:c r="C2196" t="str">
        <x:v>F</x:v>
      </x:c>
      <x:c r="D2196" t="str">
        <x:v>VVS1</x:v>
      </x:c>
      <x:c r="E2196" s="36" t="n">
        <x:v>68000</x:v>
      </x:c>
      <x:c r="F2196" s="36" t="n">
        <x:v>7542</x:v>
      </x:c>
      <x:c r="G2196" s="42" t="n">
        <x:v>1.6177606177606179</x:v>
      </x:c>
      <x:c r="H2196" s="36" t="n">
        <x:f>E2196*G2196</x:f>
        <x:v>110007.72200772201</x:v>
      </x:c>
      <x:c r="I2196" s="36" t="n">
        <x:f>IFERROR(H2196/A2196,0)</x:f>
        <x:v>27501.930501930503</x:v>
      </x:c>
      <x:c r="J2196" s="67" t="str">
        <x:v>Modeled from live base + Sep-2026 quality ratio</x:v>
      </x:c>
      <x:c r="K2196" s="67" t="str">
        <x:v>https://www.stonealgo.com/diamond-prices/</x:v>
      </x:c>
      <x:c r="L2196" s="67" t="str">
        <x:v>https://www.pricescope.com/blog/natural-diamond-prices-september-2026</x:v>
      </x:c>
    </x:row>
    <x:row r="2197">
      <x:c r="A2197" t="n">
        <x:v>4</x:v>
      </x:c>
      <x:c r="B2197" t="str">
        <x:v>Cushion</x:v>
      </x:c>
      <x:c r="C2197" t="str">
        <x:v>F</x:v>
      </x:c>
      <x:c r="D2197" t="str">
        <x:v>VVS2</x:v>
      </x:c>
      <x:c r="E2197" s="36" t="n">
        <x:v>68000</x:v>
      </x:c>
      <x:c r="F2197" s="36" t="n">
        <x:v>6352</x:v>
      </x:c>
      <x:c r="G2197" s="42" t="n">
        <x:v>1.3625053625053625</x:v>
      </x:c>
      <x:c r="H2197" s="36" t="n">
        <x:f>E2197*G2197</x:f>
        <x:v>92650.36465036465</x:v>
      </x:c>
      <x:c r="I2197" s="36" t="n">
        <x:f>IFERROR(H2197/A2197,0)</x:f>
        <x:v>23162.59116259116</x:v>
      </x:c>
      <x:c r="J2197" s="67" t="str">
        <x:v>Modeled from live base + Sep-2026 quality ratio</x:v>
      </x:c>
      <x:c r="K2197" s="67" t="str">
        <x:v>https://www.stonealgo.com/diamond-prices/</x:v>
      </x:c>
      <x:c r="L2197" s="67" t="str">
        <x:v>https://www.pricescope.com/blog/natural-diamond-prices-september-2026</x:v>
      </x:c>
    </x:row>
    <x:row r="2198">
      <x:c r="A2198" t="n">
        <x:v>4</x:v>
      </x:c>
      <x:c r="B2198" t="str">
        <x:v>Cushion</x:v>
      </x:c>
      <x:c r="C2198" t="str">
        <x:v>F</x:v>
      </x:c>
      <x:c r="D2198" t="str">
        <x:v>VS1</x:v>
      </x:c>
      <x:c r="E2198" s="36" t="n">
        <x:v>68000</x:v>
      </x:c>
      <x:c r="F2198" s="36" t="n">
        <x:v>5647</x:v>
      </x:c>
      <x:c r="G2198" s="42" t="n">
        <x:v>1.2112827112827114</x:v>
      </x:c>
      <x:c r="H2198" s="36" t="n">
        <x:f>E2198*G2198</x:f>
        <x:v>82367.22436722438</x:v>
      </x:c>
      <x:c r="I2198" s="36" t="n">
        <x:f>IFERROR(H2198/A2198,0)</x:f>
        <x:v>20591.806091806095</x:v>
      </x:c>
      <x:c r="J2198" s="67" t="str">
        <x:v>Modeled from live base + Sep-2026 quality ratio</x:v>
      </x:c>
      <x:c r="K2198" s="67" t="str">
        <x:v>https://www.stonealgo.com/diamond-prices/</x:v>
      </x:c>
      <x:c r="L2198" s="67" t="str">
        <x:v>https://www.pricescope.com/blog/natural-diamond-prices-september-2026</x:v>
      </x:c>
    </x:row>
    <x:row r="2199">
      <x:c r="A2199" t="n">
        <x:v>4</x:v>
      </x:c>
      <x:c r="B2199" t="str">
        <x:v>Cushion</x:v>
      </x:c>
      <x:c r="C2199" t="str">
        <x:v>F</x:v>
      </x:c>
      <x:c r="D2199" t="str">
        <x:v>VS2</x:v>
      </x:c>
      <x:c r="E2199" s="36" t="n">
        <x:v>68000</x:v>
      </x:c>
      <x:c r="F2199" s="36" t="n">
        <x:v>4730</x:v>
      </x:c>
      <x:c r="G2199" s="42" t="n">
        <x:v>1.0145860145860146</x:v>
      </x:c>
      <x:c r="H2199" s="36" t="n">
        <x:f>E2199*G2199</x:f>
        <x:v>68991.848991849</x:v>
      </x:c>
      <x:c r="I2199" s="36" t="n">
        <x:f>IFERROR(H2199/A2199,0)</x:f>
        <x:v>17247.96224796225</x:v>
      </x:c>
      <x:c r="J2199" s="67" t="str">
        <x:v>Modeled from live base + Sep-2026 quality ratio</x:v>
      </x:c>
      <x:c r="K2199" s="67" t="str">
        <x:v>https://www.stonealgo.com/diamond-prices/</x:v>
      </x:c>
      <x:c r="L2199" s="67" t="str">
        <x:v>https://www.pricescope.com/blog/natural-diamond-prices-september-2026</x:v>
      </x:c>
    </x:row>
    <x:row r="2200">
      <x:c r="A2200" t="n">
        <x:v>4</x:v>
      </x:c>
      <x:c r="B2200" t="str">
        <x:v>Cushion</x:v>
      </x:c>
      <x:c r="C2200" t="str">
        <x:v>F</x:v>
      </x:c>
      <x:c r="D2200" t="str">
        <x:v>SI1</x:v>
      </x:c>
      <x:c r="E2200" s="36" t="n">
        <x:v>68000</x:v>
      </x:c>
      <x:c r="F2200" s="36" t="n">
        <x:v>3331</x:v>
      </x:c>
      <x:c r="G2200" s="42" t="n">
        <x:v>0.7145002145002145</x:v>
      </x:c>
      <x:c r="H2200" s="36" t="n">
        <x:f>E2200*G2200</x:f>
        <x:v>48586.014586014586</x:v>
      </x:c>
      <x:c r="I2200" s="36" t="n">
        <x:f>IFERROR(H2200/A2200,0)</x:f>
        <x:v>12146.503646503646</x:v>
      </x:c>
      <x:c r="J2200" s="67" t="str">
        <x:v>Modeled from live base + Sep-2026 quality ratio</x:v>
      </x:c>
      <x:c r="K2200" s="67" t="str">
        <x:v>https://www.stonealgo.com/diamond-prices/</x:v>
      </x:c>
      <x:c r="L2200" s="67" t="str">
        <x:v>https://www.pricescope.com/blog/natural-diamond-prices-september-2026</x:v>
      </x:c>
    </x:row>
    <x:row r="2201">
      <x:c r="A2201" t="n">
        <x:v>4</x:v>
      </x:c>
      <x:c r="B2201" t="str">
        <x:v>Cushion</x:v>
      </x:c>
      <x:c r="C2201" t="str">
        <x:v>F</x:v>
      </x:c>
      <x:c r="D2201" t="str">
        <x:v>SI2</x:v>
      </x:c>
      <x:c r="E2201" s="36" t="n">
        <x:v>68000</x:v>
      </x:c>
      <x:c r="F2201" s="36" t="n">
        <x:v>2733</x:v>
      </x:c>
      <x:c r="G2201" s="42" t="n">
        <x:v>0.5862290862290862</x:v>
      </x:c>
      <x:c r="H2201" s="36" t="n">
        <x:f>E2201*G2201</x:f>
        <x:v>39863.57786357786</x:v>
      </x:c>
      <x:c r="I2201" s="36" t="n">
        <x:f>IFERROR(H2201/A2201,0)</x:f>
        <x:v>9965.894465894466</x:v>
      </x:c>
      <x:c r="J2201" s="67" t="str">
        <x:v>Modeled from live base + Sep-2026 quality ratio</x:v>
      </x:c>
      <x:c r="K2201" s="67" t="str">
        <x:v>https://www.stonealgo.com/diamond-prices/</x:v>
      </x:c>
      <x:c r="L2201" s="67" t="str">
        <x:v>https://www.pricescope.com/blog/natural-diamond-prices-september-2026</x:v>
      </x:c>
    </x:row>
    <x:row r="2202">
      <x:c r="A2202" t="n">
        <x:v>4</x:v>
      </x:c>
      <x:c r="B2202" t="str">
        <x:v>Cushion</x:v>
      </x:c>
      <x:c r="C2202" t="str">
        <x:v>G</x:v>
      </x:c>
      <x:c r="D2202" t="str">
        <x:v>FL</x:v>
      </x:c>
      <x:c r="E2202" s="36" t="n">
        <x:v>68000</x:v>
      </x:c>
      <x:c r="F2202" s="36" t="n">
        <x:v>5905</x:v>
      </x:c>
      <x:c r="G2202" s="42" t="n">
        <x:v>1.2666237666237665</x:v>
      </x:c>
      <x:c r="H2202" s="36" t="n">
        <x:f>E2202*G2202</x:f>
        <x:v>86130.41613041612</x:v>
      </x:c>
      <x:c r="I2202" s="36" t="n">
        <x:f>IFERROR(H2202/A2202,0)</x:f>
        <x:v>21532.60403260403</x:v>
      </x:c>
      <x:c r="J2202" s="67" t="str">
        <x:v>Modeled from live base + Sep-2026 quality ratio</x:v>
      </x:c>
      <x:c r="K2202" s="67" t="str">
        <x:v>https://www.stonealgo.com/diamond-prices/</x:v>
      </x:c>
      <x:c r="L2202" s="67" t="str">
        <x:v>https://www.pricescope.com/blog/natural-diamond-prices-september-2026</x:v>
      </x:c>
    </x:row>
    <x:row r="2203">
      <x:c r="A2203" t="n">
        <x:v>4</x:v>
      </x:c>
      <x:c r="B2203" t="str">
        <x:v>Cushion</x:v>
      </x:c>
      <x:c r="C2203" t="str">
        <x:v>G</x:v>
      </x:c>
      <x:c r="D2203" t="str">
        <x:v>IF</x:v>
      </x:c>
      <x:c r="E2203" s="36" t="n">
        <x:v>68000</x:v>
      </x:c>
      <x:c r="F2203" s="36" t="n">
        <x:v>5601</x:v>
      </x:c>
      <x:c r="G2203" s="42" t="n">
        <x:v>1.2014157014157014</x:v>
      </x:c>
      <x:c r="H2203" s="36" t="n">
        <x:f>E2203*G2203</x:f>
        <x:v>81696.26769626769</x:v>
      </x:c>
      <x:c r="I2203" s="36" t="n">
        <x:f>IFERROR(H2203/A2203,0)</x:f>
        <x:v>20424.066924066923</x:v>
      </x:c>
      <x:c r="J2203" s="67" t="str">
        <x:v>Modeled from live base + Sep-2026 quality ratio</x:v>
      </x:c>
      <x:c r="K2203" s="67" t="str">
        <x:v>https://www.stonealgo.com/diamond-prices/</x:v>
      </x:c>
      <x:c r="L2203" s="67" t="str">
        <x:v>https://www.pricescope.com/blog/natural-diamond-prices-september-2026</x:v>
      </x:c>
    </x:row>
    <x:row r="2204">
      <x:c r="A2204" t="n">
        <x:v>4</x:v>
      </x:c>
      <x:c r="B2204" t="str">
        <x:v>Cushion</x:v>
      </x:c>
      <x:c r="C2204" t="str">
        <x:v>G</x:v>
      </x:c>
      <x:c r="D2204" t="str">
        <x:v>VVS1</x:v>
      </x:c>
      <x:c r="E2204" s="36" t="n">
        <x:v>68000</x:v>
      </x:c>
      <x:c r="F2204" s="36" t="n">
        <x:v>5124</x:v>
      </x:c>
      <x:c r="G2204" s="42" t="n">
        <x:v>1.0990990990990992</x:v>
      </x:c>
      <x:c r="H2204" s="36" t="n">
        <x:f>E2204*G2204</x:f>
        <x:v>74738.73873873874</x:v>
      </x:c>
      <x:c r="I2204" s="36" t="n">
        <x:f>IFERROR(H2204/A2204,0)</x:f>
        <x:v>18684.684684684686</x:v>
      </x:c>
      <x:c r="J2204" s="67" t="str">
        <x:v>Modeled from live base + Sep-2026 quality ratio</x:v>
      </x:c>
      <x:c r="K2204" s="67" t="str">
        <x:v>https://www.stonealgo.com/diamond-prices/</x:v>
      </x:c>
      <x:c r="L2204" s="67" t="str">
        <x:v>https://www.pricescope.com/blog/natural-diamond-prices-september-2026</x:v>
      </x:c>
    </x:row>
    <x:row r="2205">
      <x:c r="A2205" t="n">
        <x:v>4</x:v>
      </x:c>
      <x:c r="B2205" t="str">
        <x:v>Cushion</x:v>
      </x:c>
      <x:c r="C2205" t="str">
        <x:v>G</x:v>
      </x:c>
      <x:c r="D2205" t="str">
        <x:v>VVS2</x:v>
      </x:c>
      <x:c r="E2205" s="36" t="n">
        <x:v>68000</x:v>
      </x:c>
      <x:c r="F2205" s="36" t="n">
        <x:v>4962</x:v>
      </x:c>
      <x:c r="G2205" s="42" t="n">
        <x:v>1.0643500643500643</x:v>
      </x:c>
      <x:c r="H2205" s="36" t="n">
        <x:f>E2205*G2205</x:f>
        <x:v>72375.80437580438</x:v>
      </x:c>
      <x:c r="I2205" s="36" t="n">
        <x:f>IFERROR(H2205/A2205,0)</x:f>
        <x:v>18093.951093951095</x:v>
      </x:c>
      <x:c r="J2205" s="67" t="str">
        <x:v>Modeled from live base + Sep-2026 quality ratio</x:v>
      </x:c>
      <x:c r="K2205" s="67" t="str">
        <x:v>https://www.stonealgo.com/diamond-prices/</x:v>
      </x:c>
      <x:c r="L2205" s="67" t="str">
        <x:v>https://www.pricescope.com/blog/natural-diamond-prices-september-2026</x:v>
      </x:c>
    </x:row>
    <x:row r="2206">
      <x:c r="A2206" t="n">
        <x:v>4</x:v>
      </x:c>
      <x:c r="B2206" t="str">
        <x:v>Cushion</x:v>
      </x:c>
      <x:c r="C2206" t="str">
        <x:v>G</x:v>
      </x:c>
      <x:c r="D2206" t="str">
        <x:v>VS1</x:v>
      </x:c>
      <x:c r="E2206" s="36" t="n">
        <x:v>68000</x:v>
      </x:c>
      <x:c r="F2206" s="36" t="n">
        <x:v>4615</x:v>
      </x:c>
      <x:c r="G2206" s="42" t="n">
        <x:v>0.98991848991849</x:v>
      </x:c>
      <x:c r="H2206" s="36" t="n">
        <x:f>E2206*G2206</x:f>
        <x:v>67314.45731445732</x:v>
      </x:c>
      <x:c r="I2206" s="36" t="n">
        <x:f>IFERROR(H2206/A2206,0)</x:f>
        <x:v>16828.61432861433</x:v>
      </x:c>
      <x:c r="J2206" s="67" t="str">
        <x:v>Modeled from live base + Sep-2026 quality ratio</x:v>
      </x:c>
      <x:c r="K2206" s="67" t="str">
        <x:v>https://www.stonealgo.com/diamond-prices/</x:v>
      </x:c>
      <x:c r="L2206" s="67" t="str">
        <x:v>https://www.pricescope.com/blog/natural-diamond-prices-september-2026</x:v>
      </x:c>
    </x:row>
    <x:row r="2207">
      <x:c r="A2207" t="n">
        <x:v>4</x:v>
      </x:c>
      <x:c r="B2207" t="str">
        <x:v>Cushion</x:v>
      </x:c>
      <x:c r="C2207" t="str">
        <x:v>G</x:v>
      </x:c>
      <x:c r="D2207" t="str">
        <x:v>VS2</x:v>
      </x:c>
      <x:c r="E2207" s="36" t="n">
        <x:v>68000</x:v>
      </x:c>
      <x:c r="F2207" s="36" t="n">
        <x:v>4585</x:v>
      </x:c>
      <x:c r="G2207" s="42" t="n">
        <x:v>0.9834834834834835</x:v>
      </x:c>
      <x:c r="H2207" s="36" t="n">
        <x:f>E2207*G2207</x:f>
        <x:v>66876.87687687688</x:v>
      </x:c>
      <x:c r="I2207" s="36" t="n">
        <x:f>IFERROR(H2207/A2207,0)</x:f>
        <x:v>16719.21921921922</x:v>
      </x:c>
      <x:c r="J2207" s="67" t="str">
        <x:v>Modeled from live base + Sep-2026 quality ratio</x:v>
      </x:c>
      <x:c r="K2207" s="67" t="str">
        <x:v>https://www.stonealgo.com/diamond-prices/</x:v>
      </x:c>
      <x:c r="L2207" s="67" t="str">
        <x:v>https://www.pricescope.com/blog/natural-diamond-prices-september-2026</x:v>
      </x:c>
    </x:row>
    <x:row r="2208">
      <x:c r="A2208" t="n">
        <x:v>4</x:v>
      </x:c>
      <x:c r="B2208" t="str">
        <x:v>Cushion</x:v>
      </x:c>
      <x:c r="C2208" t="str">
        <x:v>G</x:v>
      </x:c>
      <x:c r="D2208" t="str">
        <x:v>SI1</x:v>
      </x:c>
      <x:c r="E2208" s="36" t="n">
        <x:v>68000</x:v>
      </x:c>
      <x:c r="F2208" s="36" t="n">
        <x:v>3664</x:v>
      </x:c>
      <x:c r="G2208" s="42" t="n">
        <x:v>0.7859287859287859</x:v>
      </x:c>
      <x:c r="H2208" s="36" t="n">
        <x:f>E2208*G2208</x:f>
        <x:v>53443.15744315744</x:v>
      </x:c>
      <x:c r="I2208" s="36" t="n">
        <x:f>IFERROR(H2208/A2208,0)</x:f>
        <x:v>13360.78936078936</x:v>
      </x:c>
      <x:c r="J2208" s="67" t="str">
        <x:v>Modeled from live base + Sep-2026 quality ratio</x:v>
      </x:c>
      <x:c r="K2208" s="67" t="str">
        <x:v>https://www.stonealgo.com/diamond-prices/</x:v>
      </x:c>
      <x:c r="L2208" s="67" t="str">
        <x:v>https://www.pricescope.com/blog/natural-diamond-prices-september-2026</x:v>
      </x:c>
    </x:row>
    <x:row r="2209">
      <x:c r="A2209" t="n">
        <x:v>4</x:v>
      </x:c>
      <x:c r="B2209" t="str">
        <x:v>Cushion</x:v>
      </x:c>
      <x:c r="C2209" t="str">
        <x:v>G</x:v>
      </x:c>
      <x:c r="D2209" t="str">
        <x:v>SI2</x:v>
      </x:c>
      <x:c r="E2209" s="36" t="n">
        <x:v>68000</x:v>
      </x:c>
      <x:c r="F2209" s="36" t="n">
        <x:v>2537</x:v>
      </x:c>
      <x:c r="G2209" s="42" t="n">
        <x:v>0.5441870441870442</x:v>
      </x:c>
      <x:c r="H2209" s="36" t="n">
        <x:f>E2209*G2209</x:f>
        <x:v>37004.71900471901</x:v>
      </x:c>
      <x:c r="I2209" s="36" t="n">
        <x:f>IFERROR(H2209/A2209,0)</x:f>
        <x:v>9251.179751179752</x:v>
      </x:c>
      <x:c r="J2209" s="67" t="str">
        <x:v>Modeled from live base + Sep-2026 quality ratio</x:v>
      </x:c>
      <x:c r="K2209" s="67" t="str">
        <x:v>https://www.stonealgo.com/diamond-prices/</x:v>
      </x:c>
      <x:c r="L2209" s="67" t="str">
        <x:v>https://www.pricescope.com/blog/natural-diamond-prices-september-2026</x:v>
      </x:c>
    </x:row>
    <x:row r="2210">
      <x:c r="A2210" t="n">
        <x:v>4</x:v>
      </x:c>
      <x:c r="B2210" t="str">
        <x:v>Cushion</x:v>
      </x:c>
      <x:c r="C2210" t="str">
        <x:v>H</x:v>
      </x:c>
      <x:c r="D2210" t="str">
        <x:v>FL</x:v>
      </x:c>
      <x:c r="E2210" s="36" t="n">
        <x:v>68000</x:v>
      </x:c>
      <x:c r="F2210" s="36" t="n">
        <x:v>4563</x:v>
      </x:c>
      <x:c r="G2210" s="42" t="n">
        <x:v>0.9787644787644788</x:v>
      </x:c>
      <x:c r="H2210" s="36" t="n">
        <x:f>E2210*G2210</x:f>
        <x:v>66555.98455598456</x:v>
      </x:c>
      <x:c r="I2210" s="36" t="n">
        <x:f>IFERROR(H2210/A2210,0)</x:f>
        <x:v>16638.99613899614</x:v>
      </x:c>
      <x:c r="J2210" s="67" t="str">
        <x:v>Modeled from live base + Sep-2026 quality ratio</x:v>
      </x:c>
      <x:c r="K2210" s="67" t="str">
        <x:v>https://www.stonealgo.com/diamond-prices/</x:v>
      </x:c>
      <x:c r="L2210" s="67" t="str">
        <x:v>https://www.pricescope.com/blog/natural-diamond-prices-september-2026</x:v>
      </x:c>
    </x:row>
    <x:row r="2211">
      <x:c r="A2211" t="n">
        <x:v>4</x:v>
      </x:c>
      <x:c r="B2211" t="str">
        <x:v>Cushion</x:v>
      </x:c>
      <x:c r="C2211" t="str">
        <x:v>H</x:v>
      </x:c>
      <x:c r="D2211" t="str">
        <x:v>IF</x:v>
      </x:c>
      <x:c r="E2211" s="36" t="n">
        <x:v>68000</x:v>
      </x:c>
      <x:c r="F2211" s="36" t="n">
        <x:v>4809</x:v>
      </x:c>
      <x:c r="G2211" s="42" t="n">
        <x:v>1.0315315315315314</x:v>
      </x:c>
      <x:c r="H2211" s="36" t="n">
        <x:f>E2211*G2211</x:f>
        <x:v>70144.14414414414</x:v>
      </x:c>
      <x:c r="I2211" s="36" t="n">
        <x:f>IFERROR(H2211/A2211,0)</x:f>
        <x:v>17536.036036036036</x:v>
      </x:c>
      <x:c r="J2211" s="67" t="str">
        <x:v>Modeled from live base + Sep-2026 quality ratio</x:v>
      </x:c>
      <x:c r="K2211" s="67" t="str">
        <x:v>https://www.stonealgo.com/diamond-prices/</x:v>
      </x:c>
      <x:c r="L2211" s="67" t="str">
        <x:v>https://www.pricescope.com/blog/natural-diamond-prices-september-2026</x:v>
      </x:c>
    </x:row>
    <x:row r="2212">
      <x:c r="A2212" t="n">
        <x:v>4</x:v>
      </x:c>
      <x:c r="B2212" t="str">
        <x:v>Cushion</x:v>
      </x:c>
      <x:c r="C2212" t="str">
        <x:v>H</x:v>
      </x:c>
      <x:c r="D2212" t="str">
        <x:v>VVS1</x:v>
      </x:c>
      <x:c r="E2212" s="36" t="n">
        <x:v>68000</x:v>
      </x:c>
      <x:c r="F2212" s="36" t="n">
        <x:v>4911</x:v>
      </x:c>
      <x:c r="G2212" s="42" t="n">
        <x:v>1.0534105534105533</x:v>
      </x:c>
      <x:c r="H2212" s="36" t="n">
        <x:f>E2212*G2212</x:f>
        <x:v>71631.91763191763</x:v>
      </x:c>
      <x:c r="I2212" s="36" t="n">
        <x:f>IFERROR(H2212/A2212,0)</x:f>
        <x:v>17907.97940797941</x:v>
      </x:c>
      <x:c r="J2212" s="67" t="str">
        <x:v>Modeled from live base + Sep-2026 quality ratio</x:v>
      </x:c>
      <x:c r="K2212" s="67" t="str">
        <x:v>https://www.stonealgo.com/diamond-prices/</x:v>
      </x:c>
      <x:c r="L2212" s="67" t="str">
        <x:v>https://www.pricescope.com/blog/natural-diamond-prices-september-2026</x:v>
      </x:c>
    </x:row>
    <x:row r="2213">
      <x:c r="A2213" t="n">
        <x:v>4</x:v>
      </x:c>
      <x:c r="B2213" t="str">
        <x:v>Cushion</x:v>
      </x:c>
      <x:c r="C2213" t="str">
        <x:v>H</x:v>
      </x:c>
      <x:c r="D2213" t="str">
        <x:v>VVS2</x:v>
      </x:c>
      <x:c r="E2213" s="36" t="n">
        <x:v>68000</x:v>
      </x:c>
      <x:c r="F2213" s="36" t="n">
        <x:v>4046</x:v>
      </x:c>
      <x:c r="G2213" s="42" t="n">
        <x:v>0.8678678678678678</x:v>
      </x:c>
      <x:c r="H2213" s="36" t="n">
        <x:f>E2213*G2213</x:f>
        <x:v>59015.015015015015</x:v>
      </x:c>
      <x:c r="I2213" s="36" t="n">
        <x:f>IFERROR(H2213/A2213,0)</x:f>
        <x:v>14753.753753753754</x:v>
      </x:c>
      <x:c r="J2213" s="67" t="str">
        <x:v>Modeled from live base + Sep-2026 quality ratio</x:v>
      </x:c>
      <x:c r="K2213" s="67" t="str">
        <x:v>https://www.stonealgo.com/diamond-prices/</x:v>
      </x:c>
      <x:c r="L2213" s="67" t="str">
        <x:v>https://www.pricescope.com/blog/natural-diamond-prices-september-2026</x:v>
      </x:c>
    </x:row>
    <x:row r="2214">
      <x:c r="A2214" t="n">
        <x:v>4</x:v>
      </x:c>
      <x:c r="B2214" t="str">
        <x:v>Cushion</x:v>
      </x:c>
      <x:c r="C2214" t="str">
        <x:v>H</x:v>
      </x:c>
      <x:c r="D2214" t="str">
        <x:v>VS1</x:v>
      </x:c>
      <x:c r="E2214" s="36" t="n">
        <x:v>68000</x:v>
      </x:c>
      <x:c r="F2214" s="36" t="n">
        <x:v>3893</x:v>
      </x:c>
      <x:c r="G2214" s="42" t="n">
        <x:v>0.8350493350493351</x:v>
      </x:c>
      <x:c r="H2214" s="36" t="n">
        <x:f>E2214*G2214</x:f>
        <x:v>56783.354783354785</x:v>
      </x:c>
      <x:c r="I2214" s="36" t="n">
        <x:f>IFERROR(H2214/A2214,0)</x:f>
        <x:v>14195.838695838696</x:v>
      </x:c>
      <x:c r="J2214" s="67" t="str">
        <x:v>Modeled from live base + Sep-2026 quality ratio</x:v>
      </x:c>
      <x:c r="K2214" s="67" t="str">
        <x:v>https://www.stonealgo.com/diamond-prices/</x:v>
      </x:c>
      <x:c r="L2214" s="67" t="str">
        <x:v>https://www.pricescope.com/blog/natural-diamond-prices-september-2026</x:v>
      </x:c>
    </x:row>
    <x:row r="2215">
      <x:c r="A2215" t="n">
        <x:v>4</x:v>
      </x:c>
      <x:c r="B2215" t="str">
        <x:v>Cushion</x:v>
      </x:c>
      <x:c r="C2215" t="str">
        <x:v>H</x:v>
      </x:c>
      <x:c r="D2215" t="str">
        <x:v>VS2</x:v>
      </x:c>
      <x:c r="E2215" s="36" t="n">
        <x:v>68000</x:v>
      </x:c>
      <x:c r="F2215" s="36" t="n">
        <x:v>3989</x:v>
      </x:c>
      <x:c r="G2215" s="42" t="n">
        <x:v>0.8556413556413557</x:v>
      </x:c>
      <x:c r="H2215" s="36" t="n">
        <x:f>E2215*G2215</x:f>
        <x:v>58183.61218361219</x:v>
      </x:c>
      <x:c r="I2215" s="36" t="n">
        <x:f>IFERROR(H2215/A2215,0)</x:f>
        <x:v>14545.903045903047</x:v>
      </x:c>
      <x:c r="J2215" s="67" t="str">
        <x:v>Modeled from live base + Sep-2026 quality ratio</x:v>
      </x:c>
      <x:c r="K2215" s="67" t="str">
        <x:v>https://www.stonealgo.com/diamond-prices/</x:v>
      </x:c>
      <x:c r="L2215" s="67" t="str">
        <x:v>https://www.pricescope.com/blog/natural-diamond-prices-september-2026</x:v>
      </x:c>
    </x:row>
    <x:row r="2216">
      <x:c r="A2216" t="n">
        <x:v>4</x:v>
      </x:c>
      <x:c r="B2216" t="str">
        <x:v>Cushion</x:v>
      </x:c>
      <x:c r="C2216" t="str">
        <x:v>H</x:v>
      </x:c>
      <x:c r="D2216" t="str">
        <x:v>SI1</x:v>
      </x:c>
      <x:c r="E2216" s="36" t="n">
        <x:v>68000</x:v>
      </x:c>
      <x:c r="F2216" s="36" t="n">
        <x:v>2828</x:v>
      </x:c>
      <x:c r="G2216" s="42" t="n">
        <x:v>0.6066066066066066</x:v>
      </x:c>
      <x:c r="H2216" s="36" t="n">
        <x:f>E2216*G2216</x:f>
        <x:v>41249.249249249246</x:v>
      </x:c>
      <x:c r="I2216" s="36" t="n">
        <x:f>IFERROR(H2216/A2216,0)</x:f>
        <x:v>10312.312312312311</x:v>
      </x:c>
      <x:c r="J2216" s="67" t="str">
        <x:v>Modeled from live base + Sep-2026 quality ratio</x:v>
      </x:c>
      <x:c r="K2216" s="67" t="str">
        <x:v>https://www.stonealgo.com/diamond-prices/</x:v>
      </x:c>
      <x:c r="L2216" s="67" t="str">
        <x:v>https://www.pricescope.com/blog/natural-diamond-prices-september-2026</x:v>
      </x:c>
    </x:row>
    <x:row r="2217">
      <x:c r="A2217" t="n">
        <x:v>4</x:v>
      </x:c>
      <x:c r="B2217" t="str">
        <x:v>Cushion</x:v>
      </x:c>
      <x:c r="C2217" t="str">
        <x:v>H</x:v>
      </x:c>
      <x:c r="D2217" t="str">
        <x:v>SI2</x:v>
      </x:c>
      <x:c r="E2217" s="36" t="n">
        <x:v>68000</x:v>
      </x:c>
      <x:c r="F2217" s="36" t="n">
        <x:v>2328</x:v>
      </x:c>
      <x:c r="G2217" s="42" t="n">
        <x:v>0.49935649935649934</x:v>
      </x:c>
      <x:c r="H2217" s="36" t="n">
        <x:f>E2217*G2217</x:f>
        <x:v>33956.24195624195</x:v>
      </x:c>
      <x:c r="I2217" s="36" t="n">
        <x:f>IFERROR(H2217/A2217,0)</x:f>
        <x:v>8489.060489060488</x:v>
      </x:c>
      <x:c r="J2217" s="67" t="str">
        <x:v>Modeled from live base + Sep-2026 quality ratio</x:v>
      </x:c>
      <x:c r="K2217" s="67" t="str">
        <x:v>https://www.stonealgo.com/diamond-prices/</x:v>
      </x:c>
      <x:c r="L2217" s="67" t="str">
        <x:v>https://www.pricescope.com/blog/natural-diamond-prices-september-2026</x:v>
      </x:c>
    </x:row>
    <x:row r="2218">
      <x:c r="A2218" t="n">
        <x:v>4</x:v>
      </x:c>
      <x:c r="B2218" t="str">
        <x:v>Cushion</x:v>
      </x:c>
      <x:c r="C2218" t="str">
        <x:v>I</x:v>
      </x:c>
      <x:c r="D2218" t="str">
        <x:v>FL</x:v>
      </x:c>
      <x:c r="E2218" s="36" t="n">
        <x:v>68000</x:v>
      </x:c>
      <x:c r="F2218" s="36" t="n">
        <x:v>4623</x:v>
      </x:c>
      <x:c r="G2218" s="42" t="n">
        <x:v>0.9916344916344917</x:v>
      </x:c>
      <x:c r="H2218" s="36" t="n">
        <x:f>E2218*G2218</x:f>
        <x:v>67431.14543114543</x:v>
      </x:c>
      <x:c r="I2218" s="36" t="n">
        <x:f>IFERROR(H2218/A2218,0)</x:f>
        <x:v>16857.786357786357</x:v>
      </x:c>
      <x:c r="J2218" s="67" t="str">
        <x:v>Modeled from live base + Sep-2026 quality ratio</x:v>
      </x:c>
      <x:c r="K2218" s="67" t="str">
        <x:v>https://www.stonealgo.com/diamond-prices/</x:v>
      </x:c>
      <x:c r="L2218" s="67" t="str">
        <x:v>https://www.pricescope.com/blog/natural-diamond-prices-september-2026</x:v>
      </x:c>
    </x:row>
    <x:row r="2219">
      <x:c r="A2219" t="n">
        <x:v>4</x:v>
      </x:c>
      <x:c r="B2219" t="str">
        <x:v>Cushion</x:v>
      </x:c>
      <x:c r="C2219" t="str">
        <x:v>I</x:v>
      </x:c>
      <x:c r="D2219" t="str">
        <x:v>IF</x:v>
      </x:c>
      <x:c r="E2219" s="36" t="n">
        <x:v>68000</x:v>
      </x:c>
      <x:c r="F2219" s="36" t="n">
        <x:v>4005</x:v>
      </x:c>
      <x:c r="G2219" s="42" t="n">
        <x:v>0.859073359073359</x:v>
      </x:c>
      <x:c r="H2219" s="36" t="n">
        <x:f>E2219*G2219</x:f>
        <x:v>58416.98841698841</x:v>
      </x:c>
      <x:c r="I2219" s="36" t="n">
        <x:f>IFERROR(H2219/A2219,0)</x:f>
        <x:v>14604.247104247102</x:v>
      </x:c>
      <x:c r="J2219" s="67" t="str">
        <x:v>Modeled from live base + Sep-2026 quality ratio</x:v>
      </x:c>
      <x:c r="K2219" s="67" t="str">
        <x:v>https://www.stonealgo.com/diamond-prices/</x:v>
      </x:c>
      <x:c r="L2219" s="67" t="str">
        <x:v>https://www.pricescope.com/blog/natural-diamond-prices-september-2026</x:v>
      </x:c>
    </x:row>
    <x:row r="2220">
      <x:c r="A2220" t="n">
        <x:v>4</x:v>
      </x:c>
      <x:c r="B2220" t="str">
        <x:v>Cushion</x:v>
      </x:c>
      <x:c r="C2220" t="str">
        <x:v>I</x:v>
      </x:c>
      <x:c r="D2220" t="str">
        <x:v>VVS1</x:v>
      </x:c>
      <x:c r="E2220" s="36" t="n">
        <x:v>68000</x:v>
      </x:c>
      <x:c r="F2220" s="36" t="n">
        <x:v>3670</x:v>
      </x:c>
      <x:c r="G2220" s="42" t="n">
        <x:v>0.7872157872157872</x:v>
      </x:c>
      <x:c r="H2220" s="36" t="n">
        <x:f>E2220*G2220</x:f>
        <x:v>53530.67353067353</x:v>
      </x:c>
      <x:c r="I2220" s="36" t="n">
        <x:f>IFERROR(H2220/A2220,0)</x:f>
        <x:v>13382.668382668382</x:v>
      </x:c>
      <x:c r="J2220" s="67" t="str">
        <x:v>Modeled from live base + Sep-2026 quality ratio</x:v>
      </x:c>
      <x:c r="K2220" s="67" t="str">
        <x:v>https://www.stonealgo.com/diamond-prices/</x:v>
      </x:c>
      <x:c r="L2220" s="67" t="str">
        <x:v>https://www.pricescope.com/blog/natural-diamond-prices-september-2026</x:v>
      </x:c>
    </x:row>
    <x:row r="2221">
      <x:c r="A2221" t="n">
        <x:v>4</x:v>
      </x:c>
      <x:c r="B2221" t="str">
        <x:v>Cushion</x:v>
      </x:c>
      <x:c r="C2221" t="str">
        <x:v>I</x:v>
      </x:c>
      <x:c r="D2221" t="str">
        <x:v>VVS2</x:v>
      </x:c>
      <x:c r="E2221" s="36" t="n">
        <x:v>68000</x:v>
      </x:c>
      <x:c r="F2221" s="36" t="n">
        <x:v>3447</x:v>
      </x:c>
      <x:c r="G2221" s="42" t="n">
        <x:v>0.7393822393822393</x:v>
      </x:c>
      <x:c r="H2221" s="36" t="n">
        <x:f>E2221*G2221</x:f>
        <x:v>50277.99227799228</x:v>
      </x:c>
      <x:c r="I2221" s="36" t="n">
        <x:f>IFERROR(H2221/A2221,0)</x:f>
        <x:v>12569.49806949807</x:v>
      </x:c>
      <x:c r="J2221" s="67" t="str">
        <x:v>Modeled from live base + Sep-2026 quality ratio</x:v>
      </x:c>
      <x:c r="K2221" s="67" t="str">
        <x:v>https://www.stonealgo.com/diamond-prices/</x:v>
      </x:c>
      <x:c r="L2221" s="67" t="str">
        <x:v>https://www.pricescope.com/blog/natural-diamond-prices-september-2026</x:v>
      </x:c>
    </x:row>
    <x:row r="2222">
      <x:c r="A2222" t="n">
        <x:v>4</x:v>
      </x:c>
      <x:c r="B2222" t="str">
        <x:v>Cushion</x:v>
      </x:c>
      <x:c r="C2222" t="str">
        <x:v>I</x:v>
      </x:c>
      <x:c r="D2222" t="str">
        <x:v>VS1</x:v>
      </x:c>
      <x:c r="E2222" s="36" t="n">
        <x:v>68000</x:v>
      </x:c>
      <x:c r="F2222" s="36" t="n">
        <x:v>3313</x:v>
      </x:c>
      <x:c r="G2222" s="42" t="n">
        <x:v>0.7106392106392107</x:v>
      </x:c>
      <x:c r="H2222" s="36" t="n">
        <x:f>E2222*G2222</x:f>
        <x:v>48323.466323466324</x:v>
      </x:c>
      <x:c r="I2222" s="36" t="n">
        <x:f>IFERROR(H2222/A2222,0)</x:f>
        <x:v>12080.866580866581</x:v>
      </x:c>
      <x:c r="J2222" s="67" t="str">
        <x:v>Modeled from live base + Sep-2026 quality ratio</x:v>
      </x:c>
      <x:c r="K2222" s="67" t="str">
        <x:v>https://www.stonealgo.com/diamond-prices/</x:v>
      </x:c>
      <x:c r="L2222" s="67" t="str">
        <x:v>https://www.pricescope.com/blog/natural-diamond-prices-september-2026</x:v>
      </x:c>
    </x:row>
    <x:row r="2223">
      <x:c r="A2223" t="n">
        <x:v>4</x:v>
      </x:c>
      <x:c r="B2223" t="str">
        <x:v>Cushion</x:v>
      </x:c>
      <x:c r="C2223" t="str">
        <x:v>I</x:v>
      </x:c>
      <x:c r="D2223" t="str">
        <x:v>VS2</x:v>
      </x:c>
      <x:c r="E2223" s="36" t="n">
        <x:v>68000</x:v>
      </x:c>
      <x:c r="F2223" s="36" t="n">
        <x:v>3240</x:v>
      </x:c>
      <x:c r="G2223" s="42" t="n">
        <x:v>0.694980694980695</x:v>
      </x:c>
      <x:c r="H2223" s="36" t="n">
        <x:f>E2223*G2223</x:f>
        <x:v>47258.68725868726</x:v>
      </x:c>
      <x:c r="I2223" s="36" t="n">
        <x:f>IFERROR(H2223/A2223,0)</x:f>
        <x:v>11814.671814671816</x:v>
      </x:c>
      <x:c r="J2223" s="67" t="str">
        <x:v>Modeled from live base + Sep-2026 quality ratio</x:v>
      </x:c>
      <x:c r="K2223" s="67" t="str">
        <x:v>https://www.stonealgo.com/diamond-prices/</x:v>
      </x:c>
      <x:c r="L2223" s="67" t="str">
        <x:v>https://www.pricescope.com/blog/natural-diamond-prices-september-2026</x:v>
      </x:c>
    </x:row>
    <x:row r="2224">
      <x:c r="A2224" t="n">
        <x:v>4</x:v>
      </x:c>
      <x:c r="B2224" t="str">
        <x:v>Cushion</x:v>
      </x:c>
      <x:c r="C2224" t="str">
        <x:v>I</x:v>
      </x:c>
      <x:c r="D2224" t="str">
        <x:v>SI1</x:v>
      </x:c>
      <x:c r="E2224" s="36" t="n">
        <x:v>68000</x:v>
      </x:c>
      <x:c r="F2224" s="36" t="n">
        <x:v>3199</x:v>
      </x:c>
      <x:c r="G2224" s="42" t="n">
        <x:v>0.6861861861861862</x:v>
      </x:c>
      <x:c r="H2224" s="36" t="n">
        <x:f>E2224*G2224</x:f>
        <x:v>46660.660660660666</x:v>
      </x:c>
      <x:c r="I2224" s="36" t="n">
        <x:f>IFERROR(H2224/A2224,0)</x:f>
        <x:v>11665.165165165166</x:v>
      </x:c>
      <x:c r="J2224" s="67" t="str">
        <x:v>Modeled from live base + Sep-2026 quality ratio</x:v>
      </x:c>
      <x:c r="K2224" s="67" t="str">
        <x:v>https://www.stonealgo.com/diamond-prices/</x:v>
      </x:c>
      <x:c r="L2224" s="67" t="str">
        <x:v>https://www.pricescope.com/blog/natural-diamond-prices-september-2026</x:v>
      </x:c>
    </x:row>
    <x:row r="2225">
      <x:c r="A2225" t="n">
        <x:v>4</x:v>
      </x:c>
      <x:c r="B2225" t="str">
        <x:v>Cushion</x:v>
      </x:c>
      <x:c r="C2225" t="str">
        <x:v>I</x:v>
      </x:c>
      <x:c r="D2225" t="str">
        <x:v>SI2</x:v>
      </x:c>
      <x:c r="E2225" s="36" t="n">
        <x:v>68000</x:v>
      </x:c>
      <x:c r="F2225" s="36" t="n">
        <x:v>2874</x:v>
      </x:c>
      <x:c r="G2225" s="42" t="n">
        <x:v>0.6164736164736164</x:v>
      </x:c>
      <x:c r="H2225" s="36" t="n">
        <x:f>E2225*G2225</x:f>
        <x:v>41920.20592020592</x:v>
      </x:c>
      <x:c r="I2225" s="36" t="n">
        <x:f>IFERROR(H2225/A2225,0)</x:f>
        <x:v>10480.05148005148</x:v>
      </x:c>
      <x:c r="J2225" s="67" t="str">
        <x:v>Modeled from live base + Sep-2026 quality ratio</x:v>
      </x:c>
      <x:c r="K2225" s="67" t="str">
        <x:v>https://www.stonealgo.com/diamond-prices/</x:v>
      </x:c>
      <x:c r="L2225" s="67" t="str">
        <x:v>https://www.pricescope.com/blog/natural-diamond-prices-september-2026</x:v>
      </x:c>
    </x:row>
    <x:row r="2226">
      <x:c r="A2226" t="n">
        <x:v>4</x:v>
      </x:c>
      <x:c r="B2226" t="str">
        <x:v>Cushion</x:v>
      </x:c>
      <x:c r="C2226" t="str">
        <x:v>J</x:v>
      </x:c>
      <x:c r="D2226" t="str">
        <x:v>FL</x:v>
      </x:c>
      <x:c r="E2226" s="36" t="n">
        <x:v>68000</x:v>
      </x:c>
      <x:c r="F2226" s="36" t="n">
        <x:v>3646</x:v>
      </x:c>
      <x:c r="G2226" s="42" t="n">
        <x:v>0.782067782067782</x:v>
      </x:c>
      <x:c r="H2226" s="36" t="n">
        <x:f>E2226*G2226</x:f>
        <x:v>53180.60918060918</x:v>
      </x:c>
      <x:c r="I2226" s="36" t="n">
        <x:f>IFERROR(H2226/A2226,0)</x:f>
        <x:v>13295.152295152295</x:v>
      </x:c>
      <x:c r="J2226" s="67" t="str">
        <x:v>Modeled from live base + Sep-2026 quality ratio</x:v>
      </x:c>
      <x:c r="K2226" s="67" t="str">
        <x:v>https://www.stonealgo.com/diamond-prices/</x:v>
      </x:c>
      <x:c r="L2226" s="67" t="str">
        <x:v>https://www.pricescope.com/blog/natural-diamond-prices-september-2026</x:v>
      </x:c>
    </x:row>
    <x:row r="2227">
      <x:c r="A2227" t="n">
        <x:v>4</x:v>
      </x:c>
      <x:c r="B2227" t="str">
        <x:v>Cushion</x:v>
      </x:c>
      <x:c r="C2227" t="str">
        <x:v>J</x:v>
      </x:c>
      <x:c r="D2227" t="str">
        <x:v>IF</x:v>
      </x:c>
      <x:c r="E2227" s="36" t="n">
        <x:v>68000</x:v>
      </x:c>
      <x:c r="F2227" s="36" t="n">
        <x:v>3368</x:v>
      </x:c>
      <x:c r="G2227" s="42" t="n">
        <x:v>0.7224367224367224</x:v>
      </x:c>
      <x:c r="H2227" s="36" t="n">
        <x:f>E2227*G2227</x:f>
        <x:v>49125.69712569712</x:v>
      </x:c>
      <x:c r="I2227" s="36" t="n">
        <x:f>IFERROR(H2227/A2227,0)</x:f>
        <x:v>12281.42428142428</x:v>
      </x:c>
      <x:c r="J2227" s="67" t="str">
        <x:v>Modeled from live base + Sep-2026 quality ratio</x:v>
      </x:c>
      <x:c r="K2227" s="67" t="str">
        <x:v>https://www.stonealgo.com/diamond-prices/</x:v>
      </x:c>
      <x:c r="L2227" s="67" t="str">
        <x:v>https://www.pricescope.com/blog/natural-diamond-prices-september-2026</x:v>
      </x:c>
    </x:row>
    <x:row r="2228">
      <x:c r="A2228" t="n">
        <x:v>4</x:v>
      </x:c>
      <x:c r="B2228" t="str">
        <x:v>Cushion</x:v>
      </x:c>
      <x:c r="C2228" t="str">
        <x:v>J</x:v>
      </x:c>
      <x:c r="D2228" t="str">
        <x:v>VVS1</x:v>
      </x:c>
      <x:c r="E2228" s="36" t="n">
        <x:v>68000</x:v>
      </x:c>
      <x:c r="F2228" s="36" t="n">
        <x:v>2956</x:v>
      </x:c>
      <x:c r="G2228" s="42" t="n">
        <x:v>0.6340626340626341</x:v>
      </x:c>
      <x:c r="H2228" s="36" t="n">
        <x:f>E2228*G2228</x:f>
        <x:v>43116.25911625912</x:v>
      </x:c>
      <x:c r="I2228" s="36" t="n">
        <x:f>IFERROR(H2228/A2228,0)</x:f>
        <x:v>10779.06477906478</x:v>
      </x:c>
      <x:c r="J2228" s="67" t="str">
        <x:v>Modeled from live base + Sep-2026 quality ratio</x:v>
      </x:c>
      <x:c r="K2228" s="67" t="str">
        <x:v>https://www.stonealgo.com/diamond-prices/</x:v>
      </x:c>
      <x:c r="L2228" s="67" t="str">
        <x:v>https://www.pricescope.com/blog/natural-diamond-prices-september-2026</x:v>
      </x:c>
    </x:row>
    <x:row r="2229">
      <x:c r="A2229" t="n">
        <x:v>4</x:v>
      </x:c>
      <x:c r="B2229" t="str">
        <x:v>Cushion</x:v>
      </x:c>
      <x:c r="C2229" t="str">
        <x:v>J</x:v>
      </x:c>
      <x:c r="D2229" t="str">
        <x:v>VVS2</x:v>
      </x:c>
      <x:c r="E2229" s="36" t="n">
        <x:v>68000</x:v>
      </x:c>
      <x:c r="F2229" s="36" t="n">
        <x:v>2612</x:v>
      </x:c>
      <x:c r="G2229" s="42" t="n">
        <x:v>0.5602745602745602</x:v>
      </x:c>
      <x:c r="H2229" s="36" t="n">
        <x:f>E2229*G2229</x:f>
        <x:v>38098.670098670096</x:v>
      </x:c>
      <x:c r="I2229" s="36" t="n">
        <x:f>IFERROR(H2229/A2229,0)</x:f>
        <x:v>9524.667524667524</x:v>
      </x:c>
      <x:c r="J2229" s="67" t="str">
        <x:v>Modeled from live base + Sep-2026 quality ratio</x:v>
      </x:c>
      <x:c r="K2229" s="67" t="str">
        <x:v>https://www.stonealgo.com/diamond-prices/</x:v>
      </x:c>
      <x:c r="L2229" s="67" t="str">
        <x:v>https://www.pricescope.com/blog/natural-diamond-prices-september-2026</x:v>
      </x:c>
    </x:row>
    <x:row r="2230">
      <x:c r="A2230" t="n">
        <x:v>4</x:v>
      </x:c>
      <x:c r="B2230" t="str">
        <x:v>Cushion</x:v>
      </x:c>
      <x:c r="C2230" t="str">
        <x:v>J</x:v>
      </x:c>
      <x:c r="D2230" t="str">
        <x:v>VS1</x:v>
      </x:c>
      <x:c r="E2230" s="36" t="n">
        <x:v>68000</x:v>
      </x:c>
      <x:c r="F2230" s="36" t="n">
        <x:v>3002</x:v>
      </x:c>
      <x:c r="G2230" s="42" t="n">
        <x:v>0.6439296439296439</x:v>
      </x:c>
      <x:c r="H2230" s="36" t="n">
        <x:f>E2230*G2230</x:f>
        <x:v>43787.215787215784</x:v>
      </x:c>
      <x:c r="I2230" s="36" t="n">
        <x:f>IFERROR(H2230/A2230,0)</x:f>
        <x:v>10946.803946803946</x:v>
      </x:c>
      <x:c r="J2230" s="67" t="str">
        <x:v>Modeled from live base + Sep-2026 quality ratio</x:v>
      </x:c>
      <x:c r="K2230" s="67" t="str">
        <x:v>https://www.stonealgo.com/diamond-prices/</x:v>
      </x:c>
      <x:c r="L2230" s="67" t="str">
        <x:v>https://www.pricescope.com/blog/natural-diamond-prices-september-2026</x:v>
      </x:c>
    </x:row>
    <x:row r="2231">
      <x:c r="A2231" t="n">
        <x:v>4</x:v>
      </x:c>
      <x:c r="B2231" t="str">
        <x:v>Cushion</x:v>
      </x:c>
      <x:c r="C2231" t="str">
        <x:v>J</x:v>
      </x:c>
      <x:c r="D2231" t="str">
        <x:v>VS2</x:v>
      </x:c>
      <x:c r="E2231" s="36" t="n">
        <x:v>68000</x:v>
      </x:c>
      <x:c r="F2231" s="36" t="n">
        <x:v>2559</x:v>
      </x:c>
      <x:c r="G2231" s="42" t="n">
        <x:v>0.5489060489060489</x:v>
      </x:c>
      <x:c r="H2231" s="36" t="n">
        <x:f>E2231*G2231</x:f>
        <x:v>37325.611325611324</x:v>
      </x:c>
      <x:c r="I2231" s="36" t="n">
        <x:f>IFERROR(H2231/A2231,0)</x:f>
        <x:v>9331.402831402831</x:v>
      </x:c>
      <x:c r="J2231" s="67" t="str">
        <x:v>Modeled from live base + Sep-2026 quality ratio</x:v>
      </x:c>
      <x:c r="K2231" s="67" t="str">
        <x:v>https://www.stonealgo.com/diamond-prices/</x:v>
      </x:c>
      <x:c r="L2231" s="67" t="str">
        <x:v>https://www.pricescope.com/blog/natural-diamond-prices-september-2026</x:v>
      </x:c>
    </x:row>
    <x:row r="2232">
      <x:c r="A2232" t="n">
        <x:v>4</x:v>
      </x:c>
      <x:c r="B2232" t="str">
        <x:v>Cushion</x:v>
      </x:c>
      <x:c r="C2232" t="str">
        <x:v>J</x:v>
      </x:c>
      <x:c r="D2232" t="str">
        <x:v>SI1</x:v>
      </x:c>
      <x:c r="E2232" s="36" t="n">
        <x:v>68000</x:v>
      </x:c>
      <x:c r="F2232" s="36" t="n">
        <x:v>2195</x:v>
      </x:c>
      <x:c r="G2232" s="42" t="n">
        <x:v>0.47082797082797084</x:v>
      </x:c>
      <x:c r="H2232" s="36" t="n">
        <x:f>E2232*G2232</x:f>
        <x:v>32016.302016302016</x:v>
      </x:c>
      <x:c r="I2232" s="36" t="n">
        <x:f>IFERROR(H2232/A2232,0)</x:f>
        <x:v>8004.075504075504</x:v>
      </x:c>
      <x:c r="J2232" s="67" t="str">
        <x:v>Modeled from live base + Sep-2026 quality ratio</x:v>
      </x:c>
      <x:c r="K2232" s="67" t="str">
        <x:v>https://www.stonealgo.com/diamond-prices/</x:v>
      </x:c>
      <x:c r="L2232" s="67" t="str">
        <x:v>https://www.pricescope.com/blog/natural-diamond-prices-september-2026</x:v>
      </x:c>
    </x:row>
    <x:row r="2233">
      <x:c r="A2233" t="n">
        <x:v>4</x:v>
      </x:c>
      <x:c r="B2233" t="str">
        <x:v>Cushion</x:v>
      </x:c>
      <x:c r="C2233" t="str">
        <x:v>J</x:v>
      </x:c>
      <x:c r="D2233" t="str">
        <x:v>SI2</x:v>
      </x:c>
      <x:c r="E2233" s="36" t="n">
        <x:v>68000</x:v>
      </x:c>
      <x:c r="F2233" s="36" t="n">
        <x:v>2079</x:v>
      </x:c>
      <x:c r="G2233" s="42" t="n">
        <x:v>0.44594594594594594</x:v>
      </x:c>
      <x:c r="H2233" s="36" t="n">
        <x:f>E2233*G2233</x:f>
        <x:v>30324.324324324323</x:v>
      </x:c>
      <x:c r="I2233" s="36" t="n">
        <x:f>IFERROR(H2233/A2233,0)</x:f>
        <x:v>7581.081081081081</x:v>
      </x:c>
      <x:c r="J2233" s="67" t="str">
        <x:v>Modeled from live base + Sep-2026 quality ratio</x:v>
      </x:c>
      <x:c r="K2233" s="67" t="str">
        <x:v>https://www.stonealgo.com/diamond-prices/</x:v>
      </x:c>
      <x:c r="L2233" s="67" t="str">
        <x:v>https://www.pricescope.com/blog/natural-diamond-prices-september-2026</x:v>
      </x:c>
    </x:row>
    <x:row r="2234">
      <x:c r="A2234" t="n">
        <x:v>4</x:v>
      </x:c>
      <x:c r="B2234" t="str">
        <x:v>Cushion</x:v>
      </x:c>
      <x:c r="C2234" t="str">
        <x:v>K</x:v>
      </x:c>
      <x:c r="D2234" t="str">
        <x:v>FL</x:v>
      </x:c>
      <x:c r="E2234" s="36" t="n">
        <x:v>68000</x:v>
      </x:c>
      <x:c r="F2234" s="36" t="n">
        <x:v>2858</x:v>
      </x:c>
      <x:c r="G2234" s="42" t="n">
        <x:v>0.6130416130416131</x:v>
      </x:c>
      <x:c r="H2234" s="36" t="n">
        <x:f>E2234*G2234</x:f>
        <x:v>41686.82968682969</x:v>
      </x:c>
      <x:c r="I2234" s="36" t="n">
        <x:f>IFERROR(H2234/A2234,0)</x:f>
        <x:v>10421.707421707422</x:v>
      </x:c>
      <x:c r="J2234" s="67" t="str">
        <x:v>Modeled from live base + Sep-2026 quality ratio; K/FL quality cell modeled</x:v>
      </x:c>
      <x:c r="K2234" s="67" t="str">
        <x:v>https://www.stonealgo.com/diamond-prices/</x:v>
      </x:c>
      <x:c r="L2234" s="67" t="str">
        <x:v>https://www.pricescope.com/blog/natural-diamond-prices-september-2026</x:v>
      </x:c>
    </x:row>
    <x:row r="2235">
      <x:c r="A2235" t="n">
        <x:v>4</x:v>
      </x:c>
      <x:c r="B2235" t="str">
        <x:v>Cushion</x:v>
      </x:c>
      <x:c r="C2235" t="str">
        <x:v>K</x:v>
      </x:c>
      <x:c r="D2235" t="str">
        <x:v>IF</x:v>
      </x:c>
      <x:c r="E2235" s="36" t="n">
        <x:v>68000</x:v>
      </x:c>
      <x:c r="F2235" s="36" t="n">
        <x:v>2743</x:v>
      </x:c>
      <x:c r="G2235" s="42" t="n">
        <x:v>0.5883740883740883</x:v>
      </x:c>
      <x:c r="H2235" s="36" t="n">
        <x:f>E2235*G2235</x:f>
        <x:v>40009.438009438</x:v>
      </x:c>
      <x:c r="I2235" s="36" t="n">
        <x:f>IFERROR(H2235/A2235,0)</x:f>
        <x:v>10002.3595023595</x:v>
      </x:c>
      <x:c r="J2235" s="67" t="str">
        <x:v>Modeled from live base + Sep-2026 quality ratio</x:v>
      </x:c>
      <x:c r="K2235" s="67" t="str">
        <x:v>https://www.stonealgo.com/diamond-prices/</x:v>
      </x:c>
      <x:c r="L2235" s="67" t="str">
        <x:v>https://www.pricescope.com/blog/natural-diamond-prices-september-2026</x:v>
      </x:c>
    </x:row>
    <x:row r="2236">
      <x:c r="A2236" t="n">
        <x:v>4</x:v>
      </x:c>
      <x:c r="B2236" t="str">
        <x:v>Cushion</x:v>
      </x:c>
      <x:c r="C2236" t="str">
        <x:v>K</x:v>
      </x:c>
      <x:c r="D2236" t="str">
        <x:v>VVS1</x:v>
      </x:c>
      <x:c r="E2236" s="36" t="n">
        <x:v>68000</x:v>
      </x:c>
      <x:c r="F2236" s="36" t="n">
        <x:v>2529</x:v>
      </x:c>
      <x:c r="G2236" s="42" t="n">
        <x:v>0.5424710424710425</x:v>
      </x:c>
      <x:c r="H2236" s="36" t="n">
        <x:f>E2236*G2236</x:f>
        <x:v>36888.03088803089</x:v>
      </x:c>
      <x:c r="I2236" s="36" t="n">
        <x:f>IFERROR(H2236/A2236,0)</x:f>
        <x:v>9222.007722007722</x:v>
      </x:c>
      <x:c r="J2236" s="67" t="str">
        <x:v>Modeled from live base + Sep-2026 quality ratio</x:v>
      </x:c>
      <x:c r="K2236" s="67" t="str">
        <x:v>https://www.stonealgo.com/diamond-prices/</x:v>
      </x:c>
      <x:c r="L2236" s="67" t="str">
        <x:v>https://www.pricescope.com/blog/natural-diamond-prices-september-2026</x:v>
      </x:c>
    </x:row>
    <x:row r="2237">
      <x:c r="A2237" t="n">
        <x:v>4</x:v>
      </x:c>
      <x:c r="B2237" t="str">
        <x:v>Cushion</x:v>
      </x:c>
      <x:c r="C2237" t="str">
        <x:v>K</x:v>
      </x:c>
      <x:c r="D2237" t="str">
        <x:v>VVS2</x:v>
      </x:c>
      <x:c r="E2237" s="36" t="n">
        <x:v>68000</x:v>
      </x:c>
      <x:c r="F2237" s="36" t="n">
        <x:v>2374</x:v>
      </x:c>
      <x:c r="G2237" s="42" t="n">
        <x:v>0.5092235092235092</x:v>
      </x:c>
      <x:c r="H2237" s="36" t="n">
        <x:f>E2237*G2237</x:f>
        <x:v>34627.198627198624</x:v>
      </x:c>
      <x:c r="I2237" s="36" t="n">
        <x:f>IFERROR(H2237/A2237,0)</x:f>
        <x:v>8656.799656799656</x:v>
      </x:c>
      <x:c r="J2237" s="67" t="str">
        <x:v>Modeled from live base + Sep-2026 quality ratio</x:v>
      </x:c>
      <x:c r="K2237" s="67" t="str">
        <x:v>https://www.stonealgo.com/diamond-prices/</x:v>
      </x:c>
      <x:c r="L2237" s="67" t="str">
        <x:v>https://www.pricescope.com/blog/natural-diamond-prices-september-2026</x:v>
      </x:c>
    </x:row>
    <x:row r="2238">
      <x:c r="A2238" t="n">
        <x:v>4</x:v>
      </x:c>
      <x:c r="B2238" t="str">
        <x:v>Cushion</x:v>
      </x:c>
      <x:c r="C2238" t="str">
        <x:v>K</x:v>
      </x:c>
      <x:c r="D2238" t="str">
        <x:v>VS1</x:v>
      </x:c>
      <x:c r="E2238" s="36" t="n">
        <x:v>68000</x:v>
      </x:c>
      <x:c r="F2238" s="36" t="n">
        <x:v>2223</x:v>
      </x:c>
      <x:c r="G2238" s="42" t="n">
        <x:v>0.4768339768339768</x:v>
      </x:c>
      <x:c r="H2238" s="36" t="n">
        <x:f>E2238*G2238</x:f>
        <x:v>32424.710424710425</x:v>
      </x:c>
      <x:c r="I2238" s="36" t="n">
        <x:f>IFERROR(H2238/A2238,0)</x:f>
        <x:v>8106.177606177606</x:v>
      </x:c>
      <x:c r="J2238" s="67" t="str">
        <x:v>Modeled from live base + Sep-2026 quality ratio</x:v>
      </x:c>
      <x:c r="K2238" s="67" t="str">
        <x:v>https://www.stonealgo.com/diamond-prices/</x:v>
      </x:c>
      <x:c r="L2238" s="67" t="str">
        <x:v>https://www.pricescope.com/blog/natural-diamond-prices-september-2026</x:v>
      </x:c>
    </x:row>
    <x:row r="2239">
      <x:c r="A2239" t="n">
        <x:v>4</x:v>
      </x:c>
      <x:c r="B2239" t="str">
        <x:v>Cushion</x:v>
      </x:c>
      <x:c r="C2239" t="str">
        <x:v>K</x:v>
      </x:c>
      <x:c r="D2239" t="str">
        <x:v>VS2</x:v>
      </x:c>
      <x:c r="E2239" s="36" t="n">
        <x:v>68000</x:v>
      </x:c>
      <x:c r="F2239" s="36" t="n">
        <x:v>2098</x:v>
      </x:c>
      <x:c r="G2239" s="42" t="n">
        <x:v>0.45002145002145</x:v>
      </x:c>
      <x:c r="H2239" s="36" t="n">
        <x:f>E2239*G2239</x:f>
        <x:v>30601.4586014586</x:v>
      </x:c>
      <x:c r="I2239" s="36" t="n">
        <x:f>IFERROR(H2239/A2239,0)</x:f>
        <x:v>7650.36465036465</x:v>
      </x:c>
      <x:c r="J2239" s="67" t="str">
        <x:v>Modeled from live base + Sep-2026 quality ratio</x:v>
      </x:c>
      <x:c r="K2239" s="67" t="str">
        <x:v>https://www.stonealgo.com/diamond-prices/</x:v>
      </x:c>
      <x:c r="L2239" s="67" t="str">
        <x:v>https://www.pricescope.com/blog/natural-diamond-prices-september-2026</x:v>
      </x:c>
    </x:row>
    <x:row r="2240">
      <x:c r="A2240" t="n">
        <x:v>4</x:v>
      </x:c>
      <x:c r="B2240" t="str">
        <x:v>Cushion</x:v>
      </x:c>
      <x:c r="C2240" t="str">
        <x:v>K</x:v>
      </x:c>
      <x:c r="D2240" t="str">
        <x:v>SI1</x:v>
      </x:c>
      <x:c r="E2240" s="36" t="n">
        <x:v>68000</x:v>
      </x:c>
      <x:c r="F2240" s="36" t="n">
        <x:v>1922</x:v>
      </x:c>
      <x:c r="G2240" s="42" t="n">
        <x:v>0.41226941226941227</x:v>
      </x:c>
      <x:c r="H2240" s="36" t="n">
        <x:f>E2240*G2240</x:f>
        <x:v>28034.320034320033</x:v>
      </x:c>
      <x:c r="I2240" s="36" t="n">
        <x:f>IFERROR(H2240/A2240,0)</x:f>
        <x:v>7008.580008580008</x:v>
      </x:c>
      <x:c r="J2240" s="67" t="str">
        <x:v>Modeled from live base + Sep-2026 quality ratio</x:v>
      </x:c>
      <x:c r="K2240" s="67" t="str">
        <x:v>https://www.stonealgo.com/diamond-prices/</x:v>
      </x:c>
      <x:c r="L2240" s="67" t="str">
        <x:v>https://www.pricescope.com/blog/natural-diamond-prices-september-2026</x:v>
      </x:c>
    </x:row>
    <x:row r="2241">
      <x:c r="A2241" t="n">
        <x:v>4</x:v>
      </x:c>
      <x:c r="B2241" t="str">
        <x:v>Cushion</x:v>
      </x:c>
      <x:c r="C2241" t="str">
        <x:v>K</x:v>
      </x:c>
      <x:c r="D2241" t="str">
        <x:v>SI2</x:v>
      </x:c>
      <x:c r="E2241" s="36" t="n">
        <x:v>68000</x:v>
      </x:c>
      <x:c r="F2241" s="36" t="n">
        <x:v>1764</x:v>
      </x:c>
      <x:c r="G2241" s="42" t="n">
        <x:v>0.3783783783783784</x:v>
      </x:c>
      <x:c r="H2241" s="36" t="n">
        <x:f>E2241*G2241</x:f>
        <x:v>25729.72972972973</x:v>
      </x:c>
      <x:c r="I2241" s="36" t="n">
        <x:f>IFERROR(H2241/A2241,0)</x:f>
        <x:v>6432.4324324324325</x:v>
      </x:c>
      <x:c r="J2241" s="67" t="str">
        <x:v>Modeled from live base + Sep-2026 quality ratio</x:v>
      </x:c>
      <x:c r="K2241" s="67" t="str">
        <x:v>https://www.stonealgo.com/diamond-prices/</x:v>
      </x:c>
      <x:c r="L2241" s="67" t="str">
        <x:v>https://www.pricescope.com/blog/natural-diamond-prices-september-2026</x:v>
      </x:c>
    </x:row>
    <x:row r="2242">
      <x:c r="A2242" t="n">
        <x:v>4</x:v>
      </x:c>
      <x:c r="B2242" t="str">
        <x:v>Radiant</x:v>
      </x:c>
      <x:c r="C2242" t="str">
        <x:v>D</x:v>
      </x:c>
      <x:c r="D2242" t="str">
        <x:v>FL</x:v>
      </x:c>
      <x:c r="E2242" s="36" t="n">
        <x:v>67500</x:v>
      </x:c>
      <x:c r="F2242" s="36" t="n">
        <x:v>12665</x:v>
      </x:c>
      <x:c r="G2242" s="42" t="n">
        <x:v>2.7166452166452166</x:v>
      </x:c>
      <x:c r="H2242" s="36" t="n">
        <x:f>E2242*G2242</x:f>
        <x:v>183373.55212355213</x:v>
      </x:c>
      <x:c r="I2242" s="36" t="n">
        <x:f>IFERROR(H2242/A2242,0)</x:f>
        <x:v>45843.38803088803</x:v>
      </x:c>
      <x:c r="J2242" s="67" t="str">
        <x:v>Modeled from live base + Sep-2026 quality ratio</x:v>
      </x:c>
      <x:c r="K2242" s="67" t="str">
        <x:v>https://www.stonealgo.com/diamond-prices/</x:v>
      </x:c>
      <x:c r="L2242" s="67" t="str">
        <x:v>https://www.pricescope.com/blog/natural-diamond-prices-september-2026</x:v>
      </x:c>
    </x:row>
    <x:row r="2243">
      <x:c r="A2243" t="n">
        <x:v>4</x:v>
      </x:c>
      <x:c r="B2243" t="str">
        <x:v>Radiant</x:v>
      </x:c>
      <x:c r="C2243" t="str">
        <x:v>D</x:v>
      </x:c>
      <x:c r="D2243" t="str">
        <x:v>IF</x:v>
      </x:c>
      <x:c r="E2243" s="36" t="n">
        <x:v>67500</x:v>
      </x:c>
      <x:c r="F2243" s="36" t="n">
        <x:v>13240</x:v>
      </x:c>
      <x:c r="G2243" s="42" t="n">
        <x:v>2.83998283998284</x:v>
      </x:c>
      <x:c r="H2243" s="36" t="n">
        <x:f>E2243*G2243</x:f>
        <x:v>191698.84169884172</x:v>
      </x:c>
      <x:c r="I2243" s="36" t="n">
        <x:f>IFERROR(H2243/A2243,0)</x:f>
        <x:v>47924.71042471043</x:v>
      </x:c>
      <x:c r="J2243" s="67" t="str">
        <x:v>Modeled from live base + Sep-2026 quality ratio</x:v>
      </x:c>
      <x:c r="K2243" s="67" t="str">
        <x:v>https://www.stonealgo.com/diamond-prices/</x:v>
      </x:c>
      <x:c r="L2243" s="67" t="str">
        <x:v>https://www.pricescope.com/blog/natural-diamond-prices-september-2026</x:v>
      </x:c>
    </x:row>
    <x:row r="2244">
      <x:c r="A2244" t="n">
        <x:v>4</x:v>
      </x:c>
      <x:c r="B2244" t="str">
        <x:v>Radiant</x:v>
      </x:c>
      <x:c r="C2244" t="str">
        <x:v>D</x:v>
      </x:c>
      <x:c r="D2244" t="str">
        <x:v>VVS1</x:v>
      </x:c>
      <x:c r="E2244" s="36" t="n">
        <x:v>67500</x:v>
      </x:c>
      <x:c r="F2244" s="36" t="n">
        <x:v>9555</x:v>
      </x:c>
      <x:c r="G2244" s="42" t="n">
        <x:v>2.0495495495495497</x:v>
      </x:c>
      <x:c r="H2244" s="36" t="n">
        <x:f>E2244*G2244</x:f>
        <x:v>138344.59459459462</x:v>
      </x:c>
      <x:c r="I2244" s="36" t="n">
        <x:f>IFERROR(H2244/A2244,0)</x:f>
        <x:v>34586.148648648654</x:v>
      </x:c>
      <x:c r="J2244" s="67" t="str">
        <x:v>Modeled from live base + Sep-2026 quality ratio</x:v>
      </x:c>
      <x:c r="K2244" s="67" t="str">
        <x:v>https://www.stonealgo.com/diamond-prices/</x:v>
      </x:c>
      <x:c r="L2244" s="67" t="str">
        <x:v>https://www.pricescope.com/blog/natural-diamond-prices-september-2026</x:v>
      </x:c>
    </x:row>
    <x:row r="2245">
      <x:c r="A2245" t="n">
        <x:v>4</x:v>
      </x:c>
      <x:c r="B2245" t="str">
        <x:v>Radiant</x:v>
      </x:c>
      <x:c r="C2245" t="str">
        <x:v>D</x:v>
      </x:c>
      <x:c r="D2245" t="str">
        <x:v>VVS2</x:v>
      </x:c>
      <x:c r="E2245" s="36" t="n">
        <x:v>67500</x:v>
      </x:c>
      <x:c r="F2245" s="36" t="n">
        <x:v>6660</x:v>
      </x:c>
      <x:c r="G2245" s="42" t="n">
        <x:v>1.4285714285714286</x:v>
      </x:c>
      <x:c r="H2245" s="36" t="n">
        <x:f>E2245*G2245</x:f>
        <x:v>96428.57142857143</x:v>
      </x:c>
      <x:c r="I2245" s="36" t="n">
        <x:f>IFERROR(H2245/A2245,0)</x:f>
        <x:v>24107.14285714286</x:v>
      </x:c>
      <x:c r="J2245" s="67" t="str">
        <x:v>Modeled from live base + Sep-2026 quality ratio</x:v>
      </x:c>
      <x:c r="K2245" s="67" t="str">
        <x:v>https://www.stonealgo.com/diamond-prices/</x:v>
      </x:c>
      <x:c r="L2245" s="67" t="str">
        <x:v>https://www.pricescope.com/blog/natural-diamond-prices-september-2026</x:v>
      </x:c>
    </x:row>
    <x:row r="2246">
      <x:c r="A2246" t="n">
        <x:v>4</x:v>
      </x:c>
      <x:c r="B2246" t="str">
        <x:v>Radiant</x:v>
      </x:c>
      <x:c r="C2246" t="str">
        <x:v>D</x:v>
      </x:c>
      <x:c r="D2246" t="str">
        <x:v>VS1</x:v>
      </x:c>
      <x:c r="E2246" s="36" t="n">
        <x:v>67500</x:v>
      </x:c>
      <x:c r="F2246" s="36" t="n">
        <x:v>6247</x:v>
      </x:c>
      <x:c r="G2246" s="42" t="n">
        <x:v>1.33998283998284</x:v>
      </x:c>
      <x:c r="H2246" s="36" t="n">
        <x:f>E2246*G2246</x:f>
        <x:v>90448.8416988417</x:v>
      </x:c>
      <x:c r="I2246" s="36" t="n">
        <x:f>IFERROR(H2246/A2246,0)</x:f>
        <x:v>22612.210424710425</x:v>
      </x:c>
      <x:c r="J2246" s="67" t="str">
        <x:v>Modeled from live base + Sep-2026 quality ratio</x:v>
      </x:c>
      <x:c r="K2246" s="67" t="str">
        <x:v>https://www.stonealgo.com/diamond-prices/</x:v>
      </x:c>
      <x:c r="L2246" s="67" t="str">
        <x:v>https://www.pricescope.com/blog/natural-diamond-prices-september-2026</x:v>
      </x:c>
    </x:row>
    <x:row r="2247">
      <x:c r="A2247" t="n">
        <x:v>4</x:v>
      </x:c>
      <x:c r="B2247" t="str">
        <x:v>Radiant</x:v>
      </x:c>
      <x:c r="C2247" t="str">
        <x:v>D</x:v>
      </x:c>
      <x:c r="D2247" t="str">
        <x:v>VS2</x:v>
      </x:c>
      <x:c r="E2247" s="36" t="n">
        <x:v>67500</x:v>
      </x:c>
      <x:c r="F2247" s="36" t="n">
        <x:v>5841</x:v>
      </x:c>
      <x:c r="G2247" s="42" t="n">
        <x:v>1.252895752895753</x:v>
      </x:c>
      <x:c r="H2247" s="36" t="n">
        <x:f>E2247*G2247</x:f>
        <x:v>84570.46332046333</x:v>
      </x:c>
      <x:c r="I2247" s="36" t="n">
        <x:f>IFERROR(H2247/A2247,0)</x:f>
        <x:v>21142.615830115832</x:v>
      </x:c>
      <x:c r="J2247" s="67" t="str">
        <x:v>Modeled from live base + Sep-2026 quality ratio</x:v>
      </x:c>
      <x:c r="K2247" s="67" t="str">
        <x:v>https://www.stonealgo.com/diamond-prices/</x:v>
      </x:c>
      <x:c r="L2247" s="67" t="str">
        <x:v>https://www.pricescope.com/blog/natural-diamond-prices-september-2026</x:v>
      </x:c>
    </x:row>
    <x:row r="2248">
      <x:c r="A2248" t="n">
        <x:v>4</x:v>
      </x:c>
      <x:c r="B2248" t="str">
        <x:v>Radiant</x:v>
      </x:c>
      <x:c r="C2248" t="str">
        <x:v>D</x:v>
      </x:c>
      <x:c r="D2248" t="str">
        <x:v>SI1</x:v>
      </x:c>
      <x:c r="E2248" s="36" t="n">
        <x:v>67500</x:v>
      </x:c>
      <x:c r="F2248" s="36" t="n">
        <x:v>3762</x:v>
      </x:c>
      <x:c r="G2248" s="42" t="n">
        <x:v>0.806949806949807</x:v>
      </x:c>
      <x:c r="H2248" s="36" t="n">
        <x:f>E2248*G2248</x:f>
        <x:v>54469.111969111975</x:v>
      </x:c>
      <x:c r="I2248" s="36" t="n">
        <x:f>IFERROR(H2248/A2248,0)</x:f>
        <x:v>13617.277992277994</x:v>
      </x:c>
      <x:c r="J2248" s="67" t="str">
        <x:v>Modeled from live base + Sep-2026 quality ratio</x:v>
      </x:c>
      <x:c r="K2248" s="67" t="str">
        <x:v>https://www.stonealgo.com/diamond-prices/</x:v>
      </x:c>
      <x:c r="L2248" s="67" t="str">
        <x:v>https://www.pricescope.com/blog/natural-diamond-prices-september-2026</x:v>
      </x:c>
    </x:row>
    <x:row r="2249">
      <x:c r="A2249" t="n">
        <x:v>4</x:v>
      </x:c>
      <x:c r="B2249" t="str">
        <x:v>Radiant</x:v>
      </x:c>
      <x:c r="C2249" t="str">
        <x:v>D</x:v>
      </x:c>
      <x:c r="D2249" t="str">
        <x:v>SI2</x:v>
      </x:c>
      <x:c r="E2249" s="36" t="n">
        <x:v>67500</x:v>
      </x:c>
      <x:c r="F2249" s="36" t="n">
        <x:v>3026</x:v>
      </x:c>
      <x:c r="G2249" s="42" t="n">
        <x:v>0.6490776490776491</x:v>
      </x:c>
      <x:c r="H2249" s="36" t="n">
        <x:f>E2249*G2249</x:f>
        <x:v>43812.74131274132</x:v>
      </x:c>
      <x:c r="I2249" s="36" t="n">
        <x:f>IFERROR(H2249/A2249,0)</x:f>
        <x:v>10953.18532818533</x:v>
      </x:c>
      <x:c r="J2249" s="67" t="str">
        <x:v>Modeled from live base + Sep-2026 quality ratio</x:v>
      </x:c>
      <x:c r="K2249" s="67" t="str">
        <x:v>https://www.stonealgo.com/diamond-prices/</x:v>
      </x:c>
      <x:c r="L2249" s="67" t="str">
        <x:v>https://www.pricescope.com/blog/natural-diamond-prices-september-2026</x:v>
      </x:c>
    </x:row>
    <x:row r="2250">
      <x:c r="A2250" t="n">
        <x:v>4</x:v>
      </x:c>
      <x:c r="B2250" t="str">
        <x:v>Radiant</x:v>
      </x:c>
      <x:c r="C2250" t="str">
        <x:v>E</x:v>
      </x:c>
      <x:c r="D2250" t="str">
        <x:v>FL</x:v>
      </x:c>
      <x:c r="E2250" s="36" t="n">
        <x:v>67500</x:v>
      </x:c>
      <x:c r="F2250" s="36" t="n">
        <x:v>10072</x:v>
      </x:c>
      <x:c r="G2250" s="42" t="n">
        <x:v>2.1604461604461602</x:v>
      </x:c>
      <x:c r="H2250" s="36" t="n">
        <x:f>E2250*G2250</x:f>
        <x:v>145830.11583011583</x:v>
      </x:c>
      <x:c r="I2250" s="36" t="n">
        <x:f>IFERROR(H2250/A2250,0)</x:f>
        <x:v>36457.52895752896</x:v>
      </x:c>
      <x:c r="J2250" s="67" t="str">
        <x:v>Modeled from live base + Sep-2026 quality ratio</x:v>
      </x:c>
      <x:c r="K2250" s="67" t="str">
        <x:v>https://www.stonealgo.com/diamond-prices/</x:v>
      </x:c>
      <x:c r="L2250" s="67" t="str">
        <x:v>https://www.pricescope.com/blog/natural-diamond-prices-september-2026</x:v>
      </x:c>
    </x:row>
    <x:row r="2251">
      <x:c r="A2251" t="n">
        <x:v>4</x:v>
      </x:c>
      <x:c r="B2251" t="str">
        <x:v>Radiant</x:v>
      </x:c>
      <x:c r="C2251" t="str">
        <x:v>E</x:v>
      </x:c>
      <x:c r="D2251" t="str">
        <x:v>IF</x:v>
      </x:c>
      <x:c r="E2251" s="36" t="n">
        <x:v>67500</x:v>
      </x:c>
      <x:c r="F2251" s="36" t="n">
        <x:v>8672</x:v>
      </x:c>
      <x:c r="G2251" s="42" t="n">
        <x:v>1.8601458601458603</x:v>
      </x:c>
      <x:c r="H2251" s="36" t="n">
        <x:f>E2251*G2251</x:f>
        <x:v>125559.84555984556</x:v>
      </x:c>
      <x:c r="I2251" s="36" t="n">
        <x:f>IFERROR(H2251/A2251,0)</x:f>
        <x:v>31389.96138996139</x:v>
      </x:c>
      <x:c r="J2251" s="67" t="str">
        <x:v>Modeled from live base + Sep-2026 quality ratio</x:v>
      </x:c>
      <x:c r="K2251" s="67" t="str">
        <x:v>https://www.stonealgo.com/diamond-prices/</x:v>
      </x:c>
      <x:c r="L2251" s="67" t="str">
        <x:v>https://www.pricescope.com/blog/natural-diamond-prices-september-2026</x:v>
      </x:c>
    </x:row>
    <x:row r="2252">
      <x:c r="A2252" t="n">
        <x:v>4</x:v>
      </x:c>
      <x:c r="B2252" t="str">
        <x:v>Radiant</x:v>
      </x:c>
      <x:c r="C2252" t="str">
        <x:v>E</x:v>
      </x:c>
      <x:c r="D2252" t="str">
        <x:v>VVS1</x:v>
      </x:c>
      <x:c r="E2252" s="36" t="n">
        <x:v>67500</x:v>
      </x:c>
      <x:c r="F2252" s="36" t="n">
        <x:v>7842</x:v>
      </x:c>
      <x:c r="G2252" s="42" t="n">
        <x:v>1.6821106821106822</x:v>
      </x:c>
      <x:c r="H2252" s="36" t="n">
        <x:f>E2252*G2252</x:f>
        <x:v>113542.47104247105</x:v>
      </x:c>
      <x:c r="I2252" s="36" t="n">
        <x:f>IFERROR(H2252/A2252,0)</x:f>
        <x:v>28385.617760617763</x:v>
      </x:c>
      <x:c r="J2252" s="67" t="str">
        <x:v>Modeled from live base + Sep-2026 quality ratio</x:v>
      </x:c>
      <x:c r="K2252" s="67" t="str">
        <x:v>https://www.stonealgo.com/diamond-prices/</x:v>
      </x:c>
      <x:c r="L2252" s="67" t="str">
        <x:v>https://www.pricescope.com/blog/natural-diamond-prices-september-2026</x:v>
      </x:c>
    </x:row>
    <x:row r="2253">
      <x:c r="A2253" t="n">
        <x:v>4</x:v>
      </x:c>
      <x:c r="B2253" t="str">
        <x:v>Radiant</x:v>
      </x:c>
      <x:c r="C2253" t="str">
        <x:v>E</x:v>
      </x:c>
      <x:c r="D2253" t="str">
        <x:v>VVS2</x:v>
      </x:c>
      <x:c r="E2253" s="36" t="n">
        <x:v>67500</x:v>
      </x:c>
      <x:c r="F2253" s="36" t="n">
        <x:v>6880</x:v>
      </x:c>
      <x:c r="G2253" s="42" t="n">
        <x:v>1.4757614757614759</x:v>
      </x:c>
      <x:c r="H2253" s="36" t="n">
        <x:f>E2253*G2253</x:f>
        <x:v>99613.89961389962</x:v>
      </x:c>
      <x:c r="I2253" s="36" t="n">
        <x:f>IFERROR(H2253/A2253,0)</x:f>
        <x:v>24903.474903474904</x:v>
      </x:c>
      <x:c r="J2253" s="67" t="str">
        <x:v>Modeled from live base + Sep-2026 quality ratio</x:v>
      </x:c>
      <x:c r="K2253" s="67" t="str">
        <x:v>https://www.stonealgo.com/diamond-prices/</x:v>
      </x:c>
      <x:c r="L2253" s="67" t="str">
        <x:v>https://www.pricescope.com/blog/natural-diamond-prices-september-2026</x:v>
      </x:c>
    </x:row>
    <x:row r="2254">
      <x:c r="A2254" t="n">
        <x:v>4</x:v>
      </x:c>
      <x:c r="B2254" t="str">
        <x:v>Radiant</x:v>
      </x:c>
      <x:c r="C2254" t="str">
        <x:v>E</x:v>
      </x:c>
      <x:c r="D2254" t="str">
        <x:v>VS1</x:v>
      </x:c>
      <x:c r="E2254" s="36" t="n">
        <x:v>67500</x:v>
      </x:c>
      <x:c r="F2254" s="36" t="n">
        <x:v>6307</x:v>
      </x:c>
      <x:c r="G2254" s="42" t="n">
        <x:v>1.352852852852853</x:v>
      </x:c>
      <x:c r="H2254" s="36" t="n">
        <x:f>E2254*G2254</x:f>
        <x:v>91317.56756756757</x:v>
      </x:c>
      <x:c r="I2254" s="36" t="n">
        <x:f>IFERROR(H2254/A2254,0)</x:f>
        <x:v>22829.391891891893</x:v>
      </x:c>
      <x:c r="J2254" s="67" t="str">
        <x:v>Modeled from live base + Sep-2026 quality ratio</x:v>
      </x:c>
      <x:c r="K2254" s="67" t="str">
        <x:v>https://www.stonealgo.com/diamond-prices/</x:v>
      </x:c>
      <x:c r="L2254" s="67" t="str">
        <x:v>https://www.pricescope.com/blog/natural-diamond-prices-september-2026</x:v>
      </x:c>
    </x:row>
    <x:row r="2255">
      <x:c r="A2255" t="n">
        <x:v>4</x:v>
      </x:c>
      <x:c r="B2255" t="str">
        <x:v>Radiant</x:v>
      </x:c>
      <x:c r="C2255" t="str">
        <x:v>E</x:v>
      </x:c>
      <x:c r="D2255" t="str">
        <x:v>VS2</x:v>
      </x:c>
      <x:c r="E2255" s="36" t="n">
        <x:v>67500</x:v>
      </x:c>
      <x:c r="F2255" s="36" t="n">
        <x:v>5249</x:v>
      </x:c>
      <x:c r="G2255" s="42" t="n">
        <x:v>1.125911625911626</x:v>
      </x:c>
      <x:c r="H2255" s="36" t="n">
        <x:f>E2255*G2255</x:f>
        <x:v>75999.03474903475</x:v>
      </x:c>
      <x:c r="I2255" s="36" t="n">
        <x:f>IFERROR(H2255/A2255,0)</x:f>
        <x:v>18999.758687258687</x:v>
      </x:c>
      <x:c r="J2255" s="67" t="str">
        <x:v>Modeled from live base + Sep-2026 quality ratio</x:v>
      </x:c>
      <x:c r="K2255" s="67" t="str">
        <x:v>https://www.stonealgo.com/diamond-prices/</x:v>
      </x:c>
      <x:c r="L2255" s="67" t="str">
        <x:v>https://www.pricescope.com/blog/natural-diamond-prices-september-2026</x:v>
      </x:c>
    </x:row>
    <x:row r="2256">
      <x:c r="A2256" t="n">
        <x:v>4</x:v>
      </x:c>
      <x:c r="B2256" t="str">
        <x:v>Radiant</x:v>
      </x:c>
      <x:c r="C2256" t="str">
        <x:v>E</x:v>
      </x:c>
      <x:c r="D2256" t="str">
        <x:v>SI1</x:v>
      </x:c>
      <x:c r="E2256" s="36" t="n">
        <x:v>67500</x:v>
      </x:c>
      <x:c r="F2256" s="36" t="n">
        <x:v>3551</x:v>
      </x:c>
      <x:c r="G2256" s="42" t="n">
        <x:v>0.7616902616902617</x:v>
      </x:c>
      <x:c r="H2256" s="36" t="n">
        <x:f>E2256*G2256</x:f>
        <x:v>51414.09266409266</x:v>
      </x:c>
      <x:c r="I2256" s="36" t="n">
        <x:f>IFERROR(H2256/A2256,0)</x:f>
        <x:v>12853.523166023166</x:v>
      </x:c>
      <x:c r="J2256" s="67" t="str">
        <x:v>Modeled from live base + Sep-2026 quality ratio</x:v>
      </x:c>
      <x:c r="K2256" s="67" t="str">
        <x:v>https://www.stonealgo.com/diamond-prices/</x:v>
      </x:c>
      <x:c r="L2256" s="67" t="str">
        <x:v>https://www.pricescope.com/blog/natural-diamond-prices-september-2026</x:v>
      </x:c>
    </x:row>
    <x:row r="2257">
      <x:c r="A2257" t="n">
        <x:v>4</x:v>
      </x:c>
      <x:c r="B2257" t="str">
        <x:v>Radiant</x:v>
      </x:c>
      <x:c r="C2257" t="str">
        <x:v>E</x:v>
      </x:c>
      <x:c r="D2257" t="str">
        <x:v>SI2</x:v>
      </x:c>
      <x:c r="E2257" s="36" t="n">
        <x:v>67500</x:v>
      </x:c>
      <x:c r="F2257" s="36" t="n">
        <x:v>2993</x:v>
      </x:c>
      <x:c r="G2257" s="42" t="n">
        <x:v>0.641999141999142</x:v>
      </x:c>
      <x:c r="H2257" s="36" t="n">
        <x:f>E2257*G2257</x:f>
        <x:v>43334.942084942086</x:v>
      </x:c>
      <x:c r="I2257" s="36" t="n">
        <x:f>IFERROR(H2257/A2257,0)</x:f>
        <x:v>10833.735521235521</x:v>
      </x:c>
      <x:c r="J2257" s="67" t="str">
        <x:v>Modeled from live base + Sep-2026 quality ratio</x:v>
      </x:c>
      <x:c r="K2257" s="67" t="str">
        <x:v>https://www.stonealgo.com/diamond-prices/</x:v>
      </x:c>
      <x:c r="L2257" s="67" t="str">
        <x:v>https://www.pricescope.com/blog/natural-diamond-prices-september-2026</x:v>
      </x:c>
    </x:row>
    <x:row r="2258">
      <x:c r="A2258" t="n">
        <x:v>4</x:v>
      </x:c>
      <x:c r="B2258" t="str">
        <x:v>Radiant</x:v>
      </x:c>
      <x:c r="C2258" t="str">
        <x:v>F</x:v>
      </x:c>
      <x:c r="D2258" t="str">
        <x:v>FL</x:v>
      </x:c>
      <x:c r="E2258" s="36" t="n">
        <x:v>67500</x:v>
      </x:c>
      <x:c r="F2258" s="36" t="n">
        <x:v>6830</x:v>
      </x:c>
      <x:c r="G2258" s="42" t="n">
        <x:v>1.4650364650364651</x:v>
      </x:c>
      <x:c r="H2258" s="36" t="n">
        <x:f>E2258*G2258</x:f>
        <x:v>98889.96138996139</x:v>
      </x:c>
      <x:c r="I2258" s="36" t="n">
        <x:f>IFERROR(H2258/A2258,0)</x:f>
        <x:v>24722.490347490348</x:v>
      </x:c>
      <x:c r="J2258" s="67" t="str">
        <x:v>Modeled from live base + Sep-2026 quality ratio</x:v>
      </x:c>
      <x:c r="K2258" s="67" t="str">
        <x:v>https://www.stonealgo.com/diamond-prices/</x:v>
      </x:c>
      <x:c r="L2258" s="67" t="str">
        <x:v>https://www.pricescope.com/blog/natural-diamond-prices-september-2026</x:v>
      </x:c>
    </x:row>
    <x:row r="2259">
      <x:c r="A2259" t="n">
        <x:v>4</x:v>
      </x:c>
      <x:c r="B2259" t="str">
        <x:v>Radiant</x:v>
      </x:c>
      <x:c r="C2259" t="str">
        <x:v>F</x:v>
      </x:c>
      <x:c r="D2259" t="str">
        <x:v>IF</x:v>
      </x:c>
      <x:c r="E2259" s="36" t="n">
        <x:v>67500</x:v>
      </x:c>
      <x:c r="F2259" s="36" t="n">
        <x:v>7302</x:v>
      </x:c>
      <x:c r="G2259" s="42" t="n">
        <x:v>1.5662805662805663</x:v>
      </x:c>
      <x:c r="H2259" s="36" t="n">
        <x:f>E2259*G2259</x:f>
        <x:v>105723.93822393822</x:v>
      </x:c>
      <x:c r="I2259" s="36" t="n">
        <x:f>IFERROR(H2259/A2259,0)</x:f>
        <x:v>26430.984555984556</x:v>
      </x:c>
      <x:c r="J2259" s="67" t="str">
        <x:v>Modeled from live base + Sep-2026 quality ratio</x:v>
      </x:c>
      <x:c r="K2259" s="67" t="str">
        <x:v>https://www.stonealgo.com/diamond-prices/</x:v>
      </x:c>
      <x:c r="L2259" s="67" t="str">
        <x:v>https://www.pricescope.com/blog/natural-diamond-prices-september-2026</x:v>
      </x:c>
    </x:row>
    <x:row r="2260">
      <x:c r="A2260" t="n">
        <x:v>4</x:v>
      </x:c>
      <x:c r="B2260" t="str">
        <x:v>Radiant</x:v>
      </x:c>
      <x:c r="C2260" t="str">
        <x:v>F</x:v>
      </x:c>
      <x:c r="D2260" t="str">
        <x:v>VVS1</x:v>
      </x:c>
      <x:c r="E2260" s="36" t="n">
        <x:v>67500</x:v>
      </x:c>
      <x:c r="F2260" s="36" t="n">
        <x:v>7542</x:v>
      </x:c>
      <x:c r="G2260" s="42" t="n">
        <x:v>1.6177606177606179</x:v>
      </x:c>
      <x:c r="H2260" s="36" t="n">
        <x:f>E2260*G2260</x:f>
        <x:v>109198.8416988417</x:v>
      </x:c>
      <x:c r="I2260" s="36" t="n">
        <x:f>IFERROR(H2260/A2260,0)</x:f>
        <x:v>27299.710424710425</x:v>
      </x:c>
      <x:c r="J2260" s="67" t="str">
        <x:v>Modeled from live base + Sep-2026 quality ratio</x:v>
      </x:c>
      <x:c r="K2260" s="67" t="str">
        <x:v>https://www.stonealgo.com/diamond-prices/</x:v>
      </x:c>
      <x:c r="L2260" s="67" t="str">
        <x:v>https://www.pricescope.com/blog/natural-diamond-prices-september-2026</x:v>
      </x:c>
    </x:row>
    <x:row r="2261">
      <x:c r="A2261" t="n">
        <x:v>4</x:v>
      </x:c>
      <x:c r="B2261" t="str">
        <x:v>Radiant</x:v>
      </x:c>
      <x:c r="C2261" t="str">
        <x:v>F</x:v>
      </x:c>
      <x:c r="D2261" t="str">
        <x:v>VVS2</x:v>
      </x:c>
      <x:c r="E2261" s="36" t="n">
        <x:v>67500</x:v>
      </x:c>
      <x:c r="F2261" s="36" t="n">
        <x:v>6352</x:v>
      </x:c>
      <x:c r="G2261" s="42" t="n">
        <x:v>1.3625053625053625</x:v>
      </x:c>
      <x:c r="H2261" s="36" t="n">
        <x:f>E2261*G2261</x:f>
        <x:v>91969.11196911197</x:v>
      </x:c>
      <x:c r="I2261" s="36" t="n">
        <x:f>IFERROR(H2261/A2261,0)</x:f>
        <x:v>22992.277992277992</x:v>
      </x:c>
      <x:c r="J2261" s="67" t="str">
        <x:v>Modeled from live base + Sep-2026 quality ratio</x:v>
      </x:c>
      <x:c r="K2261" s="67" t="str">
        <x:v>https://www.stonealgo.com/diamond-prices/</x:v>
      </x:c>
      <x:c r="L2261" s="67" t="str">
        <x:v>https://www.pricescope.com/blog/natural-diamond-prices-september-2026</x:v>
      </x:c>
    </x:row>
    <x:row r="2262">
      <x:c r="A2262" t="n">
        <x:v>4</x:v>
      </x:c>
      <x:c r="B2262" t="str">
        <x:v>Radiant</x:v>
      </x:c>
      <x:c r="C2262" t="str">
        <x:v>F</x:v>
      </x:c>
      <x:c r="D2262" t="str">
        <x:v>VS1</x:v>
      </x:c>
      <x:c r="E2262" s="36" t="n">
        <x:v>67500</x:v>
      </x:c>
      <x:c r="F2262" s="36" t="n">
        <x:v>5647</x:v>
      </x:c>
      <x:c r="G2262" s="42" t="n">
        <x:v>1.2112827112827114</x:v>
      </x:c>
      <x:c r="H2262" s="36" t="n">
        <x:f>E2262*G2262</x:f>
        <x:v>81761.58301158302</x:v>
      </x:c>
      <x:c r="I2262" s="36" t="n">
        <x:f>IFERROR(H2262/A2262,0)</x:f>
        <x:v>20440.395752895754</x:v>
      </x:c>
      <x:c r="J2262" s="67" t="str">
        <x:v>Modeled from live base + Sep-2026 quality ratio</x:v>
      </x:c>
      <x:c r="K2262" s="67" t="str">
        <x:v>https://www.stonealgo.com/diamond-prices/</x:v>
      </x:c>
      <x:c r="L2262" s="67" t="str">
        <x:v>https://www.pricescope.com/blog/natural-diamond-prices-september-2026</x:v>
      </x:c>
    </x:row>
    <x:row r="2263">
      <x:c r="A2263" t="n">
        <x:v>4</x:v>
      </x:c>
      <x:c r="B2263" t="str">
        <x:v>Radiant</x:v>
      </x:c>
      <x:c r="C2263" t="str">
        <x:v>F</x:v>
      </x:c>
      <x:c r="D2263" t="str">
        <x:v>VS2</x:v>
      </x:c>
      <x:c r="E2263" s="36" t="n">
        <x:v>67500</x:v>
      </x:c>
      <x:c r="F2263" s="36" t="n">
        <x:v>4730</x:v>
      </x:c>
      <x:c r="G2263" s="42" t="n">
        <x:v>1.0145860145860146</x:v>
      </x:c>
      <x:c r="H2263" s="36" t="n">
        <x:f>E2263*G2263</x:f>
        <x:v>68484.55598455599</x:v>
      </x:c>
      <x:c r="I2263" s="36" t="n">
        <x:f>IFERROR(H2263/A2263,0)</x:f>
        <x:v>17121.138996138998</x:v>
      </x:c>
      <x:c r="J2263" s="67" t="str">
        <x:v>Modeled from live base + Sep-2026 quality ratio</x:v>
      </x:c>
      <x:c r="K2263" s="67" t="str">
        <x:v>https://www.stonealgo.com/diamond-prices/</x:v>
      </x:c>
      <x:c r="L2263" s="67" t="str">
        <x:v>https://www.pricescope.com/blog/natural-diamond-prices-september-2026</x:v>
      </x:c>
    </x:row>
    <x:row r="2264">
      <x:c r="A2264" t="n">
        <x:v>4</x:v>
      </x:c>
      <x:c r="B2264" t="str">
        <x:v>Radiant</x:v>
      </x:c>
      <x:c r="C2264" t="str">
        <x:v>F</x:v>
      </x:c>
      <x:c r="D2264" t="str">
        <x:v>SI1</x:v>
      </x:c>
      <x:c r="E2264" s="36" t="n">
        <x:v>67500</x:v>
      </x:c>
      <x:c r="F2264" s="36" t="n">
        <x:v>3331</x:v>
      </x:c>
      <x:c r="G2264" s="42" t="n">
        <x:v>0.7145002145002145</x:v>
      </x:c>
      <x:c r="H2264" s="36" t="n">
        <x:f>E2264*G2264</x:f>
        <x:v>48228.76447876448</x:v>
      </x:c>
      <x:c r="I2264" s="36" t="n">
        <x:f>IFERROR(H2264/A2264,0)</x:f>
        <x:v>12057.19111969112</x:v>
      </x:c>
      <x:c r="J2264" s="67" t="str">
        <x:v>Modeled from live base + Sep-2026 quality ratio</x:v>
      </x:c>
      <x:c r="K2264" s="67" t="str">
        <x:v>https://www.stonealgo.com/diamond-prices/</x:v>
      </x:c>
      <x:c r="L2264" s="67" t="str">
        <x:v>https://www.pricescope.com/blog/natural-diamond-prices-september-2026</x:v>
      </x:c>
    </x:row>
    <x:row r="2265">
      <x:c r="A2265" t="n">
        <x:v>4</x:v>
      </x:c>
      <x:c r="B2265" t="str">
        <x:v>Radiant</x:v>
      </x:c>
      <x:c r="C2265" t="str">
        <x:v>F</x:v>
      </x:c>
      <x:c r="D2265" t="str">
        <x:v>SI2</x:v>
      </x:c>
      <x:c r="E2265" s="36" t="n">
        <x:v>67500</x:v>
      </x:c>
      <x:c r="F2265" s="36" t="n">
        <x:v>2733</x:v>
      </x:c>
      <x:c r="G2265" s="42" t="n">
        <x:v>0.5862290862290862</x:v>
      </x:c>
      <x:c r="H2265" s="36" t="n">
        <x:f>E2265*G2265</x:f>
        <x:v>39570.46332046332</x:v>
      </x:c>
      <x:c r="I2265" s="36" t="n">
        <x:f>IFERROR(H2265/A2265,0)</x:f>
        <x:v>9892.61583011583</x:v>
      </x:c>
      <x:c r="J2265" s="67" t="str">
        <x:v>Modeled from live base + Sep-2026 quality ratio</x:v>
      </x:c>
      <x:c r="K2265" s="67" t="str">
        <x:v>https://www.stonealgo.com/diamond-prices/</x:v>
      </x:c>
      <x:c r="L2265" s="67" t="str">
        <x:v>https://www.pricescope.com/blog/natural-diamond-prices-september-2026</x:v>
      </x:c>
    </x:row>
    <x:row r="2266">
      <x:c r="A2266" t="n">
        <x:v>4</x:v>
      </x:c>
      <x:c r="B2266" t="str">
        <x:v>Radiant</x:v>
      </x:c>
      <x:c r="C2266" t="str">
        <x:v>G</x:v>
      </x:c>
      <x:c r="D2266" t="str">
        <x:v>FL</x:v>
      </x:c>
      <x:c r="E2266" s="36" t="n">
        <x:v>67500</x:v>
      </x:c>
      <x:c r="F2266" s="36" t="n">
        <x:v>5905</x:v>
      </x:c>
      <x:c r="G2266" s="42" t="n">
        <x:v>1.2666237666237665</x:v>
      </x:c>
      <x:c r="H2266" s="36" t="n">
        <x:f>E2266*G2266</x:f>
        <x:v>85497.10424710425</x:v>
      </x:c>
      <x:c r="I2266" s="36" t="n">
        <x:f>IFERROR(H2266/A2266,0)</x:f>
        <x:v>21374.27606177606</x:v>
      </x:c>
      <x:c r="J2266" s="67" t="str">
        <x:v>Modeled from live base + Sep-2026 quality ratio</x:v>
      </x:c>
      <x:c r="K2266" s="67" t="str">
        <x:v>https://www.stonealgo.com/diamond-prices/</x:v>
      </x:c>
      <x:c r="L2266" s="67" t="str">
        <x:v>https://www.pricescope.com/blog/natural-diamond-prices-september-2026</x:v>
      </x:c>
    </x:row>
    <x:row r="2267">
      <x:c r="A2267" t="n">
        <x:v>4</x:v>
      </x:c>
      <x:c r="B2267" t="str">
        <x:v>Radiant</x:v>
      </x:c>
      <x:c r="C2267" t="str">
        <x:v>G</x:v>
      </x:c>
      <x:c r="D2267" t="str">
        <x:v>IF</x:v>
      </x:c>
      <x:c r="E2267" s="36" t="n">
        <x:v>67500</x:v>
      </x:c>
      <x:c r="F2267" s="36" t="n">
        <x:v>5601</x:v>
      </x:c>
      <x:c r="G2267" s="42" t="n">
        <x:v>1.2014157014157014</x:v>
      </x:c>
      <x:c r="H2267" s="36" t="n">
        <x:f>E2267*G2267</x:f>
        <x:v>81095.55984555985</x:v>
      </x:c>
      <x:c r="I2267" s="36" t="n">
        <x:f>IFERROR(H2267/A2267,0)</x:f>
        <x:v>20273.889961389963</x:v>
      </x:c>
      <x:c r="J2267" s="67" t="str">
        <x:v>Modeled from live base + Sep-2026 quality ratio</x:v>
      </x:c>
      <x:c r="K2267" s="67" t="str">
        <x:v>https://www.stonealgo.com/diamond-prices/</x:v>
      </x:c>
      <x:c r="L2267" s="67" t="str">
        <x:v>https://www.pricescope.com/blog/natural-diamond-prices-september-2026</x:v>
      </x:c>
    </x:row>
    <x:row r="2268">
      <x:c r="A2268" t="n">
        <x:v>4</x:v>
      </x:c>
      <x:c r="B2268" t="str">
        <x:v>Radiant</x:v>
      </x:c>
      <x:c r="C2268" t="str">
        <x:v>G</x:v>
      </x:c>
      <x:c r="D2268" t="str">
        <x:v>VVS1</x:v>
      </x:c>
      <x:c r="E2268" s="36" t="n">
        <x:v>67500</x:v>
      </x:c>
      <x:c r="F2268" s="36" t="n">
        <x:v>5124</x:v>
      </x:c>
      <x:c r="G2268" s="42" t="n">
        <x:v>1.0990990990990992</x:v>
      </x:c>
      <x:c r="H2268" s="36" t="n">
        <x:f>E2268*G2268</x:f>
        <x:v>74189.1891891892</x:v>
      </x:c>
      <x:c r="I2268" s="36" t="n">
        <x:f>IFERROR(H2268/A2268,0)</x:f>
        <x:v>18547.2972972973</x:v>
      </x:c>
      <x:c r="J2268" s="67" t="str">
        <x:v>Modeled from live base + Sep-2026 quality ratio</x:v>
      </x:c>
      <x:c r="K2268" s="67" t="str">
        <x:v>https://www.stonealgo.com/diamond-prices/</x:v>
      </x:c>
      <x:c r="L2268" s="67" t="str">
        <x:v>https://www.pricescope.com/blog/natural-diamond-prices-september-2026</x:v>
      </x:c>
    </x:row>
    <x:row r="2269">
      <x:c r="A2269" t="n">
        <x:v>4</x:v>
      </x:c>
      <x:c r="B2269" t="str">
        <x:v>Radiant</x:v>
      </x:c>
      <x:c r="C2269" t="str">
        <x:v>G</x:v>
      </x:c>
      <x:c r="D2269" t="str">
        <x:v>VVS2</x:v>
      </x:c>
      <x:c r="E2269" s="36" t="n">
        <x:v>67500</x:v>
      </x:c>
      <x:c r="F2269" s="36" t="n">
        <x:v>4962</x:v>
      </x:c>
      <x:c r="G2269" s="42" t="n">
        <x:v>1.0643500643500643</x:v>
      </x:c>
      <x:c r="H2269" s="36" t="n">
        <x:f>E2269*G2269</x:f>
        <x:v>71843.62934362933</x:v>
      </x:c>
      <x:c r="I2269" s="36" t="n">
        <x:f>IFERROR(H2269/A2269,0)</x:f>
        <x:v>17960.907335907334</x:v>
      </x:c>
      <x:c r="J2269" s="67" t="str">
        <x:v>Modeled from live base + Sep-2026 quality ratio</x:v>
      </x:c>
      <x:c r="K2269" s="67" t="str">
        <x:v>https://www.stonealgo.com/diamond-prices/</x:v>
      </x:c>
      <x:c r="L2269" s="67" t="str">
        <x:v>https://www.pricescope.com/blog/natural-diamond-prices-september-2026</x:v>
      </x:c>
    </x:row>
    <x:row r="2270">
      <x:c r="A2270" t="n">
        <x:v>4</x:v>
      </x:c>
      <x:c r="B2270" t="str">
        <x:v>Radiant</x:v>
      </x:c>
      <x:c r="C2270" t="str">
        <x:v>G</x:v>
      </x:c>
      <x:c r="D2270" t="str">
        <x:v>VS1</x:v>
      </x:c>
      <x:c r="E2270" s="36" t="n">
        <x:v>67500</x:v>
      </x:c>
      <x:c r="F2270" s="36" t="n">
        <x:v>4615</x:v>
      </x:c>
      <x:c r="G2270" s="42" t="n">
        <x:v>0.98991848991849</x:v>
      </x:c>
      <x:c r="H2270" s="36" t="n">
        <x:f>E2270*G2270</x:f>
        <x:v>66819.49806949808</x:v>
      </x:c>
      <x:c r="I2270" s="36" t="n">
        <x:f>IFERROR(H2270/A2270,0)</x:f>
        <x:v>16704.87451737452</x:v>
      </x:c>
      <x:c r="J2270" s="67" t="str">
        <x:v>Modeled from live base + Sep-2026 quality ratio</x:v>
      </x:c>
      <x:c r="K2270" s="67" t="str">
        <x:v>https://www.stonealgo.com/diamond-prices/</x:v>
      </x:c>
      <x:c r="L2270" s="67" t="str">
        <x:v>https://www.pricescope.com/blog/natural-diamond-prices-september-2026</x:v>
      </x:c>
    </x:row>
    <x:row r="2271">
      <x:c r="A2271" t="n">
        <x:v>4</x:v>
      </x:c>
      <x:c r="B2271" t="str">
        <x:v>Radiant</x:v>
      </x:c>
      <x:c r="C2271" t="str">
        <x:v>G</x:v>
      </x:c>
      <x:c r="D2271" t="str">
        <x:v>VS2</x:v>
      </x:c>
      <x:c r="E2271" s="36" t="n">
        <x:v>67500</x:v>
      </x:c>
      <x:c r="F2271" s="36" t="n">
        <x:v>4585</x:v>
      </x:c>
      <x:c r="G2271" s="42" t="n">
        <x:v>0.9834834834834835</x:v>
      </x:c>
      <x:c r="H2271" s="36" t="n">
        <x:f>E2271*G2271</x:f>
        <x:v>66385.13513513513</x:v>
      </x:c>
      <x:c r="I2271" s="36" t="n">
        <x:f>IFERROR(H2271/A2271,0)</x:f>
        <x:v>16596.283783783783</x:v>
      </x:c>
      <x:c r="J2271" s="67" t="str">
        <x:v>Modeled from live base + Sep-2026 quality ratio</x:v>
      </x:c>
      <x:c r="K2271" s="67" t="str">
        <x:v>https://www.stonealgo.com/diamond-prices/</x:v>
      </x:c>
      <x:c r="L2271" s="67" t="str">
        <x:v>https://www.pricescope.com/blog/natural-diamond-prices-september-2026</x:v>
      </x:c>
    </x:row>
    <x:row r="2272">
      <x:c r="A2272" t="n">
        <x:v>4</x:v>
      </x:c>
      <x:c r="B2272" t="str">
        <x:v>Radiant</x:v>
      </x:c>
      <x:c r="C2272" t="str">
        <x:v>G</x:v>
      </x:c>
      <x:c r="D2272" t="str">
        <x:v>SI1</x:v>
      </x:c>
      <x:c r="E2272" s="36" t="n">
        <x:v>67500</x:v>
      </x:c>
      <x:c r="F2272" s="36" t="n">
        <x:v>3664</x:v>
      </x:c>
      <x:c r="G2272" s="42" t="n">
        <x:v>0.7859287859287859</x:v>
      </x:c>
      <x:c r="H2272" s="36" t="n">
        <x:f>E2272*G2272</x:f>
        <x:v>53050.19305019305</x:v>
      </x:c>
      <x:c r="I2272" s="36" t="n">
        <x:f>IFERROR(H2272/A2272,0)</x:f>
        <x:v>13262.548262548262</x:v>
      </x:c>
      <x:c r="J2272" s="67" t="str">
        <x:v>Modeled from live base + Sep-2026 quality ratio</x:v>
      </x:c>
      <x:c r="K2272" s="67" t="str">
        <x:v>https://www.stonealgo.com/diamond-prices/</x:v>
      </x:c>
      <x:c r="L2272" s="67" t="str">
        <x:v>https://www.pricescope.com/blog/natural-diamond-prices-september-2026</x:v>
      </x:c>
    </x:row>
    <x:row r="2273">
      <x:c r="A2273" t="n">
        <x:v>4</x:v>
      </x:c>
      <x:c r="B2273" t="str">
        <x:v>Radiant</x:v>
      </x:c>
      <x:c r="C2273" t="str">
        <x:v>G</x:v>
      </x:c>
      <x:c r="D2273" t="str">
        <x:v>SI2</x:v>
      </x:c>
      <x:c r="E2273" s="36" t="n">
        <x:v>67500</x:v>
      </x:c>
      <x:c r="F2273" s="36" t="n">
        <x:v>2537</x:v>
      </x:c>
      <x:c r="G2273" s="42" t="n">
        <x:v>0.5441870441870442</x:v>
      </x:c>
      <x:c r="H2273" s="36" t="n">
        <x:f>E2273*G2273</x:f>
        <x:v>36732.62548262549</x:v>
      </x:c>
      <x:c r="I2273" s="36" t="n">
        <x:f>IFERROR(H2273/A2273,0)</x:f>
        <x:v>9183.156370656372</x:v>
      </x:c>
      <x:c r="J2273" s="67" t="str">
        <x:v>Modeled from live base + Sep-2026 quality ratio</x:v>
      </x:c>
      <x:c r="K2273" s="67" t="str">
        <x:v>https://www.stonealgo.com/diamond-prices/</x:v>
      </x:c>
      <x:c r="L2273" s="67" t="str">
        <x:v>https://www.pricescope.com/blog/natural-diamond-prices-september-2026</x:v>
      </x:c>
    </x:row>
    <x:row r="2274">
      <x:c r="A2274" t="n">
        <x:v>4</x:v>
      </x:c>
      <x:c r="B2274" t="str">
        <x:v>Radiant</x:v>
      </x:c>
      <x:c r="C2274" t="str">
        <x:v>H</x:v>
      </x:c>
      <x:c r="D2274" t="str">
        <x:v>FL</x:v>
      </x:c>
      <x:c r="E2274" s="36" t="n">
        <x:v>67500</x:v>
      </x:c>
      <x:c r="F2274" s="36" t="n">
        <x:v>4563</x:v>
      </x:c>
      <x:c r="G2274" s="42" t="n">
        <x:v>0.9787644787644788</x:v>
      </x:c>
      <x:c r="H2274" s="36" t="n">
        <x:f>E2274*G2274</x:f>
        <x:v>66066.60231660232</x:v>
      </x:c>
      <x:c r="I2274" s="36" t="n">
        <x:f>IFERROR(H2274/A2274,0)</x:f>
        <x:v>16516.65057915058</x:v>
      </x:c>
      <x:c r="J2274" s="67" t="str">
        <x:v>Modeled from live base + Sep-2026 quality ratio</x:v>
      </x:c>
      <x:c r="K2274" s="67" t="str">
        <x:v>https://www.stonealgo.com/diamond-prices/</x:v>
      </x:c>
      <x:c r="L2274" s="67" t="str">
        <x:v>https://www.pricescope.com/blog/natural-diamond-prices-september-2026</x:v>
      </x:c>
    </x:row>
    <x:row r="2275">
      <x:c r="A2275" t="n">
        <x:v>4</x:v>
      </x:c>
      <x:c r="B2275" t="str">
        <x:v>Radiant</x:v>
      </x:c>
      <x:c r="C2275" t="str">
        <x:v>H</x:v>
      </x:c>
      <x:c r="D2275" t="str">
        <x:v>IF</x:v>
      </x:c>
      <x:c r="E2275" s="36" t="n">
        <x:v>67500</x:v>
      </x:c>
      <x:c r="F2275" s="36" t="n">
        <x:v>4809</x:v>
      </x:c>
      <x:c r="G2275" s="42" t="n">
        <x:v>1.0315315315315314</x:v>
      </x:c>
      <x:c r="H2275" s="36" t="n">
        <x:f>E2275*G2275</x:f>
        <x:v>69628.37837837837</x:v>
      </x:c>
      <x:c r="I2275" s="36" t="n">
        <x:f>IFERROR(H2275/A2275,0)</x:f>
        <x:v>17407.094594594593</x:v>
      </x:c>
      <x:c r="J2275" s="67" t="str">
        <x:v>Modeled from live base + Sep-2026 quality ratio</x:v>
      </x:c>
      <x:c r="K2275" s="67" t="str">
        <x:v>https://www.stonealgo.com/diamond-prices/</x:v>
      </x:c>
      <x:c r="L2275" s="67" t="str">
        <x:v>https://www.pricescope.com/blog/natural-diamond-prices-september-2026</x:v>
      </x:c>
    </x:row>
    <x:row r="2276">
      <x:c r="A2276" t="n">
        <x:v>4</x:v>
      </x:c>
      <x:c r="B2276" t="str">
        <x:v>Radiant</x:v>
      </x:c>
      <x:c r="C2276" t="str">
        <x:v>H</x:v>
      </x:c>
      <x:c r="D2276" t="str">
        <x:v>VVS1</x:v>
      </x:c>
      <x:c r="E2276" s="36" t="n">
        <x:v>67500</x:v>
      </x:c>
      <x:c r="F2276" s="36" t="n">
        <x:v>4911</x:v>
      </x:c>
      <x:c r="G2276" s="42" t="n">
        <x:v>1.0534105534105533</x:v>
      </x:c>
      <x:c r="H2276" s="36" t="n">
        <x:f>E2276*G2276</x:f>
        <x:v>71105.21235521235</x:v>
      </x:c>
      <x:c r="I2276" s="36" t="n">
        <x:f>IFERROR(H2276/A2276,0)</x:f>
        <x:v>17776.303088803088</x:v>
      </x:c>
      <x:c r="J2276" s="67" t="str">
        <x:v>Modeled from live base + Sep-2026 quality ratio</x:v>
      </x:c>
      <x:c r="K2276" s="67" t="str">
        <x:v>https://www.stonealgo.com/diamond-prices/</x:v>
      </x:c>
      <x:c r="L2276" s="67" t="str">
        <x:v>https://www.pricescope.com/blog/natural-diamond-prices-september-2026</x:v>
      </x:c>
    </x:row>
    <x:row r="2277">
      <x:c r="A2277" t="n">
        <x:v>4</x:v>
      </x:c>
      <x:c r="B2277" t="str">
        <x:v>Radiant</x:v>
      </x:c>
      <x:c r="C2277" t="str">
        <x:v>H</x:v>
      </x:c>
      <x:c r="D2277" t="str">
        <x:v>VVS2</x:v>
      </x:c>
      <x:c r="E2277" s="36" t="n">
        <x:v>67500</x:v>
      </x:c>
      <x:c r="F2277" s="36" t="n">
        <x:v>4046</x:v>
      </x:c>
      <x:c r="G2277" s="42" t="n">
        <x:v>0.8678678678678678</x:v>
      </x:c>
      <x:c r="H2277" s="36" t="n">
        <x:f>E2277*G2277</x:f>
        <x:v>58581.08108108108</x:v>
      </x:c>
      <x:c r="I2277" s="36" t="n">
        <x:f>IFERROR(H2277/A2277,0)</x:f>
        <x:v>14645.27027027027</x:v>
      </x:c>
      <x:c r="J2277" s="67" t="str">
        <x:v>Modeled from live base + Sep-2026 quality ratio</x:v>
      </x:c>
      <x:c r="K2277" s="67" t="str">
        <x:v>https://www.stonealgo.com/diamond-prices/</x:v>
      </x:c>
      <x:c r="L2277" s="67" t="str">
        <x:v>https://www.pricescope.com/blog/natural-diamond-prices-september-2026</x:v>
      </x:c>
    </x:row>
    <x:row r="2278">
      <x:c r="A2278" t="n">
        <x:v>4</x:v>
      </x:c>
      <x:c r="B2278" t="str">
        <x:v>Radiant</x:v>
      </x:c>
      <x:c r="C2278" t="str">
        <x:v>H</x:v>
      </x:c>
      <x:c r="D2278" t="str">
        <x:v>VS1</x:v>
      </x:c>
      <x:c r="E2278" s="36" t="n">
        <x:v>67500</x:v>
      </x:c>
      <x:c r="F2278" s="36" t="n">
        <x:v>3893</x:v>
      </x:c>
      <x:c r="G2278" s="42" t="n">
        <x:v>0.8350493350493351</x:v>
      </x:c>
      <x:c r="H2278" s="36" t="n">
        <x:f>E2278*G2278</x:f>
        <x:v>56365.83011583012</x:v>
      </x:c>
      <x:c r="I2278" s="36" t="n">
        <x:f>IFERROR(H2278/A2278,0)</x:f>
        <x:v>14091.45752895753</x:v>
      </x:c>
      <x:c r="J2278" s="67" t="str">
        <x:v>Modeled from live base + Sep-2026 quality ratio</x:v>
      </x:c>
      <x:c r="K2278" s="67" t="str">
        <x:v>https://www.stonealgo.com/diamond-prices/</x:v>
      </x:c>
      <x:c r="L2278" s="67" t="str">
        <x:v>https://www.pricescope.com/blog/natural-diamond-prices-september-2026</x:v>
      </x:c>
    </x:row>
    <x:row r="2279">
      <x:c r="A2279" t="n">
        <x:v>4</x:v>
      </x:c>
      <x:c r="B2279" t="str">
        <x:v>Radiant</x:v>
      </x:c>
      <x:c r="C2279" t="str">
        <x:v>H</x:v>
      </x:c>
      <x:c r="D2279" t="str">
        <x:v>VS2</x:v>
      </x:c>
      <x:c r="E2279" s="36" t="n">
        <x:v>67500</x:v>
      </x:c>
      <x:c r="F2279" s="36" t="n">
        <x:v>3989</x:v>
      </x:c>
      <x:c r="G2279" s="42" t="n">
        <x:v>0.8556413556413557</x:v>
      </x:c>
      <x:c r="H2279" s="36" t="n">
        <x:f>E2279*G2279</x:f>
        <x:v>57755.79150579151</x:v>
      </x:c>
      <x:c r="I2279" s="36" t="n">
        <x:f>IFERROR(H2279/A2279,0)</x:f>
        <x:v>14438.947876447877</x:v>
      </x:c>
      <x:c r="J2279" s="67" t="str">
        <x:v>Modeled from live base + Sep-2026 quality ratio</x:v>
      </x:c>
      <x:c r="K2279" s="67" t="str">
        <x:v>https://www.stonealgo.com/diamond-prices/</x:v>
      </x:c>
      <x:c r="L2279" s="67" t="str">
        <x:v>https://www.pricescope.com/blog/natural-diamond-prices-september-2026</x:v>
      </x:c>
    </x:row>
    <x:row r="2280">
      <x:c r="A2280" t="n">
        <x:v>4</x:v>
      </x:c>
      <x:c r="B2280" t="str">
        <x:v>Radiant</x:v>
      </x:c>
      <x:c r="C2280" t="str">
        <x:v>H</x:v>
      </x:c>
      <x:c r="D2280" t="str">
        <x:v>SI1</x:v>
      </x:c>
      <x:c r="E2280" s="36" t="n">
        <x:v>67500</x:v>
      </x:c>
      <x:c r="F2280" s="36" t="n">
        <x:v>2828</x:v>
      </x:c>
      <x:c r="G2280" s="42" t="n">
        <x:v>0.6066066066066066</x:v>
      </x:c>
      <x:c r="H2280" s="36" t="n">
        <x:f>E2280*G2280</x:f>
        <x:v>40945.94594594595</x:v>
      </x:c>
      <x:c r="I2280" s="36" t="n">
        <x:f>IFERROR(H2280/A2280,0)</x:f>
        <x:v>10236.486486486487</x:v>
      </x:c>
      <x:c r="J2280" s="67" t="str">
        <x:v>Modeled from live base + Sep-2026 quality ratio</x:v>
      </x:c>
      <x:c r="K2280" s="67" t="str">
        <x:v>https://www.stonealgo.com/diamond-prices/</x:v>
      </x:c>
      <x:c r="L2280" s="67" t="str">
        <x:v>https://www.pricescope.com/blog/natural-diamond-prices-september-2026</x:v>
      </x:c>
    </x:row>
    <x:row r="2281">
      <x:c r="A2281" t="n">
        <x:v>4</x:v>
      </x:c>
      <x:c r="B2281" t="str">
        <x:v>Radiant</x:v>
      </x:c>
      <x:c r="C2281" t="str">
        <x:v>H</x:v>
      </x:c>
      <x:c r="D2281" t="str">
        <x:v>SI2</x:v>
      </x:c>
      <x:c r="E2281" s="36" t="n">
        <x:v>67500</x:v>
      </x:c>
      <x:c r="F2281" s="36" t="n">
        <x:v>2328</x:v>
      </x:c>
      <x:c r="G2281" s="42" t="n">
        <x:v>0.49935649935649934</x:v>
      </x:c>
      <x:c r="H2281" s="36" t="n">
        <x:f>E2281*G2281</x:f>
        <x:v>33706.563706563706</x:v>
      </x:c>
      <x:c r="I2281" s="36" t="n">
        <x:f>IFERROR(H2281/A2281,0)</x:f>
        <x:v>8426.640926640926</x:v>
      </x:c>
      <x:c r="J2281" s="67" t="str">
        <x:v>Modeled from live base + Sep-2026 quality ratio</x:v>
      </x:c>
      <x:c r="K2281" s="67" t="str">
        <x:v>https://www.stonealgo.com/diamond-prices/</x:v>
      </x:c>
      <x:c r="L2281" s="67" t="str">
        <x:v>https://www.pricescope.com/blog/natural-diamond-prices-september-2026</x:v>
      </x:c>
    </x:row>
    <x:row r="2282">
      <x:c r="A2282" t="n">
        <x:v>4</x:v>
      </x:c>
      <x:c r="B2282" t="str">
        <x:v>Radiant</x:v>
      </x:c>
      <x:c r="C2282" t="str">
        <x:v>I</x:v>
      </x:c>
      <x:c r="D2282" t="str">
        <x:v>FL</x:v>
      </x:c>
      <x:c r="E2282" s="36" t="n">
        <x:v>67500</x:v>
      </x:c>
      <x:c r="F2282" s="36" t="n">
        <x:v>4623</x:v>
      </x:c>
      <x:c r="G2282" s="42" t="n">
        <x:v>0.9916344916344917</x:v>
      </x:c>
      <x:c r="H2282" s="36" t="n">
        <x:f>E2282*G2282</x:f>
        <x:v>66935.3281853282</x:v>
      </x:c>
      <x:c r="I2282" s="36" t="n">
        <x:f>IFERROR(H2282/A2282,0)</x:f>
        <x:v>16733.83204633205</x:v>
      </x:c>
      <x:c r="J2282" s="67" t="str">
        <x:v>Modeled from live base + Sep-2026 quality ratio</x:v>
      </x:c>
      <x:c r="K2282" s="67" t="str">
        <x:v>https://www.stonealgo.com/diamond-prices/</x:v>
      </x:c>
      <x:c r="L2282" s="67" t="str">
        <x:v>https://www.pricescope.com/blog/natural-diamond-prices-september-2026</x:v>
      </x:c>
    </x:row>
    <x:row r="2283">
      <x:c r="A2283" t="n">
        <x:v>4</x:v>
      </x:c>
      <x:c r="B2283" t="str">
        <x:v>Radiant</x:v>
      </x:c>
      <x:c r="C2283" t="str">
        <x:v>I</x:v>
      </x:c>
      <x:c r="D2283" t="str">
        <x:v>IF</x:v>
      </x:c>
      <x:c r="E2283" s="36" t="n">
        <x:v>67500</x:v>
      </x:c>
      <x:c r="F2283" s="36" t="n">
        <x:v>4005</x:v>
      </x:c>
      <x:c r="G2283" s="42" t="n">
        <x:v>0.859073359073359</x:v>
      </x:c>
      <x:c r="H2283" s="36" t="n">
        <x:f>E2283*G2283</x:f>
        <x:v>57987.45173745173</x:v>
      </x:c>
      <x:c r="I2283" s="36" t="n">
        <x:f>IFERROR(H2283/A2283,0)</x:f>
        <x:v>14496.862934362933</x:v>
      </x:c>
      <x:c r="J2283" s="67" t="str">
        <x:v>Modeled from live base + Sep-2026 quality ratio</x:v>
      </x:c>
      <x:c r="K2283" s="67" t="str">
        <x:v>https://www.stonealgo.com/diamond-prices/</x:v>
      </x:c>
      <x:c r="L2283" s="67" t="str">
        <x:v>https://www.pricescope.com/blog/natural-diamond-prices-september-2026</x:v>
      </x:c>
    </x:row>
    <x:row r="2284">
      <x:c r="A2284" t="n">
        <x:v>4</x:v>
      </x:c>
      <x:c r="B2284" t="str">
        <x:v>Radiant</x:v>
      </x:c>
      <x:c r="C2284" t="str">
        <x:v>I</x:v>
      </x:c>
      <x:c r="D2284" t="str">
        <x:v>VVS1</x:v>
      </x:c>
      <x:c r="E2284" s="36" t="n">
        <x:v>67500</x:v>
      </x:c>
      <x:c r="F2284" s="36" t="n">
        <x:v>3670</x:v>
      </x:c>
      <x:c r="G2284" s="42" t="n">
        <x:v>0.7872157872157872</x:v>
      </x:c>
      <x:c r="H2284" s="36" t="n">
        <x:f>E2284*G2284</x:f>
        <x:v>53137.065637065636</x:v>
      </x:c>
      <x:c r="I2284" s="36" t="n">
        <x:f>IFERROR(H2284/A2284,0)</x:f>
        <x:v>13284.266409266409</x:v>
      </x:c>
      <x:c r="J2284" s="67" t="str">
        <x:v>Modeled from live base + Sep-2026 quality ratio</x:v>
      </x:c>
      <x:c r="K2284" s="67" t="str">
        <x:v>https://www.stonealgo.com/diamond-prices/</x:v>
      </x:c>
      <x:c r="L2284" s="67" t="str">
        <x:v>https://www.pricescope.com/blog/natural-diamond-prices-september-2026</x:v>
      </x:c>
    </x:row>
    <x:row r="2285">
      <x:c r="A2285" t="n">
        <x:v>4</x:v>
      </x:c>
      <x:c r="B2285" t="str">
        <x:v>Radiant</x:v>
      </x:c>
      <x:c r="C2285" t="str">
        <x:v>I</x:v>
      </x:c>
      <x:c r="D2285" t="str">
        <x:v>VVS2</x:v>
      </x:c>
      <x:c r="E2285" s="36" t="n">
        <x:v>67500</x:v>
      </x:c>
      <x:c r="F2285" s="36" t="n">
        <x:v>3447</x:v>
      </x:c>
      <x:c r="G2285" s="42" t="n">
        <x:v>0.7393822393822393</x:v>
      </x:c>
      <x:c r="H2285" s="36" t="n">
        <x:f>E2285*G2285</x:f>
        <x:v>49908.301158301154</x:v>
      </x:c>
      <x:c r="I2285" s="36" t="n">
        <x:f>IFERROR(H2285/A2285,0)</x:f>
        <x:v>12477.075289575288</x:v>
      </x:c>
      <x:c r="J2285" s="67" t="str">
        <x:v>Modeled from live base + Sep-2026 quality ratio</x:v>
      </x:c>
      <x:c r="K2285" s="67" t="str">
        <x:v>https://www.stonealgo.com/diamond-prices/</x:v>
      </x:c>
      <x:c r="L2285" s="67" t="str">
        <x:v>https://www.pricescope.com/blog/natural-diamond-prices-september-2026</x:v>
      </x:c>
    </x:row>
    <x:row r="2286">
      <x:c r="A2286" t="n">
        <x:v>4</x:v>
      </x:c>
      <x:c r="B2286" t="str">
        <x:v>Radiant</x:v>
      </x:c>
      <x:c r="C2286" t="str">
        <x:v>I</x:v>
      </x:c>
      <x:c r="D2286" t="str">
        <x:v>VS1</x:v>
      </x:c>
      <x:c r="E2286" s="36" t="n">
        <x:v>67500</x:v>
      </x:c>
      <x:c r="F2286" s="36" t="n">
        <x:v>3313</x:v>
      </x:c>
      <x:c r="G2286" s="42" t="n">
        <x:v>0.7106392106392107</x:v>
      </x:c>
      <x:c r="H2286" s="36" t="n">
        <x:f>E2286*G2286</x:f>
        <x:v>47968.146718146716</x:v>
      </x:c>
      <x:c r="I2286" s="36" t="n">
        <x:f>IFERROR(H2286/A2286,0)</x:f>
        <x:v>11992.036679536679</x:v>
      </x:c>
      <x:c r="J2286" s="67" t="str">
        <x:v>Modeled from live base + Sep-2026 quality ratio</x:v>
      </x:c>
      <x:c r="K2286" s="67" t="str">
        <x:v>https://www.stonealgo.com/diamond-prices/</x:v>
      </x:c>
      <x:c r="L2286" s="67" t="str">
        <x:v>https://www.pricescope.com/blog/natural-diamond-prices-september-2026</x:v>
      </x:c>
    </x:row>
    <x:row r="2287">
      <x:c r="A2287" t="n">
        <x:v>4</x:v>
      </x:c>
      <x:c r="B2287" t="str">
        <x:v>Radiant</x:v>
      </x:c>
      <x:c r="C2287" t="str">
        <x:v>I</x:v>
      </x:c>
      <x:c r="D2287" t="str">
        <x:v>VS2</x:v>
      </x:c>
      <x:c r="E2287" s="36" t="n">
        <x:v>67500</x:v>
      </x:c>
      <x:c r="F2287" s="36" t="n">
        <x:v>3240</x:v>
      </x:c>
      <x:c r="G2287" s="42" t="n">
        <x:v>0.694980694980695</x:v>
      </x:c>
      <x:c r="H2287" s="36" t="n">
        <x:f>E2287*G2287</x:f>
        <x:v>46911.196911196916</x:v>
      </x:c>
      <x:c r="I2287" s="36" t="n">
        <x:f>IFERROR(H2287/A2287,0)</x:f>
        <x:v>11727.799227799229</x:v>
      </x:c>
      <x:c r="J2287" s="67" t="str">
        <x:v>Modeled from live base + Sep-2026 quality ratio</x:v>
      </x:c>
      <x:c r="K2287" s="67" t="str">
        <x:v>https://www.stonealgo.com/diamond-prices/</x:v>
      </x:c>
      <x:c r="L2287" s="67" t="str">
        <x:v>https://www.pricescope.com/blog/natural-diamond-prices-september-2026</x:v>
      </x:c>
    </x:row>
    <x:row r="2288">
      <x:c r="A2288" t="n">
        <x:v>4</x:v>
      </x:c>
      <x:c r="B2288" t="str">
        <x:v>Radiant</x:v>
      </x:c>
      <x:c r="C2288" t="str">
        <x:v>I</x:v>
      </x:c>
      <x:c r="D2288" t="str">
        <x:v>SI1</x:v>
      </x:c>
      <x:c r="E2288" s="36" t="n">
        <x:v>67500</x:v>
      </x:c>
      <x:c r="F2288" s="36" t="n">
        <x:v>3199</x:v>
      </x:c>
      <x:c r="G2288" s="42" t="n">
        <x:v>0.6861861861861862</x:v>
      </x:c>
      <x:c r="H2288" s="36" t="n">
        <x:f>E2288*G2288</x:f>
        <x:v>46317.56756756757</x:v>
      </x:c>
      <x:c r="I2288" s="36" t="n">
        <x:f>IFERROR(H2288/A2288,0)</x:f>
        <x:v>11579.391891891892</x:v>
      </x:c>
      <x:c r="J2288" s="67" t="str">
        <x:v>Modeled from live base + Sep-2026 quality ratio</x:v>
      </x:c>
      <x:c r="K2288" s="67" t="str">
        <x:v>https://www.stonealgo.com/diamond-prices/</x:v>
      </x:c>
      <x:c r="L2288" s="67" t="str">
        <x:v>https://www.pricescope.com/blog/natural-diamond-prices-september-2026</x:v>
      </x:c>
    </x:row>
    <x:row r="2289">
      <x:c r="A2289" t="n">
        <x:v>4</x:v>
      </x:c>
      <x:c r="B2289" t="str">
        <x:v>Radiant</x:v>
      </x:c>
      <x:c r="C2289" t="str">
        <x:v>I</x:v>
      </x:c>
      <x:c r="D2289" t="str">
        <x:v>SI2</x:v>
      </x:c>
      <x:c r="E2289" s="36" t="n">
        <x:v>67500</x:v>
      </x:c>
      <x:c r="F2289" s="36" t="n">
        <x:v>2874</x:v>
      </x:c>
      <x:c r="G2289" s="42" t="n">
        <x:v>0.6164736164736164</x:v>
      </x:c>
      <x:c r="H2289" s="36" t="n">
        <x:f>E2289*G2289</x:f>
        <x:v>41611.969111969105</x:v>
      </x:c>
      <x:c r="I2289" s="36" t="n">
        <x:f>IFERROR(H2289/A2289,0)</x:f>
        <x:v>10402.992277992276</x:v>
      </x:c>
      <x:c r="J2289" s="67" t="str">
        <x:v>Modeled from live base + Sep-2026 quality ratio</x:v>
      </x:c>
      <x:c r="K2289" s="67" t="str">
        <x:v>https://www.stonealgo.com/diamond-prices/</x:v>
      </x:c>
      <x:c r="L2289" s="67" t="str">
        <x:v>https://www.pricescope.com/blog/natural-diamond-prices-september-2026</x:v>
      </x:c>
    </x:row>
    <x:row r="2290">
      <x:c r="A2290" t="n">
        <x:v>4</x:v>
      </x:c>
      <x:c r="B2290" t="str">
        <x:v>Radiant</x:v>
      </x:c>
      <x:c r="C2290" t="str">
        <x:v>J</x:v>
      </x:c>
      <x:c r="D2290" t="str">
        <x:v>FL</x:v>
      </x:c>
      <x:c r="E2290" s="36" t="n">
        <x:v>67500</x:v>
      </x:c>
      <x:c r="F2290" s="36" t="n">
        <x:v>3646</x:v>
      </x:c>
      <x:c r="G2290" s="42" t="n">
        <x:v>0.782067782067782</x:v>
      </x:c>
      <x:c r="H2290" s="36" t="n">
        <x:f>E2290*G2290</x:f>
        <x:v>52789.57528957529</x:v>
      </x:c>
      <x:c r="I2290" s="36" t="n">
        <x:f>IFERROR(H2290/A2290,0)</x:f>
        <x:v>13197.393822393822</x:v>
      </x:c>
      <x:c r="J2290" s="67" t="str">
        <x:v>Modeled from live base + Sep-2026 quality ratio</x:v>
      </x:c>
      <x:c r="K2290" s="67" t="str">
        <x:v>https://www.stonealgo.com/diamond-prices/</x:v>
      </x:c>
      <x:c r="L2290" s="67" t="str">
        <x:v>https://www.pricescope.com/blog/natural-diamond-prices-september-2026</x:v>
      </x:c>
    </x:row>
    <x:row r="2291">
      <x:c r="A2291" t="n">
        <x:v>4</x:v>
      </x:c>
      <x:c r="B2291" t="str">
        <x:v>Radiant</x:v>
      </x:c>
      <x:c r="C2291" t="str">
        <x:v>J</x:v>
      </x:c>
      <x:c r="D2291" t="str">
        <x:v>IF</x:v>
      </x:c>
      <x:c r="E2291" s="36" t="n">
        <x:v>67500</x:v>
      </x:c>
      <x:c r="F2291" s="36" t="n">
        <x:v>3368</x:v>
      </x:c>
      <x:c r="G2291" s="42" t="n">
        <x:v>0.7224367224367224</x:v>
      </x:c>
      <x:c r="H2291" s="36" t="n">
        <x:f>E2291*G2291</x:f>
        <x:v>48764.478764478765</x:v>
      </x:c>
      <x:c r="I2291" s="36" t="n">
        <x:f>IFERROR(H2291/A2291,0)</x:f>
        <x:v>12191.119691119691</x:v>
      </x:c>
      <x:c r="J2291" s="67" t="str">
        <x:v>Modeled from live base + Sep-2026 quality ratio</x:v>
      </x:c>
      <x:c r="K2291" s="67" t="str">
        <x:v>https://www.stonealgo.com/diamond-prices/</x:v>
      </x:c>
      <x:c r="L2291" s="67" t="str">
        <x:v>https://www.pricescope.com/blog/natural-diamond-prices-september-2026</x:v>
      </x:c>
    </x:row>
    <x:row r="2292">
      <x:c r="A2292" t="n">
        <x:v>4</x:v>
      </x:c>
      <x:c r="B2292" t="str">
        <x:v>Radiant</x:v>
      </x:c>
      <x:c r="C2292" t="str">
        <x:v>J</x:v>
      </x:c>
      <x:c r="D2292" t="str">
        <x:v>VVS1</x:v>
      </x:c>
      <x:c r="E2292" s="36" t="n">
        <x:v>67500</x:v>
      </x:c>
      <x:c r="F2292" s="36" t="n">
        <x:v>2956</x:v>
      </x:c>
      <x:c r="G2292" s="42" t="n">
        <x:v>0.6340626340626341</x:v>
      </x:c>
      <x:c r="H2292" s="36" t="n">
        <x:f>E2292*G2292</x:f>
        <x:v>42799.2277992278</x:v>
      </x:c>
      <x:c r="I2292" s="36" t="n">
        <x:f>IFERROR(H2292/A2292,0)</x:f>
        <x:v>10699.80694980695</x:v>
      </x:c>
      <x:c r="J2292" s="67" t="str">
        <x:v>Modeled from live base + Sep-2026 quality ratio</x:v>
      </x:c>
      <x:c r="K2292" s="67" t="str">
        <x:v>https://www.stonealgo.com/diamond-prices/</x:v>
      </x:c>
      <x:c r="L2292" s="67" t="str">
        <x:v>https://www.pricescope.com/blog/natural-diamond-prices-september-2026</x:v>
      </x:c>
    </x:row>
    <x:row r="2293">
      <x:c r="A2293" t="n">
        <x:v>4</x:v>
      </x:c>
      <x:c r="B2293" t="str">
        <x:v>Radiant</x:v>
      </x:c>
      <x:c r="C2293" t="str">
        <x:v>J</x:v>
      </x:c>
      <x:c r="D2293" t="str">
        <x:v>VVS2</x:v>
      </x:c>
      <x:c r="E2293" s="36" t="n">
        <x:v>67500</x:v>
      </x:c>
      <x:c r="F2293" s="36" t="n">
        <x:v>2612</x:v>
      </x:c>
      <x:c r="G2293" s="42" t="n">
        <x:v>0.5602745602745602</x:v>
      </x:c>
      <x:c r="H2293" s="36" t="n">
        <x:f>E2293*G2293</x:f>
        <x:v>37818.53281853282</x:v>
      </x:c>
      <x:c r="I2293" s="36" t="n">
        <x:f>IFERROR(H2293/A2293,0)</x:f>
        <x:v>9454.633204633205</x:v>
      </x:c>
      <x:c r="J2293" s="67" t="str">
        <x:v>Modeled from live base + Sep-2026 quality ratio</x:v>
      </x:c>
      <x:c r="K2293" s="67" t="str">
        <x:v>https://www.stonealgo.com/diamond-prices/</x:v>
      </x:c>
      <x:c r="L2293" s="67" t="str">
        <x:v>https://www.pricescope.com/blog/natural-diamond-prices-september-2026</x:v>
      </x:c>
    </x:row>
    <x:row r="2294">
      <x:c r="A2294" t="n">
        <x:v>4</x:v>
      </x:c>
      <x:c r="B2294" t="str">
        <x:v>Radiant</x:v>
      </x:c>
      <x:c r="C2294" t="str">
        <x:v>J</x:v>
      </x:c>
      <x:c r="D2294" t="str">
        <x:v>VS1</x:v>
      </x:c>
      <x:c r="E2294" s="36" t="n">
        <x:v>67500</x:v>
      </x:c>
      <x:c r="F2294" s="36" t="n">
        <x:v>3002</x:v>
      </x:c>
      <x:c r="G2294" s="42" t="n">
        <x:v>0.6439296439296439</x:v>
      </x:c>
      <x:c r="H2294" s="36" t="n">
        <x:f>E2294*G2294</x:f>
        <x:v>43465.25096525096</x:v>
      </x:c>
      <x:c r="I2294" s="36" t="n">
        <x:f>IFERROR(H2294/A2294,0)</x:f>
        <x:v>10866.31274131274</x:v>
      </x:c>
      <x:c r="J2294" s="67" t="str">
        <x:v>Modeled from live base + Sep-2026 quality ratio</x:v>
      </x:c>
      <x:c r="K2294" s="67" t="str">
        <x:v>https://www.stonealgo.com/diamond-prices/</x:v>
      </x:c>
      <x:c r="L2294" s="67" t="str">
        <x:v>https://www.pricescope.com/blog/natural-diamond-prices-september-2026</x:v>
      </x:c>
    </x:row>
    <x:row r="2295">
      <x:c r="A2295" t="n">
        <x:v>4</x:v>
      </x:c>
      <x:c r="B2295" t="str">
        <x:v>Radiant</x:v>
      </x:c>
      <x:c r="C2295" t="str">
        <x:v>J</x:v>
      </x:c>
      <x:c r="D2295" t="str">
        <x:v>VS2</x:v>
      </x:c>
      <x:c r="E2295" s="36" t="n">
        <x:v>67500</x:v>
      </x:c>
      <x:c r="F2295" s="36" t="n">
        <x:v>2559</x:v>
      </x:c>
      <x:c r="G2295" s="42" t="n">
        <x:v>0.5489060489060489</x:v>
      </x:c>
      <x:c r="H2295" s="36" t="n">
        <x:f>E2295*G2295</x:f>
        <x:v>37051.1583011583</x:v>
      </x:c>
      <x:c r="I2295" s="36" t="n">
        <x:f>IFERROR(H2295/A2295,0)</x:f>
        <x:v>9262.789575289575</x:v>
      </x:c>
      <x:c r="J2295" s="67" t="str">
        <x:v>Modeled from live base + Sep-2026 quality ratio</x:v>
      </x:c>
      <x:c r="K2295" s="67" t="str">
        <x:v>https://www.stonealgo.com/diamond-prices/</x:v>
      </x:c>
      <x:c r="L2295" s="67" t="str">
        <x:v>https://www.pricescope.com/blog/natural-diamond-prices-september-2026</x:v>
      </x:c>
    </x:row>
    <x:row r="2296">
      <x:c r="A2296" t="n">
        <x:v>4</x:v>
      </x:c>
      <x:c r="B2296" t="str">
        <x:v>Radiant</x:v>
      </x:c>
      <x:c r="C2296" t="str">
        <x:v>J</x:v>
      </x:c>
      <x:c r="D2296" t="str">
        <x:v>SI1</x:v>
      </x:c>
      <x:c r="E2296" s="36" t="n">
        <x:v>67500</x:v>
      </x:c>
      <x:c r="F2296" s="36" t="n">
        <x:v>2195</x:v>
      </x:c>
      <x:c r="G2296" s="42" t="n">
        <x:v>0.47082797082797084</x:v>
      </x:c>
      <x:c r="H2296" s="36" t="n">
        <x:f>E2296*G2296</x:f>
        <x:v>31780.888030888033</x:v>
      </x:c>
      <x:c r="I2296" s="36" t="n">
        <x:f>IFERROR(H2296/A2296,0)</x:f>
        <x:v>7945.222007722008</x:v>
      </x:c>
      <x:c r="J2296" s="67" t="str">
        <x:v>Modeled from live base + Sep-2026 quality ratio</x:v>
      </x:c>
      <x:c r="K2296" s="67" t="str">
        <x:v>https://www.stonealgo.com/diamond-prices/</x:v>
      </x:c>
      <x:c r="L2296" s="67" t="str">
        <x:v>https://www.pricescope.com/blog/natural-diamond-prices-september-2026</x:v>
      </x:c>
    </x:row>
    <x:row r="2297">
      <x:c r="A2297" t="n">
        <x:v>4</x:v>
      </x:c>
      <x:c r="B2297" t="str">
        <x:v>Radiant</x:v>
      </x:c>
      <x:c r="C2297" t="str">
        <x:v>J</x:v>
      </x:c>
      <x:c r="D2297" t="str">
        <x:v>SI2</x:v>
      </x:c>
      <x:c r="E2297" s="36" t="n">
        <x:v>67500</x:v>
      </x:c>
      <x:c r="F2297" s="36" t="n">
        <x:v>2079</x:v>
      </x:c>
      <x:c r="G2297" s="42" t="n">
        <x:v>0.44594594594594594</x:v>
      </x:c>
      <x:c r="H2297" s="36" t="n">
        <x:f>E2297*G2297</x:f>
        <x:v>30101.35135135135</x:v>
      </x:c>
      <x:c r="I2297" s="36" t="n">
        <x:f>IFERROR(H2297/A2297,0)</x:f>
        <x:v>7525.3378378378375</x:v>
      </x:c>
      <x:c r="J2297" s="67" t="str">
        <x:v>Modeled from live base + Sep-2026 quality ratio</x:v>
      </x:c>
      <x:c r="K2297" s="67" t="str">
        <x:v>https://www.stonealgo.com/diamond-prices/</x:v>
      </x:c>
      <x:c r="L2297" s="67" t="str">
        <x:v>https://www.pricescope.com/blog/natural-diamond-prices-september-2026</x:v>
      </x:c>
    </x:row>
    <x:row r="2298">
      <x:c r="A2298" t="n">
        <x:v>4</x:v>
      </x:c>
      <x:c r="B2298" t="str">
        <x:v>Radiant</x:v>
      </x:c>
      <x:c r="C2298" t="str">
        <x:v>K</x:v>
      </x:c>
      <x:c r="D2298" t="str">
        <x:v>FL</x:v>
      </x:c>
      <x:c r="E2298" s="36" t="n">
        <x:v>67500</x:v>
      </x:c>
      <x:c r="F2298" s="36" t="n">
        <x:v>2858</x:v>
      </x:c>
      <x:c r="G2298" s="42" t="n">
        <x:v>0.6130416130416131</x:v>
      </x:c>
      <x:c r="H2298" s="36" t="n">
        <x:f>E2298*G2298</x:f>
        <x:v>41380.30888030888</x:v>
      </x:c>
      <x:c r="I2298" s="36" t="n">
        <x:f>IFERROR(H2298/A2298,0)</x:f>
        <x:v>10345.07722007722</x:v>
      </x:c>
      <x:c r="J2298" s="67" t="str">
        <x:v>Modeled from live base + Sep-2026 quality ratio; K/FL quality cell modeled</x:v>
      </x:c>
      <x:c r="K2298" s="67" t="str">
        <x:v>https://www.stonealgo.com/diamond-prices/</x:v>
      </x:c>
      <x:c r="L2298" s="67" t="str">
        <x:v>https://www.pricescope.com/blog/natural-diamond-prices-september-2026</x:v>
      </x:c>
    </x:row>
    <x:row r="2299">
      <x:c r="A2299" t="n">
        <x:v>4</x:v>
      </x:c>
      <x:c r="B2299" t="str">
        <x:v>Radiant</x:v>
      </x:c>
      <x:c r="C2299" t="str">
        <x:v>K</x:v>
      </x:c>
      <x:c r="D2299" t="str">
        <x:v>IF</x:v>
      </x:c>
      <x:c r="E2299" s="36" t="n">
        <x:v>67500</x:v>
      </x:c>
      <x:c r="F2299" s="36" t="n">
        <x:v>2743</x:v>
      </x:c>
      <x:c r="G2299" s="42" t="n">
        <x:v>0.5883740883740883</x:v>
      </x:c>
      <x:c r="H2299" s="36" t="n">
        <x:f>E2299*G2299</x:f>
        <x:v>39715.25096525096</x:v>
      </x:c>
      <x:c r="I2299" s="36" t="n">
        <x:f>IFERROR(H2299/A2299,0)</x:f>
        <x:v>9928.81274131274</x:v>
      </x:c>
      <x:c r="J2299" s="67" t="str">
        <x:v>Modeled from live base + Sep-2026 quality ratio</x:v>
      </x:c>
      <x:c r="K2299" s="67" t="str">
        <x:v>https://www.stonealgo.com/diamond-prices/</x:v>
      </x:c>
      <x:c r="L2299" s="67" t="str">
        <x:v>https://www.pricescope.com/blog/natural-diamond-prices-september-2026</x:v>
      </x:c>
    </x:row>
    <x:row r="2300">
      <x:c r="A2300" t="n">
        <x:v>4</x:v>
      </x:c>
      <x:c r="B2300" t="str">
        <x:v>Radiant</x:v>
      </x:c>
      <x:c r="C2300" t="str">
        <x:v>K</x:v>
      </x:c>
      <x:c r="D2300" t="str">
        <x:v>VVS1</x:v>
      </x:c>
      <x:c r="E2300" s="36" t="n">
        <x:v>67500</x:v>
      </x:c>
      <x:c r="F2300" s="36" t="n">
        <x:v>2529</x:v>
      </x:c>
      <x:c r="G2300" s="42" t="n">
        <x:v>0.5424710424710425</x:v>
      </x:c>
      <x:c r="H2300" s="36" t="n">
        <x:f>E2300*G2300</x:f>
        <x:v>36616.79536679537</x:v>
      </x:c>
      <x:c r="I2300" s="36" t="n">
        <x:f>IFERROR(H2300/A2300,0)</x:f>
        <x:v>9154.198841698842</x:v>
      </x:c>
      <x:c r="J2300" s="67" t="str">
        <x:v>Modeled from live base + Sep-2026 quality ratio</x:v>
      </x:c>
      <x:c r="K2300" s="67" t="str">
        <x:v>https://www.stonealgo.com/diamond-prices/</x:v>
      </x:c>
      <x:c r="L2300" s="67" t="str">
        <x:v>https://www.pricescope.com/blog/natural-diamond-prices-september-2026</x:v>
      </x:c>
    </x:row>
    <x:row r="2301">
      <x:c r="A2301" t="n">
        <x:v>4</x:v>
      </x:c>
      <x:c r="B2301" t="str">
        <x:v>Radiant</x:v>
      </x:c>
      <x:c r="C2301" t="str">
        <x:v>K</x:v>
      </x:c>
      <x:c r="D2301" t="str">
        <x:v>VVS2</x:v>
      </x:c>
      <x:c r="E2301" s="36" t="n">
        <x:v>67500</x:v>
      </x:c>
      <x:c r="F2301" s="36" t="n">
        <x:v>2374</x:v>
      </x:c>
      <x:c r="G2301" s="42" t="n">
        <x:v>0.5092235092235092</x:v>
      </x:c>
      <x:c r="H2301" s="36" t="n">
        <x:f>E2301*G2301</x:f>
        <x:v>34372.58687258687</x:v>
      </x:c>
      <x:c r="I2301" s="36" t="n">
        <x:f>IFERROR(H2301/A2301,0)</x:f>
        <x:v>8593.146718146718</x:v>
      </x:c>
      <x:c r="J2301" s="67" t="str">
        <x:v>Modeled from live base + Sep-2026 quality ratio</x:v>
      </x:c>
      <x:c r="K2301" s="67" t="str">
        <x:v>https://www.stonealgo.com/diamond-prices/</x:v>
      </x:c>
      <x:c r="L2301" s="67" t="str">
        <x:v>https://www.pricescope.com/blog/natural-diamond-prices-september-2026</x:v>
      </x:c>
    </x:row>
    <x:row r="2302">
      <x:c r="A2302" t="n">
        <x:v>4</x:v>
      </x:c>
      <x:c r="B2302" t="str">
        <x:v>Radiant</x:v>
      </x:c>
      <x:c r="C2302" t="str">
        <x:v>K</x:v>
      </x:c>
      <x:c r="D2302" t="str">
        <x:v>VS1</x:v>
      </x:c>
      <x:c r="E2302" s="36" t="n">
        <x:v>67500</x:v>
      </x:c>
      <x:c r="F2302" s="36" t="n">
        <x:v>2223</x:v>
      </x:c>
      <x:c r="G2302" s="42" t="n">
        <x:v>0.4768339768339768</x:v>
      </x:c>
      <x:c r="H2302" s="36" t="n">
        <x:f>E2302*G2302</x:f>
        <x:v>32186.293436293436</x:v>
      </x:c>
      <x:c r="I2302" s="36" t="n">
        <x:f>IFERROR(H2302/A2302,0)</x:f>
        <x:v>8046.573359073359</x:v>
      </x:c>
      <x:c r="J2302" s="67" t="str">
        <x:v>Modeled from live base + Sep-2026 quality ratio</x:v>
      </x:c>
      <x:c r="K2302" s="67" t="str">
        <x:v>https://www.stonealgo.com/diamond-prices/</x:v>
      </x:c>
      <x:c r="L2302" s="67" t="str">
        <x:v>https://www.pricescope.com/blog/natural-diamond-prices-september-2026</x:v>
      </x:c>
    </x:row>
    <x:row r="2303">
      <x:c r="A2303" t="n">
        <x:v>4</x:v>
      </x:c>
      <x:c r="B2303" t="str">
        <x:v>Radiant</x:v>
      </x:c>
      <x:c r="C2303" t="str">
        <x:v>K</x:v>
      </x:c>
      <x:c r="D2303" t="str">
        <x:v>VS2</x:v>
      </x:c>
      <x:c r="E2303" s="36" t="n">
        <x:v>67500</x:v>
      </x:c>
      <x:c r="F2303" s="36" t="n">
        <x:v>2098</x:v>
      </x:c>
      <x:c r="G2303" s="42" t="n">
        <x:v>0.45002145002145</x:v>
      </x:c>
      <x:c r="H2303" s="36" t="n">
        <x:f>E2303*G2303</x:f>
        <x:v>30376.447876447874</x:v>
      </x:c>
      <x:c r="I2303" s="36" t="n">
        <x:f>IFERROR(H2303/A2303,0)</x:f>
        <x:v>7594.111969111968</x:v>
      </x:c>
      <x:c r="J2303" s="67" t="str">
        <x:v>Modeled from live base + Sep-2026 quality ratio</x:v>
      </x:c>
      <x:c r="K2303" s="67" t="str">
        <x:v>https://www.stonealgo.com/diamond-prices/</x:v>
      </x:c>
      <x:c r="L2303" s="67" t="str">
        <x:v>https://www.pricescope.com/blog/natural-diamond-prices-september-2026</x:v>
      </x:c>
    </x:row>
    <x:row r="2304">
      <x:c r="A2304" t="n">
        <x:v>4</x:v>
      </x:c>
      <x:c r="B2304" t="str">
        <x:v>Radiant</x:v>
      </x:c>
      <x:c r="C2304" t="str">
        <x:v>K</x:v>
      </x:c>
      <x:c r="D2304" t="str">
        <x:v>SI1</x:v>
      </x:c>
      <x:c r="E2304" s="36" t="n">
        <x:v>67500</x:v>
      </x:c>
      <x:c r="F2304" s="36" t="n">
        <x:v>1922</x:v>
      </x:c>
      <x:c r="G2304" s="42" t="n">
        <x:v>0.41226941226941227</x:v>
      </x:c>
      <x:c r="H2304" s="36" t="n">
        <x:f>E2304*G2304</x:f>
        <x:v>27828.18532818533</x:v>
      </x:c>
      <x:c r="I2304" s="36" t="n">
        <x:f>IFERROR(H2304/A2304,0)</x:f>
        <x:v>6957.046332046332</x:v>
      </x:c>
      <x:c r="J2304" s="67" t="str">
        <x:v>Modeled from live base + Sep-2026 quality ratio</x:v>
      </x:c>
      <x:c r="K2304" s="67" t="str">
        <x:v>https://www.stonealgo.com/diamond-prices/</x:v>
      </x:c>
      <x:c r="L2304" s="67" t="str">
        <x:v>https://www.pricescope.com/blog/natural-diamond-prices-september-2026</x:v>
      </x:c>
    </x:row>
    <x:row r="2305">
      <x:c r="A2305" t="n">
        <x:v>4</x:v>
      </x:c>
      <x:c r="B2305" t="str">
        <x:v>Radiant</x:v>
      </x:c>
      <x:c r="C2305" t="str">
        <x:v>K</x:v>
      </x:c>
      <x:c r="D2305" t="str">
        <x:v>SI2</x:v>
      </x:c>
      <x:c r="E2305" s="36" t="n">
        <x:v>67500</x:v>
      </x:c>
      <x:c r="F2305" s="36" t="n">
        <x:v>1764</x:v>
      </x:c>
      <x:c r="G2305" s="42" t="n">
        <x:v>0.3783783783783784</x:v>
      </x:c>
      <x:c r="H2305" s="36" t="n">
        <x:f>E2305*G2305</x:f>
        <x:v>25540.540540540544</x:v>
      </x:c>
      <x:c r="I2305" s="36" t="n">
        <x:f>IFERROR(H2305/A2305,0)</x:f>
        <x:v>6385.135135135136</x:v>
      </x:c>
      <x:c r="J2305" s="67" t="str">
        <x:v>Modeled from live base + Sep-2026 quality ratio</x:v>
      </x:c>
      <x:c r="K2305" s="67" t="str">
        <x:v>https://www.stonealgo.com/diamond-prices/</x:v>
      </x:c>
      <x:c r="L2305" s="67" t="str">
        <x:v>https://www.pricescope.com/blog/natural-diamond-prices-september-2026</x:v>
      </x:c>
    </x:row>
    <x:row r="2306">
      <x:c r="A2306" t="n">
        <x:v>4</x:v>
      </x:c>
      <x:c r="B2306" t="str">
        <x:v>Pear</x:v>
      </x:c>
      <x:c r="C2306" t="str">
        <x:v>D</x:v>
      </x:c>
      <x:c r="D2306" t="str">
        <x:v>FL</x:v>
      </x:c>
      <x:c r="E2306" s="36" t="n">
        <x:v>96372</x:v>
      </x:c>
      <x:c r="F2306" s="36" t="n">
        <x:v>12665</x:v>
      </x:c>
      <x:c r="G2306" s="42" t="n">
        <x:v>2.7166452166452166</x:v>
      </x:c>
      <x:c r="H2306" s="36" t="n">
        <x:f>E2306*G2306</x:f>
        <x:v>261808.5328185328</x:v>
      </x:c>
      <x:c r="I2306" s="36" t="n">
        <x:f>IFERROR(H2306/A2306,0)</x:f>
        <x:v>65452.1332046332</x:v>
      </x:c>
      <x:c r="J2306" s="67" t="str">
        <x:v>Modeled from live base + Sep-2026 quality ratio</x:v>
      </x:c>
      <x:c r="K2306" s="67" t="str">
        <x:v>https://www.stonealgo.com/diamond-prices/</x:v>
      </x:c>
      <x:c r="L2306" s="67" t="str">
        <x:v>https://www.pricescope.com/blog/natural-diamond-prices-september-2026</x:v>
      </x:c>
    </x:row>
    <x:row r="2307">
      <x:c r="A2307" t="n">
        <x:v>4</x:v>
      </x:c>
      <x:c r="B2307" t="str">
        <x:v>Pear</x:v>
      </x:c>
      <x:c r="C2307" t="str">
        <x:v>D</x:v>
      </x:c>
      <x:c r="D2307" t="str">
        <x:v>IF</x:v>
      </x:c>
      <x:c r="E2307" s="36" t="n">
        <x:v>96372</x:v>
      </x:c>
      <x:c r="F2307" s="36" t="n">
        <x:v>13240</x:v>
      </x:c>
      <x:c r="G2307" s="42" t="n">
        <x:v>2.83998283998284</x:v>
      </x:c>
      <x:c r="H2307" s="36" t="n">
        <x:f>E2307*G2307</x:f>
        <x:v>273694.8262548263</x:v>
      </x:c>
      <x:c r="I2307" s="36" t="n">
        <x:f>IFERROR(H2307/A2307,0)</x:f>
        <x:v>68423.70656370657</x:v>
      </x:c>
      <x:c r="J2307" s="67" t="str">
        <x:v>Modeled from live base + Sep-2026 quality ratio</x:v>
      </x:c>
      <x:c r="K2307" s="67" t="str">
        <x:v>https://www.stonealgo.com/diamond-prices/</x:v>
      </x:c>
      <x:c r="L2307" s="67" t="str">
        <x:v>https://www.pricescope.com/blog/natural-diamond-prices-september-2026</x:v>
      </x:c>
    </x:row>
    <x:row r="2308">
      <x:c r="A2308" t="n">
        <x:v>4</x:v>
      </x:c>
      <x:c r="B2308" t="str">
        <x:v>Pear</x:v>
      </x:c>
      <x:c r="C2308" t="str">
        <x:v>D</x:v>
      </x:c>
      <x:c r="D2308" t="str">
        <x:v>VVS1</x:v>
      </x:c>
      <x:c r="E2308" s="36" t="n">
        <x:v>96372</x:v>
      </x:c>
      <x:c r="F2308" s="36" t="n">
        <x:v>9555</x:v>
      </x:c>
      <x:c r="G2308" s="42" t="n">
        <x:v>2.0495495495495497</x:v>
      </x:c>
      <x:c r="H2308" s="36" t="n">
        <x:f>E2308*G2308</x:f>
        <x:v>197519.1891891892</x:v>
      </x:c>
      <x:c r="I2308" s="36" t="n">
        <x:f>IFERROR(H2308/A2308,0)</x:f>
        <x:v>49379.7972972973</x:v>
      </x:c>
      <x:c r="J2308" s="67" t="str">
        <x:v>Modeled from live base + Sep-2026 quality ratio</x:v>
      </x:c>
      <x:c r="K2308" s="67" t="str">
        <x:v>https://www.stonealgo.com/diamond-prices/</x:v>
      </x:c>
      <x:c r="L2308" s="67" t="str">
        <x:v>https://www.pricescope.com/blog/natural-diamond-prices-september-2026</x:v>
      </x:c>
    </x:row>
    <x:row r="2309">
      <x:c r="A2309" t="n">
        <x:v>4</x:v>
      </x:c>
      <x:c r="B2309" t="str">
        <x:v>Pear</x:v>
      </x:c>
      <x:c r="C2309" t="str">
        <x:v>D</x:v>
      </x:c>
      <x:c r="D2309" t="str">
        <x:v>VVS2</x:v>
      </x:c>
      <x:c r="E2309" s="36" t="n">
        <x:v>96372</x:v>
      </x:c>
      <x:c r="F2309" s="36" t="n">
        <x:v>6660</x:v>
      </x:c>
      <x:c r="G2309" s="42" t="n">
        <x:v>1.4285714285714286</x:v>
      </x:c>
      <x:c r="H2309" s="36" t="n">
        <x:f>E2309*G2309</x:f>
        <x:v>137674.2857142857</x:v>
      </x:c>
      <x:c r="I2309" s="36" t="n">
        <x:f>IFERROR(H2309/A2309,0)</x:f>
        <x:v>34418.57142857143</x:v>
      </x:c>
      <x:c r="J2309" s="67" t="str">
        <x:v>Modeled from live base + Sep-2026 quality ratio</x:v>
      </x:c>
      <x:c r="K2309" s="67" t="str">
        <x:v>https://www.stonealgo.com/diamond-prices/</x:v>
      </x:c>
      <x:c r="L2309" s="67" t="str">
        <x:v>https://www.pricescope.com/blog/natural-diamond-prices-september-2026</x:v>
      </x:c>
    </x:row>
    <x:row r="2310">
      <x:c r="A2310" t="n">
        <x:v>4</x:v>
      </x:c>
      <x:c r="B2310" t="str">
        <x:v>Pear</x:v>
      </x:c>
      <x:c r="C2310" t="str">
        <x:v>D</x:v>
      </x:c>
      <x:c r="D2310" t="str">
        <x:v>VS1</x:v>
      </x:c>
      <x:c r="E2310" s="36" t="n">
        <x:v>96372</x:v>
      </x:c>
      <x:c r="F2310" s="36" t="n">
        <x:v>6247</x:v>
      </x:c>
      <x:c r="G2310" s="42" t="n">
        <x:v>1.33998283998284</x:v>
      </x:c>
      <x:c r="H2310" s="36" t="n">
        <x:f>E2310*G2310</x:f>
        <x:v>129136.82625482626</x:v>
      </x:c>
      <x:c r="I2310" s="36" t="n">
        <x:f>IFERROR(H2310/A2310,0)</x:f>
        <x:v>32284.206563706564</x:v>
      </x:c>
      <x:c r="J2310" s="67" t="str">
        <x:v>Modeled from live base + Sep-2026 quality ratio</x:v>
      </x:c>
      <x:c r="K2310" s="67" t="str">
        <x:v>https://www.stonealgo.com/diamond-prices/</x:v>
      </x:c>
      <x:c r="L2310" s="67" t="str">
        <x:v>https://www.pricescope.com/blog/natural-diamond-prices-september-2026</x:v>
      </x:c>
    </x:row>
    <x:row r="2311">
      <x:c r="A2311" t="n">
        <x:v>4</x:v>
      </x:c>
      <x:c r="B2311" t="str">
        <x:v>Pear</x:v>
      </x:c>
      <x:c r="C2311" t="str">
        <x:v>D</x:v>
      </x:c>
      <x:c r="D2311" t="str">
        <x:v>VS2</x:v>
      </x:c>
      <x:c r="E2311" s="36" t="n">
        <x:v>96372</x:v>
      </x:c>
      <x:c r="F2311" s="36" t="n">
        <x:v>5841</x:v>
      </x:c>
      <x:c r="G2311" s="42" t="n">
        <x:v>1.252895752895753</x:v>
      </x:c>
      <x:c r="H2311" s="36" t="n">
        <x:f>E2311*G2311</x:f>
        <x:v>120744.0694980695</x:v>
      </x:c>
      <x:c r="I2311" s="36" t="n">
        <x:f>IFERROR(H2311/A2311,0)</x:f>
        <x:v>30186.017374517374</x:v>
      </x:c>
      <x:c r="J2311" s="67" t="str">
        <x:v>Modeled from live base + Sep-2026 quality ratio</x:v>
      </x:c>
      <x:c r="K2311" s="67" t="str">
        <x:v>https://www.stonealgo.com/diamond-prices/</x:v>
      </x:c>
      <x:c r="L2311" s="67" t="str">
        <x:v>https://www.pricescope.com/blog/natural-diamond-prices-september-2026</x:v>
      </x:c>
    </x:row>
    <x:row r="2312">
      <x:c r="A2312" t="n">
        <x:v>4</x:v>
      </x:c>
      <x:c r="B2312" t="str">
        <x:v>Pear</x:v>
      </x:c>
      <x:c r="C2312" t="str">
        <x:v>D</x:v>
      </x:c>
      <x:c r="D2312" t="str">
        <x:v>SI1</x:v>
      </x:c>
      <x:c r="E2312" s="36" t="n">
        <x:v>96372</x:v>
      </x:c>
      <x:c r="F2312" s="36" t="n">
        <x:v>3762</x:v>
      </x:c>
      <x:c r="G2312" s="42" t="n">
        <x:v>0.806949806949807</x:v>
      </x:c>
      <x:c r="H2312" s="36" t="n">
        <x:f>E2312*G2312</x:f>
        <x:v>77767.3667953668</x:v>
      </x:c>
      <x:c r="I2312" s="36" t="n">
        <x:f>IFERROR(H2312/A2312,0)</x:f>
        <x:v>19441.8416988417</x:v>
      </x:c>
      <x:c r="J2312" s="67" t="str">
        <x:v>Modeled from live base + Sep-2026 quality ratio</x:v>
      </x:c>
      <x:c r="K2312" s="67" t="str">
        <x:v>https://www.stonealgo.com/diamond-prices/</x:v>
      </x:c>
      <x:c r="L2312" s="67" t="str">
        <x:v>https://www.pricescope.com/blog/natural-diamond-prices-september-2026</x:v>
      </x:c>
    </x:row>
    <x:row r="2313">
      <x:c r="A2313" t="n">
        <x:v>4</x:v>
      </x:c>
      <x:c r="B2313" t="str">
        <x:v>Pear</x:v>
      </x:c>
      <x:c r="C2313" t="str">
        <x:v>D</x:v>
      </x:c>
      <x:c r="D2313" t="str">
        <x:v>SI2</x:v>
      </x:c>
      <x:c r="E2313" s="36" t="n">
        <x:v>96372</x:v>
      </x:c>
      <x:c r="F2313" s="36" t="n">
        <x:v>3026</x:v>
      </x:c>
      <x:c r="G2313" s="42" t="n">
        <x:v>0.6490776490776491</x:v>
      </x:c>
      <x:c r="H2313" s="36" t="n">
        <x:f>E2313*G2313</x:f>
        <x:v>62552.9111969112</x:v>
      </x:c>
      <x:c r="I2313" s="36" t="n">
        <x:f>IFERROR(H2313/A2313,0)</x:f>
        <x:v>15638.2277992278</x:v>
      </x:c>
      <x:c r="J2313" s="67" t="str">
        <x:v>Modeled from live base + Sep-2026 quality ratio</x:v>
      </x:c>
      <x:c r="K2313" s="67" t="str">
        <x:v>https://www.stonealgo.com/diamond-prices/</x:v>
      </x:c>
      <x:c r="L2313" s="67" t="str">
        <x:v>https://www.pricescope.com/blog/natural-diamond-prices-september-2026</x:v>
      </x:c>
    </x:row>
    <x:row r="2314">
      <x:c r="A2314" t="n">
        <x:v>4</x:v>
      </x:c>
      <x:c r="B2314" t="str">
        <x:v>Pear</x:v>
      </x:c>
      <x:c r="C2314" t="str">
        <x:v>E</x:v>
      </x:c>
      <x:c r="D2314" t="str">
        <x:v>FL</x:v>
      </x:c>
      <x:c r="E2314" s="36" t="n">
        <x:v>96372</x:v>
      </x:c>
      <x:c r="F2314" s="36" t="n">
        <x:v>10072</x:v>
      </x:c>
      <x:c r="G2314" s="42" t="n">
        <x:v>2.1604461604461602</x:v>
      </x:c>
      <x:c r="H2314" s="36" t="n">
        <x:f>E2314*G2314</x:f>
        <x:v>208206.51737451737</x:v>
      </x:c>
      <x:c r="I2314" s="36" t="n">
        <x:f>IFERROR(H2314/A2314,0)</x:f>
        <x:v>52051.62934362934</x:v>
      </x:c>
      <x:c r="J2314" s="67" t="str">
        <x:v>Modeled from live base + Sep-2026 quality ratio</x:v>
      </x:c>
      <x:c r="K2314" s="67" t="str">
        <x:v>https://www.stonealgo.com/diamond-prices/</x:v>
      </x:c>
      <x:c r="L2314" s="67" t="str">
        <x:v>https://www.pricescope.com/blog/natural-diamond-prices-september-2026</x:v>
      </x:c>
    </x:row>
    <x:row r="2315">
      <x:c r="A2315" t="n">
        <x:v>4</x:v>
      </x:c>
      <x:c r="B2315" t="str">
        <x:v>Pear</x:v>
      </x:c>
      <x:c r="C2315" t="str">
        <x:v>E</x:v>
      </x:c>
      <x:c r="D2315" t="str">
        <x:v>IF</x:v>
      </x:c>
      <x:c r="E2315" s="36" t="n">
        <x:v>96372</x:v>
      </x:c>
      <x:c r="F2315" s="36" t="n">
        <x:v>8672</x:v>
      </x:c>
      <x:c r="G2315" s="42" t="n">
        <x:v>1.8601458601458603</x:v>
      </x:c>
      <x:c r="H2315" s="36" t="n">
        <x:f>E2315*G2315</x:f>
        <x:v>179265.97683397683</x:v>
      </x:c>
      <x:c r="I2315" s="36" t="n">
        <x:f>IFERROR(H2315/A2315,0)</x:f>
        <x:v>44816.49420849421</x:v>
      </x:c>
      <x:c r="J2315" s="67" t="str">
        <x:v>Modeled from live base + Sep-2026 quality ratio</x:v>
      </x:c>
      <x:c r="K2315" s="67" t="str">
        <x:v>https://www.stonealgo.com/diamond-prices/</x:v>
      </x:c>
      <x:c r="L2315" s="67" t="str">
        <x:v>https://www.pricescope.com/blog/natural-diamond-prices-september-2026</x:v>
      </x:c>
    </x:row>
    <x:row r="2316">
      <x:c r="A2316" t="n">
        <x:v>4</x:v>
      </x:c>
      <x:c r="B2316" t="str">
        <x:v>Pear</x:v>
      </x:c>
      <x:c r="C2316" t="str">
        <x:v>E</x:v>
      </x:c>
      <x:c r="D2316" t="str">
        <x:v>VVS1</x:v>
      </x:c>
      <x:c r="E2316" s="36" t="n">
        <x:v>96372</x:v>
      </x:c>
      <x:c r="F2316" s="36" t="n">
        <x:v>7842</x:v>
      </x:c>
      <x:c r="G2316" s="42" t="n">
        <x:v>1.6821106821106822</x:v>
      </x:c>
      <x:c r="H2316" s="36" t="n">
        <x:f>E2316*G2316</x:f>
        <x:v>162108.37065637065</x:v>
      </x:c>
      <x:c r="I2316" s="36" t="n">
        <x:f>IFERROR(H2316/A2316,0)</x:f>
        <x:v>40527.09266409266</x:v>
      </x:c>
      <x:c r="J2316" s="67" t="str">
        <x:v>Modeled from live base + Sep-2026 quality ratio</x:v>
      </x:c>
      <x:c r="K2316" s="67" t="str">
        <x:v>https://www.stonealgo.com/diamond-prices/</x:v>
      </x:c>
      <x:c r="L2316" s="67" t="str">
        <x:v>https://www.pricescope.com/blog/natural-diamond-prices-september-2026</x:v>
      </x:c>
    </x:row>
    <x:row r="2317">
      <x:c r="A2317" t="n">
        <x:v>4</x:v>
      </x:c>
      <x:c r="B2317" t="str">
        <x:v>Pear</x:v>
      </x:c>
      <x:c r="C2317" t="str">
        <x:v>E</x:v>
      </x:c>
      <x:c r="D2317" t="str">
        <x:v>VVS2</x:v>
      </x:c>
      <x:c r="E2317" s="36" t="n">
        <x:v>96372</x:v>
      </x:c>
      <x:c r="F2317" s="36" t="n">
        <x:v>6880</x:v>
      </x:c>
      <x:c r="G2317" s="42" t="n">
        <x:v>1.4757614757614759</x:v>
      </x:c>
      <x:c r="H2317" s="36" t="n">
        <x:f>E2317*G2317</x:f>
        <x:v>142222.08494208494</x:v>
      </x:c>
      <x:c r="I2317" s="36" t="n">
        <x:f>IFERROR(H2317/A2317,0)</x:f>
        <x:v>35555.521235521235</x:v>
      </x:c>
      <x:c r="J2317" s="67" t="str">
        <x:v>Modeled from live base + Sep-2026 quality ratio</x:v>
      </x:c>
      <x:c r="K2317" s="67" t="str">
        <x:v>https://www.stonealgo.com/diamond-prices/</x:v>
      </x:c>
      <x:c r="L2317" s="67" t="str">
        <x:v>https://www.pricescope.com/blog/natural-diamond-prices-september-2026</x:v>
      </x:c>
    </x:row>
    <x:row r="2318">
      <x:c r="A2318" t="n">
        <x:v>4</x:v>
      </x:c>
      <x:c r="B2318" t="str">
        <x:v>Pear</x:v>
      </x:c>
      <x:c r="C2318" t="str">
        <x:v>E</x:v>
      </x:c>
      <x:c r="D2318" t="str">
        <x:v>VS1</x:v>
      </x:c>
      <x:c r="E2318" s="36" t="n">
        <x:v>96372</x:v>
      </x:c>
      <x:c r="F2318" s="36" t="n">
        <x:v>6307</x:v>
      </x:c>
      <x:c r="G2318" s="42" t="n">
        <x:v>1.352852852852853</x:v>
      </x:c>
      <x:c r="H2318" s="36" t="n">
        <x:f>E2318*G2318</x:f>
        <x:v>130377.13513513515</x:v>
      </x:c>
      <x:c r="I2318" s="36" t="n">
        <x:f>IFERROR(H2318/A2318,0)</x:f>
        <x:v>32594.283783783787</x:v>
      </x:c>
      <x:c r="J2318" s="67" t="str">
        <x:v>Modeled from live base + Sep-2026 quality ratio</x:v>
      </x:c>
      <x:c r="K2318" s="67" t="str">
        <x:v>https://www.stonealgo.com/diamond-prices/</x:v>
      </x:c>
      <x:c r="L2318" s="67" t="str">
        <x:v>https://www.pricescope.com/blog/natural-diamond-prices-september-2026</x:v>
      </x:c>
    </x:row>
    <x:row r="2319">
      <x:c r="A2319" t="n">
        <x:v>4</x:v>
      </x:c>
      <x:c r="B2319" t="str">
        <x:v>Pear</x:v>
      </x:c>
      <x:c r="C2319" t="str">
        <x:v>E</x:v>
      </x:c>
      <x:c r="D2319" t="str">
        <x:v>VS2</x:v>
      </x:c>
      <x:c r="E2319" s="36" t="n">
        <x:v>96372</x:v>
      </x:c>
      <x:c r="F2319" s="36" t="n">
        <x:v>5249</x:v>
      </x:c>
      <x:c r="G2319" s="42" t="n">
        <x:v>1.125911625911626</x:v>
      </x:c>
      <x:c r="H2319" s="36" t="n">
        <x:f>E2319*G2319</x:f>
        <x:v>108506.35521235522</x:v>
      </x:c>
      <x:c r="I2319" s="36" t="n">
        <x:f>IFERROR(H2319/A2319,0)</x:f>
        <x:v>27126.588803088805</x:v>
      </x:c>
      <x:c r="J2319" s="67" t="str">
        <x:v>Modeled from live base + Sep-2026 quality ratio</x:v>
      </x:c>
      <x:c r="K2319" s="67" t="str">
        <x:v>https://www.stonealgo.com/diamond-prices/</x:v>
      </x:c>
      <x:c r="L2319" s="67" t="str">
        <x:v>https://www.pricescope.com/blog/natural-diamond-prices-september-2026</x:v>
      </x:c>
    </x:row>
    <x:row r="2320">
      <x:c r="A2320" t="n">
        <x:v>4</x:v>
      </x:c>
      <x:c r="B2320" t="str">
        <x:v>Pear</x:v>
      </x:c>
      <x:c r="C2320" t="str">
        <x:v>E</x:v>
      </x:c>
      <x:c r="D2320" t="str">
        <x:v>SI1</x:v>
      </x:c>
      <x:c r="E2320" s="36" t="n">
        <x:v>96372</x:v>
      </x:c>
      <x:c r="F2320" s="36" t="n">
        <x:v>3551</x:v>
      </x:c>
      <x:c r="G2320" s="42" t="n">
        <x:v>0.7616902616902617</x:v>
      </x:c>
      <x:c r="H2320" s="36" t="n">
        <x:f>E2320*G2320</x:f>
        <x:v>73405.61389961389</x:v>
      </x:c>
      <x:c r="I2320" s="36" t="n">
        <x:f>IFERROR(H2320/A2320,0)</x:f>
        <x:v>18351.403474903473</x:v>
      </x:c>
      <x:c r="J2320" s="67" t="str">
        <x:v>Modeled from live base + Sep-2026 quality ratio</x:v>
      </x:c>
      <x:c r="K2320" s="67" t="str">
        <x:v>https://www.stonealgo.com/diamond-prices/</x:v>
      </x:c>
      <x:c r="L2320" s="67" t="str">
        <x:v>https://www.pricescope.com/blog/natural-diamond-prices-september-2026</x:v>
      </x:c>
    </x:row>
    <x:row r="2321">
      <x:c r="A2321" t="n">
        <x:v>4</x:v>
      </x:c>
      <x:c r="B2321" t="str">
        <x:v>Pear</x:v>
      </x:c>
      <x:c r="C2321" t="str">
        <x:v>E</x:v>
      </x:c>
      <x:c r="D2321" t="str">
        <x:v>SI2</x:v>
      </x:c>
      <x:c r="E2321" s="36" t="n">
        <x:v>96372</x:v>
      </x:c>
      <x:c r="F2321" s="36" t="n">
        <x:v>2993</x:v>
      </x:c>
      <x:c r="G2321" s="42" t="n">
        <x:v>0.641999141999142</x:v>
      </x:c>
      <x:c r="H2321" s="36" t="n">
        <x:f>E2321*G2321</x:f>
        <x:v>61870.74131274131</x:v>
      </x:c>
      <x:c r="I2321" s="36" t="n">
        <x:f>IFERROR(H2321/A2321,0)</x:f>
        <x:v>15467.685328185327</x:v>
      </x:c>
      <x:c r="J2321" s="67" t="str">
        <x:v>Modeled from live base + Sep-2026 quality ratio</x:v>
      </x:c>
      <x:c r="K2321" s="67" t="str">
        <x:v>https://www.stonealgo.com/diamond-prices/</x:v>
      </x:c>
      <x:c r="L2321" s="67" t="str">
        <x:v>https://www.pricescope.com/blog/natural-diamond-prices-september-2026</x:v>
      </x:c>
    </x:row>
    <x:row r="2322">
      <x:c r="A2322" t="n">
        <x:v>4</x:v>
      </x:c>
      <x:c r="B2322" t="str">
        <x:v>Pear</x:v>
      </x:c>
      <x:c r="C2322" t="str">
        <x:v>F</x:v>
      </x:c>
      <x:c r="D2322" t="str">
        <x:v>FL</x:v>
      </x:c>
      <x:c r="E2322" s="36" t="n">
        <x:v>96372</x:v>
      </x:c>
      <x:c r="F2322" s="36" t="n">
        <x:v>6830</x:v>
      </x:c>
      <x:c r="G2322" s="42" t="n">
        <x:v>1.4650364650364651</x:v>
      </x:c>
      <x:c r="H2322" s="36" t="n">
        <x:f>E2322*G2322</x:f>
        <x:v>141188.49420849423</x:v>
      </x:c>
      <x:c r="I2322" s="36" t="n">
        <x:f>IFERROR(H2322/A2322,0)</x:f>
        <x:v>35297.12355212356</x:v>
      </x:c>
      <x:c r="J2322" s="67" t="str">
        <x:v>Modeled from live base + Sep-2026 quality ratio</x:v>
      </x:c>
      <x:c r="K2322" s="67" t="str">
        <x:v>https://www.stonealgo.com/diamond-prices/</x:v>
      </x:c>
      <x:c r="L2322" s="67" t="str">
        <x:v>https://www.pricescope.com/blog/natural-diamond-prices-september-2026</x:v>
      </x:c>
    </x:row>
    <x:row r="2323">
      <x:c r="A2323" t="n">
        <x:v>4</x:v>
      </x:c>
      <x:c r="B2323" t="str">
        <x:v>Pear</x:v>
      </x:c>
      <x:c r="C2323" t="str">
        <x:v>F</x:v>
      </x:c>
      <x:c r="D2323" t="str">
        <x:v>IF</x:v>
      </x:c>
      <x:c r="E2323" s="36" t="n">
        <x:v>96372</x:v>
      </x:c>
      <x:c r="F2323" s="36" t="n">
        <x:v>7302</x:v>
      </x:c>
      <x:c r="G2323" s="42" t="n">
        <x:v>1.5662805662805663</x:v>
      </x:c>
      <x:c r="H2323" s="36" t="n">
        <x:f>E2323*G2323</x:f>
        <x:v>150945.59073359074</x:v>
      </x:c>
      <x:c r="I2323" s="36" t="n">
        <x:f>IFERROR(H2323/A2323,0)</x:f>
        <x:v>37736.397683397685</x:v>
      </x:c>
      <x:c r="J2323" s="67" t="str">
        <x:v>Modeled from live base + Sep-2026 quality ratio</x:v>
      </x:c>
      <x:c r="K2323" s="67" t="str">
        <x:v>https://www.stonealgo.com/diamond-prices/</x:v>
      </x:c>
      <x:c r="L2323" s="67" t="str">
        <x:v>https://www.pricescope.com/blog/natural-diamond-prices-september-2026</x:v>
      </x:c>
    </x:row>
    <x:row r="2324">
      <x:c r="A2324" t="n">
        <x:v>4</x:v>
      </x:c>
      <x:c r="B2324" t="str">
        <x:v>Pear</x:v>
      </x:c>
      <x:c r="C2324" t="str">
        <x:v>F</x:v>
      </x:c>
      <x:c r="D2324" t="str">
        <x:v>VVS1</x:v>
      </x:c>
      <x:c r="E2324" s="36" t="n">
        <x:v>96372</x:v>
      </x:c>
      <x:c r="F2324" s="36" t="n">
        <x:v>7542</x:v>
      </x:c>
      <x:c r="G2324" s="42" t="n">
        <x:v>1.6177606177606179</x:v>
      </x:c>
      <x:c r="H2324" s="36" t="n">
        <x:f>E2324*G2324</x:f>
        <x:v>155906.82625482627</x:v>
      </x:c>
      <x:c r="I2324" s="36" t="n">
        <x:f>IFERROR(H2324/A2324,0)</x:f>
        <x:v>38976.70656370657</x:v>
      </x:c>
      <x:c r="J2324" s="67" t="str">
        <x:v>Modeled from live base + Sep-2026 quality ratio</x:v>
      </x:c>
      <x:c r="K2324" s="67" t="str">
        <x:v>https://www.stonealgo.com/diamond-prices/</x:v>
      </x:c>
      <x:c r="L2324" s="67" t="str">
        <x:v>https://www.pricescope.com/blog/natural-diamond-prices-september-2026</x:v>
      </x:c>
    </x:row>
    <x:row r="2325">
      <x:c r="A2325" t="n">
        <x:v>4</x:v>
      </x:c>
      <x:c r="B2325" t="str">
        <x:v>Pear</x:v>
      </x:c>
      <x:c r="C2325" t="str">
        <x:v>F</x:v>
      </x:c>
      <x:c r="D2325" t="str">
        <x:v>VVS2</x:v>
      </x:c>
      <x:c r="E2325" s="36" t="n">
        <x:v>96372</x:v>
      </x:c>
      <x:c r="F2325" s="36" t="n">
        <x:v>6352</x:v>
      </x:c>
      <x:c r="G2325" s="42" t="n">
        <x:v>1.3625053625053625</x:v>
      </x:c>
      <x:c r="H2325" s="36" t="n">
        <x:f>E2325*G2325</x:f>
        <x:v>131307.3667953668</x:v>
      </x:c>
      <x:c r="I2325" s="36" t="n">
        <x:f>IFERROR(H2325/A2325,0)</x:f>
        <x:v>32826.8416988417</x:v>
      </x:c>
      <x:c r="J2325" s="67" t="str">
        <x:v>Modeled from live base + Sep-2026 quality ratio</x:v>
      </x:c>
      <x:c r="K2325" s="67" t="str">
        <x:v>https://www.stonealgo.com/diamond-prices/</x:v>
      </x:c>
      <x:c r="L2325" s="67" t="str">
        <x:v>https://www.pricescope.com/blog/natural-diamond-prices-september-2026</x:v>
      </x:c>
    </x:row>
    <x:row r="2326">
      <x:c r="A2326" t="n">
        <x:v>4</x:v>
      </x:c>
      <x:c r="B2326" t="str">
        <x:v>Pear</x:v>
      </x:c>
      <x:c r="C2326" t="str">
        <x:v>F</x:v>
      </x:c>
      <x:c r="D2326" t="str">
        <x:v>VS1</x:v>
      </x:c>
      <x:c r="E2326" s="36" t="n">
        <x:v>96372</x:v>
      </x:c>
      <x:c r="F2326" s="36" t="n">
        <x:v>5647</x:v>
      </x:c>
      <x:c r="G2326" s="42" t="n">
        <x:v>1.2112827112827114</x:v>
      </x:c>
      <x:c r="H2326" s="36" t="n">
        <x:f>E2326*G2326</x:f>
        <x:v>116733.73745173746</x:v>
      </x:c>
      <x:c r="I2326" s="36" t="n">
        <x:f>IFERROR(H2326/A2326,0)</x:f>
        <x:v>29183.434362934364</x:v>
      </x:c>
      <x:c r="J2326" s="67" t="str">
        <x:v>Modeled from live base + Sep-2026 quality ratio</x:v>
      </x:c>
      <x:c r="K2326" s="67" t="str">
        <x:v>https://www.stonealgo.com/diamond-prices/</x:v>
      </x:c>
      <x:c r="L2326" s="67" t="str">
        <x:v>https://www.pricescope.com/blog/natural-diamond-prices-september-2026</x:v>
      </x:c>
    </x:row>
    <x:row r="2327">
      <x:c r="A2327" t="n">
        <x:v>4</x:v>
      </x:c>
      <x:c r="B2327" t="str">
        <x:v>Pear</x:v>
      </x:c>
      <x:c r="C2327" t="str">
        <x:v>F</x:v>
      </x:c>
      <x:c r="D2327" t="str">
        <x:v>VS2</x:v>
      </x:c>
      <x:c r="E2327" s="36" t="n">
        <x:v>96372</x:v>
      </x:c>
      <x:c r="F2327" s="36" t="n">
        <x:v>4730</x:v>
      </x:c>
      <x:c r="G2327" s="42" t="n">
        <x:v>1.0145860145860146</x:v>
      </x:c>
      <x:c r="H2327" s="36" t="n">
        <x:f>E2327*G2327</x:f>
        <x:v>97777.6833976834</x:v>
      </x:c>
      <x:c r="I2327" s="36" t="n">
        <x:f>IFERROR(H2327/A2327,0)</x:f>
        <x:v>24444.42084942085</x:v>
      </x:c>
      <x:c r="J2327" s="67" t="str">
        <x:v>Modeled from live base + Sep-2026 quality ratio</x:v>
      </x:c>
      <x:c r="K2327" s="67" t="str">
        <x:v>https://www.stonealgo.com/diamond-prices/</x:v>
      </x:c>
      <x:c r="L2327" s="67" t="str">
        <x:v>https://www.pricescope.com/blog/natural-diamond-prices-september-2026</x:v>
      </x:c>
    </x:row>
    <x:row r="2328">
      <x:c r="A2328" t="n">
        <x:v>4</x:v>
      </x:c>
      <x:c r="B2328" t="str">
        <x:v>Pear</x:v>
      </x:c>
      <x:c r="C2328" t="str">
        <x:v>F</x:v>
      </x:c>
      <x:c r="D2328" t="str">
        <x:v>SI1</x:v>
      </x:c>
      <x:c r="E2328" s="36" t="n">
        <x:v>96372</x:v>
      </x:c>
      <x:c r="F2328" s="36" t="n">
        <x:v>3331</x:v>
      </x:c>
      <x:c r="G2328" s="42" t="n">
        <x:v>0.7145002145002145</x:v>
      </x:c>
      <x:c r="H2328" s="36" t="n">
        <x:f>E2328*G2328</x:f>
        <x:v>68857.81467181467</x:v>
      </x:c>
      <x:c r="I2328" s="36" t="n">
        <x:f>IFERROR(H2328/A2328,0)</x:f>
        <x:v>17214.45366795367</x:v>
      </x:c>
      <x:c r="J2328" s="67" t="str">
        <x:v>Modeled from live base + Sep-2026 quality ratio</x:v>
      </x:c>
      <x:c r="K2328" s="67" t="str">
        <x:v>https://www.stonealgo.com/diamond-prices/</x:v>
      </x:c>
      <x:c r="L2328" s="67" t="str">
        <x:v>https://www.pricescope.com/blog/natural-diamond-prices-september-2026</x:v>
      </x:c>
    </x:row>
    <x:row r="2329">
      <x:c r="A2329" t="n">
        <x:v>4</x:v>
      </x:c>
      <x:c r="B2329" t="str">
        <x:v>Pear</x:v>
      </x:c>
      <x:c r="C2329" t="str">
        <x:v>F</x:v>
      </x:c>
      <x:c r="D2329" t="str">
        <x:v>SI2</x:v>
      </x:c>
      <x:c r="E2329" s="36" t="n">
        <x:v>96372</x:v>
      </x:c>
      <x:c r="F2329" s="36" t="n">
        <x:v>2733</x:v>
      </x:c>
      <x:c r="G2329" s="42" t="n">
        <x:v>0.5862290862290862</x:v>
      </x:c>
      <x:c r="H2329" s="36" t="n">
        <x:f>E2329*G2329</x:f>
        <x:v>56496.0694980695</x:v>
      </x:c>
      <x:c r="I2329" s="36" t="n">
        <x:f>IFERROR(H2329/A2329,0)</x:f>
        <x:v>14124.017374517374</x:v>
      </x:c>
      <x:c r="J2329" s="67" t="str">
        <x:v>Modeled from live base + Sep-2026 quality ratio</x:v>
      </x:c>
      <x:c r="K2329" s="67" t="str">
        <x:v>https://www.stonealgo.com/diamond-prices/</x:v>
      </x:c>
      <x:c r="L2329" s="67" t="str">
        <x:v>https://www.pricescope.com/blog/natural-diamond-prices-september-2026</x:v>
      </x:c>
    </x:row>
    <x:row r="2330">
      <x:c r="A2330" t="n">
        <x:v>4</x:v>
      </x:c>
      <x:c r="B2330" t="str">
        <x:v>Pear</x:v>
      </x:c>
      <x:c r="C2330" t="str">
        <x:v>G</x:v>
      </x:c>
      <x:c r="D2330" t="str">
        <x:v>FL</x:v>
      </x:c>
      <x:c r="E2330" s="36" t="n">
        <x:v>96372</x:v>
      </x:c>
      <x:c r="F2330" s="36" t="n">
        <x:v>5905</x:v>
      </x:c>
      <x:c r="G2330" s="42" t="n">
        <x:v>1.2666237666237665</x:v>
      </x:c>
      <x:c r="H2330" s="36" t="n">
        <x:f>E2330*G2330</x:f>
        <x:v>122067.06563706562</x:v>
      </x:c>
      <x:c r="I2330" s="36" t="n">
        <x:f>IFERROR(H2330/A2330,0)</x:f>
        <x:v>30516.766409266405</x:v>
      </x:c>
      <x:c r="J2330" s="67" t="str">
        <x:v>Modeled from live base + Sep-2026 quality ratio</x:v>
      </x:c>
      <x:c r="K2330" s="67" t="str">
        <x:v>https://www.stonealgo.com/diamond-prices/</x:v>
      </x:c>
      <x:c r="L2330" s="67" t="str">
        <x:v>https://www.pricescope.com/blog/natural-diamond-prices-september-2026</x:v>
      </x:c>
    </x:row>
    <x:row r="2331">
      <x:c r="A2331" t="n">
        <x:v>4</x:v>
      </x:c>
      <x:c r="B2331" t="str">
        <x:v>Pear</x:v>
      </x:c>
      <x:c r="C2331" t="str">
        <x:v>G</x:v>
      </x:c>
      <x:c r="D2331" t="str">
        <x:v>IF</x:v>
      </x:c>
      <x:c r="E2331" s="36" t="n">
        <x:v>96372</x:v>
      </x:c>
      <x:c r="F2331" s="36" t="n">
        <x:v>5601</x:v>
      </x:c>
      <x:c r="G2331" s="42" t="n">
        <x:v>1.2014157014157014</x:v>
      </x:c>
      <x:c r="H2331" s="36" t="n">
        <x:f>E2331*G2331</x:f>
        <x:v>115782.83397683398</x:v>
      </x:c>
      <x:c r="I2331" s="36" t="n">
        <x:f>IFERROR(H2331/A2331,0)</x:f>
        <x:v>28945.708494208495</x:v>
      </x:c>
      <x:c r="J2331" s="67" t="str">
        <x:v>Modeled from live base + Sep-2026 quality ratio</x:v>
      </x:c>
      <x:c r="K2331" s="67" t="str">
        <x:v>https://www.stonealgo.com/diamond-prices/</x:v>
      </x:c>
      <x:c r="L2331" s="67" t="str">
        <x:v>https://www.pricescope.com/blog/natural-diamond-prices-september-2026</x:v>
      </x:c>
    </x:row>
    <x:row r="2332">
      <x:c r="A2332" t="n">
        <x:v>4</x:v>
      </x:c>
      <x:c r="B2332" t="str">
        <x:v>Pear</x:v>
      </x:c>
      <x:c r="C2332" t="str">
        <x:v>G</x:v>
      </x:c>
      <x:c r="D2332" t="str">
        <x:v>VVS1</x:v>
      </x:c>
      <x:c r="E2332" s="36" t="n">
        <x:v>96372</x:v>
      </x:c>
      <x:c r="F2332" s="36" t="n">
        <x:v>5124</x:v>
      </x:c>
      <x:c r="G2332" s="42" t="n">
        <x:v>1.0990990990990992</x:v>
      </x:c>
      <x:c r="H2332" s="36" t="n">
        <x:f>E2332*G2332</x:f>
        <x:v>105922.37837837839</x:v>
      </x:c>
      <x:c r="I2332" s="36" t="n">
        <x:f>IFERROR(H2332/A2332,0)</x:f>
        <x:v>26480.594594594597</x:v>
      </x:c>
      <x:c r="J2332" s="67" t="str">
        <x:v>Modeled from live base + Sep-2026 quality ratio</x:v>
      </x:c>
      <x:c r="K2332" s="67" t="str">
        <x:v>https://www.stonealgo.com/diamond-prices/</x:v>
      </x:c>
      <x:c r="L2332" s="67" t="str">
        <x:v>https://www.pricescope.com/blog/natural-diamond-prices-september-2026</x:v>
      </x:c>
    </x:row>
    <x:row r="2333">
      <x:c r="A2333" t="n">
        <x:v>4</x:v>
      </x:c>
      <x:c r="B2333" t="str">
        <x:v>Pear</x:v>
      </x:c>
      <x:c r="C2333" t="str">
        <x:v>G</x:v>
      </x:c>
      <x:c r="D2333" t="str">
        <x:v>VVS2</x:v>
      </x:c>
      <x:c r="E2333" s="36" t="n">
        <x:v>96372</x:v>
      </x:c>
      <x:c r="F2333" s="36" t="n">
        <x:v>4962</x:v>
      </x:c>
      <x:c r="G2333" s="42" t="n">
        <x:v>1.0643500643500643</x:v>
      </x:c>
      <x:c r="H2333" s="36" t="n">
        <x:f>E2333*G2333</x:f>
        <x:v>102573.5444015444</x:v>
      </x:c>
      <x:c r="I2333" s="36" t="n">
        <x:f>IFERROR(H2333/A2333,0)</x:f>
        <x:v>25643.3861003861</x:v>
      </x:c>
      <x:c r="J2333" s="67" t="str">
        <x:v>Modeled from live base + Sep-2026 quality ratio</x:v>
      </x:c>
      <x:c r="K2333" s="67" t="str">
        <x:v>https://www.stonealgo.com/diamond-prices/</x:v>
      </x:c>
      <x:c r="L2333" s="67" t="str">
        <x:v>https://www.pricescope.com/blog/natural-diamond-prices-september-2026</x:v>
      </x:c>
    </x:row>
    <x:row r="2334">
      <x:c r="A2334" t="n">
        <x:v>4</x:v>
      </x:c>
      <x:c r="B2334" t="str">
        <x:v>Pear</x:v>
      </x:c>
      <x:c r="C2334" t="str">
        <x:v>G</x:v>
      </x:c>
      <x:c r="D2334" t="str">
        <x:v>VS1</x:v>
      </x:c>
      <x:c r="E2334" s="36" t="n">
        <x:v>96372</x:v>
      </x:c>
      <x:c r="F2334" s="36" t="n">
        <x:v>4615</x:v>
      </x:c>
      <x:c r="G2334" s="42" t="n">
        <x:v>0.98991848991849</x:v>
      </x:c>
      <x:c r="H2334" s="36" t="n">
        <x:f>E2334*G2334</x:f>
        <x:v>95400.42471042472</x:v>
      </x:c>
      <x:c r="I2334" s="36" t="n">
        <x:f>IFERROR(H2334/A2334,0)</x:f>
        <x:v>23850.10617760618</x:v>
      </x:c>
      <x:c r="J2334" s="67" t="str">
        <x:v>Modeled from live base + Sep-2026 quality ratio</x:v>
      </x:c>
      <x:c r="K2334" s="67" t="str">
        <x:v>https://www.stonealgo.com/diamond-prices/</x:v>
      </x:c>
      <x:c r="L2334" s="67" t="str">
        <x:v>https://www.pricescope.com/blog/natural-diamond-prices-september-2026</x:v>
      </x:c>
    </x:row>
    <x:row r="2335">
      <x:c r="A2335" t="n">
        <x:v>4</x:v>
      </x:c>
      <x:c r="B2335" t="str">
        <x:v>Pear</x:v>
      </x:c>
      <x:c r="C2335" t="str">
        <x:v>G</x:v>
      </x:c>
      <x:c r="D2335" t="str">
        <x:v>VS2</x:v>
      </x:c>
      <x:c r="E2335" s="36" t="n">
        <x:v>96372</x:v>
      </x:c>
      <x:c r="F2335" s="36" t="n">
        <x:v>4585</x:v>
      </x:c>
      <x:c r="G2335" s="42" t="n">
        <x:v>0.9834834834834835</x:v>
      </x:c>
      <x:c r="H2335" s="36" t="n">
        <x:f>E2335*G2335</x:f>
        <x:v>94780.27027027027</x:v>
      </x:c>
      <x:c r="I2335" s="36" t="n">
        <x:f>IFERROR(H2335/A2335,0)</x:f>
        <x:v>23695.067567567567</x:v>
      </x:c>
      <x:c r="J2335" s="67" t="str">
        <x:v>Modeled from live base + Sep-2026 quality ratio</x:v>
      </x:c>
      <x:c r="K2335" s="67" t="str">
        <x:v>https://www.stonealgo.com/diamond-prices/</x:v>
      </x:c>
      <x:c r="L2335" s="67" t="str">
        <x:v>https://www.pricescope.com/blog/natural-diamond-prices-september-2026</x:v>
      </x:c>
    </x:row>
    <x:row r="2336">
      <x:c r="A2336" t="n">
        <x:v>4</x:v>
      </x:c>
      <x:c r="B2336" t="str">
        <x:v>Pear</x:v>
      </x:c>
      <x:c r="C2336" t="str">
        <x:v>G</x:v>
      </x:c>
      <x:c r="D2336" t="str">
        <x:v>SI1</x:v>
      </x:c>
      <x:c r="E2336" s="36" t="n">
        <x:v>96372</x:v>
      </x:c>
      <x:c r="F2336" s="36" t="n">
        <x:v>3664</x:v>
      </x:c>
      <x:c r="G2336" s="42" t="n">
        <x:v>0.7859287859287859</x:v>
      </x:c>
      <x:c r="H2336" s="36" t="n">
        <x:f>E2336*G2336</x:f>
        <x:v>75741.52895752895</x:v>
      </x:c>
      <x:c r="I2336" s="36" t="n">
        <x:f>IFERROR(H2336/A2336,0)</x:f>
        <x:v>18935.382239382237</x:v>
      </x:c>
      <x:c r="J2336" s="67" t="str">
        <x:v>Modeled from live base + Sep-2026 quality ratio</x:v>
      </x:c>
      <x:c r="K2336" s="67" t="str">
        <x:v>https://www.stonealgo.com/diamond-prices/</x:v>
      </x:c>
      <x:c r="L2336" s="67" t="str">
        <x:v>https://www.pricescope.com/blog/natural-diamond-prices-september-2026</x:v>
      </x:c>
    </x:row>
    <x:row r="2337">
      <x:c r="A2337" t="n">
        <x:v>4</x:v>
      </x:c>
      <x:c r="B2337" t="str">
        <x:v>Pear</x:v>
      </x:c>
      <x:c r="C2337" t="str">
        <x:v>G</x:v>
      </x:c>
      <x:c r="D2337" t="str">
        <x:v>SI2</x:v>
      </x:c>
      <x:c r="E2337" s="36" t="n">
        <x:v>96372</x:v>
      </x:c>
      <x:c r="F2337" s="36" t="n">
        <x:v>2537</x:v>
      </x:c>
      <x:c r="G2337" s="42" t="n">
        <x:v>0.5441870441870442</x:v>
      </x:c>
      <x:c r="H2337" s="36" t="n">
        <x:f>E2337*G2337</x:f>
        <x:v>52444.393822393824</x:v>
      </x:c>
      <x:c r="I2337" s="36" t="n">
        <x:f>IFERROR(H2337/A2337,0)</x:f>
        <x:v>13111.098455598456</x:v>
      </x:c>
      <x:c r="J2337" s="67" t="str">
        <x:v>Modeled from live base + Sep-2026 quality ratio</x:v>
      </x:c>
      <x:c r="K2337" s="67" t="str">
        <x:v>https://www.stonealgo.com/diamond-prices/</x:v>
      </x:c>
      <x:c r="L2337" s="67" t="str">
        <x:v>https://www.pricescope.com/blog/natural-diamond-prices-september-2026</x:v>
      </x:c>
    </x:row>
    <x:row r="2338">
      <x:c r="A2338" t="n">
        <x:v>4</x:v>
      </x:c>
      <x:c r="B2338" t="str">
        <x:v>Pear</x:v>
      </x:c>
      <x:c r="C2338" t="str">
        <x:v>H</x:v>
      </x:c>
      <x:c r="D2338" t="str">
        <x:v>FL</x:v>
      </x:c>
      <x:c r="E2338" s="36" t="n">
        <x:v>96372</x:v>
      </x:c>
      <x:c r="F2338" s="36" t="n">
        <x:v>4563</x:v>
      </x:c>
      <x:c r="G2338" s="42" t="n">
        <x:v>0.9787644787644788</x:v>
      </x:c>
      <x:c r="H2338" s="36" t="n">
        <x:f>E2338*G2338</x:f>
        <x:v>94325.49034749035</x:v>
      </x:c>
      <x:c r="I2338" s="36" t="n">
        <x:f>IFERROR(H2338/A2338,0)</x:f>
        <x:v>23581.37258687259</x:v>
      </x:c>
      <x:c r="J2338" s="67" t="str">
        <x:v>Modeled from live base + Sep-2026 quality ratio</x:v>
      </x:c>
      <x:c r="K2338" s="67" t="str">
        <x:v>https://www.stonealgo.com/diamond-prices/</x:v>
      </x:c>
      <x:c r="L2338" s="67" t="str">
        <x:v>https://www.pricescope.com/blog/natural-diamond-prices-september-2026</x:v>
      </x:c>
    </x:row>
    <x:row r="2339">
      <x:c r="A2339" t="n">
        <x:v>4</x:v>
      </x:c>
      <x:c r="B2339" t="str">
        <x:v>Pear</x:v>
      </x:c>
      <x:c r="C2339" t="str">
        <x:v>H</x:v>
      </x:c>
      <x:c r="D2339" t="str">
        <x:v>IF</x:v>
      </x:c>
      <x:c r="E2339" s="36" t="n">
        <x:v>96372</x:v>
      </x:c>
      <x:c r="F2339" s="36" t="n">
        <x:v>4809</x:v>
      </x:c>
      <x:c r="G2339" s="42" t="n">
        <x:v>1.0315315315315314</x:v>
      </x:c>
      <x:c r="H2339" s="36" t="n">
        <x:f>E2339*G2339</x:f>
        <x:v>99410.75675675675</x:v>
      </x:c>
      <x:c r="I2339" s="36" t="n">
        <x:f>IFERROR(H2339/A2339,0)</x:f>
        <x:v>24852.689189189186</x:v>
      </x:c>
      <x:c r="J2339" s="67" t="str">
        <x:v>Modeled from live base + Sep-2026 quality ratio</x:v>
      </x:c>
      <x:c r="K2339" s="67" t="str">
        <x:v>https://www.stonealgo.com/diamond-prices/</x:v>
      </x:c>
      <x:c r="L2339" s="67" t="str">
        <x:v>https://www.pricescope.com/blog/natural-diamond-prices-september-2026</x:v>
      </x:c>
    </x:row>
    <x:row r="2340">
      <x:c r="A2340" t="n">
        <x:v>4</x:v>
      </x:c>
      <x:c r="B2340" t="str">
        <x:v>Pear</x:v>
      </x:c>
      <x:c r="C2340" t="str">
        <x:v>H</x:v>
      </x:c>
      <x:c r="D2340" t="str">
        <x:v>VVS1</x:v>
      </x:c>
      <x:c r="E2340" s="36" t="n">
        <x:v>96372</x:v>
      </x:c>
      <x:c r="F2340" s="36" t="n">
        <x:v>4911</x:v>
      </x:c>
      <x:c r="G2340" s="42" t="n">
        <x:v>1.0534105534105533</x:v>
      </x:c>
      <x:c r="H2340" s="36" t="n">
        <x:f>E2340*G2340</x:f>
        <x:v>101519.28185328185</x:v>
      </x:c>
      <x:c r="I2340" s="36" t="n">
        <x:f>IFERROR(H2340/A2340,0)</x:f>
        <x:v>25379.820463320462</x:v>
      </x:c>
      <x:c r="J2340" s="67" t="str">
        <x:v>Modeled from live base + Sep-2026 quality ratio</x:v>
      </x:c>
      <x:c r="K2340" s="67" t="str">
        <x:v>https://www.stonealgo.com/diamond-prices/</x:v>
      </x:c>
      <x:c r="L2340" s="67" t="str">
        <x:v>https://www.pricescope.com/blog/natural-diamond-prices-september-2026</x:v>
      </x:c>
    </x:row>
    <x:row r="2341">
      <x:c r="A2341" t="n">
        <x:v>4</x:v>
      </x:c>
      <x:c r="B2341" t="str">
        <x:v>Pear</x:v>
      </x:c>
      <x:c r="C2341" t="str">
        <x:v>H</x:v>
      </x:c>
      <x:c r="D2341" t="str">
        <x:v>VVS2</x:v>
      </x:c>
      <x:c r="E2341" s="36" t="n">
        <x:v>96372</x:v>
      </x:c>
      <x:c r="F2341" s="36" t="n">
        <x:v>4046</x:v>
      </x:c>
      <x:c r="G2341" s="42" t="n">
        <x:v>0.8678678678678678</x:v>
      </x:c>
      <x:c r="H2341" s="36" t="n">
        <x:f>E2341*G2341</x:f>
        <x:v>83638.16216216216</x:v>
      </x:c>
      <x:c r="I2341" s="36" t="n">
        <x:f>IFERROR(H2341/A2341,0)</x:f>
        <x:v>20909.54054054054</x:v>
      </x:c>
      <x:c r="J2341" s="67" t="str">
        <x:v>Modeled from live base + Sep-2026 quality ratio</x:v>
      </x:c>
      <x:c r="K2341" s="67" t="str">
        <x:v>https://www.stonealgo.com/diamond-prices/</x:v>
      </x:c>
      <x:c r="L2341" s="67" t="str">
        <x:v>https://www.pricescope.com/blog/natural-diamond-prices-september-2026</x:v>
      </x:c>
    </x:row>
    <x:row r="2342">
      <x:c r="A2342" t="n">
        <x:v>4</x:v>
      </x:c>
      <x:c r="B2342" t="str">
        <x:v>Pear</x:v>
      </x:c>
      <x:c r="C2342" t="str">
        <x:v>H</x:v>
      </x:c>
      <x:c r="D2342" t="str">
        <x:v>VS1</x:v>
      </x:c>
      <x:c r="E2342" s="36" t="n">
        <x:v>96372</x:v>
      </x:c>
      <x:c r="F2342" s="36" t="n">
        <x:v>3893</x:v>
      </x:c>
      <x:c r="G2342" s="42" t="n">
        <x:v>0.8350493350493351</x:v>
      </x:c>
      <x:c r="H2342" s="36" t="n">
        <x:f>E2342*G2342</x:f>
        <x:v>80475.37451737453</x:v>
      </x:c>
      <x:c r="I2342" s="36" t="n">
        <x:f>IFERROR(H2342/A2342,0)</x:f>
        <x:v>20118.84362934363</x:v>
      </x:c>
      <x:c r="J2342" s="67" t="str">
        <x:v>Modeled from live base + Sep-2026 quality ratio</x:v>
      </x:c>
      <x:c r="K2342" s="67" t="str">
        <x:v>https://www.stonealgo.com/diamond-prices/</x:v>
      </x:c>
      <x:c r="L2342" s="67" t="str">
        <x:v>https://www.pricescope.com/blog/natural-diamond-prices-september-2026</x:v>
      </x:c>
    </x:row>
    <x:row r="2343">
      <x:c r="A2343" t="n">
        <x:v>4</x:v>
      </x:c>
      <x:c r="B2343" t="str">
        <x:v>Pear</x:v>
      </x:c>
      <x:c r="C2343" t="str">
        <x:v>H</x:v>
      </x:c>
      <x:c r="D2343" t="str">
        <x:v>VS2</x:v>
      </x:c>
      <x:c r="E2343" s="36" t="n">
        <x:v>96372</x:v>
      </x:c>
      <x:c r="F2343" s="36" t="n">
        <x:v>3989</x:v>
      </x:c>
      <x:c r="G2343" s="42" t="n">
        <x:v>0.8556413556413557</x:v>
      </x:c>
      <x:c r="H2343" s="36" t="n">
        <x:f>E2343*G2343</x:f>
        <x:v>82459.86872586873</x:v>
      </x:c>
      <x:c r="I2343" s="36" t="n">
        <x:f>IFERROR(H2343/A2343,0)</x:f>
        <x:v>20614.967181467182</x:v>
      </x:c>
      <x:c r="J2343" s="67" t="str">
        <x:v>Modeled from live base + Sep-2026 quality ratio</x:v>
      </x:c>
      <x:c r="K2343" s="67" t="str">
        <x:v>https://www.stonealgo.com/diamond-prices/</x:v>
      </x:c>
      <x:c r="L2343" s="67" t="str">
        <x:v>https://www.pricescope.com/blog/natural-diamond-prices-september-2026</x:v>
      </x:c>
    </x:row>
    <x:row r="2344">
      <x:c r="A2344" t="n">
        <x:v>4</x:v>
      </x:c>
      <x:c r="B2344" t="str">
        <x:v>Pear</x:v>
      </x:c>
      <x:c r="C2344" t="str">
        <x:v>H</x:v>
      </x:c>
      <x:c r="D2344" t="str">
        <x:v>SI1</x:v>
      </x:c>
      <x:c r="E2344" s="36" t="n">
        <x:v>96372</x:v>
      </x:c>
      <x:c r="F2344" s="36" t="n">
        <x:v>2828</x:v>
      </x:c>
      <x:c r="G2344" s="42" t="n">
        <x:v>0.6066066066066066</x:v>
      </x:c>
      <x:c r="H2344" s="36" t="n">
        <x:f>E2344*G2344</x:f>
        <x:v>58459.89189189189</x:v>
      </x:c>
      <x:c r="I2344" s="36" t="n">
        <x:f>IFERROR(H2344/A2344,0)</x:f>
        <x:v>14614.972972972973</x:v>
      </x:c>
      <x:c r="J2344" s="67" t="str">
        <x:v>Modeled from live base + Sep-2026 quality ratio</x:v>
      </x:c>
      <x:c r="K2344" s="67" t="str">
        <x:v>https://www.stonealgo.com/diamond-prices/</x:v>
      </x:c>
      <x:c r="L2344" s="67" t="str">
        <x:v>https://www.pricescope.com/blog/natural-diamond-prices-september-2026</x:v>
      </x:c>
    </x:row>
    <x:row r="2345">
      <x:c r="A2345" t="n">
        <x:v>4</x:v>
      </x:c>
      <x:c r="B2345" t="str">
        <x:v>Pear</x:v>
      </x:c>
      <x:c r="C2345" t="str">
        <x:v>H</x:v>
      </x:c>
      <x:c r="D2345" t="str">
        <x:v>SI2</x:v>
      </x:c>
      <x:c r="E2345" s="36" t="n">
        <x:v>96372</x:v>
      </x:c>
      <x:c r="F2345" s="36" t="n">
        <x:v>2328</x:v>
      </x:c>
      <x:c r="G2345" s="42" t="n">
        <x:v>0.49935649935649934</x:v>
      </x:c>
      <x:c r="H2345" s="36" t="n">
        <x:f>E2345*G2345</x:f>
        <x:v>48123.984555984556</x:v>
      </x:c>
      <x:c r="I2345" s="36" t="n">
        <x:f>IFERROR(H2345/A2345,0)</x:f>
        <x:v>12030.996138996139</x:v>
      </x:c>
      <x:c r="J2345" s="67" t="str">
        <x:v>Modeled from live base + Sep-2026 quality ratio</x:v>
      </x:c>
      <x:c r="K2345" s="67" t="str">
        <x:v>https://www.stonealgo.com/diamond-prices/</x:v>
      </x:c>
      <x:c r="L2345" s="67" t="str">
        <x:v>https://www.pricescope.com/blog/natural-diamond-prices-september-2026</x:v>
      </x:c>
    </x:row>
    <x:row r="2346">
      <x:c r="A2346" t="n">
        <x:v>4</x:v>
      </x:c>
      <x:c r="B2346" t="str">
        <x:v>Pear</x:v>
      </x:c>
      <x:c r="C2346" t="str">
        <x:v>I</x:v>
      </x:c>
      <x:c r="D2346" t="str">
        <x:v>FL</x:v>
      </x:c>
      <x:c r="E2346" s="36" t="n">
        <x:v>96372</x:v>
      </x:c>
      <x:c r="F2346" s="36" t="n">
        <x:v>4623</x:v>
      </x:c>
      <x:c r="G2346" s="42" t="n">
        <x:v>0.9916344916344917</x:v>
      </x:c>
      <x:c r="H2346" s="36" t="n">
        <x:f>E2346*G2346</x:f>
        <x:v>95565.79922779923</x:v>
      </x:c>
      <x:c r="I2346" s="36" t="n">
        <x:f>IFERROR(H2346/A2346,0)</x:f>
        <x:v>23891.449806949808</x:v>
      </x:c>
      <x:c r="J2346" s="67" t="str">
        <x:v>Modeled from live base + Sep-2026 quality ratio</x:v>
      </x:c>
      <x:c r="K2346" s="67" t="str">
        <x:v>https://www.stonealgo.com/diamond-prices/</x:v>
      </x:c>
      <x:c r="L2346" s="67" t="str">
        <x:v>https://www.pricescope.com/blog/natural-diamond-prices-september-2026</x:v>
      </x:c>
    </x:row>
    <x:row r="2347">
      <x:c r="A2347" t="n">
        <x:v>4</x:v>
      </x:c>
      <x:c r="B2347" t="str">
        <x:v>Pear</x:v>
      </x:c>
      <x:c r="C2347" t="str">
        <x:v>I</x:v>
      </x:c>
      <x:c r="D2347" t="str">
        <x:v>IF</x:v>
      </x:c>
      <x:c r="E2347" s="36" t="n">
        <x:v>96372</x:v>
      </x:c>
      <x:c r="F2347" s="36" t="n">
        <x:v>4005</x:v>
      </x:c>
      <x:c r="G2347" s="42" t="n">
        <x:v>0.859073359073359</x:v>
      </x:c>
      <x:c r="H2347" s="36" t="n">
        <x:f>E2347*G2347</x:f>
        <x:v>82790.61776061775</x:v>
      </x:c>
      <x:c r="I2347" s="36" t="n">
        <x:f>IFERROR(H2347/A2347,0)</x:f>
        <x:v>20697.654440154438</x:v>
      </x:c>
      <x:c r="J2347" s="67" t="str">
        <x:v>Modeled from live base + Sep-2026 quality ratio</x:v>
      </x:c>
      <x:c r="K2347" s="67" t="str">
        <x:v>https://www.stonealgo.com/diamond-prices/</x:v>
      </x:c>
      <x:c r="L2347" s="67" t="str">
        <x:v>https://www.pricescope.com/blog/natural-diamond-prices-september-2026</x:v>
      </x:c>
    </x:row>
    <x:row r="2348">
      <x:c r="A2348" t="n">
        <x:v>4</x:v>
      </x:c>
      <x:c r="B2348" t="str">
        <x:v>Pear</x:v>
      </x:c>
      <x:c r="C2348" t="str">
        <x:v>I</x:v>
      </x:c>
      <x:c r="D2348" t="str">
        <x:v>VVS1</x:v>
      </x:c>
      <x:c r="E2348" s="36" t="n">
        <x:v>96372</x:v>
      </x:c>
      <x:c r="F2348" s="36" t="n">
        <x:v>3670</x:v>
      </x:c>
      <x:c r="G2348" s="42" t="n">
        <x:v>0.7872157872157872</x:v>
      </x:c>
      <x:c r="H2348" s="36" t="n">
        <x:f>E2348*G2348</x:f>
        <x:v>75865.55984555985</x:v>
      </x:c>
      <x:c r="I2348" s="36" t="n">
        <x:f>IFERROR(H2348/A2348,0)</x:f>
        <x:v>18966.389961389963</x:v>
      </x:c>
      <x:c r="J2348" s="67" t="str">
        <x:v>Modeled from live base + Sep-2026 quality ratio</x:v>
      </x:c>
      <x:c r="K2348" s="67" t="str">
        <x:v>https://www.stonealgo.com/diamond-prices/</x:v>
      </x:c>
      <x:c r="L2348" s="67" t="str">
        <x:v>https://www.pricescope.com/blog/natural-diamond-prices-september-2026</x:v>
      </x:c>
    </x:row>
    <x:row r="2349">
      <x:c r="A2349" t="n">
        <x:v>4</x:v>
      </x:c>
      <x:c r="B2349" t="str">
        <x:v>Pear</x:v>
      </x:c>
      <x:c r="C2349" t="str">
        <x:v>I</x:v>
      </x:c>
      <x:c r="D2349" t="str">
        <x:v>VVS2</x:v>
      </x:c>
      <x:c r="E2349" s="36" t="n">
        <x:v>96372</x:v>
      </x:c>
      <x:c r="F2349" s="36" t="n">
        <x:v>3447</x:v>
      </x:c>
      <x:c r="G2349" s="42" t="n">
        <x:v>0.7393822393822393</x:v>
      </x:c>
      <x:c r="H2349" s="36" t="n">
        <x:f>E2349*G2349</x:f>
        <x:v>71255.74517374518</x:v>
      </x:c>
      <x:c r="I2349" s="36" t="n">
        <x:f>IFERROR(H2349/A2349,0)</x:f>
        <x:v>17813.936293436294</x:v>
      </x:c>
      <x:c r="J2349" s="67" t="str">
        <x:v>Modeled from live base + Sep-2026 quality ratio</x:v>
      </x:c>
      <x:c r="K2349" s="67" t="str">
        <x:v>https://www.stonealgo.com/diamond-prices/</x:v>
      </x:c>
      <x:c r="L2349" s="67" t="str">
        <x:v>https://www.pricescope.com/blog/natural-diamond-prices-september-2026</x:v>
      </x:c>
    </x:row>
    <x:row r="2350">
      <x:c r="A2350" t="n">
        <x:v>4</x:v>
      </x:c>
      <x:c r="B2350" t="str">
        <x:v>Pear</x:v>
      </x:c>
      <x:c r="C2350" t="str">
        <x:v>I</x:v>
      </x:c>
      <x:c r="D2350" t="str">
        <x:v>VS1</x:v>
      </x:c>
      <x:c r="E2350" s="36" t="n">
        <x:v>96372</x:v>
      </x:c>
      <x:c r="F2350" s="36" t="n">
        <x:v>3313</x:v>
      </x:c>
      <x:c r="G2350" s="42" t="n">
        <x:v>0.7106392106392107</x:v>
      </x:c>
      <x:c r="H2350" s="36" t="n">
        <x:f>E2350*G2350</x:f>
        <x:v>68485.72200772201</x:v>
      </x:c>
      <x:c r="I2350" s="36" t="n">
        <x:f>IFERROR(H2350/A2350,0)</x:f>
        <x:v>17121.430501930503</x:v>
      </x:c>
      <x:c r="J2350" s="67" t="str">
        <x:v>Modeled from live base + Sep-2026 quality ratio</x:v>
      </x:c>
      <x:c r="K2350" s="67" t="str">
        <x:v>https://www.stonealgo.com/diamond-prices/</x:v>
      </x:c>
      <x:c r="L2350" s="67" t="str">
        <x:v>https://www.pricescope.com/blog/natural-diamond-prices-september-2026</x:v>
      </x:c>
    </x:row>
    <x:row r="2351">
      <x:c r="A2351" t="n">
        <x:v>4</x:v>
      </x:c>
      <x:c r="B2351" t="str">
        <x:v>Pear</x:v>
      </x:c>
      <x:c r="C2351" t="str">
        <x:v>I</x:v>
      </x:c>
      <x:c r="D2351" t="str">
        <x:v>VS2</x:v>
      </x:c>
      <x:c r="E2351" s="36" t="n">
        <x:v>96372</x:v>
      </x:c>
      <x:c r="F2351" s="36" t="n">
        <x:v>3240</x:v>
      </x:c>
      <x:c r="G2351" s="42" t="n">
        <x:v>0.694980694980695</x:v>
      </x:c>
      <x:c r="H2351" s="36" t="n">
        <x:f>E2351*G2351</x:f>
        <x:v>66976.67953667954</x:v>
      </x:c>
      <x:c r="I2351" s="36" t="n">
        <x:f>IFERROR(H2351/A2351,0)</x:f>
        <x:v>16744.169884169885</x:v>
      </x:c>
      <x:c r="J2351" s="67" t="str">
        <x:v>Modeled from live base + Sep-2026 quality ratio</x:v>
      </x:c>
      <x:c r="K2351" s="67" t="str">
        <x:v>https://www.stonealgo.com/diamond-prices/</x:v>
      </x:c>
      <x:c r="L2351" s="67" t="str">
        <x:v>https://www.pricescope.com/blog/natural-diamond-prices-september-2026</x:v>
      </x:c>
    </x:row>
    <x:row r="2352">
      <x:c r="A2352" t="n">
        <x:v>4</x:v>
      </x:c>
      <x:c r="B2352" t="str">
        <x:v>Pear</x:v>
      </x:c>
      <x:c r="C2352" t="str">
        <x:v>I</x:v>
      </x:c>
      <x:c r="D2352" t="str">
        <x:v>SI1</x:v>
      </x:c>
      <x:c r="E2352" s="36" t="n">
        <x:v>96372</x:v>
      </x:c>
      <x:c r="F2352" s="36" t="n">
        <x:v>3199</x:v>
      </x:c>
      <x:c r="G2352" s="42" t="n">
        <x:v>0.6861861861861862</x:v>
      </x:c>
      <x:c r="H2352" s="36" t="n">
        <x:f>E2352*G2352</x:f>
        <x:v>66129.13513513513</x:v>
      </x:c>
      <x:c r="I2352" s="36" t="n">
        <x:f>IFERROR(H2352/A2352,0)</x:f>
        <x:v>16532.283783783783</x:v>
      </x:c>
      <x:c r="J2352" s="67" t="str">
        <x:v>Modeled from live base + Sep-2026 quality ratio</x:v>
      </x:c>
      <x:c r="K2352" s="67" t="str">
        <x:v>https://www.stonealgo.com/diamond-prices/</x:v>
      </x:c>
      <x:c r="L2352" s="67" t="str">
        <x:v>https://www.pricescope.com/blog/natural-diamond-prices-september-2026</x:v>
      </x:c>
    </x:row>
    <x:row r="2353">
      <x:c r="A2353" t="n">
        <x:v>4</x:v>
      </x:c>
      <x:c r="B2353" t="str">
        <x:v>Pear</x:v>
      </x:c>
      <x:c r="C2353" t="str">
        <x:v>I</x:v>
      </x:c>
      <x:c r="D2353" t="str">
        <x:v>SI2</x:v>
      </x:c>
      <x:c r="E2353" s="36" t="n">
        <x:v>96372</x:v>
      </x:c>
      <x:c r="F2353" s="36" t="n">
        <x:v>2874</x:v>
      </x:c>
      <x:c r="G2353" s="42" t="n">
        <x:v>0.6164736164736164</x:v>
      </x:c>
      <x:c r="H2353" s="36" t="n">
        <x:f>E2353*G2353</x:f>
        <x:v>59410.79536679536</x:v>
      </x:c>
      <x:c r="I2353" s="36" t="n">
        <x:f>IFERROR(H2353/A2353,0)</x:f>
        <x:v>14852.69884169884</x:v>
      </x:c>
      <x:c r="J2353" s="67" t="str">
        <x:v>Modeled from live base + Sep-2026 quality ratio</x:v>
      </x:c>
      <x:c r="K2353" s="67" t="str">
        <x:v>https://www.stonealgo.com/diamond-prices/</x:v>
      </x:c>
      <x:c r="L2353" s="67" t="str">
        <x:v>https://www.pricescope.com/blog/natural-diamond-prices-september-2026</x:v>
      </x:c>
    </x:row>
    <x:row r="2354">
      <x:c r="A2354" t="n">
        <x:v>4</x:v>
      </x:c>
      <x:c r="B2354" t="str">
        <x:v>Pear</x:v>
      </x:c>
      <x:c r="C2354" t="str">
        <x:v>J</x:v>
      </x:c>
      <x:c r="D2354" t="str">
        <x:v>FL</x:v>
      </x:c>
      <x:c r="E2354" s="36" t="n">
        <x:v>96372</x:v>
      </x:c>
      <x:c r="F2354" s="36" t="n">
        <x:v>3646</x:v>
      </x:c>
      <x:c r="G2354" s="42" t="n">
        <x:v>0.782067782067782</x:v>
      </x:c>
      <x:c r="H2354" s="36" t="n">
        <x:f>E2354*G2354</x:f>
        <x:v>75369.43629343629</x:v>
      </x:c>
      <x:c r="I2354" s="36" t="n">
        <x:f>IFERROR(H2354/A2354,0)</x:f>
        <x:v>18842.35907335907</x:v>
      </x:c>
      <x:c r="J2354" s="67" t="str">
        <x:v>Modeled from live base + Sep-2026 quality ratio</x:v>
      </x:c>
      <x:c r="K2354" s="67" t="str">
        <x:v>https://www.stonealgo.com/diamond-prices/</x:v>
      </x:c>
      <x:c r="L2354" s="67" t="str">
        <x:v>https://www.pricescope.com/blog/natural-diamond-prices-september-2026</x:v>
      </x:c>
    </x:row>
    <x:row r="2355">
      <x:c r="A2355" t="n">
        <x:v>4</x:v>
      </x:c>
      <x:c r="B2355" t="str">
        <x:v>Pear</x:v>
      </x:c>
      <x:c r="C2355" t="str">
        <x:v>J</x:v>
      </x:c>
      <x:c r="D2355" t="str">
        <x:v>IF</x:v>
      </x:c>
      <x:c r="E2355" s="36" t="n">
        <x:v>96372</x:v>
      </x:c>
      <x:c r="F2355" s="36" t="n">
        <x:v>3368</x:v>
      </x:c>
      <x:c r="G2355" s="42" t="n">
        <x:v>0.7224367224367224</x:v>
      </x:c>
      <x:c r="H2355" s="36" t="n">
        <x:f>E2355*G2355</x:f>
        <x:v>69622.67181467182</x:v>
      </x:c>
      <x:c r="I2355" s="36" t="n">
        <x:f>IFERROR(H2355/A2355,0)</x:f>
        <x:v>17405.667953667955</x:v>
      </x:c>
      <x:c r="J2355" s="67" t="str">
        <x:v>Modeled from live base + Sep-2026 quality ratio</x:v>
      </x:c>
      <x:c r="K2355" s="67" t="str">
        <x:v>https://www.stonealgo.com/diamond-prices/</x:v>
      </x:c>
      <x:c r="L2355" s="67" t="str">
        <x:v>https://www.pricescope.com/blog/natural-diamond-prices-september-2026</x:v>
      </x:c>
    </x:row>
    <x:row r="2356">
      <x:c r="A2356" t="n">
        <x:v>4</x:v>
      </x:c>
      <x:c r="B2356" t="str">
        <x:v>Pear</x:v>
      </x:c>
      <x:c r="C2356" t="str">
        <x:v>J</x:v>
      </x:c>
      <x:c r="D2356" t="str">
        <x:v>VVS1</x:v>
      </x:c>
      <x:c r="E2356" s="36" t="n">
        <x:v>96372</x:v>
      </x:c>
      <x:c r="F2356" s="36" t="n">
        <x:v>2956</x:v>
      </x:c>
      <x:c r="G2356" s="42" t="n">
        <x:v>0.6340626340626341</x:v>
      </x:c>
      <x:c r="H2356" s="36" t="n">
        <x:f>E2356*G2356</x:f>
        <x:v>61105.88416988417</x:v>
      </x:c>
      <x:c r="I2356" s="36" t="n">
        <x:f>IFERROR(H2356/A2356,0)</x:f>
        <x:v>15276.471042471043</x:v>
      </x:c>
      <x:c r="J2356" s="67" t="str">
        <x:v>Modeled from live base + Sep-2026 quality ratio</x:v>
      </x:c>
      <x:c r="K2356" s="67" t="str">
        <x:v>https://www.stonealgo.com/diamond-prices/</x:v>
      </x:c>
      <x:c r="L2356" s="67" t="str">
        <x:v>https://www.pricescope.com/blog/natural-diamond-prices-september-2026</x:v>
      </x:c>
    </x:row>
    <x:row r="2357">
      <x:c r="A2357" t="n">
        <x:v>4</x:v>
      </x:c>
      <x:c r="B2357" t="str">
        <x:v>Pear</x:v>
      </x:c>
      <x:c r="C2357" t="str">
        <x:v>J</x:v>
      </x:c>
      <x:c r="D2357" t="str">
        <x:v>VVS2</x:v>
      </x:c>
      <x:c r="E2357" s="36" t="n">
        <x:v>96372</x:v>
      </x:c>
      <x:c r="F2357" s="36" t="n">
        <x:v>2612</x:v>
      </x:c>
      <x:c r="G2357" s="42" t="n">
        <x:v>0.5602745602745602</x:v>
      </x:c>
      <x:c r="H2357" s="36" t="n">
        <x:f>E2357*G2357</x:f>
        <x:v>53994.77992277992</x:v>
      </x:c>
      <x:c r="I2357" s="36" t="n">
        <x:f>IFERROR(H2357/A2357,0)</x:f>
        <x:v>13498.69498069498</x:v>
      </x:c>
      <x:c r="J2357" s="67" t="str">
        <x:v>Modeled from live base + Sep-2026 quality ratio</x:v>
      </x:c>
      <x:c r="K2357" s="67" t="str">
        <x:v>https://www.stonealgo.com/diamond-prices/</x:v>
      </x:c>
      <x:c r="L2357" s="67" t="str">
        <x:v>https://www.pricescope.com/blog/natural-diamond-prices-september-2026</x:v>
      </x:c>
    </x:row>
    <x:row r="2358">
      <x:c r="A2358" t="n">
        <x:v>4</x:v>
      </x:c>
      <x:c r="B2358" t="str">
        <x:v>Pear</x:v>
      </x:c>
      <x:c r="C2358" t="str">
        <x:v>J</x:v>
      </x:c>
      <x:c r="D2358" t="str">
        <x:v>VS1</x:v>
      </x:c>
      <x:c r="E2358" s="36" t="n">
        <x:v>96372</x:v>
      </x:c>
      <x:c r="F2358" s="36" t="n">
        <x:v>3002</x:v>
      </x:c>
      <x:c r="G2358" s="42" t="n">
        <x:v>0.6439296439296439</x:v>
      </x:c>
      <x:c r="H2358" s="36" t="n">
        <x:f>E2358*G2358</x:f>
        <x:v>62056.78764478764</x:v>
      </x:c>
      <x:c r="I2358" s="36" t="n">
        <x:f>IFERROR(H2358/A2358,0)</x:f>
        <x:v>15514.19691119691</x:v>
      </x:c>
      <x:c r="J2358" s="67" t="str">
        <x:v>Modeled from live base + Sep-2026 quality ratio</x:v>
      </x:c>
      <x:c r="K2358" s="67" t="str">
        <x:v>https://www.stonealgo.com/diamond-prices/</x:v>
      </x:c>
      <x:c r="L2358" s="67" t="str">
        <x:v>https://www.pricescope.com/blog/natural-diamond-prices-september-2026</x:v>
      </x:c>
    </x:row>
    <x:row r="2359">
      <x:c r="A2359" t="n">
        <x:v>4</x:v>
      </x:c>
      <x:c r="B2359" t="str">
        <x:v>Pear</x:v>
      </x:c>
      <x:c r="C2359" t="str">
        <x:v>J</x:v>
      </x:c>
      <x:c r="D2359" t="str">
        <x:v>VS2</x:v>
      </x:c>
      <x:c r="E2359" s="36" t="n">
        <x:v>96372</x:v>
      </x:c>
      <x:c r="F2359" s="36" t="n">
        <x:v>2559</x:v>
      </x:c>
      <x:c r="G2359" s="42" t="n">
        <x:v>0.5489060489060489</x:v>
      </x:c>
      <x:c r="H2359" s="36" t="n">
        <x:f>E2359*G2359</x:f>
        <x:v>52899.17374517374</x:v>
      </x:c>
      <x:c r="I2359" s="36" t="n">
        <x:f>IFERROR(H2359/A2359,0)</x:f>
        <x:v>13224.793436293436</x:v>
      </x:c>
      <x:c r="J2359" s="67" t="str">
        <x:v>Modeled from live base + Sep-2026 quality ratio</x:v>
      </x:c>
      <x:c r="K2359" s="67" t="str">
        <x:v>https://www.stonealgo.com/diamond-prices/</x:v>
      </x:c>
      <x:c r="L2359" s="67" t="str">
        <x:v>https://www.pricescope.com/blog/natural-diamond-prices-september-2026</x:v>
      </x:c>
    </x:row>
    <x:row r="2360">
      <x:c r="A2360" t="n">
        <x:v>4</x:v>
      </x:c>
      <x:c r="B2360" t="str">
        <x:v>Pear</x:v>
      </x:c>
      <x:c r="C2360" t="str">
        <x:v>J</x:v>
      </x:c>
      <x:c r="D2360" t="str">
        <x:v>SI1</x:v>
      </x:c>
      <x:c r="E2360" s="36" t="n">
        <x:v>96372</x:v>
      </x:c>
      <x:c r="F2360" s="36" t="n">
        <x:v>2195</x:v>
      </x:c>
      <x:c r="G2360" s="42" t="n">
        <x:v>0.47082797082797084</x:v>
      </x:c>
      <x:c r="H2360" s="36" t="n">
        <x:f>E2360*G2360</x:f>
        <x:v>45374.6332046332</x:v>
      </x:c>
      <x:c r="I2360" s="36" t="n">
        <x:f>IFERROR(H2360/A2360,0)</x:f>
        <x:v>11343.6583011583</x:v>
      </x:c>
      <x:c r="J2360" s="67" t="str">
        <x:v>Modeled from live base + Sep-2026 quality ratio</x:v>
      </x:c>
      <x:c r="K2360" s="67" t="str">
        <x:v>https://www.stonealgo.com/diamond-prices/</x:v>
      </x:c>
      <x:c r="L2360" s="67" t="str">
        <x:v>https://www.pricescope.com/blog/natural-diamond-prices-september-2026</x:v>
      </x:c>
    </x:row>
    <x:row r="2361">
      <x:c r="A2361" t="n">
        <x:v>4</x:v>
      </x:c>
      <x:c r="B2361" t="str">
        <x:v>Pear</x:v>
      </x:c>
      <x:c r="C2361" t="str">
        <x:v>J</x:v>
      </x:c>
      <x:c r="D2361" t="str">
        <x:v>SI2</x:v>
      </x:c>
      <x:c r="E2361" s="36" t="n">
        <x:v>96372</x:v>
      </x:c>
      <x:c r="F2361" s="36" t="n">
        <x:v>2079</x:v>
      </x:c>
      <x:c r="G2361" s="42" t="n">
        <x:v>0.44594594594594594</x:v>
      </x:c>
      <x:c r="H2361" s="36" t="n">
        <x:f>E2361*G2361</x:f>
        <x:v>42976.7027027027</x:v>
      </x:c>
      <x:c r="I2361" s="36" t="n">
        <x:f>IFERROR(H2361/A2361,0)</x:f>
        <x:v>10744.175675675675</x:v>
      </x:c>
      <x:c r="J2361" s="67" t="str">
        <x:v>Modeled from live base + Sep-2026 quality ratio</x:v>
      </x:c>
      <x:c r="K2361" s="67" t="str">
        <x:v>https://www.stonealgo.com/diamond-prices/</x:v>
      </x:c>
      <x:c r="L2361" s="67" t="str">
        <x:v>https://www.pricescope.com/blog/natural-diamond-prices-september-2026</x:v>
      </x:c>
    </x:row>
    <x:row r="2362">
      <x:c r="A2362" t="n">
        <x:v>4</x:v>
      </x:c>
      <x:c r="B2362" t="str">
        <x:v>Pear</x:v>
      </x:c>
      <x:c r="C2362" t="str">
        <x:v>K</x:v>
      </x:c>
      <x:c r="D2362" t="str">
        <x:v>FL</x:v>
      </x:c>
      <x:c r="E2362" s="36" t="n">
        <x:v>96372</x:v>
      </x:c>
      <x:c r="F2362" s="36" t="n">
        <x:v>2858</x:v>
      </x:c>
      <x:c r="G2362" s="42" t="n">
        <x:v>0.6130416130416131</x:v>
      </x:c>
      <x:c r="H2362" s="36" t="n">
        <x:f>E2362*G2362</x:f>
        <x:v>59080.04633204634</x:v>
      </x:c>
      <x:c r="I2362" s="36" t="n">
        <x:f>IFERROR(H2362/A2362,0)</x:f>
        <x:v>14770.011583011585</x:v>
      </x:c>
      <x:c r="J2362" s="67" t="str">
        <x:v>Modeled from live base + Sep-2026 quality ratio; K/FL quality cell modeled</x:v>
      </x:c>
      <x:c r="K2362" s="67" t="str">
        <x:v>https://www.stonealgo.com/diamond-prices/</x:v>
      </x:c>
      <x:c r="L2362" s="67" t="str">
        <x:v>https://www.pricescope.com/blog/natural-diamond-prices-september-2026</x:v>
      </x:c>
    </x:row>
    <x:row r="2363">
      <x:c r="A2363" t="n">
        <x:v>4</x:v>
      </x:c>
      <x:c r="B2363" t="str">
        <x:v>Pear</x:v>
      </x:c>
      <x:c r="C2363" t="str">
        <x:v>K</x:v>
      </x:c>
      <x:c r="D2363" t="str">
        <x:v>IF</x:v>
      </x:c>
      <x:c r="E2363" s="36" t="n">
        <x:v>96372</x:v>
      </x:c>
      <x:c r="F2363" s="36" t="n">
        <x:v>2743</x:v>
      </x:c>
      <x:c r="G2363" s="42" t="n">
        <x:v>0.5883740883740883</x:v>
      </x:c>
      <x:c r="H2363" s="36" t="n">
        <x:f>E2363*G2363</x:f>
        <x:v>56702.78764478764</x:v>
      </x:c>
      <x:c r="I2363" s="36" t="n">
        <x:f>IFERROR(H2363/A2363,0)</x:f>
        <x:v>14175.69691119691</x:v>
      </x:c>
      <x:c r="J2363" s="67" t="str">
        <x:v>Modeled from live base + Sep-2026 quality ratio</x:v>
      </x:c>
      <x:c r="K2363" s="67" t="str">
        <x:v>https://www.stonealgo.com/diamond-prices/</x:v>
      </x:c>
      <x:c r="L2363" s="67" t="str">
        <x:v>https://www.pricescope.com/blog/natural-diamond-prices-september-2026</x:v>
      </x:c>
    </x:row>
    <x:row r="2364">
      <x:c r="A2364" t="n">
        <x:v>4</x:v>
      </x:c>
      <x:c r="B2364" t="str">
        <x:v>Pear</x:v>
      </x:c>
      <x:c r="C2364" t="str">
        <x:v>K</x:v>
      </x:c>
      <x:c r="D2364" t="str">
        <x:v>VVS1</x:v>
      </x:c>
      <x:c r="E2364" s="36" t="n">
        <x:v>96372</x:v>
      </x:c>
      <x:c r="F2364" s="36" t="n">
        <x:v>2529</x:v>
      </x:c>
      <x:c r="G2364" s="42" t="n">
        <x:v>0.5424710424710425</x:v>
      </x:c>
      <x:c r="H2364" s="36" t="n">
        <x:f>E2364*G2364</x:f>
        <x:v>52279.019305019305</x:v>
      </x:c>
      <x:c r="I2364" s="36" t="n">
        <x:f>IFERROR(H2364/A2364,0)</x:f>
        <x:v>13069.754826254826</x:v>
      </x:c>
      <x:c r="J2364" s="67" t="str">
        <x:v>Modeled from live base + Sep-2026 quality ratio</x:v>
      </x:c>
      <x:c r="K2364" s="67" t="str">
        <x:v>https://www.stonealgo.com/diamond-prices/</x:v>
      </x:c>
      <x:c r="L2364" s="67" t="str">
        <x:v>https://www.pricescope.com/blog/natural-diamond-prices-september-2026</x:v>
      </x:c>
    </x:row>
    <x:row r="2365">
      <x:c r="A2365" t="n">
        <x:v>4</x:v>
      </x:c>
      <x:c r="B2365" t="str">
        <x:v>Pear</x:v>
      </x:c>
      <x:c r="C2365" t="str">
        <x:v>K</x:v>
      </x:c>
      <x:c r="D2365" t="str">
        <x:v>VVS2</x:v>
      </x:c>
      <x:c r="E2365" s="36" t="n">
        <x:v>96372</x:v>
      </x:c>
      <x:c r="F2365" s="36" t="n">
        <x:v>2374</x:v>
      </x:c>
      <x:c r="G2365" s="42" t="n">
        <x:v>0.5092235092235092</x:v>
      </x:c>
      <x:c r="H2365" s="36" t="n">
        <x:f>E2365*G2365</x:f>
        <x:v>49074.88803088803</x:v>
      </x:c>
      <x:c r="I2365" s="36" t="n">
        <x:f>IFERROR(H2365/A2365,0)</x:f>
        <x:v>12268.722007722008</x:v>
      </x:c>
      <x:c r="J2365" s="67" t="str">
        <x:v>Modeled from live base + Sep-2026 quality ratio</x:v>
      </x:c>
      <x:c r="K2365" s="67" t="str">
        <x:v>https://www.stonealgo.com/diamond-prices/</x:v>
      </x:c>
      <x:c r="L2365" s="67" t="str">
        <x:v>https://www.pricescope.com/blog/natural-diamond-prices-september-2026</x:v>
      </x:c>
    </x:row>
    <x:row r="2366">
      <x:c r="A2366" t="n">
        <x:v>4</x:v>
      </x:c>
      <x:c r="B2366" t="str">
        <x:v>Pear</x:v>
      </x:c>
      <x:c r="C2366" t="str">
        <x:v>K</x:v>
      </x:c>
      <x:c r="D2366" t="str">
        <x:v>VS1</x:v>
      </x:c>
      <x:c r="E2366" s="36" t="n">
        <x:v>96372</x:v>
      </x:c>
      <x:c r="F2366" s="36" t="n">
        <x:v>2223</x:v>
      </x:c>
      <x:c r="G2366" s="42" t="n">
        <x:v>0.4768339768339768</x:v>
      </x:c>
      <x:c r="H2366" s="36" t="n">
        <x:f>E2366*G2366</x:f>
        <x:v>45953.444015444016</x:v>
      </x:c>
      <x:c r="I2366" s="36" t="n">
        <x:f>IFERROR(H2366/A2366,0)</x:f>
        <x:v>11488.361003861004</x:v>
      </x:c>
      <x:c r="J2366" s="67" t="str">
        <x:v>Modeled from live base + Sep-2026 quality ratio</x:v>
      </x:c>
      <x:c r="K2366" s="67" t="str">
        <x:v>https://www.stonealgo.com/diamond-prices/</x:v>
      </x:c>
      <x:c r="L2366" s="67" t="str">
        <x:v>https://www.pricescope.com/blog/natural-diamond-prices-september-2026</x:v>
      </x:c>
    </x:row>
    <x:row r="2367">
      <x:c r="A2367" t="n">
        <x:v>4</x:v>
      </x:c>
      <x:c r="B2367" t="str">
        <x:v>Pear</x:v>
      </x:c>
      <x:c r="C2367" t="str">
        <x:v>K</x:v>
      </x:c>
      <x:c r="D2367" t="str">
        <x:v>VS2</x:v>
      </x:c>
      <x:c r="E2367" s="36" t="n">
        <x:v>96372</x:v>
      </x:c>
      <x:c r="F2367" s="36" t="n">
        <x:v>2098</x:v>
      </x:c>
      <x:c r="G2367" s="42" t="n">
        <x:v>0.45002145002145</x:v>
      </x:c>
      <x:c r="H2367" s="36" t="n">
        <x:f>E2367*G2367</x:f>
        <x:v>43369.46718146718</x:v>
      </x:c>
      <x:c r="I2367" s="36" t="n">
        <x:f>IFERROR(H2367/A2367,0)</x:f>
        <x:v>10842.366795366795</x:v>
      </x:c>
      <x:c r="J2367" s="67" t="str">
        <x:v>Modeled from live base + Sep-2026 quality ratio</x:v>
      </x:c>
      <x:c r="K2367" s="67" t="str">
        <x:v>https://www.stonealgo.com/diamond-prices/</x:v>
      </x:c>
      <x:c r="L2367" s="67" t="str">
        <x:v>https://www.pricescope.com/blog/natural-diamond-prices-september-2026</x:v>
      </x:c>
    </x:row>
    <x:row r="2368">
      <x:c r="A2368" t="n">
        <x:v>4</x:v>
      </x:c>
      <x:c r="B2368" t="str">
        <x:v>Pear</x:v>
      </x:c>
      <x:c r="C2368" t="str">
        <x:v>K</x:v>
      </x:c>
      <x:c r="D2368" t="str">
        <x:v>SI1</x:v>
      </x:c>
      <x:c r="E2368" s="36" t="n">
        <x:v>96372</x:v>
      </x:c>
      <x:c r="F2368" s="36" t="n">
        <x:v>1922</x:v>
      </x:c>
      <x:c r="G2368" s="42" t="n">
        <x:v>0.41226941226941227</x:v>
      </x:c>
      <x:c r="H2368" s="36" t="n">
        <x:f>E2368*G2368</x:f>
        <x:v>39731.227799227796</x:v>
      </x:c>
      <x:c r="I2368" s="36" t="n">
        <x:f>IFERROR(H2368/A2368,0)</x:f>
        <x:v>9932.806949806949</x:v>
      </x:c>
      <x:c r="J2368" s="67" t="str">
        <x:v>Modeled from live base + Sep-2026 quality ratio</x:v>
      </x:c>
      <x:c r="K2368" s="67" t="str">
        <x:v>https://www.stonealgo.com/diamond-prices/</x:v>
      </x:c>
      <x:c r="L2368" s="67" t="str">
        <x:v>https://www.pricescope.com/blog/natural-diamond-prices-september-2026</x:v>
      </x:c>
    </x:row>
    <x:row r="2369">
      <x:c r="A2369" t="n">
        <x:v>4</x:v>
      </x:c>
      <x:c r="B2369" t="str">
        <x:v>Pear</x:v>
      </x:c>
      <x:c r="C2369" t="str">
        <x:v>K</x:v>
      </x:c>
      <x:c r="D2369" t="str">
        <x:v>SI2</x:v>
      </x:c>
      <x:c r="E2369" s="36" t="n">
        <x:v>96372</x:v>
      </x:c>
      <x:c r="F2369" s="36" t="n">
        <x:v>1764</x:v>
      </x:c>
      <x:c r="G2369" s="42" t="n">
        <x:v>0.3783783783783784</x:v>
      </x:c>
      <x:c r="H2369" s="36" t="n">
        <x:f>E2369*G2369</x:f>
        <x:v>36465.08108108108</x:v>
      </x:c>
      <x:c r="I2369" s="36" t="n">
        <x:f>IFERROR(H2369/A2369,0)</x:f>
        <x:v>9116.27027027027</x:v>
      </x:c>
      <x:c r="J2369" s="67" t="str">
        <x:v>Modeled from live base + Sep-2026 quality ratio</x:v>
      </x:c>
      <x:c r="K2369" s="67" t="str">
        <x:v>https://www.stonealgo.com/diamond-prices/</x:v>
      </x:c>
      <x:c r="L2369" s="67" t="str">
        <x:v>https://www.pricescope.com/blog/natural-diamond-prices-september-2026</x:v>
      </x:c>
    </x:row>
    <x:row r="2370">
      <x:c r="A2370" t="n">
        <x:v>4</x:v>
      </x:c>
      <x:c r="B2370" t="str">
        <x:v>Heart</x:v>
      </x:c>
      <x:c r="C2370" t="str">
        <x:v>D</x:v>
      </x:c>
      <x:c r="D2370" t="str">
        <x:v>FL</x:v>
      </x:c>
      <x:c r="E2370" s="36" t="n">
        <x:v>73500</x:v>
      </x:c>
      <x:c r="F2370" s="36" t="n">
        <x:v>12665</x:v>
      </x:c>
      <x:c r="G2370" s="42" t="n">
        <x:v>2.7166452166452166</x:v>
      </x:c>
      <x:c r="H2370" s="36" t="n">
        <x:f>E2370*G2370</x:f>
        <x:v>199673.42342342343</x:v>
      </x:c>
      <x:c r="I2370" s="36" t="n">
        <x:f>IFERROR(H2370/A2370,0)</x:f>
        <x:v>49918.35585585586</x:v>
      </x:c>
      <x:c r="J2370" s="67" t="str">
        <x:v>Modeled from live base + Sep-2026 quality ratio</x:v>
      </x:c>
      <x:c r="K2370" s="67" t="str">
        <x:v>https://www.stonealgo.com/diamond-prices/</x:v>
      </x:c>
      <x:c r="L2370" s="67" t="str">
        <x:v>https://www.pricescope.com/blog/natural-diamond-prices-september-2026</x:v>
      </x:c>
    </x:row>
    <x:row r="2371">
      <x:c r="A2371" t="n">
        <x:v>4</x:v>
      </x:c>
      <x:c r="B2371" t="str">
        <x:v>Heart</x:v>
      </x:c>
      <x:c r="C2371" t="str">
        <x:v>D</x:v>
      </x:c>
      <x:c r="D2371" t="str">
        <x:v>IF</x:v>
      </x:c>
      <x:c r="E2371" s="36" t="n">
        <x:v>73500</x:v>
      </x:c>
      <x:c r="F2371" s="36" t="n">
        <x:v>13240</x:v>
      </x:c>
      <x:c r="G2371" s="42" t="n">
        <x:v>2.83998283998284</x:v>
      </x:c>
      <x:c r="H2371" s="36" t="n">
        <x:f>E2371*G2371</x:f>
        <x:v>208738.73873873876</x:v>
      </x:c>
      <x:c r="I2371" s="36" t="n">
        <x:f>IFERROR(H2371/A2371,0)</x:f>
        <x:v>52184.68468468469</x:v>
      </x:c>
      <x:c r="J2371" s="67" t="str">
        <x:v>Modeled from live base + Sep-2026 quality ratio</x:v>
      </x:c>
      <x:c r="K2371" s="67" t="str">
        <x:v>https://www.stonealgo.com/diamond-prices/</x:v>
      </x:c>
      <x:c r="L2371" s="67" t="str">
        <x:v>https://www.pricescope.com/blog/natural-diamond-prices-september-2026</x:v>
      </x:c>
    </x:row>
    <x:row r="2372">
      <x:c r="A2372" t="n">
        <x:v>4</x:v>
      </x:c>
      <x:c r="B2372" t="str">
        <x:v>Heart</x:v>
      </x:c>
      <x:c r="C2372" t="str">
        <x:v>D</x:v>
      </x:c>
      <x:c r="D2372" t="str">
        <x:v>VVS1</x:v>
      </x:c>
      <x:c r="E2372" s="36" t="n">
        <x:v>73500</x:v>
      </x:c>
      <x:c r="F2372" s="36" t="n">
        <x:v>9555</x:v>
      </x:c>
      <x:c r="G2372" s="42" t="n">
        <x:v>2.0495495495495497</x:v>
      </x:c>
      <x:c r="H2372" s="36" t="n">
        <x:f>E2372*G2372</x:f>
        <x:v>150641.8918918919</x:v>
      </x:c>
      <x:c r="I2372" s="36" t="n">
        <x:f>IFERROR(H2372/A2372,0)</x:f>
        <x:v>37660.47297297297</x:v>
      </x:c>
      <x:c r="J2372" s="67" t="str">
        <x:v>Modeled from live base + Sep-2026 quality ratio</x:v>
      </x:c>
      <x:c r="K2372" s="67" t="str">
        <x:v>https://www.stonealgo.com/diamond-prices/</x:v>
      </x:c>
      <x:c r="L2372" s="67" t="str">
        <x:v>https://www.pricescope.com/blog/natural-diamond-prices-september-2026</x:v>
      </x:c>
    </x:row>
    <x:row r="2373">
      <x:c r="A2373" t="n">
        <x:v>4</x:v>
      </x:c>
      <x:c r="B2373" t="str">
        <x:v>Heart</x:v>
      </x:c>
      <x:c r="C2373" t="str">
        <x:v>D</x:v>
      </x:c>
      <x:c r="D2373" t="str">
        <x:v>VVS2</x:v>
      </x:c>
      <x:c r="E2373" s="36" t="n">
        <x:v>73500</x:v>
      </x:c>
      <x:c r="F2373" s="36" t="n">
        <x:v>6660</x:v>
      </x:c>
      <x:c r="G2373" s="42" t="n">
        <x:v>1.4285714285714286</x:v>
      </x:c>
      <x:c r="H2373" s="36" t="n">
        <x:f>E2373*G2373</x:f>
        <x:v>105000</x:v>
      </x:c>
      <x:c r="I2373" s="36" t="n">
        <x:f>IFERROR(H2373/A2373,0)</x:f>
        <x:v>26250</x:v>
      </x:c>
      <x:c r="J2373" s="67" t="str">
        <x:v>Modeled from live base + Sep-2026 quality ratio</x:v>
      </x:c>
      <x:c r="K2373" s="67" t="str">
        <x:v>https://www.stonealgo.com/diamond-prices/</x:v>
      </x:c>
      <x:c r="L2373" s="67" t="str">
        <x:v>https://www.pricescope.com/blog/natural-diamond-prices-september-2026</x:v>
      </x:c>
    </x:row>
    <x:row r="2374">
      <x:c r="A2374" t="n">
        <x:v>4</x:v>
      </x:c>
      <x:c r="B2374" t="str">
        <x:v>Heart</x:v>
      </x:c>
      <x:c r="C2374" t="str">
        <x:v>D</x:v>
      </x:c>
      <x:c r="D2374" t="str">
        <x:v>VS1</x:v>
      </x:c>
      <x:c r="E2374" s="36" t="n">
        <x:v>73500</x:v>
      </x:c>
      <x:c r="F2374" s="36" t="n">
        <x:v>6247</x:v>
      </x:c>
      <x:c r="G2374" s="42" t="n">
        <x:v>1.33998283998284</x:v>
      </x:c>
      <x:c r="H2374" s="36" t="n">
        <x:f>E2374*G2374</x:f>
        <x:v>98488.73873873874</x:v>
      </x:c>
      <x:c r="I2374" s="36" t="n">
        <x:f>IFERROR(H2374/A2374,0)</x:f>
        <x:v>24622.184684684686</x:v>
      </x:c>
      <x:c r="J2374" s="67" t="str">
        <x:v>Modeled from live base + Sep-2026 quality ratio</x:v>
      </x:c>
      <x:c r="K2374" s="67" t="str">
        <x:v>https://www.stonealgo.com/diamond-prices/</x:v>
      </x:c>
      <x:c r="L2374" s="67" t="str">
        <x:v>https://www.pricescope.com/blog/natural-diamond-prices-september-2026</x:v>
      </x:c>
    </x:row>
    <x:row r="2375">
      <x:c r="A2375" t="n">
        <x:v>4</x:v>
      </x:c>
      <x:c r="B2375" t="str">
        <x:v>Heart</x:v>
      </x:c>
      <x:c r="C2375" t="str">
        <x:v>D</x:v>
      </x:c>
      <x:c r="D2375" t="str">
        <x:v>VS2</x:v>
      </x:c>
      <x:c r="E2375" s="36" t="n">
        <x:v>73500</x:v>
      </x:c>
      <x:c r="F2375" s="36" t="n">
        <x:v>5841</x:v>
      </x:c>
      <x:c r="G2375" s="42" t="n">
        <x:v>1.252895752895753</x:v>
      </x:c>
      <x:c r="H2375" s="36" t="n">
        <x:f>E2375*G2375</x:f>
        <x:v>92087.83783783784</x:v>
      </x:c>
      <x:c r="I2375" s="36" t="n">
        <x:f>IFERROR(H2375/A2375,0)</x:f>
        <x:v>23021.95945945946</x:v>
      </x:c>
      <x:c r="J2375" s="67" t="str">
        <x:v>Modeled from live base + Sep-2026 quality ratio</x:v>
      </x:c>
      <x:c r="K2375" s="67" t="str">
        <x:v>https://www.stonealgo.com/diamond-prices/</x:v>
      </x:c>
      <x:c r="L2375" s="67" t="str">
        <x:v>https://www.pricescope.com/blog/natural-diamond-prices-september-2026</x:v>
      </x:c>
    </x:row>
    <x:row r="2376">
      <x:c r="A2376" t="n">
        <x:v>4</x:v>
      </x:c>
      <x:c r="B2376" t="str">
        <x:v>Heart</x:v>
      </x:c>
      <x:c r="C2376" t="str">
        <x:v>D</x:v>
      </x:c>
      <x:c r="D2376" t="str">
        <x:v>SI1</x:v>
      </x:c>
      <x:c r="E2376" s="36" t="n">
        <x:v>73500</x:v>
      </x:c>
      <x:c r="F2376" s="36" t="n">
        <x:v>3762</x:v>
      </x:c>
      <x:c r="G2376" s="42" t="n">
        <x:v>0.806949806949807</x:v>
      </x:c>
      <x:c r="H2376" s="36" t="n">
        <x:f>E2376*G2376</x:f>
        <x:v>59310.81081081081</x:v>
      </x:c>
      <x:c r="I2376" s="36" t="n">
        <x:f>IFERROR(H2376/A2376,0)</x:f>
        <x:v>14827.702702702703</x:v>
      </x:c>
      <x:c r="J2376" s="67" t="str">
        <x:v>Modeled from live base + Sep-2026 quality ratio</x:v>
      </x:c>
      <x:c r="K2376" s="67" t="str">
        <x:v>https://www.stonealgo.com/diamond-prices/</x:v>
      </x:c>
      <x:c r="L2376" s="67" t="str">
        <x:v>https://www.pricescope.com/blog/natural-diamond-prices-september-2026</x:v>
      </x:c>
    </x:row>
    <x:row r="2377">
      <x:c r="A2377" t="n">
        <x:v>4</x:v>
      </x:c>
      <x:c r="B2377" t="str">
        <x:v>Heart</x:v>
      </x:c>
      <x:c r="C2377" t="str">
        <x:v>D</x:v>
      </x:c>
      <x:c r="D2377" t="str">
        <x:v>SI2</x:v>
      </x:c>
      <x:c r="E2377" s="36" t="n">
        <x:v>73500</x:v>
      </x:c>
      <x:c r="F2377" s="36" t="n">
        <x:v>3026</x:v>
      </x:c>
      <x:c r="G2377" s="42" t="n">
        <x:v>0.6490776490776491</x:v>
      </x:c>
      <x:c r="H2377" s="36" t="n">
        <x:f>E2377*G2377</x:f>
        <x:v>47707.20720720721</x:v>
      </x:c>
      <x:c r="I2377" s="36" t="n">
        <x:f>IFERROR(H2377/A2377,0)</x:f>
        <x:v>11926.801801801803</x:v>
      </x:c>
      <x:c r="J2377" s="67" t="str">
        <x:v>Modeled from live base + Sep-2026 quality ratio</x:v>
      </x:c>
      <x:c r="K2377" s="67" t="str">
        <x:v>https://www.stonealgo.com/diamond-prices/</x:v>
      </x:c>
      <x:c r="L2377" s="67" t="str">
        <x:v>https://www.pricescope.com/blog/natural-diamond-prices-september-2026</x:v>
      </x:c>
    </x:row>
    <x:row r="2378">
      <x:c r="A2378" t="n">
        <x:v>4</x:v>
      </x:c>
      <x:c r="B2378" t="str">
        <x:v>Heart</x:v>
      </x:c>
      <x:c r="C2378" t="str">
        <x:v>E</x:v>
      </x:c>
      <x:c r="D2378" t="str">
        <x:v>FL</x:v>
      </x:c>
      <x:c r="E2378" s="36" t="n">
        <x:v>73500</x:v>
      </x:c>
      <x:c r="F2378" s="36" t="n">
        <x:v>10072</x:v>
      </x:c>
      <x:c r="G2378" s="42" t="n">
        <x:v>2.1604461604461602</x:v>
      </x:c>
      <x:c r="H2378" s="36" t="n">
        <x:f>E2378*G2378</x:f>
        <x:v>158792.79279279278</x:v>
      </x:c>
      <x:c r="I2378" s="36" t="n">
        <x:f>IFERROR(H2378/A2378,0)</x:f>
        <x:v>39698.198198198195</x:v>
      </x:c>
      <x:c r="J2378" s="67" t="str">
        <x:v>Modeled from live base + Sep-2026 quality ratio</x:v>
      </x:c>
      <x:c r="K2378" s="67" t="str">
        <x:v>https://www.stonealgo.com/diamond-prices/</x:v>
      </x:c>
      <x:c r="L2378" s="67" t="str">
        <x:v>https://www.pricescope.com/blog/natural-diamond-prices-september-2026</x:v>
      </x:c>
    </x:row>
    <x:row r="2379">
      <x:c r="A2379" t="n">
        <x:v>4</x:v>
      </x:c>
      <x:c r="B2379" t="str">
        <x:v>Heart</x:v>
      </x:c>
      <x:c r="C2379" t="str">
        <x:v>E</x:v>
      </x:c>
      <x:c r="D2379" t="str">
        <x:v>IF</x:v>
      </x:c>
      <x:c r="E2379" s="36" t="n">
        <x:v>73500</x:v>
      </x:c>
      <x:c r="F2379" s="36" t="n">
        <x:v>8672</x:v>
      </x:c>
      <x:c r="G2379" s="42" t="n">
        <x:v>1.8601458601458603</x:v>
      </x:c>
      <x:c r="H2379" s="36" t="n">
        <x:f>E2379*G2379</x:f>
        <x:v>136720.72072072074</x:v>
      </x:c>
      <x:c r="I2379" s="36" t="n">
        <x:f>IFERROR(H2379/A2379,0)</x:f>
        <x:v>34180.180180180185</x:v>
      </x:c>
      <x:c r="J2379" s="67" t="str">
        <x:v>Modeled from live base + Sep-2026 quality ratio</x:v>
      </x:c>
      <x:c r="K2379" s="67" t="str">
        <x:v>https://www.stonealgo.com/diamond-prices/</x:v>
      </x:c>
      <x:c r="L2379" s="67" t="str">
        <x:v>https://www.pricescope.com/blog/natural-diamond-prices-september-2026</x:v>
      </x:c>
    </x:row>
    <x:row r="2380">
      <x:c r="A2380" t="n">
        <x:v>4</x:v>
      </x:c>
      <x:c r="B2380" t="str">
        <x:v>Heart</x:v>
      </x:c>
      <x:c r="C2380" t="str">
        <x:v>E</x:v>
      </x:c>
      <x:c r="D2380" t="str">
        <x:v>VVS1</x:v>
      </x:c>
      <x:c r="E2380" s="36" t="n">
        <x:v>73500</x:v>
      </x:c>
      <x:c r="F2380" s="36" t="n">
        <x:v>7842</x:v>
      </x:c>
      <x:c r="G2380" s="42" t="n">
        <x:v>1.6821106821106822</x:v>
      </x:c>
      <x:c r="H2380" s="36" t="n">
        <x:f>E2380*G2380</x:f>
        <x:v>123635.13513513513</x:v>
      </x:c>
      <x:c r="I2380" s="36" t="n">
        <x:f>IFERROR(H2380/A2380,0)</x:f>
        <x:v>30908.783783783783</x:v>
      </x:c>
      <x:c r="J2380" s="67" t="str">
        <x:v>Modeled from live base + Sep-2026 quality ratio</x:v>
      </x:c>
      <x:c r="K2380" s="67" t="str">
        <x:v>https://www.stonealgo.com/diamond-prices/</x:v>
      </x:c>
      <x:c r="L2380" s="67" t="str">
        <x:v>https://www.pricescope.com/blog/natural-diamond-prices-september-2026</x:v>
      </x:c>
    </x:row>
    <x:row r="2381">
      <x:c r="A2381" t="n">
        <x:v>4</x:v>
      </x:c>
      <x:c r="B2381" t="str">
        <x:v>Heart</x:v>
      </x:c>
      <x:c r="C2381" t="str">
        <x:v>E</x:v>
      </x:c>
      <x:c r="D2381" t="str">
        <x:v>VVS2</x:v>
      </x:c>
      <x:c r="E2381" s="36" t="n">
        <x:v>73500</x:v>
      </x:c>
      <x:c r="F2381" s="36" t="n">
        <x:v>6880</x:v>
      </x:c>
      <x:c r="G2381" s="42" t="n">
        <x:v>1.4757614757614759</x:v>
      </x:c>
      <x:c r="H2381" s="36" t="n">
        <x:f>E2381*G2381</x:f>
        <x:v>108468.46846846848</x:v>
      </x:c>
      <x:c r="I2381" s="36" t="n">
        <x:f>IFERROR(H2381/A2381,0)</x:f>
        <x:v>27117.11711711712</x:v>
      </x:c>
      <x:c r="J2381" s="67" t="str">
        <x:v>Modeled from live base + Sep-2026 quality ratio</x:v>
      </x:c>
      <x:c r="K2381" s="67" t="str">
        <x:v>https://www.stonealgo.com/diamond-prices/</x:v>
      </x:c>
      <x:c r="L2381" s="67" t="str">
        <x:v>https://www.pricescope.com/blog/natural-diamond-prices-september-2026</x:v>
      </x:c>
    </x:row>
    <x:row r="2382">
      <x:c r="A2382" t="n">
        <x:v>4</x:v>
      </x:c>
      <x:c r="B2382" t="str">
        <x:v>Heart</x:v>
      </x:c>
      <x:c r="C2382" t="str">
        <x:v>E</x:v>
      </x:c>
      <x:c r="D2382" t="str">
        <x:v>VS1</x:v>
      </x:c>
      <x:c r="E2382" s="36" t="n">
        <x:v>73500</x:v>
      </x:c>
      <x:c r="F2382" s="36" t="n">
        <x:v>6307</x:v>
      </x:c>
      <x:c r="G2382" s="42" t="n">
        <x:v>1.352852852852853</x:v>
      </x:c>
      <x:c r="H2382" s="36" t="n">
        <x:f>E2382*G2382</x:f>
        <x:v>99434.68468468469</x:v>
      </x:c>
      <x:c r="I2382" s="36" t="n">
        <x:f>IFERROR(H2382/A2382,0)</x:f>
        <x:v>24858.671171171172</x:v>
      </x:c>
      <x:c r="J2382" s="67" t="str">
        <x:v>Modeled from live base + Sep-2026 quality ratio</x:v>
      </x:c>
      <x:c r="K2382" s="67" t="str">
        <x:v>https://www.stonealgo.com/diamond-prices/</x:v>
      </x:c>
      <x:c r="L2382" s="67" t="str">
        <x:v>https://www.pricescope.com/blog/natural-diamond-prices-september-2026</x:v>
      </x:c>
    </x:row>
    <x:row r="2383">
      <x:c r="A2383" t="n">
        <x:v>4</x:v>
      </x:c>
      <x:c r="B2383" t="str">
        <x:v>Heart</x:v>
      </x:c>
      <x:c r="C2383" t="str">
        <x:v>E</x:v>
      </x:c>
      <x:c r="D2383" t="str">
        <x:v>VS2</x:v>
      </x:c>
      <x:c r="E2383" s="36" t="n">
        <x:v>73500</x:v>
      </x:c>
      <x:c r="F2383" s="36" t="n">
        <x:v>5249</x:v>
      </x:c>
      <x:c r="G2383" s="42" t="n">
        <x:v>1.125911625911626</x:v>
      </x:c>
      <x:c r="H2383" s="36" t="n">
        <x:f>E2383*G2383</x:f>
        <x:v>82754.50450450451</x:v>
      </x:c>
      <x:c r="I2383" s="36" t="n">
        <x:f>IFERROR(H2383/A2383,0)</x:f>
        <x:v>20688.626126126128</x:v>
      </x:c>
      <x:c r="J2383" s="67" t="str">
        <x:v>Modeled from live base + Sep-2026 quality ratio</x:v>
      </x:c>
      <x:c r="K2383" s="67" t="str">
        <x:v>https://www.stonealgo.com/diamond-prices/</x:v>
      </x:c>
      <x:c r="L2383" s="67" t="str">
        <x:v>https://www.pricescope.com/blog/natural-diamond-prices-september-2026</x:v>
      </x:c>
    </x:row>
    <x:row r="2384">
      <x:c r="A2384" t="n">
        <x:v>4</x:v>
      </x:c>
      <x:c r="B2384" t="str">
        <x:v>Heart</x:v>
      </x:c>
      <x:c r="C2384" t="str">
        <x:v>E</x:v>
      </x:c>
      <x:c r="D2384" t="str">
        <x:v>SI1</x:v>
      </x:c>
      <x:c r="E2384" s="36" t="n">
        <x:v>73500</x:v>
      </x:c>
      <x:c r="F2384" s="36" t="n">
        <x:v>3551</x:v>
      </x:c>
      <x:c r="G2384" s="42" t="n">
        <x:v>0.7616902616902617</x:v>
      </x:c>
      <x:c r="H2384" s="36" t="n">
        <x:f>E2384*G2384</x:f>
        <x:v>55984.23423423423</x:v>
      </x:c>
      <x:c r="I2384" s="36" t="n">
        <x:f>IFERROR(H2384/A2384,0)</x:f>
        <x:v>13996.058558558558</x:v>
      </x:c>
      <x:c r="J2384" s="67" t="str">
        <x:v>Modeled from live base + Sep-2026 quality ratio</x:v>
      </x:c>
      <x:c r="K2384" s="67" t="str">
        <x:v>https://www.stonealgo.com/diamond-prices/</x:v>
      </x:c>
      <x:c r="L2384" s="67" t="str">
        <x:v>https://www.pricescope.com/blog/natural-diamond-prices-september-2026</x:v>
      </x:c>
    </x:row>
    <x:row r="2385">
      <x:c r="A2385" t="n">
        <x:v>4</x:v>
      </x:c>
      <x:c r="B2385" t="str">
        <x:v>Heart</x:v>
      </x:c>
      <x:c r="C2385" t="str">
        <x:v>E</x:v>
      </x:c>
      <x:c r="D2385" t="str">
        <x:v>SI2</x:v>
      </x:c>
      <x:c r="E2385" s="36" t="n">
        <x:v>73500</x:v>
      </x:c>
      <x:c r="F2385" s="36" t="n">
        <x:v>2993</x:v>
      </x:c>
      <x:c r="G2385" s="42" t="n">
        <x:v>0.641999141999142</x:v>
      </x:c>
      <x:c r="H2385" s="36" t="n">
        <x:f>E2385*G2385</x:f>
        <x:v>47186.93693693694</x:v>
      </x:c>
      <x:c r="I2385" s="36" t="n">
        <x:f>IFERROR(H2385/A2385,0)</x:f>
        <x:v>11796.734234234234</x:v>
      </x:c>
      <x:c r="J2385" s="67" t="str">
        <x:v>Modeled from live base + Sep-2026 quality ratio</x:v>
      </x:c>
      <x:c r="K2385" s="67" t="str">
        <x:v>https://www.stonealgo.com/diamond-prices/</x:v>
      </x:c>
      <x:c r="L2385" s="67" t="str">
        <x:v>https://www.pricescope.com/blog/natural-diamond-prices-september-2026</x:v>
      </x:c>
    </x:row>
    <x:row r="2386">
      <x:c r="A2386" t="n">
        <x:v>4</x:v>
      </x:c>
      <x:c r="B2386" t="str">
        <x:v>Heart</x:v>
      </x:c>
      <x:c r="C2386" t="str">
        <x:v>F</x:v>
      </x:c>
      <x:c r="D2386" t="str">
        <x:v>FL</x:v>
      </x:c>
      <x:c r="E2386" s="36" t="n">
        <x:v>73500</x:v>
      </x:c>
      <x:c r="F2386" s="36" t="n">
        <x:v>6830</x:v>
      </x:c>
      <x:c r="G2386" s="42" t="n">
        <x:v>1.4650364650364651</x:v>
      </x:c>
      <x:c r="H2386" s="36" t="n">
        <x:f>E2386*G2386</x:f>
        <x:v>107680.18018018019</x:v>
      </x:c>
      <x:c r="I2386" s="36" t="n">
        <x:f>IFERROR(H2386/A2386,0)</x:f>
        <x:v>26920.045045045048</x:v>
      </x:c>
      <x:c r="J2386" s="67" t="str">
        <x:v>Modeled from live base + Sep-2026 quality ratio</x:v>
      </x:c>
      <x:c r="K2386" s="67" t="str">
        <x:v>https://www.stonealgo.com/diamond-prices/</x:v>
      </x:c>
      <x:c r="L2386" s="67" t="str">
        <x:v>https://www.pricescope.com/blog/natural-diamond-prices-september-2026</x:v>
      </x:c>
    </x:row>
    <x:row r="2387">
      <x:c r="A2387" t="n">
        <x:v>4</x:v>
      </x:c>
      <x:c r="B2387" t="str">
        <x:v>Heart</x:v>
      </x:c>
      <x:c r="C2387" t="str">
        <x:v>F</x:v>
      </x:c>
      <x:c r="D2387" t="str">
        <x:v>IF</x:v>
      </x:c>
      <x:c r="E2387" s="36" t="n">
        <x:v>73500</x:v>
      </x:c>
      <x:c r="F2387" s="36" t="n">
        <x:v>7302</x:v>
      </x:c>
      <x:c r="G2387" s="42" t="n">
        <x:v>1.5662805662805663</x:v>
      </x:c>
      <x:c r="H2387" s="36" t="n">
        <x:f>E2387*G2387</x:f>
        <x:v>115121.62162162163</x:v>
      </x:c>
      <x:c r="I2387" s="36" t="n">
        <x:f>IFERROR(H2387/A2387,0)</x:f>
        <x:v>28780.405405405407</x:v>
      </x:c>
      <x:c r="J2387" s="67" t="str">
        <x:v>Modeled from live base + Sep-2026 quality ratio</x:v>
      </x:c>
      <x:c r="K2387" s="67" t="str">
        <x:v>https://www.stonealgo.com/diamond-prices/</x:v>
      </x:c>
      <x:c r="L2387" s="67" t="str">
        <x:v>https://www.pricescope.com/blog/natural-diamond-prices-september-2026</x:v>
      </x:c>
    </x:row>
    <x:row r="2388">
      <x:c r="A2388" t="n">
        <x:v>4</x:v>
      </x:c>
      <x:c r="B2388" t="str">
        <x:v>Heart</x:v>
      </x:c>
      <x:c r="C2388" t="str">
        <x:v>F</x:v>
      </x:c>
      <x:c r="D2388" t="str">
        <x:v>VVS1</x:v>
      </x:c>
      <x:c r="E2388" s="36" t="n">
        <x:v>73500</x:v>
      </x:c>
      <x:c r="F2388" s="36" t="n">
        <x:v>7542</x:v>
      </x:c>
      <x:c r="G2388" s="42" t="n">
        <x:v>1.6177606177606179</x:v>
      </x:c>
      <x:c r="H2388" s="36" t="n">
        <x:f>E2388*G2388</x:f>
        <x:v>118905.40540540541</x:v>
      </x:c>
      <x:c r="I2388" s="36" t="n">
        <x:f>IFERROR(H2388/A2388,0)</x:f>
        <x:v>29726.351351351354</x:v>
      </x:c>
      <x:c r="J2388" s="67" t="str">
        <x:v>Modeled from live base + Sep-2026 quality ratio</x:v>
      </x:c>
      <x:c r="K2388" s="67" t="str">
        <x:v>https://www.stonealgo.com/diamond-prices/</x:v>
      </x:c>
      <x:c r="L2388" s="67" t="str">
        <x:v>https://www.pricescope.com/blog/natural-diamond-prices-september-2026</x:v>
      </x:c>
    </x:row>
    <x:row r="2389">
      <x:c r="A2389" t="n">
        <x:v>4</x:v>
      </x:c>
      <x:c r="B2389" t="str">
        <x:v>Heart</x:v>
      </x:c>
      <x:c r="C2389" t="str">
        <x:v>F</x:v>
      </x:c>
      <x:c r="D2389" t="str">
        <x:v>VVS2</x:v>
      </x:c>
      <x:c r="E2389" s="36" t="n">
        <x:v>73500</x:v>
      </x:c>
      <x:c r="F2389" s="36" t="n">
        <x:v>6352</x:v>
      </x:c>
      <x:c r="G2389" s="42" t="n">
        <x:v>1.3625053625053625</x:v>
      </x:c>
      <x:c r="H2389" s="36" t="n">
        <x:f>E2389*G2389</x:f>
        <x:v>100144.14414414414</x:v>
      </x:c>
      <x:c r="I2389" s="36" t="n">
        <x:f>IFERROR(H2389/A2389,0)</x:f>
        <x:v>25036.036036036036</x:v>
      </x:c>
      <x:c r="J2389" s="67" t="str">
        <x:v>Modeled from live base + Sep-2026 quality ratio</x:v>
      </x:c>
      <x:c r="K2389" s="67" t="str">
        <x:v>https://www.stonealgo.com/diamond-prices/</x:v>
      </x:c>
      <x:c r="L2389" s="67" t="str">
        <x:v>https://www.pricescope.com/blog/natural-diamond-prices-september-2026</x:v>
      </x:c>
    </x:row>
    <x:row r="2390">
      <x:c r="A2390" t="n">
        <x:v>4</x:v>
      </x:c>
      <x:c r="B2390" t="str">
        <x:v>Heart</x:v>
      </x:c>
      <x:c r="C2390" t="str">
        <x:v>F</x:v>
      </x:c>
      <x:c r="D2390" t="str">
        <x:v>VS1</x:v>
      </x:c>
      <x:c r="E2390" s="36" t="n">
        <x:v>73500</x:v>
      </x:c>
      <x:c r="F2390" s="36" t="n">
        <x:v>5647</x:v>
      </x:c>
      <x:c r="G2390" s="42" t="n">
        <x:v>1.2112827112827114</x:v>
      </x:c>
      <x:c r="H2390" s="36" t="n">
        <x:f>E2390*G2390</x:f>
        <x:v>89029.27927927929</x:v>
      </x:c>
      <x:c r="I2390" s="36" t="n">
        <x:f>IFERROR(H2390/A2390,0)</x:f>
        <x:v>22257.319819819822</x:v>
      </x:c>
      <x:c r="J2390" s="67" t="str">
        <x:v>Modeled from live base + Sep-2026 quality ratio</x:v>
      </x:c>
      <x:c r="K2390" s="67" t="str">
        <x:v>https://www.stonealgo.com/diamond-prices/</x:v>
      </x:c>
      <x:c r="L2390" s="67" t="str">
        <x:v>https://www.pricescope.com/blog/natural-diamond-prices-september-2026</x:v>
      </x:c>
    </x:row>
    <x:row r="2391">
      <x:c r="A2391" t="n">
        <x:v>4</x:v>
      </x:c>
      <x:c r="B2391" t="str">
        <x:v>Heart</x:v>
      </x:c>
      <x:c r="C2391" t="str">
        <x:v>F</x:v>
      </x:c>
      <x:c r="D2391" t="str">
        <x:v>VS2</x:v>
      </x:c>
      <x:c r="E2391" s="36" t="n">
        <x:v>73500</x:v>
      </x:c>
      <x:c r="F2391" s="36" t="n">
        <x:v>4730</x:v>
      </x:c>
      <x:c r="G2391" s="42" t="n">
        <x:v>1.0145860145860146</x:v>
      </x:c>
      <x:c r="H2391" s="36" t="n">
        <x:f>E2391*G2391</x:f>
        <x:v>74572.07207207207</x:v>
      </x:c>
      <x:c r="I2391" s="36" t="n">
        <x:f>IFERROR(H2391/A2391,0)</x:f>
        <x:v>18643.018018018018</x:v>
      </x:c>
      <x:c r="J2391" s="67" t="str">
        <x:v>Modeled from live base + Sep-2026 quality ratio</x:v>
      </x:c>
      <x:c r="K2391" s="67" t="str">
        <x:v>https://www.stonealgo.com/diamond-prices/</x:v>
      </x:c>
      <x:c r="L2391" s="67" t="str">
        <x:v>https://www.pricescope.com/blog/natural-diamond-prices-september-2026</x:v>
      </x:c>
    </x:row>
    <x:row r="2392">
      <x:c r="A2392" t="n">
        <x:v>4</x:v>
      </x:c>
      <x:c r="B2392" t="str">
        <x:v>Heart</x:v>
      </x:c>
      <x:c r="C2392" t="str">
        <x:v>F</x:v>
      </x:c>
      <x:c r="D2392" t="str">
        <x:v>SI1</x:v>
      </x:c>
      <x:c r="E2392" s="36" t="n">
        <x:v>73500</x:v>
      </x:c>
      <x:c r="F2392" s="36" t="n">
        <x:v>3331</x:v>
      </x:c>
      <x:c r="G2392" s="42" t="n">
        <x:v>0.7145002145002145</x:v>
      </x:c>
      <x:c r="H2392" s="36" t="n">
        <x:f>E2392*G2392</x:f>
        <x:v>52515.76576576577</x:v>
      </x:c>
      <x:c r="I2392" s="36" t="n">
        <x:f>IFERROR(H2392/A2392,0)</x:f>
        <x:v>13128.941441441442</x:v>
      </x:c>
      <x:c r="J2392" s="67" t="str">
        <x:v>Modeled from live base + Sep-2026 quality ratio</x:v>
      </x:c>
      <x:c r="K2392" s="67" t="str">
        <x:v>https://www.stonealgo.com/diamond-prices/</x:v>
      </x:c>
      <x:c r="L2392" s="67" t="str">
        <x:v>https://www.pricescope.com/blog/natural-diamond-prices-september-2026</x:v>
      </x:c>
    </x:row>
    <x:row r="2393">
      <x:c r="A2393" t="n">
        <x:v>4</x:v>
      </x:c>
      <x:c r="B2393" t="str">
        <x:v>Heart</x:v>
      </x:c>
      <x:c r="C2393" t="str">
        <x:v>F</x:v>
      </x:c>
      <x:c r="D2393" t="str">
        <x:v>SI2</x:v>
      </x:c>
      <x:c r="E2393" s="36" t="n">
        <x:v>73500</x:v>
      </x:c>
      <x:c r="F2393" s="36" t="n">
        <x:v>2733</x:v>
      </x:c>
      <x:c r="G2393" s="42" t="n">
        <x:v>0.5862290862290862</x:v>
      </x:c>
      <x:c r="H2393" s="36" t="n">
        <x:f>E2393*G2393</x:f>
        <x:v>43087.83783783783</x:v>
      </x:c>
      <x:c r="I2393" s="36" t="n">
        <x:f>IFERROR(H2393/A2393,0)</x:f>
        <x:v>10771.959459459458</x:v>
      </x:c>
      <x:c r="J2393" s="67" t="str">
        <x:v>Modeled from live base + Sep-2026 quality ratio</x:v>
      </x:c>
      <x:c r="K2393" s="67" t="str">
        <x:v>https://www.stonealgo.com/diamond-prices/</x:v>
      </x:c>
      <x:c r="L2393" s="67" t="str">
        <x:v>https://www.pricescope.com/blog/natural-diamond-prices-september-2026</x:v>
      </x:c>
    </x:row>
    <x:row r="2394">
      <x:c r="A2394" t="n">
        <x:v>4</x:v>
      </x:c>
      <x:c r="B2394" t="str">
        <x:v>Heart</x:v>
      </x:c>
      <x:c r="C2394" t="str">
        <x:v>G</x:v>
      </x:c>
      <x:c r="D2394" t="str">
        <x:v>FL</x:v>
      </x:c>
      <x:c r="E2394" s="36" t="n">
        <x:v>73500</x:v>
      </x:c>
      <x:c r="F2394" s="36" t="n">
        <x:v>5905</x:v>
      </x:c>
      <x:c r="G2394" s="42" t="n">
        <x:v>1.2666237666237665</x:v>
      </x:c>
      <x:c r="H2394" s="36" t="n">
        <x:f>E2394*G2394</x:f>
        <x:v>93096.84684684683</x:v>
      </x:c>
      <x:c r="I2394" s="36" t="n">
        <x:f>IFERROR(H2394/A2394,0)</x:f>
        <x:v>23274.21171171171</x:v>
      </x:c>
      <x:c r="J2394" s="67" t="str">
        <x:v>Modeled from live base + Sep-2026 quality ratio</x:v>
      </x:c>
      <x:c r="K2394" s="67" t="str">
        <x:v>https://www.stonealgo.com/diamond-prices/</x:v>
      </x:c>
      <x:c r="L2394" s="67" t="str">
        <x:v>https://www.pricescope.com/blog/natural-diamond-prices-september-2026</x:v>
      </x:c>
    </x:row>
    <x:row r="2395">
      <x:c r="A2395" t="n">
        <x:v>4</x:v>
      </x:c>
      <x:c r="B2395" t="str">
        <x:v>Heart</x:v>
      </x:c>
      <x:c r="C2395" t="str">
        <x:v>G</x:v>
      </x:c>
      <x:c r="D2395" t="str">
        <x:v>IF</x:v>
      </x:c>
      <x:c r="E2395" s="36" t="n">
        <x:v>73500</x:v>
      </x:c>
      <x:c r="F2395" s="36" t="n">
        <x:v>5601</x:v>
      </x:c>
      <x:c r="G2395" s="42" t="n">
        <x:v>1.2014157014157014</x:v>
      </x:c>
      <x:c r="H2395" s="36" t="n">
        <x:f>E2395*G2395</x:f>
        <x:v>88304.05405405405</x:v>
      </x:c>
      <x:c r="I2395" s="36" t="n">
        <x:f>IFERROR(H2395/A2395,0)</x:f>
        <x:v>22076.013513513513</x:v>
      </x:c>
      <x:c r="J2395" s="67" t="str">
        <x:v>Modeled from live base + Sep-2026 quality ratio</x:v>
      </x:c>
      <x:c r="K2395" s="67" t="str">
        <x:v>https://www.stonealgo.com/diamond-prices/</x:v>
      </x:c>
      <x:c r="L2395" s="67" t="str">
        <x:v>https://www.pricescope.com/blog/natural-diamond-prices-september-2026</x:v>
      </x:c>
    </x:row>
    <x:row r="2396">
      <x:c r="A2396" t="n">
        <x:v>4</x:v>
      </x:c>
      <x:c r="B2396" t="str">
        <x:v>Heart</x:v>
      </x:c>
      <x:c r="C2396" t="str">
        <x:v>G</x:v>
      </x:c>
      <x:c r="D2396" t="str">
        <x:v>VVS1</x:v>
      </x:c>
      <x:c r="E2396" s="36" t="n">
        <x:v>73500</x:v>
      </x:c>
      <x:c r="F2396" s="36" t="n">
        <x:v>5124</x:v>
      </x:c>
      <x:c r="G2396" s="42" t="n">
        <x:v>1.0990990990990992</x:v>
      </x:c>
      <x:c r="H2396" s="36" t="n">
        <x:f>E2396*G2396</x:f>
        <x:v>80783.78378378379</x:v>
      </x:c>
      <x:c r="I2396" s="36" t="n">
        <x:f>IFERROR(H2396/A2396,0)</x:f>
        <x:v>20195.945945945947</x:v>
      </x:c>
      <x:c r="J2396" s="67" t="str">
        <x:v>Modeled from live base + Sep-2026 quality ratio</x:v>
      </x:c>
      <x:c r="K2396" s="67" t="str">
        <x:v>https://www.stonealgo.com/diamond-prices/</x:v>
      </x:c>
      <x:c r="L2396" s="67" t="str">
        <x:v>https://www.pricescope.com/blog/natural-diamond-prices-september-2026</x:v>
      </x:c>
    </x:row>
    <x:row r="2397">
      <x:c r="A2397" t="n">
        <x:v>4</x:v>
      </x:c>
      <x:c r="B2397" t="str">
        <x:v>Heart</x:v>
      </x:c>
      <x:c r="C2397" t="str">
        <x:v>G</x:v>
      </x:c>
      <x:c r="D2397" t="str">
        <x:v>VVS2</x:v>
      </x:c>
      <x:c r="E2397" s="36" t="n">
        <x:v>73500</x:v>
      </x:c>
      <x:c r="F2397" s="36" t="n">
        <x:v>4962</x:v>
      </x:c>
      <x:c r="G2397" s="42" t="n">
        <x:v>1.0643500643500643</x:v>
      </x:c>
      <x:c r="H2397" s="36" t="n">
        <x:f>E2397*G2397</x:f>
        <x:v>78229.72972972972</x:v>
      </x:c>
      <x:c r="I2397" s="36" t="n">
        <x:f>IFERROR(H2397/A2397,0)</x:f>
        <x:v>19557.43243243243</x:v>
      </x:c>
      <x:c r="J2397" s="67" t="str">
        <x:v>Modeled from live base + Sep-2026 quality ratio</x:v>
      </x:c>
      <x:c r="K2397" s="67" t="str">
        <x:v>https://www.stonealgo.com/diamond-prices/</x:v>
      </x:c>
      <x:c r="L2397" s="67" t="str">
        <x:v>https://www.pricescope.com/blog/natural-diamond-prices-september-2026</x:v>
      </x:c>
    </x:row>
    <x:row r="2398">
      <x:c r="A2398" t="n">
        <x:v>4</x:v>
      </x:c>
      <x:c r="B2398" t="str">
        <x:v>Heart</x:v>
      </x:c>
      <x:c r="C2398" t="str">
        <x:v>G</x:v>
      </x:c>
      <x:c r="D2398" t="str">
        <x:v>VS1</x:v>
      </x:c>
      <x:c r="E2398" s="36" t="n">
        <x:v>73500</x:v>
      </x:c>
      <x:c r="F2398" s="36" t="n">
        <x:v>4615</x:v>
      </x:c>
      <x:c r="G2398" s="42" t="n">
        <x:v>0.98991848991849</x:v>
      </x:c>
      <x:c r="H2398" s="36" t="n">
        <x:f>E2398*G2398</x:f>
        <x:v>72759.00900900901</x:v>
      </x:c>
      <x:c r="I2398" s="36" t="n">
        <x:f>IFERROR(H2398/A2398,0)</x:f>
        <x:v>18189.752252252252</x:v>
      </x:c>
      <x:c r="J2398" s="67" t="str">
        <x:v>Modeled from live base + Sep-2026 quality ratio</x:v>
      </x:c>
      <x:c r="K2398" s="67" t="str">
        <x:v>https://www.stonealgo.com/diamond-prices/</x:v>
      </x:c>
      <x:c r="L2398" s="67" t="str">
        <x:v>https://www.pricescope.com/blog/natural-diamond-prices-september-2026</x:v>
      </x:c>
    </x:row>
    <x:row r="2399">
      <x:c r="A2399" t="n">
        <x:v>4</x:v>
      </x:c>
      <x:c r="B2399" t="str">
        <x:v>Heart</x:v>
      </x:c>
      <x:c r="C2399" t="str">
        <x:v>G</x:v>
      </x:c>
      <x:c r="D2399" t="str">
        <x:v>VS2</x:v>
      </x:c>
      <x:c r="E2399" s="36" t="n">
        <x:v>73500</x:v>
      </x:c>
      <x:c r="F2399" s="36" t="n">
        <x:v>4585</x:v>
      </x:c>
      <x:c r="G2399" s="42" t="n">
        <x:v>0.9834834834834835</x:v>
      </x:c>
      <x:c r="H2399" s="36" t="n">
        <x:f>E2399*G2399</x:f>
        <x:v>72286.03603603604</x:v>
      </x:c>
      <x:c r="I2399" s="36" t="n">
        <x:f>IFERROR(H2399/A2399,0)</x:f>
        <x:v>18071.50900900901</x:v>
      </x:c>
      <x:c r="J2399" s="67" t="str">
        <x:v>Modeled from live base + Sep-2026 quality ratio</x:v>
      </x:c>
      <x:c r="K2399" s="67" t="str">
        <x:v>https://www.stonealgo.com/diamond-prices/</x:v>
      </x:c>
      <x:c r="L2399" s="67" t="str">
        <x:v>https://www.pricescope.com/blog/natural-diamond-prices-september-2026</x:v>
      </x:c>
    </x:row>
    <x:row r="2400">
      <x:c r="A2400" t="n">
        <x:v>4</x:v>
      </x:c>
      <x:c r="B2400" t="str">
        <x:v>Heart</x:v>
      </x:c>
      <x:c r="C2400" t="str">
        <x:v>G</x:v>
      </x:c>
      <x:c r="D2400" t="str">
        <x:v>SI1</x:v>
      </x:c>
      <x:c r="E2400" s="36" t="n">
        <x:v>73500</x:v>
      </x:c>
      <x:c r="F2400" s="36" t="n">
        <x:v>3664</x:v>
      </x:c>
      <x:c r="G2400" s="42" t="n">
        <x:v>0.7859287859287859</x:v>
      </x:c>
      <x:c r="H2400" s="36" t="n">
        <x:f>E2400*G2400</x:f>
        <x:v>57765.76576576576</x:v>
      </x:c>
      <x:c r="I2400" s="36" t="n">
        <x:f>IFERROR(H2400/A2400,0)</x:f>
        <x:v>14441.44144144144</x:v>
      </x:c>
      <x:c r="J2400" s="67" t="str">
        <x:v>Modeled from live base + Sep-2026 quality ratio</x:v>
      </x:c>
      <x:c r="K2400" s="67" t="str">
        <x:v>https://www.stonealgo.com/diamond-prices/</x:v>
      </x:c>
      <x:c r="L2400" s="67" t="str">
        <x:v>https://www.pricescope.com/blog/natural-diamond-prices-september-2026</x:v>
      </x:c>
    </x:row>
    <x:row r="2401">
      <x:c r="A2401" t="n">
        <x:v>4</x:v>
      </x:c>
      <x:c r="B2401" t="str">
        <x:v>Heart</x:v>
      </x:c>
      <x:c r="C2401" t="str">
        <x:v>G</x:v>
      </x:c>
      <x:c r="D2401" t="str">
        <x:v>SI2</x:v>
      </x:c>
      <x:c r="E2401" s="36" t="n">
        <x:v>73500</x:v>
      </x:c>
      <x:c r="F2401" s="36" t="n">
        <x:v>2537</x:v>
      </x:c>
      <x:c r="G2401" s="42" t="n">
        <x:v>0.5441870441870442</x:v>
      </x:c>
      <x:c r="H2401" s="36" t="n">
        <x:f>E2401*G2401</x:f>
        <x:v>39997.74774774775</x:v>
      </x:c>
      <x:c r="I2401" s="36" t="n">
        <x:f>IFERROR(H2401/A2401,0)</x:f>
        <x:v>9999.436936936938</x:v>
      </x:c>
      <x:c r="J2401" s="67" t="str">
        <x:v>Modeled from live base + Sep-2026 quality ratio</x:v>
      </x:c>
      <x:c r="K2401" s="67" t="str">
        <x:v>https://www.stonealgo.com/diamond-prices/</x:v>
      </x:c>
      <x:c r="L2401" s="67" t="str">
        <x:v>https://www.pricescope.com/blog/natural-diamond-prices-september-2026</x:v>
      </x:c>
    </x:row>
    <x:row r="2402">
      <x:c r="A2402" t="n">
        <x:v>4</x:v>
      </x:c>
      <x:c r="B2402" t="str">
        <x:v>Heart</x:v>
      </x:c>
      <x:c r="C2402" t="str">
        <x:v>H</x:v>
      </x:c>
      <x:c r="D2402" t="str">
        <x:v>FL</x:v>
      </x:c>
      <x:c r="E2402" s="36" t="n">
        <x:v>73500</x:v>
      </x:c>
      <x:c r="F2402" s="36" t="n">
        <x:v>4563</x:v>
      </x:c>
      <x:c r="G2402" s="42" t="n">
        <x:v>0.9787644787644788</x:v>
      </x:c>
      <x:c r="H2402" s="36" t="n">
        <x:f>E2402*G2402</x:f>
        <x:v>71939.18918918919</x:v>
      </x:c>
      <x:c r="I2402" s="36" t="n">
        <x:f>IFERROR(H2402/A2402,0)</x:f>
        <x:v>17984.797297297297</x:v>
      </x:c>
      <x:c r="J2402" s="67" t="str">
        <x:v>Modeled from live base + Sep-2026 quality ratio</x:v>
      </x:c>
      <x:c r="K2402" s="67" t="str">
        <x:v>https://www.stonealgo.com/diamond-prices/</x:v>
      </x:c>
      <x:c r="L2402" s="67" t="str">
        <x:v>https://www.pricescope.com/blog/natural-diamond-prices-september-2026</x:v>
      </x:c>
    </x:row>
    <x:row r="2403">
      <x:c r="A2403" t="n">
        <x:v>4</x:v>
      </x:c>
      <x:c r="B2403" t="str">
        <x:v>Heart</x:v>
      </x:c>
      <x:c r="C2403" t="str">
        <x:v>H</x:v>
      </x:c>
      <x:c r="D2403" t="str">
        <x:v>IF</x:v>
      </x:c>
      <x:c r="E2403" s="36" t="n">
        <x:v>73500</x:v>
      </x:c>
      <x:c r="F2403" s="36" t="n">
        <x:v>4809</x:v>
      </x:c>
      <x:c r="G2403" s="42" t="n">
        <x:v>1.0315315315315314</x:v>
      </x:c>
      <x:c r="H2403" s="36" t="n">
        <x:f>E2403*G2403</x:f>
        <x:v>75817.56756756756</x:v>
      </x:c>
      <x:c r="I2403" s="36" t="n">
        <x:f>IFERROR(H2403/A2403,0)</x:f>
        <x:v>18954.39189189189</x:v>
      </x:c>
      <x:c r="J2403" s="67" t="str">
        <x:v>Modeled from live base + Sep-2026 quality ratio</x:v>
      </x:c>
      <x:c r="K2403" s="67" t="str">
        <x:v>https://www.stonealgo.com/diamond-prices/</x:v>
      </x:c>
      <x:c r="L2403" s="67" t="str">
        <x:v>https://www.pricescope.com/blog/natural-diamond-prices-september-2026</x:v>
      </x:c>
    </x:row>
    <x:row r="2404">
      <x:c r="A2404" t="n">
        <x:v>4</x:v>
      </x:c>
      <x:c r="B2404" t="str">
        <x:v>Heart</x:v>
      </x:c>
      <x:c r="C2404" t="str">
        <x:v>H</x:v>
      </x:c>
      <x:c r="D2404" t="str">
        <x:v>VVS1</x:v>
      </x:c>
      <x:c r="E2404" s="36" t="n">
        <x:v>73500</x:v>
      </x:c>
      <x:c r="F2404" s="36" t="n">
        <x:v>4911</x:v>
      </x:c>
      <x:c r="G2404" s="42" t="n">
        <x:v>1.0534105534105533</x:v>
      </x:c>
      <x:c r="H2404" s="36" t="n">
        <x:f>E2404*G2404</x:f>
        <x:v>77425.67567567567</x:v>
      </x:c>
      <x:c r="I2404" s="36" t="n">
        <x:f>IFERROR(H2404/A2404,0)</x:f>
        <x:v>19356.418918918916</x:v>
      </x:c>
      <x:c r="J2404" s="67" t="str">
        <x:v>Modeled from live base + Sep-2026 quality ratio</x:v>
      </x:c>
      <x:c r="K2404" s="67" t="str">
        <x:v>https://www.stonealgo.com/diamond-prices/</x:v>
      </x:c>
      <x:c r="L2404" s="67" t="str">
        <x:v>https://www.pricescope.com/blog/natural-diamond-prices-september-2026</x:v>
      </x:c>
    </x:row>
    <x:row r="2405">
      <x:c r="A2405" t="n">
        <x:v>4</x:v>
      </x:c>
      <x:c r="B2405" t="str">
        <x:v>Heart</x:v>
      </x:c>
      <x:c r="C2405" t="str">
        <x:v>H</x:v>
      </x:c>
      <x:c r="D2405" t="str">
        <x:v>VVS2</x:v>
      </x:c>
      <x:c r="E2405" s="36" t="n">
        <x:v>73500</x:v>
      </x:c>
      <x:c r="F2405" s="36" t="n">
        <x:v>4046</x:v>
      </x:c>
      <x:c r="G2405" s="42" t="n">
        <x:v>0.8678678678678678</x:v>
      </x:c>
      <x:c r="H2405" s="36" t="n">
        <x:f>E2405*G2405</x:f>
        <x:v>63788.288288288284</x:v>
      </x:c>
      <x:c r="I2405" s="36" t="n">
        <x:f>IFERROR(H2405/A2405,0)</x:f>
        <x:v>15947.072072072071</x:v>
      </x:c>
      <x:c r="J2405" s="67" t="str">
        <x:v>Modeled from live base + Sep-2026 quality ratio</x:v>
      </x:c>
      <x:c r="K2405" s="67" t="str">
        <x:v>https://www.stonealgo.com/diamond-prices/</x:v>
      </x:c>
      <x:c r="L2405" s="67" t="str">
        <x:v>https://www.pricescope.com/blog/natural-diamond-prices-september-2026</x:v>
      </x:c>
    </x:row>
    <x:row r="2406">
      <x:c r="A2406" t="n">
        <x:v>4</x:v>
      </x:c>
      <x:c r="B2406" t="str">
        <x:v>Heart</x:v>
      </x:c>
      <x:c r="C2406" t="str">
        <x:v>H</x:v>
      </x:c>
      <x:c r="D2406" t="str">
        <x:v>VS1</x:v>
      </x:c>
      <x:c r="E2406" s="36" t="n">
        <x:v>73500</x:v>
      </x:c>
      <x:c r="F2406" s="36" t="n">
        <x:v>3893</x:v>
      </x:c>
      <x:c r="G2406" s="42" t="n">
        <x:v>0.8350493350493351</x:v>
      </x:c>
      <x:c r="H2406" s="36" t="n">
        <x:f>E2406*G2406</x:f>
        <x:v>61376.12612612613</x:v>
      </x:c>
      <x:c r="I2406" s="36" t="n">
        <x:f>IFERROR(H2406/A2406,0)</x:f>
        <x:v>15344.031531531533</x:v>
      </x:c>
      <x:c r="J2406" s="67" t="str">
        <x:v>Modeled from live base + Sep-2026 quality ratio</x:v>
      </x:c>
      <x:c r="K2406" s="67" t="str">
        <x:v>https://www.stonealgo.com/diamond-prices/</x:v>
      </x:c>
      <x:c r="L2406" s="67" t="str">
        <x:v>https://www.pricescope.com/blog/natural-diamond-prices-september-2026</x:v>
      </x:c>
    </x:row>
    <x:row r="2407">
      <x:c r="A2407" t="n">
        <x:v>4</x:v>
      </x:c>
      <x:c r="B2407" t="str">
        <x:v>Heart</x:v>
      </x:c>
      <x:c r="C2407" t="str">
        <x:v>H</x:v>
      </x:c>
      <x:c r="D2407" t="str">
        <x:v>VS2</x:v>
      </x:c>
      <x:c r="E2407" s="36" t="n">
        <x:v>73500</x:v>
      </x:c>
      <x:c r="F2407" s="36" t="n">
        <x:v>3989</x:v>
      </x:c>
      <x:c r="G2407" s="42" t="n">
        <x:v>0.8556413556413557</x:v>
      </x:c>
      <x:c r="H2407" s="36" t="n">
        <x:f>E2407*G2407</x:f>
        <x:v>62889.639639639645</x:v>
      </x:c>
      <x:c r="I2407" s="36" t="n">
        <x:f>IFERROR(H2407/A2407,0)</x:f>
        <x:v>15722.409909909911</x:v>
      </x:c>
      <x:c r="J2407" s="67" t="str">
        <x:v>Modeled from live base + Sep-2026 quality ratio</x:v>
      </x:c>
      <x:c r="K2407" s="67" t="str">
        <x:v>https://www.stonealgo.com/diamond-prices/</x:v>
      </x:c>
      <x:c r="L2407" s="67" t="str">
        <x:v>https://www.pricescope.com/blog/natural-diamond-prices-september-2026</x:v>
      </x:c>
    </x:row>
    <x:row r="2408">
      <x:c r="A2408" t="n">
        <x:v>4</x:v>
      </x:c>
      <x:c r="B2408" t="str">
        <x:v>Heart</x:v>
      </x:c>
      <x:c r="C2408" t="str">
        <x:v>H</x:v>
      </x:c>
      <x:c r="D2408" t="str">
        <x:v>SI1</x:v>
      </x:c>
      <x:c r="E2408" s="36" t="n">
        <x:v>73500</x:v>
      </x:c>
      <x:c r="F2408" s="36" t="n">
        <x:v>2828</x:v>
      </x:c>
      <x:c r="G2408" s="42" t="n">
        <x:v>0.6066066066066066</x:v>
      </x:c>
      <x:c r="H2408" s="36" t="n">
        <x:f>E2408*G2408</x:f>
        <x:v>44585.585585585584</x:v>
      </x:c>
      <x:c r="I2408" s="36" t="n">
        <x:f>IFERROR(H2408/A2408,0)</x:f>
        <x:v>11146.396396396396</x:v>
      </x:c>
      <x:c r="J2408" s="67" t="str">
        <x:v>Modeled from live base + Sep-2026 quality ratio</x:v>
      </x:c>
      <x:c r="K2408" s="67" t="str">
        <x:v>https://www.stonealgo.com/diamond-prices/</x:v>
      </x:c>
      <x:c r="L2408" s="67" t="str">
        <x:v>https://www.pricescope.com/blog/natural-diamond-prices-september-2026</x:v>
      </x:c>
    </x:row>
    <x:row r="2409">
      <x:c r="A2409" t="n">
        <x:v>4</x:v>
      </x:c>
      <x:c r="B2409" t="str">
        <x:v>Heart</x:v>
      </x:c>
      <x:c r="C2409" t="str">
        <x:v>H</x:v>
      </x:c>
      <x:c r="D2409" t="str">
        <x:v>SI2</x:v>
      </x:c>
      <x:c r="E2409" s="36" t="n">
        <x:v>73500</x:v>
      </x:c>
      <x:c r="F2409" s="36" t="n">
        <x:v>2328</x:v>
      </x:c>
      <x:c r="G2409" s="42" t="n">
        <x:v>0.49935649935649934</x:v>
      </x:c>
      <x:c r="H2409" s="36" t="n">
        <x:f>E2409*G2409</x:f>
        <x:v>36702.7027027027</x:v>
      </x:c>
      <x:c r="I2409" s="36" t="n">
        <x:f>IFERROR(H2409/A2409,0)</x:f>
        <x:v>9175.675675675675</x:v>
      </x:c>
      <x:c r="J2409" s="67" t="str">
        <x:v>Modeled from live base + Sep-2026 quality ratio</x:v>
      </x:c>
      <x:c r="K2409" s="67" t="str">
        <x:v>https://www.stonealgo.com/diamond-prices/</x:v>
      </x:c>
      <x:c r="L2409" s="67" t="str">
        <x:v>https://www.pricescope.com/blog/natural-diamond-prices-september-2026</x:v>
      </x:c>
    </x:row>
    <x:row r="2410">
      <x:c r="A2410" t="n">
        <x:v>4</x:v>
      </x:c>
      <x:c r="B2410" t="str">
        <x:v>Heart</x:v>
      </x:c>
      <x:c r="C2410" t="str">
        <x:v>I</x:v>
      </x:c>
      <x:c r="D2410" t="str">
        <x:v>FL</x:v>
      </x:c>
      <x:c r="E2410" s="36" t="n">
        <x:v>73500</x:v>
      </x:c>
      <x:c r="F2410" s="36" t="n">
        <x:v>4623</x:v>
      </x:c>
      <x:c r="G2410" s="42" t="n">
        <x:v>0.9916344916344917</x:v>
      </x:c>
      <x:c r="H2410" s="36" t="n">
        <x:f>E2410*G2410</x:f>
        <x:v>72885.13513513513</x:v>
      </x:c>
      <x:c r="I2410" s="36" t="n">
        <x:f>IFERROR(H2410/A2410,0)</x:f>
        <x:v>18221.283783783783</x:v>
      </x:c>
      <x:c r="J2410" s="67" t="str">
        <x:v>Modeled from live base + Sep-2026 quality ratio</x:v>
      </x:c>
      <x:c r="K2410" s="67" t="str">
        <x:v>https://www.stonealgo.com/diamond-prices/</x:v>
      </x:c>
      <x:c r="L2410" s="67" t="str">
        <x:v>https://www.pricescope.com/blog/natural-diamond-prices-september-2026</x:v>
      </x:c>
    </x:row>
    <x:row r="2411">
      <x:c r="A2411" t="n">
        <x:v>4</x:v>
      </x:c>
      <x:c r="B2411" t="str">
        <x:v>Heart</x:v>
      </x:c>
      <x:c r="C2411" t="str">
        <x:v>I</x:v>
      </x:c>
      <x:c r="D2411" t="str">
        <x:v>IF</x:v>
      </x:c>
      <x:c r="E2411" s="36" t="n">
        <x:v>73500</x:v>
      </x:c>
      <x:c r="F2411" s="36" t="n">
        <x:v>4005</x:v>
      </x:c>
      <x:c r="G2411" s="42" t="n">
        <x:v>0.859073359073359</x:v>
      </x:c>
      <x:c r="H2411" s="36" t="n">
        <x:f>E2411*G2411</x:f>
        <x:v>63141.891891891886</x:v>
      </x:c>
      <x:c r="I2411" s="36" t="n">
        <x:f>IFERROR(H2411/A2411,0)</x:f>
        <x:v>15785.472972972972</x:v>
      </x:c>
      <x:c r="J2411" s="67" t="str">
        <x:v>Modeled from live base + Sep-2026 quality ratio</x:v>
      </x:c>
      <x:c r="K2411" s="67" t="str">
        <x:v>https://www.stonealgo.com/diamond-prices/</x:v>
      </x:c>
      <x:c r="L2411" s="67" t="str">
        <x:v>https://www.pricescope.com/blog/natural-diamond-prices-september-2026</x:v>
      </x:c>
    </x:row>
    <x:row r="2412">
      <x:c r="A2412" t="n">
        <x:v>4</x:v>
      </x:c>
      <x:c r="B2412" t="str">
        <x:v>Heart</x:v>
      </x:c>
      <x:c r="C2412" t="str">
        <x:v>I</x:v>
      </x:c>
      <x:c r="D2412" t="str">
        <x:v>VVS1</x:v>
      </x:c>
      <x:c r="E2412" s="36" t="n">
        <x:v>73500</x:v>
      </x:c>
      <x:c r="F2412" s="36" t="n">
        <x:v>3670</x:v>
      </x:c>
      <x:c r="G2412" s="42" t="n">
        <x:v>0.7872157872157872</x:v>
      </x:c>
      <x:c r="H2412" s="36" t="n">
        <x:f>E2412*G2412</x:f>
        <x:v>57860.36036036036</x:v>
      </x:c>
      <x:c r="I2412" s="36" t="n">
        <x:f>IFERROR(H2412/A2412,0)</x:f>
        <x:v>14465.09009009009</x:v>
      </x:c>
      <x:c r="J2412" s="67" t="str">
        <x:v>Modeled from live base + Sep-2026 quality ratio</x:v>
      </x:c>
      <x:c r="K2412" s="67" t="str">
        <x:v>https://www.stonealgo.com/diamond-prices/</x:v>
      </x:c>
      <x:c r="L2412" s="67" t="str">
        <x:v>https://www.pricescope.com/blog/natural-diamond-prices-september-2026</x:v>
      </x:c>
    </x:row>
    <x:row r="2413">
      <x:c r="A2413" t="n">
        <x:v>4</x:v>
      </x:c>
      <x:c r="B2413" t="str">
        <x:v>Heart</x:v>
      </x:c>
      <x:c r="C2413" t="str">
        <x:v>I</x:v>
      </x:c>
      <x:c r="D2413" t="str">
        <x:v>VVS2</x:v>
      </x:c>
      <x:c r="E2413" s="36" t="n">
        <x:v>73500</x:v>
      </x:c>
      <x:c r="F2413" s="36" t="n">
        <x:v>3447</x:v>
      </x:c>
      <x:c r="G2413" s="42" t="n">
        <x:v>0.7393822393822393</x:v>
      </x:c>
      <x:c r="H2413" s="36" t="n">
        <x:f>E2413*G2413</x:f>
        <x:v>54344.59459459459</x:v>
      </x:c>
      <x:c r="I2413" s="36" t="n">
        <x:f>IFERROR(H2413/A2413,0)</x:f>
        <x:v>13586.148648648648</x:v>
      </x:c>
      <x:c r="J2413" s="67" t="str">
        <x:v>Modeled from live base + Sep-2026 quality ratio</x:v>
      </x:c>
      <x:c r="K2413" s="67" t="str">
        <x:v>https://www.stonealgo.com/diamond-prices/</x:v>
      </x:c>
      <x:c r="L2413" s="67" t="str">
        <x:v>https://www.pricescope.com/blog/natural-diamond-prices-september-2026</x:v>
      </x:c>
    </x:row>
    <x:row r="2414">
      <x:c r="A2414" t="n">
        <x:v>4</x:v>
      </x:c>
      <x:c r="B2414" t="str">
        <x:v>Heart</x:v>
      </x:c>
      <x:c r="C2414" t="str">
        <x:v>I</x:v>
      </x:c>
      <x:c r="D2414" t="str">
        <x:v>VS1</x:v>
      </x:c>
      <x:c r="E2414" s="36" t="n">
        <x:v>73500</x:v>
      </x:c>
      <x:c r="F2414" s="36" t="n">
        <x:v>3313</x:v>
      </x:c>
      <x:c r="G2414" s="42" t="n">
        <x:v>0.7106392106392107</x:v>
      </x:c>
      <x:c r="H2414" s="36" t="n">
        <x:f>E2414*G2414</x:f>
        <x:v>52231.98198198198</x:v>
      </x:c>
      <x:c r="I2414" s="36" t="n">
        <x:f>IFERROR(H2414/A2414,0)</x:f>
        <x:v>13057.995495495496</x:v>
      </x:c>
      <x:c r="J2414" s="67" t="str">
        <x:v>Modeled from live base + Sep-2026 quality ratio</x:v>
      </x:c>
      <x:c r="K2414" s="67" t="str">
        <x:v>https://www.stonealgo.com/diamond-prices/</x:v>
      </x:c>
      <x:c r="L2414" s="67" t="str">
        <x:v>https://www.pricescope.com/blog/natural-diamond-prices-september-2026</x:v>
      </x:c>
    </x:row>
    <x:row r="2415">
      <x:c r="A2415" t="n">
        <x:v>4</x:v>
      </x:c>
      <x:c r="B2415" t="str">
        <x:v>Heart</x:v>
      </x:c>
      <x:c r="C2415" t="str">
        <x:v>I</x:v>
      </x:c>
      <x:c r="D2415" t="str">
        <x:v>VS2</x:v>
      </x:c>
      <x:c r="E2415" s="36" t="n">
        <x:v>73500</x:v>
      </x:c>
      <x:c r="F2415" s="36" t="n">
        <x:v>3240</x:v>
      </x:c>
      <x:c r="G2415" s="42" t="n">
        <x:v>0.694980694980695</x:v>
      </x:c>
      <x:c r="H2415" s="36" t="n">
        <x:f>E2415*G2415</x:f>
        <x:v>51081.08108108109</x:v>
      </x:c>
      <x:c r="I2415" s="36" t="n">
        <x:f>IFERROR(H2415/A2415,0)</x:f>
        <x:v>12770.270270270272</x:v>
      </x:c>
      <x:c r="J2415" s="67" t="str">
        <x:v>Modeled from live base + Sep-2026 quality ratio</x:v>
      </x:c>
      <x:c r="K2415" s="67" t="str">
        <x:v>https://www.stonealgo.com/diamond-prices/</x:v>
      </x:c>
      <x:c r="L2415" s="67" t="str">
        <x:v>https://www.pricescope.com/blog/natural-diamond-prices-september-2026</x:v>
      </x:c>
    </x:row>
    <x:row r="2416">
      <x:c r="A2416" t="n">
        <x:v>4</x:v>
      </x:c>
      <x:c r="B2416" t="str">
        <x:v>Heart</x:v>
      </x:c>
      <x:c r="C2416" t="str">
        <x:v>I</x:v>
      </x:c>
      <x:c r="D2416" t="str">
        <x:v>SI1</x:v>
      </x:c>
      <x:c r="E2416" s="36" t="n">
        <x:v>73500</x:v>
      </x:c>
      <x:c r="F2416" s="36" t="n">
        <x:v>3199</x:v>
      </x:c>
      <x:c r="G2416" s="42" t="n">
        <x:v>0.6861861861861862</x:v>
      </x:c>
      <x:c r="H2416" s="36" t="n">
        <x:f>E2416*G2416</x:f>
        <x:v>50434.68468468469</x:v>
      </x:c>
      <x:c r="I2416" s="36" t="n">
        <x:f>IFERROR(H2416/A2416,0)</x:f>
        <x:v>12608.671171171172</x:v>
      </x:c>
      <x:c r="J2416" s="67" t="str">
        <x:v>Modeled from live base + Sep-2026 quality ratio</x:v>
      </x:c>
      <x:c r="K2416" s="67" t="str">
        <x:v>https://www.stonealgo.com/diamond-prices/</x:v>
      </x:c>
      <x:c r="L2416" s="67" t="str">
        <x:v>https://www.pricescope.com/blog/natural-diamond-prices-september-2026</x:v>
      </x:c>
    </x:row>
    <x:row r="2417">
      <x:c r="A2417" t="n">
        <x:v>4</x:v>
      </x:c>
      <x:c r="B2417" t="str">
        <x:v>Heart</x:v>
      </x:c>
      <x:c r="C2417" t="str">
        <x:v>I</x:v>
      </x:c>
      <x:c r="D2417" t="str">
        <x:v>SI2</x:v>
      </x:c>
      <x:c r="E2417" s="36" t="n">
        <x:v>73500</x:v>
      </x:c>
      <x:c r="F2417" s="36" t="n">
        <x:v>2874</x:v>
      </x:c>
      <x:c r="G2417" s="42" t="n">
        <x:v>0.6164736164736164</x:v>
      </x:c>
      <x:c r="H2417" s="36" t="n">
        <x:f>E2417*G2417</x:f>
        <x:v>45310.810810810806</x:v>
      </x:c>
      <x:c r="I2417" s="36" t="n">
        <x:f>IFERROR(H2417/A2417,0)</x:f>
        <x:v>11327.702702702702</x:v>
      </x:c>
      <x:c r="J2417" s="67" t="str">
        <x:v>Modeled from live base + Sep-2026 quality ratio</x:v>
      </x:c>
      <x:c r="K2417" s="67" t="str">
        <x:v>https://www.stonealgo.com/diamond-prices/</x:v>
      </x:c>
      <x:c r="L2417" s="67" t="str">
        <x:v>https://www.pricescope.com/blog/natural-diamond-prices-september-2026</x:v>
      </x:c>
    </x:row>
    <x:row r="2418">
      <x:c r="A2418" t="n">
        <x:v>4</x:v>
      </x:c>
      <x:c r="B2418" t="str">
        <x:v>Heart</x:v>
      </x:c>
      <x:c r="C2418" t="str">
        <x:v>J</x:v>
      </x:c>
      <x:c r="D2418" t="str">
        <x:v>FL</x:v>
      </x:c>
      <x:c r="E2418" s="36" t="n">
        <x:v>73500</x:v>
      </x:c>
      <x:c r="F2418" s="36" t="n">
        <x:v>3646</x:v>
      </x:c>
      <x:c r="G2418" s="42" t="n">
        <x:v>0.782067782067782</x:v>
      </x:c>
      <x:c r="H2418" s="36" t="n">
        <x:f>E2418*G2418</x:f>
        <x:v>57481.98198198198</x:v>
      </x:c>
      <x:c r="I2418" s="36" t="n">
        <x:f>IFERROR(H2418/A2418,0)</x:f>
        <x:v>14370.495495495496</x:v>
      </x:c>
      <x:c r="J2418" s="67" t="str">
        <x:v>Modeled from live base + Sep-2026 quality ratio</x:v>
      </x:c>
      <x:c r="K2418" s="67" t="str">
        <x:v>https://www.stonealgo.com/diamond-prices/</x:v>
      </x:c>
      <x:c r="L2418" s="67" t="str">
        <x:v>https://www.pricescope.com/blog/natural-diamond-prices-september-2026</x:v>
      </x:c>
    </x:row>
    <x:row r="2419">
      <x:c r="A2419" t="n">
        <x:v>4</x:v>
      </x:c>
      <x:c r="B2419" t="str">
        <x:v>Heart</x:v>
      </x:c>
      <x:c r="C2419" t="str">
        <x:v>J</x:v>
      </x:c>
      <x:c r="D2419" t="str">
        <x:v>IF</x:v>
      </x:c>
      <x:c r="E2419" s="36" t="n">
        <x:v>73500</x:v>
      </x:c>
      <x:c r="F2419" s="36" t="n">
        <x:v>3368</x:v>
      </x:c>
      <x:c r="G2419" s="42" t="n">
        <x:v>0.7224367224367224</x:v>
      </x:c>
      <x:c r="H2419" s="36" t="n">
        <x:f>E2419*G2419</x:f>
        <x:v>53099.0990990991</x:v>
      </x:c>
      <x:c r="I2419" s="36" t="n">
        <x:f>IFERROR(H2419/A2419,0)</x:f>
        <x:v>13274.774774774774</x:v>
      </x:c>
      <x:c r="J2419" s="67" t="str">
        <x:v>Modeled from live base + Sep-2026 quality ratio</x:v>
      </x:c>
      <x:c r="K2419" s="67" t="str">
        <x:v>https://www.stonealgo.com/diamond-prices/</x:v>
      </x:c>
      <x:c r="L2419" s="67" t="str">
        <x:v>https://www.pricescope.com/blog/natural-diamond-prices-september-2026</x:v>
      </x:c>
    </x:row>
    <x:row r="2420">
      <x:c r="A2420" t="n">
        <x:v>4</x:v>
      </x:c>
      <x:c r="B2420" t="str">
        <x:v>Heart</x:v>
      </x:c>
      <x:c r="C2420" t="str">
        <x:v>J</x:v>
      </x:c>
      <x:c r="D2420" t="str">
        <x:v>VVS1</x:v>
      </x:c>
      <x:c r="E2420" s="36" t="n">
        <x:v>73500</x:v>
      </x:c>
      <x:c r="F2420" s="36" t="n">
        <x:v>2956</x:v>
      </x:c>
      <x:c r="G2420" s="42" t="n">
        <x:v>0.6340626340626341</x:v>
      </x:c>
      <x:c r="H2420" s="36" t="n">
        <x:f>E2420*G2420</x:f>
        <x:v>46603.6036036036</x:v>
      </x:c>
      <x:c r="I2420" s="36" t="n">
        <x:f>IFERROR(H2420/A2420,0)</x:f>
        <x:v>11650.9009009009</x:v>
      </x:c>
      <x:c r="J2420" s="67" t="str">
        <x:v>Modeled from live base + Sep-2026 quality ratio</x:v>
      </x:c>
      <x:c r="K2420" s="67" t="str">
        <x:v>https://www.stonealgo.com/diamond-prices/</x:v>
      </x:c>
      <x:c r="L2420" s="67" t="str">
        <x:v>https://www.pricescope.com/blog/natural-diamond-prices-september-2026</x:v>
      </x:c>
    </x:row>
    <x:row r="2421">
      <x:c r="A2421" t="n">
        <x:v>4</x:v>
      </x:c>
      <x:c r="B2421" t="str">
        <x:v>Heart</x:v>
      </x:c>
      <x:c r="C2421" t="str">
        <x:v>J</x:v>
      </x:c>
      <x:c r="D2421" t="str">
        <x:v>VVS2</x:v>
      </x:c>
      <x:c r="E2421" s="36" t="n">
        <x:v>73500</x:v>
      </x:c>
      <x:c r="F2421" s="36" t="n">
        <x:v>2612</x:v>
      </x:c>
      <x:c r="G2421" s="42" t="n">
        <x:v>0.5602745602745602</x:v>
      </x:c>
      <x:c r="H2421" s="36" t="n">
        <x:f>E2421*G2421</x:f>
        <x:v>41180.18018018018</x:v>
      </x:c>
      <x:c r="I2421" s="36" t="n">
        <x:f>IFERROR(H2421/A2421,0)</x:f>
        <x:v>10295.045045045044</x:v>
      </x:c>
      <x:c r="J2421" s="67" t="str">
        <x:v>Modeled from live base + Sep-2026 quality ratio</x:v>
      </x:c>
      <x:c r="K2421" s="67" t="str">
        <x:v>https://www.stonealgo.com/diamond-prices/</x:v>
      </x:c>
      <x:c r="L2421" s="67" t="str">
        <x:v>https://www.pricescope.com/blog/natural-diamond-prices-september-2026</x:v>
      </x:c>
    </x:row>
    <x:row r="2422">
      <x:c r="A2422" t="n">
        <x:v>4</x:v>
      </x:c>
      <x:c r="B2422" t="str">
        <x:v>Heart</x:v>
      </x:c>
      <x:c r="C2422" t="str">
        <x:v>J</x:v>
      </x:c>
      <x:c r="D2422" t="str">
        <x:v>VS1</x:v>
      </x:c>
      <x:c r="E2422" s="36" t="n">
        <x:v>73500</x:v>
      </x:c>
      <x:c r="F2422" s="36" t="n">
        <x:v>3002</x:v>
      </x:c>
      <x:c r="G2422" s="42" t="n">
        <x:v>0.6439296439296439</x:v>
      </x:c>
      <x:c r="H2422" s="36" t="n">
        <x:f>E2422*G2422</x:f>
        <x:v>47328.828828828824</x:v>
      </x:c>
      <x:c r="I2422" s="36" t="n">
        <x:f>IFERROR(H2422/A2422,0)</x:f>
        <x:v>11832.207207207206</x:v>
      </x:c>
      <x:c r="J2422" s="67" t="str">
        <x:v>Modeled from live base + Sep-2026 quality ratio</x:v>
      </x:c>
      <x:c r="K2422" s="67" t="str">
        <x:v>https://www.stonealgo.com/diamond-prices/</x:v>
      </x:c>
      <x:c r="L2422" s="67" t="str">
        <x:v>https://www.pricescope.com/blog/natural-diamond-prices-september-2026</x:v>
      </x:c>
    </x:row>
    <x:row r="2423">
      <x:c r="A2423" t="n">
        <x:v>4</x:v>
      </x:c>
      <x:c r="B2423" t="str">
        <x:v>Heart</x:v>
      </x:c>
      <x:c r="C2423" t="str">
        <x:v>J</x:v>
      </x:c>
      <x:c r="D2423" t="str">
        <x:v>VS2</x:v>
      </x:c>
      <x:c r="E2423" s="36" t="n">
        <x:v>73500</x:v>
      </x:c>
      <x:c r="F2423" s="36" t="n">
        <x:v>2559</x:v>
      </x:c>
      <x:c r="G2423" s="42" t="n">
        <x:v>0.5489060489060489</x:v>
      </x:c>
      <x:c r="H2423" s="36" t="n">
        <x:f>E2423*G2423</x:f>
        <x:v>40344.59459459459</x:v>
      </x:c>
      <x:c r="I2423" s="36" t="n">
        <x:f>IFERROR(H2423/A2423,0)</x:f>
        <x:v>10086.148648648648</x:v>
      </x:c>
      <x:c r="J2423" s="67" t="str">
        <x:v>Modeled from live base + Sep-2026 quality ratio</x:v>
      </x:c>
      <x:c r="K2423" s="67" t="str">
        <x:v>https://www.stonealgo.com/diamond-prices/</x:v>
      </x:c>
      <x:c r="L2423" s="67" t="str">
        <x:v>https://www.pricescope.com/blog/natural-diamond-prices-september-2026</x:v>
      </x:c>
    </x:row>
    <x:row r="2424">
      <x:c r="A2424" t="n">
        <x:v>4</x:v>
      </x:c>
      <x:c r="B2424" t="str">
        <x:v>Heart</x:v>
      </x:c>
      <x:c r="C2424" t="str">
        <x:v>J</x:v>
      </x:c>
      <x:c r="D2424" t="str">
        <x:v>SI1</x:v>
      </x:c>
      <x:c r="E2424" s="36" t="n">
        <x:v>73500</x:v>
      </x:c>
      <x:c r="F2424" s="36" t="n">
        <x:v>2195</x:v>
      </x:c>
      <x:c r="G2424" s="42" t="n">
        <x:v>0.47082797082797084</x:v>
      </x:c>
      <x:c r="H2424" s="36" t="n">
        <x:f>E2424*G2424</x:f>
        <x:v>34605.85585585586</x:v>
      </x:c>
      <x:c r="I2424" s="36" t="n">
        <x:f>IFERROR(H2424/A2424,0)</x:f>
        <x:v>8651.463963963964</x:v>
      </x:c>
      <x:c r="J2424" s="67" t="str">
        <x:v>Modeled from live base + Sep-2026 quality ratio</x:v>
      </x:c>
      <x:c r="K2424" s="67" t="str">
        <x:v>https://www.stonealgo.com/diamond-prices/</x:v>
      </x:c>
      <x:c r="L2424" s="67" t="str">
        <x:v>https://www.pricescope.com/blog/natural-diamond-prices-september-2026</x:v>
      </x:c>
    </x:row>
    <x:row r="2425">
      <x:c r="A2425" t="n">
        <x:v>4</x:v>
      </x:c>
      <x:c r="B2425" t="str">
        <x:v>Heart</x:v>
      </x:c>
      <x:c r="C2425" t="str">
        <x:v>J</x:v>
      </x:c>
      <x:c r="D2425" t="str">
        <x:v>SI2</x:v>
      </x:c>
      <x:c r="E2425" s="36" t="n">
        <x:v>73500</x:v>
      </x:c>
      <x:c r="F2425" s="36" t="n">
        <x:v>2079</x:v>
      </x:c>
      <x:c r="G2425" s="42" t="n">
        <x:v>0.44594594594594594</x:v>
      </x:c>
      <x:c r="H2425" s="36" t="n">
        <x:f>E2425*G2425</x:f>
        <x:v>32777.02702702703</x:v>
      </x:c>
      <x:c r="I2425" s="36" t="n">
        <x:f>IFERROR(H2425/A2425,0)</x:f>
        <x:v>8194.256756756757</x:v>
      </x:c>
      <x:c r="J2425" s="67" t="str">
        <x:v>Modeled from live base + Sep-2026 quality ratio</x:v>
      </x:c>
      <x:c r="K2425" s="67" t="str">
        <x:v>https://www.stonealgo.com/diamond-prices/</x:v>
      </x:c>
      <x:c r="L2425" s="67" t="str">
        <x:v>https://www.pricescope.com/blog/natural-diamond-prices-september-2026</x:v>
      </x:c>
    </x:row>
    <x:row r="2426">
      <x:c r="A2426" t="n">
        <x:v>4</x:v>
      </x:c>
      <x:c r="B2426" t="str">
        <x:v>Heart</x:v>
      </x:c>
      <x:c r="C2426" t="str">
        <x:v>K</x:v>
      </x:c>
      <x:c r="D2426" t="str">
        <x:v>FL</x:v>
      </x:c>
      <x:c r="E2426" s="36" t="n">
        <x:v>73500</x:v>
      </x:c>
      <x:c r="F2426" s="36" t="n">
        <x:v>2858</x:v>
      </x:c>
      <x:c r="G2426" s="42" t="n">
        <x:v>0.6130416130416131</x:v>
      </x:c>
      <x:c r="H2426" s="36" t="n">
        <x:f>E2426*G2426</x:f>
        <x:v>45058.558558558565</x:v>
      </x:c>
      <x:c r="I2426" s="36" t="n">
        <x:f>IFERROR(H2426/A2426,0)</x:f>
        <x:v>11264.639639639641</x:v>
      </x:c>
      <x:c r="J2426" s="67" t="str">
        <x:v>Modeled from live base + Sep-2026 quality ratio; K/FL quality cell modeled</x:v>
      </x:c>
      <x:c r="K2426" s="67" t="str">
        <x:v>https://www.stonealgo.com/diamond-prices/</x:v>
      </x:c>
      <x:c r="L2426" s="67" t="str">
        <x:v>https://www.pricescope.com/blog/natural-diamond-prices-september-2026</x:v>
      </x:c>
    </x:row>
    <x:row r="2427">
      <x:c r="A2427" t="n">
        <x:v>4</x:v>
      </x:c>
      <x:c r="B2427" t="str">
        <x:v>Heart</x:v>
      </x:c>
      <x:c r="C2427" t="str">
        <x:v>K</x:v>
      </x:c>
      <x:c r="D2427" t="str">
        <x:v>IF</x:v>
      </x:c>
      <x:c r="E2427" s="36" t="n">
        <x:v>73500</x:v>
      </x:c>
      <x:c r="F2427" s="36" t="n">
        <x:v>2743</x:v>
      </x:c>
      <x:c r="G2427" s="42" t="n">
        <x:v>0.5883740883740883</x:v>
      </x:c>
      <x:c r="H2427" s="36" t="n">
        <x:f>E2427*G2427</x:f>
        <x:v>43245.495495495496</x:v>
      </x:c>
      <x:c r="I2427" s="36" t="n">
        <x:f>IFERROR(H2427/A2427,0)</x:f>
        <x:v>10811.373873873874</x:v>
      </x:c>
      <x:c r="J2427" s="67" t="str">
        <x:v>Modeled from live base + Sep-2026 quality ratio</x:v>
      </x:c>
      <x:c r="K2427" s="67" t="str">
        <x:v>https://www.stonealgo.com/diamond-prices/</x:v>
      </x:c>
      <x:c r="L2427" s="67" t="str">
        <x:v>https://www.pricescope.com/blog/natural-diamond-prices-september-2026</x:v>
      </x:c>
    </x:row>
    <x:row r="2428">
      <x:c r="A2428" t="n">
        <x:v>4</x:v>
      </x:c>
      <x:c r="B2428" t="str">
        <x:v>Heart</x:v>
      </x:c>
      <x:c r="C2428" t="str">
        <x:v>K</x:v>
      </x:c>
      <x:c r="D2428" t="str">
        <x:v>VVS1</x:v>
      </x:c>
      <x:c r="E2428" s="36" t="n">
        <x:v>73500</x:v>
      </x:c>
      <x:c r="F2428" s="36" t="n">
        <x:v>2529</x:v>
      </x:c>
      <x:c r="G2428" s="42" t="n">
        <x:v>0.5424710424710425</x:v>
      </x:c>
      <x:c r="H2428" s="36" t="n">
        <x:f>E2428*G2428</x:f>
        <x:v>39871.62162162163</x:v>
      </x:c>
      <x:c r="I2428" s="36" t="n">
        <x:f>IFERROR(H2428/A2428,0)</x:f>
        <x:v>9967.905405405407</x:v>
      </x:c>
      <x:c r="J2428" s="67" t="str">
        <x:v>Modeled from live base + Sep-2026 quality ratio</x:v>
      </x:c>
      <x:c r="K2428" s="67" t="str">
        <x:v>https://www.stonealgo.com/diamond-prices/</x:v>
      </x:c>
      <x:c r="L2428" s="67" t="str">
        <x:v>https://www.pricescope.com/blog/natural-diamond-prices-september-2026</x:v>
      </x:c>
    </x:row>
    <x:row r="2429">
      <x:c r="A2429" t="n">
        <x:v>4</x:v>
      </x:c>
      <x:c r="B2429" t="str">
        <x:v>Heart</x:v>
      </x:c>
      <x:c r="C2429" t="str">
        <x:v>K</x:v>
      </x:c>
      <x:c r="D2429" t="str">
        <x:v>VVS2</x:v>
      </x:c>
      <x:c r="E2429" s="36" t="n">
        <x:v>73500</x:v>
      </x:c>
      <x:c r="F2429" s="36" t="n">
        <x:v>2374</x:v>
      </x:c>
      <x:c r="G2429" s="42" t="n">
        <x:v>0.5092235092235092</x:v>
      </x:c>
      <x:c r="H2429" s="36" t="n">
        <x:f>E2429*G2429</x:f>
        <x:v>37427.92792792793</x:v>
      </x:c>
      <x:c r="I2429" s="36" t="n">
        <x:f>IFERROR(H2429/A2429,0)</x:f>
        <x:v>9356.981981981982</x:v>
      </x:c>
      <x:c r="J2429" s="67" t="str">
        <x:v>Modeled from live base + Sep-2026 quality ratio</x:v>
      </x:c>
      <x:c r="K2429" s="67" t="str">
        <x:v>https://www.stonealgo.com/diamond-prices/</x:v>
      </x:c>
      <x:c r="L2429" s="67" t="str">
        <x:v>https://www.pricescope.com/blog/natural-diamond-prices-september-2026</x:v>
      </x:c>
    </x:row>
    <x:row r="2430">
      <x:c r="A2430" t="n">
        <x:v>4</x:v>
      </x:c>
      <x:c r="B2430" t="str">
        <x:v>Heart</x:v>
      </x:c>
      <x:c r="C2430" t="str">
        <x:v>K</x:v>
      </x:c>
      <x:c r="D2430" t="str">
        <x:v>VS1</x:v>
      </x:c>
      <x:c r="E2430" s="36" t="n">
        <x:v>73500</x:v>
      </x:c>
      <x:c r="F2430" s="36" t="n">
        <x:v>2223</x:v>
      </x:c>
      <x:c r="G2430" s="42" t="n">
        <x:v>0.4768339768339768</x:v>
      </x:c>
      <x:c r="H2430" s="36" t="n">
        <x:f>E2430*G2430</x:f>
        <x:v>35047.2972972973</x:v>
      </x:c>
      <x:c r="I2430" s="36" t="n">
        <x:f>IFERROR(H2430/A2430,0)</x:f>
        <x:v>8761.824324324325</x:v>
      </x:c>
      <x:c r="J2430" s="67" t="str">
        <x:v>Modeled from live base + Sep-2026 quality ratio</x:v>
      </x:c>
      <x:c r="K2430" s="67" t="str">
        <x:v>https://www.stonealgo.com/diamond-prices/</x:v>
      </x:c>
      <x:c r="L2430" s="67" t="str">
        <x:v>https://www.pricescope.com/blog/natural-diamond-prices-september-2026</x:v>
      </x:c>
    </x:row>
    <x:row r="2431">
      <x:c r="A2431" t="n">
        <x:v>4</x:v>
      </x:c>
      <x:c r="B2431" t="str">
        <x:v>Heart</x:v>
      </x:c>
      <x:c r="C2431" t="str">
        <x:v>K</x:v>
      </x:c>
      <x:c r="D2431" t="str">
        <x:v>VS2</x:v>
      </x:c>
      <x:c r="E2431" s="36" t="n">
        <x:v>73500</x:v>
      </x:c>
      <x:c r="F2431" s="36" t="n">
        <x:v>2098</x:v>
      </x:c>
      <x:c r="G2431" s="42" t="n">
        <x:v>0.45002145002145</x:v>
      </x:c>
      <x:c r="H2431" s="36" t="n">
        <x:f>E2431*G2431</x:f>
        <x:v>33076.576576576575</x:v>
      </x:c>
      <x:c r="I2431" s="36" t="n">
        <x:f>IFERROR(H2431/A2431,0)</x:f>
        <x:v>8269.144144144144</x:v>
      </x:c>
      <x:c r="J2431" s="67" t="str">
        <x:v>Modeled from live base + Sep-2026 quality ratio</x:v>
      </x:c>
      <x:c r="K2431" s="67" t="str">
        <x:v>https://www.stonealgo.com/diamond-prices/</x:v>
      </x:c>
      <x:c r="L2431" s="67" t="str">
        <x:v>https://www.pricescope.com/blog/natural-diamond-prices-september-2026</x:v>
      </x:c>
    </x:row>
    <x:row r="2432">
      <x:c r="A2432" t="n">
        <x:v>4</x:v>
      </x:c>
      <x:c r="B2432" t="str">
        <x:v>Heart</x:v>
      </x:c>
      <x:c r="C2432" t="str">
        <x:v>K</x:v>
      </x:c>
      <x:c r="D2432" t="str">
        <x:v>SI1</x:v>
      </x:c>
      <x:c r="E2432" s="36" t="n">
        <x:v>73500</x:v>
      </x:c>
      <x:c r="F2432" s="36" t="n">
        <x:v>1922</x:v>
      </x:c>
      <x:c r="G2432" s="42" t="n">
        <x:v>0.41226941226941227</x:v>
      </x:c>
      <x:c r="H2432" s="36" t="n">
        <x:f>E2432*G2432</x:f>
        <x:v>30301.8018018018</x:v>
      </x:c>
      <x:c r="I2432" s="36" t="n">
        <x:f>IFERROR(H2432/A2432,0)</x:f>
        <x:v>7575.45045045045</x:v>
      </x:c>
      <x:c r="J2432" s="67" t="str">
        <x:v>Modeled from live base + Sep-2026 quality ratio</x:v>
      </x:c>
      <x:c r="K2432" s="67" t="str">
        <x:v>https://www.stonealgo.com/diamond-prices/</x:v>
      </x:c>
      <x:c r="L2432" s="67" t="str">
        <x:v>https://www.pricescope.com/blog/natural-diamond-prices-september-2026</x:v>
      </x:c>
    </x:row>
    <x:row r="2433">
      <x:c r="A2433" t="n">
        <x:v>4</x:v>
      </x:c>
      <x:c r="B2433" t="str">
        <x:v>Heart</x:v>
      </x:c>
      <x:c r="C2433" t="str">
        <x:v>K</x:v>
      </x:c>
      <x:c r="D2433" t="str">
        <x:v>SI2</x:v>
      </x:c>
      <x:c r="E2433" s="36" t="n">
        <x:v>73500</x:v>
      </x:c>
      <x:c r="F2433" s="36" t="n">
        <x:v>1764</x:v>
      </x:c>
      <x:c r="G2433" s="42" t="n">
        <x:v>0.3783783783783784</x:v>
      </x:c>
      <x:c r="H2433" s="36" t="n">
        <x:f>E2433*G2433</x:f>
        <x:v>27810.810810810814</x:v>
      </x:c>
      <x:c r="I2433" s="36" t="n">
        <x:f>IFERROR(H2433/A2433,0)</x:f>
        <x:v>6952.702702702703</x:v>
      </x:c>
      <x:c r="J2433" s="67" t="str">
        <x:v>Modeled from live base + Sep-2026 quality ratio</x:v>
      </x:c>
      <x:c r="K2433" s="67" t="str">
        <x:v>https://www.stonealgo.com/diamond-prices/</x:v>
      </x:c>
      <x:c r="L2433" s="67" t="str">
        <x:v>https://www.pricescope.com/blog/natural-diamond-prices-september-2026</x:v>
      </x:c>
    </x:row>
    <x:row r="2434">
      <x:c r="A2434" t="n">
        <x:v>4</x:v>
      </x:c>
      <x:c r="B2434" t="str">
        <x:v>Marquise</x:v>
      </x:c>
      <x:c r="C2434" t="str">
        <x:v>D</x:v>
      </x:c>
      <x:c r="D2434" t="str">
        <x:v>FL</x:v>
      </x:c>
      <x:c r="E2434" s="36" t="n">
        <x:v>89700</x:v>
      </x:c>
      <x:c r="F2434" s="36" t="n">
        <x:v>12665</x:v>
      </x:c>
      <x:c r="G2434" s="42" t="n">
        <x:v>2.7166452166452166</x:v>
      </x:c>
      <x:c r="H2434" s="36" t="n">
        <x:f>E2434*G2434</x:f>
        <x:v>243683.07593307592</x:v>
      </x:c>
      <x:c r="I2434" s="36" t="n">
        <x:f>IFERROR(H2434/A2434,0)</x:f>
        <x:v>60920.76898326898</x:v>
      </x:c>
      <x:c r="J2434" s="67" t="str">
        <x:v>Modeled from live base + Sep-2026 quality ratio</x:v>
      </x:c>
      <x:c r="K2434" s="67" t="str">
        <x:v>https://www.stonealgo.com/diamond-prices/</x:v>
      </x:c>
      <x:c r="L2434" s="67" t="str">
        <x:v>https://www.pricescope.com/blog/natural-diamond-prices-september-2026</x:v>
      </x:c>
    </x:row>
    <x:row r="2435">
      <x:c r="A2435" t="n">
        <x:v>4</x:v>
      </x:c>
      <x:c r="B2435" t="str">
        <x:v>Marquise</x:v>
      </x:c>
      <x:c r="C2435" t="str">
        <x:v>D</x:v>
      </x:c>
      <x:c r="D2435" t="str">
        <x:v>IF</x:v>
      </x:c>
      <x:c r="E2435" s="36" t="n">
        <x:v>89700</x:v>
      </x:c>
      <x:c r="F2435" s="36" t="n">
        <x:v>13240</x:v>
      </x:c>
      <x:c r="G2435" s="42" t="n">
        <x:v>2.83998283998284</x:v>
      </x:c>
      <x:c r="H2435" s="36" t="n">
        <x:f>E2435*G2435</x:f>
        <x:v>254746.46074646077</x:v>
      </x:c>
      <x:c r="I2435" s="36" t="n">
        <x:f>IFERROR(H2435/A2435,0)</x:f>
        <x:v>63686.61518661519</x:v>
      </x:c>
      <x:c r="J2435" s="67" t="str">
        <x:v>Modeled from live base + Sep-2026 quality ratio</x:v>
      </x:c>
      <x:c r="K2435" s="67" t="str">
        <x:v>https://www.stonealgo.com/diamond-prices/</x:v>
      </x:c>
      <x:c r="L2435" s="67" t="str">
        <x:v>https://www.pricescope.com/blog/natural-diamond-prices-september-2026</x:v>
      </x:c>
    </x:row>
    <x:row r="2436">
      <x:c r="A2436" t="n">
        <x:v>4</x:v>
      </x:c>
      <x:c r="B2436" t="str">
        <x:v>Marquise</x:v>
      </x:c>
      <x:c r="C2436" t="str">
        <x:v>D</x:v>
      </x:c>
      <x:c r="D2436" t="str">
        <x:v>VVS1</x:v>
      </x:c>
      <x:c r="E2436" s="36" t="n">
        <x:v>89700</x:v>
      </x:c>
      <x:c r="F2436" s="36" t="n">
        <x:v>9555</x:v>
      </x:c>
      <x:c r="G2436" s="42" t="n">
        <x:v>2.0495495495495497</x:v>
      </x:c>
      <x:c r="H2436" s="36" t="n">
        <x:f>E2436*G2436</x:f>
        <x:v>183844.59459459462</x:v>
      </x:c>
      <x:c r="I2436" s="36" t="n">
        <x:f>IFERROR(H2436/A2436,0)</x:f>
        <x:v>45961.148648648654</x:v>
      </x:c>
      <x:c r="J2436" s="67" t="str">
        <x:v>Modeled from live base + Sep-2026 quality ratio</x:v>
      </x:c>
      <x:c r="K2436" s="67" t="str">
        <x:v>https://www.stonealgo.com/diamond-prices/</x:v>
      </x:c>
      <x:c r="L2436" s="67" t="str">
        <x:v>https://www.pricescope.com/blog/natural-diamond-prices-september-2026</x:v>
      </x:c>
    </x:row>
    <x:row r="2437">
      <x:c r="A2437" t="n">
        <x:v>4</x:v>
      </x:c>
      <x:c r="B2437" t="str">
        <x:v>Marquise</x:v>
      </x:c>
      <x:c r="C2437" t="str">
        <x:v>D</x:v>
      </x:c>
      <x:c r="D2437" t="str">
        <x:v>VVS2</x:v>
      </x:c>
      <x:c r="E2437" s="36" t="n">
        <x:v>89700</x:v>
      </x:c>
      <x:c r="F2437" s="36" t="n">
        <x:v>6660</x:v>
      </x:c>
      <x:c r="G2437" s="42" t="n">
        <x:v>1.4285714285714286</x:v>
      </x:c>
      <x:c r="H2437" s="36" t="n">
        <x:f>E2437*G2437</x:f>
        <x:v>128142.85714285714</x:v>
      </x:c>
      <x:c r="I2437" s="36" t="n">
        <x:f>IFERROR(H2437/A2437,0)</x:f>
        <x:v>32035.714285714286</x:v>
      </x:c>
      <x:c r="J2437" s="67" t="str">
        <x:v>Modeled from live base + Sep-2026 quality ratio</x:v>
      </x:c>
      <x:c r="K2437" s="67" t="str">
        <x:v>https://www.stonealgo.com/diamond-prices/</x:v>
      </x:c>
      <x:c r="L2437" s="67" t="str">
        <x:v>https://www.pricescope.com/blog/natural-diamond-prices-september-2026</x:v>
      </x:c>
    </x:row>
    <x:row r="2438">
      <x:c r="A2438" t="n">
        <x:v>4</x:v>
      </x:c>
      <x:c r="B2438" t="str">
        <x:v>Marquise</x:v>
      </x:c>
      <x:c r="C2438" t="str">
        <x:v>D</x:v>
      </x:c>
      <x:c r="D2438" t="str">
        <x:v>VS1</x:v>
      </x:c>
      <x:c r="E2438" s="36" t="n">
        <x:v>89700</x:v>
      </x:c>
      <x:c r="F2438" s="36" t="n">
        <x:v>6247</x:v>
      </x:c>
      <x:c r="G2438" s="42" t="n">
        <x:v>1.33998283998284</x:v>
      </x:c>
      <x:c r="H2438" s="36" t="n">
        <x:f>E2438*G2438</x:f>
        <x:v>120196.46074646074</x:v>
      </x:c>
      <x:c r="I2438" s="36" t="n">
        <x:f>IFERROR(H2438/A2438,0)</x:f>
        <x:v>30049.115186615185</x:v>
      </x:c>
      <x:c r="J2438" s="67" t="str">
        <x:v>Modeled from live base + Sep-2026 quality ratio</x:v>
      </x:c>
      <x:c r="K2438" s="67" t="str">
        <x:v>https://www.stonealgo.com/diamond-prices/</x:v>
      </x:c>
      <x:c r="L2438" s="67" t="str">
        <x:v>https://www.pricescope.com/blog/natural-diamond-prices-september-2026</x:v>
      </x:c>
    </x:row>
    <x:row r="2439">
      <x:c r="A2439" t="n">
        <x:v>4</x:v>
      </x:c>
      <x:c r="B2439" t="str">
        <x:v>Marquise</x:v>
      </x:c>
      <x:c r="C2439" t="str">
        <x:v>D</x:v>
      </x:c>
      <x:c r="D2439" t="str">
        <x:v>VS2</x:v>
      </x:c>
      <x:c r="E2439" s="36" t="n">
        <x:v>89700</x:v>
      </x:c>
      <x:c r="F2439" s="36" t="n">
        <x:v>5841</x:v>
      </x:c>
      <x:c r="G2439" s="42" t="n">
        <x:v>1.252895752895753</x:v>
      </x:c>
      <x:c r="H2439" s="36" t="n">
        <x:f>E2439*G2439</x:f>
        <x:v>112384.74903474904</x:v>
      </x:c>
      <x:c r="I2439" s="36" t="n">
        <x:f>IFERROR(H2439/A2439,0)</x:f>
        <x:v>28096.18725868726</x:v>
      </x:c>
      <x:c r="J2439" s="67" t="str">
        <x:v>Modeled from live base + Sep-2026 quality ratio</x:v>
      </x:c>
      <x:c r="K2439" s="67" t="str">
        <x:v>https://www.stonealgo.com/diamond-prices/</x:v>
      </x:c>
      <x:c r="L2439" s="67" t="str">
        <x:v>https://www.pricescope.com/blog/natural-diamond-prices-september-2026</x:v>
      </x:c>
    </x:row>
    <x:row r="2440">
      <x:c r="A2440" t="n">
        <x:v>4</x:v>
      </x:c>
      <x:c r="B2440" t="str">
        <x:v>Marquise</x:v>
      </x:c>
      <x:c r="C2440" t="str">
        <x:v>D</x:v>
      </x:c>
      <x:c r="D2440" t="str">
        <x:v>SI1</x:v>
      </x:c>
      <x:c r="E2440" s="36" t="n">
        <x:v>89700</x:v>
      </x:c>
      <x:c r="F2440" s="36" t="n">
        <x:v>3762</x:v>
      </x:c>
      <x:c r="G2440" s="42" t="n">
        <x:v>0.806949806949807</x:v>
      </x:c>
      <x:c r="H2440" s="36" t="n">
        <x:f>E2440*G2440</x:f>
        <x:v>72383.39768339769</x:v>
      </x:c>
      <x:c r="I2440" s="36" t="n">
        <x:f>IFERROR(H2440/A2440,0)</x:f>
        <x:v>18095.849420849423</x:v>
      </x:c>
      <x:c r="J2440" s="67" t="str">
        <x:v>Modeled from live base + Sep-2026 quality ratio</x:v>
      </x:c>
      <x:c r="K2440" s="67" t="str">
        <x:v>https://www.stonealgo.com/diamond-prices/</x:v>
      </x:c>
      <x:c r="L2440" s="67" t="str">
        <x:v>https://www.pricescope.com/blog/natural-diamond-prices-september-2026</x:v>
      </x:c>
    </x:row>
    <x:row r="2441">
      <x:c r="A2441" t="n">
        <x:v>4</x:v>
      </x:c>
      <x:c r="B2441" t="str">
        <x:v>Marquise</x:v>
      </x:c>
      <x:c r="C2441" t="str">
        <x:v>D</x:v>
      </x:c>
      <x:c r="D2441" t="str">
        <x:v>SI2</x:v>
      </x:c>
      <x:c r="E2441" s="36" t="n">
        <x:v>89700</x:v>
      </x:c>
      <x:c r="F2441" s="36" t="n">
        <x:v>3026</x:v>
      </x:c>
      <x:c r="G2441" s="42" t="n">
        <x:v>0.6490776490776491</x:v>
      </x:c>
      <x:c r="H2441" s="36" t="n">
        <x:f>E2441*G2441</x:f>
        <x:v>58222.265122265126</x:v>
      </x:c>
      <x:c r="I2441" s="36" t="n">
        <x:f>IFERROR(H2441/A2441,0)</x:f>
        <x:v>14555.566280566281</x:v>
      </x:c>
      <x:c r="J2441" s="67" t="str">
        <x:v>Modeled from live base + Sep-2026 quality ratio</x:v>
      </x:c>
      <x:c r="K2441" s="67" t="str">
        <x:v>https://www.stonealgo.com/diamond-prices/</x:v>
      </x:c>
      <x:c r="L2441" s="67" t="str">
        <x:v>https://www.pricescope.com/blog/natural-diamond-prices-september-2026</x:v>
      </x:c>
    </x:row>
    <x:row r="2442">
      <x:c r="A2442" t="n">
        <x:v>4</x:v>
      </x:c>
      <x:c r="B2442" t="str">
        <x:v>Marquise</x:v>
      </x:c>
      <x:c r="C2442" t="str">
        <x:v>E</x:v>
      </x:c>
      <x:c r="D2442" t="str">
        <x:v>FL</x:v>
      </x:c>
      <x:c r="E2442" s="36" t="n">
        <x:v>89700</x:v>
      </x:c>
      <x:c r="F2442" s="36" t="n">
        <x:v>10072</x:v>
      </x:c>
      <x:c r="G2442" s="42" t="n">
        <x:v>2.1604461604461602</x:v>
      </x:c>
      <x:c r="H2442" s="36" t="n">
        <x:f>E2442*G2442</x:f>
        <x:v>193792.02059202056</x:v>
      </x:c>
      <x:c r="I2442" s="36" t="n">
        <x:f>IFERROR(H2442/A2442,0)</x:f>
        <x:v>48448.00514800514</x:v>
      </x:c>
      <x:c r="J2442" s="67" t="str">
        <x:v>Modeled from live base + Sep-2026 quality ratio</x:v>
      </x:c>
      <x:c r="K2442" s="67" t="str">
        <x:v>https://www.stonealgo.com/diamond-prices/</x:v>
      </x:c>
      <x:c r="L2442" s="67" t="str">
        <x:v>https://www.pricescope.com/blog/natural-diamond-prices-september-2026</x:v>
      </x:c>
    </x:row>
    <x:row r="2443">
      <x:c r="A2443" t="n">
        <x:v>4</x:v>
      </x:c>
      <x:c r="B2443" t="str">
        <x:v>Marquise</x:v>
      </x:c>
      <x:c r="C2443" t="str">
        <x:v>E</x:v>
      </x:c>
      <x:c r="D2443" t="str">
        <x:v>IF</x:v>
      </x:c>
      <x:c r="E2443" s="36" t="n">
        <x:v>89700</x:v>
      </x:c>
      <x:c r="F2443" s="36" t="n">
        <x:v>8672</x:v>
      </x:c>
      <x:c r="G2443" s="42" t="n">
        <x:v>1.8601458601458603</x:v>
      </x:c>
      <x:c r="H2443" s="36" t="n">
        <x:f>E2443*G2443</x:f>
        <x:v>166855.08365508367</x:v>
      </x:c>
      <x:c r="I2443" s="36" t="n">
        <x:f>IFERROR(H2443/A2443,0)</x:f>
        <x:v>41713.77091377092</x:v>
      </x:c>
      <x:c r="J2443" s="67" t="str">
        <x:v>Modeled from live base + Sep-2026 quality ratio</x:v>
      </x:c>
      <x:c r="K2443" s="67" t="str">
        <x:v>https://www.stonealgo.com/diamond-prices/</x:v>
      </x:c>
      <x:c r="L2443" s="67" t="str">
        <x:v>https://www.pricescope.com/blog/natural-diamond-prices-september-2026</x:v>
      </x:c>
    </x:row>
    <x:row r="2444">
      <x:c r="A2444" t="n">
        <x:v>4</x:v>
      </x:c>
      <x:c r="B2444" t="str">
        <x:v>Marquise</x:v>
      </x:c>
      <x:c r="C2444" t="str">
        <x:v>E</x:v>
      </x:c>
      <x:c r="D2444" t="str">
        <x:v>VVS1</x:v>
      </x:c>
      <x:c r="E2444" s="36" t="n">
        <x:v>89700</x:v>
      </x:c>
      <x:c r="F2444" s="36" t="n">
        <x:v>7842</x:v>
      </x:c>
      <x:c r="G2444" s="42" t="n">
        <x:v>1.6821106821106822</x:v>
      </x:c>
      <x:c r="H2444" s="36" t="n">
        <x:f>E2444*G2444</x:f>
        <x:v>150885.3281853282</x:v>
      </x:c>
      <x:c r="I2444" s="36" t="n">
        <x:f>IFERROR(H2444/A2444,0)</x:f>
        <x:v>37721.33204633205</x:v>
      </x:c>
      <x:c r="J2444" s="67" t="str">
        <x:v>Modeled from live base + Sep-2026 quality ratio</x:v>
      </x:c>
      <x:c r="K2444" s="67" t="str">
        <x:v>https://www.stonealgo.com/diamond-prices/</x:v>
      </x:c>
      <x:c r="L2444" s="67" t="str">
        <x:v>https://www.pricescope.com/blog/natural-diamond-prices-september-2026</x:v>
      </x:c>
    </x:row>
    <x:row r="2445">
      <x:c r="A2445" t="n">
        <x:v>4</x:v>
      </x:c>
      <x:c r="B2445" t="str">
        <x:v>Marquise</x:v>
      </x:c>
      <x:c r="C2445" t="str">
        <x:v>E</x:v>
      </x:c>
      <x:c r="D2445" t="str">
        <x:v>VVS2</x:v>
      </x:c>
      <x:c r="E2445" s="36" t="n">
        <x:v>89700</x:v>
      </x:c>
      <x:c r="F2445" s="36" t="n">
        <x:v>6880</x:v>
      </x:c>
      <x:c r="G2445" s="42" t="n">
        <x:v>1.4757614757614759</x:v>
      </x:c>
      <x:c r="H2445" s="36" t="n">
        <x:f>E2445*G2445</x:f>
        <x:v>132375.80437580438</x:v>
      </x:c>
      <x:c r="I2445" s="36" t="n">
        <x:f>IFERROR(H2445/A2445,0)</x:f>
        <x:v>33093.951093951095</x:v>
      </x:c>
      <x:c r="J2445" s="67" t="str">
        <x:v>Modeled from live base + Sep-2026 quality ratio</x:v>
      </x:c>
      <x:c r="K2445" s="67" t="str">
        <x:v>https://www.stonealgo.com/diamond-prices/</x:v>
      </x:c>
      <x:c r="L2445" s="67" t="str">
        <x:v>https://www.pricescope.com/blog/natural-diamond-prices-september-2026</x:v>
      </x:c>
    </x:row>
    <x:row r="2446">
      <x:c r="A2446" t="n">
        <x:v>4</x:v>
      </x:c>
      <x:c r="B2446" t="str">
        <x:v>Marquise</x:v>
      </x:c>
      <x:c r="C2446" t="str">
        <x:v>E</x:v>
      </x:c>
      <x:c r="D2446" t="str">
        <x:v>VS1</x:v>
      </x:c>
      <x:c r="E2446" s="36" t="n">
        <x:v>89700</x:v>
      </x:c>
      <x:c r="F2446" s="36" t="n">
        <x:v>6307</x:v>
      </x:c>
      <x:c r="G2446" s="42" t="n">
        <x:v>1.352852852852853</x:v>
      </x:c>
      <x:c r="H2446" s="36" t="n">
        <x:f>E2446*G2446</x:f>
        <x:v>121350.9009009009</x:v>
      </x:c>
      <x:c r="I2446" s="36" t="n">
        <x:f>IFERROR(H2446/A2446,0)</x:f>
        <x:v>30337.725225225226</x:v>
      </x:c>
      <x:c r="J2446" s="67" t="str">
        <x:v>Modeled from live base + Sep-2026 quality ratio</x:v>
      </x:c>
      <x:c r="K2446" s="67" t="str">
        <x:v>https://www.stonealgo.com/diamond-prices/</x:v>
      </x:c>
      <x:c r="L2446" s="67" t="str">
        <x:v>https://www.pricescope.com/blog/natural-diamond-prices-september-2026</x:v>
      </x:c>
    </x:row>
    <x:row r="2447">
      <x:c r="A2447" t="n">
        <x:v>4</x:v>
      </x:c>
      <x:c r="B2447" t="str">
        <x:v>Marquise</x:v>
      </x:c>
      <x:c r="C2447" t="str">
        <x:v>E</x:v>
      </x:c>
      <x:c r="D2447" t="str">
        <x:v>VS2</x:v>
      </x:c>
      <x:c r="E2447" s="36" t="n">
        <x:v>89700</x:v>
      </x:c>
      <x:c r="F2447" s="36" t="n">
        <x:v>5249</x:v>
      </x:c>
      <x:c r="G2447" s="42" t="n">
        <x:v>1.125911625911626</x:v>
      </x:c>
      <x:c r="H2447" s="36" t="n">
        <x:f>E2447*G2447</x:f>
        <x:v>100994.27284427285</x:v>
      </x:c>
      <x:c r="I2447" s="36" t="n">
        <x:f>IFERROR(H2447/A2447,0)</x:f>
        <x:v>25248.568211068214</x:v>
      </x:c>
      <x:c r="J2447" s="67" t="str">
        <x:v>Modeled from live base + Sep-2026 quality ratio</x:v>
      </x:c>
      <x:c r="K2447" s="67" t="str">
        <x:v>https://www.stonealgo.com/diamond-prices/</x:v>
      </x:c>
      <x:c r="L2447" s="67" t="str">
        <x:v>https://www.pricescope.com/blog/natural-diamond-prices-september-2026</x:v>
      </x:c>
    </x:row>
    <x:row r="2448">
      <x:c r="A2448" t="n">
        <x:v>4</x:v>
      </x:c>
      <x:c r="B2448" t="str">
        <x:v>Marquise</x:v>
      </x:c>
      <x:c r="C2448" t="str">
        <x:v>E</x:v>
      </x:c>
      <x:c r="D2448" t="str">
        <x:v>SI1</x:v>
      </x:c>
      <x:c r="E2448" s="36" t="n">
        <x:v>89700</x:v>
      </x:c>
      <x:c r="F2448" s="36" t="n">
        <x:v>3551</x:v>
      </x:c>
      <x:c r="G2448" s="42" t="n">
        <x:v>0.7616902616902617</x:v>
      </x:c>
      <x:c r="H2448" s="36" t="n">
        <x:f>E2448*G2448</x:f>
        <x:v>68323.61647361646</x:v>
      </x:c>
      <x:c r="I2448" s="36" t="n">
        <x:f>IFERROR(H2448/A2448,0)</x:f>
        <x:v>17080.904118404116</x:v>
      </x:c>
      <x:c r="J2448" s="67" t="str">
        <x:v>Modeled from live base + Sep-2026 quality ratio</x:v>
      </x:c>
      <x:c r="K2448" s="67" t="str">
        <x:v>https://www.stonealgo.com/diamond-prices/</x:v>
      </x:c>
      <x:c r="L2448" s="67" t="str">
        <x:v>https://www.pricescope.com/blog/natural-diamond-prices-september-2026</x:v>
      </x:c>
    </x:row>
    <x:row r="2449">
      <x:c r="A2449" t="n">
        <x:v>4</x:v>
      </x:c>
      <x:c r="B2449" t="str">
        <x:v>Marquise</x:v>
      </x:c>
      <x:c r="C2449" t="str">
        <x:v>E</x:v>
      </x:c>
      <x:c r="D2449" t="str">
        <x:v>SI2</x:v>
      </x:c>
      <x:c r="E2449" s="36" t="n">
        <x:v>89700</x:v>
      </x:c>
      <x:c r="F2449" s="36" t="n">
        <x:v>2993</x:v>
      </x:c>
      <x:c r="G2449" s="42" t="n">
        <x:v>0.641999141999142</x:v>
      </x:c>
      <x:c r="H2449" s="36" t="n">
        <x:f>E2449*G2449</x:f>
        <x:v>57587.32303732303</x:v>
      </x:c>
      <x:c r="I2449" s="36" t="n">
        <x:f>IFERROR(H2449/A2449,0)</x:f>
        <x:v>14396.830759330758</x:v>
      </x:c>
      <x:c r="J2449" s="67" t="str">
        <x:v>Modeled from live base + Sep-2026 quality ratio</x:v>
      </x:c>
      <x:c r="K2449" s="67" t="str">
        <x:v>https://www.stonealgo.com/diamond-prices/</x:v>
      </x:c>
      <x:c r="L2449" s="67" t="str">
        <x:v>https://www.pricescope.com/blog/natural-diamond-prices-september-2026</x:v>
      </x:c>
    </x:row>
    <x:row r="2450">
      <x:c r="A2450" t="n">
        <x:v>4</x:v>
      </x:c>
      <x:c r="B2450" t="str">
        <x:v>Marquise</x:v>
      </x:c>
      <x:c r="C2450" t="str">
        <x:v>F</x:v>
      </x:c>
      <x:c r="D2450" t="str">
        <x:v>FL</x:v>
      </x:c>
      <x:c r="E2450" s="36" t="n">
        <x:v>89700</x:v>
      </x:c>
      <x:c r="F2450" s="36" t="n">
        <x:v>6830</x:v>
      </x:c>
      <x:c r="G2450" s="42" t="n">
        <x:v>1.4650364650364651</x:v>
      </x:c>
      <x:c r="H2450" s="36" t="n">
        <x:f>E2450*G2450</x:f>
        <x:v>131413.77091377092</x:v>
      </x:c>
      <x:c r="I2450" s="36" t="n">
        <x:f>IFERROR(H2450/A2450,0)</x:f>
        <x:v>32853.44272844273</x:v>
      </x:c>
      <x:c r="J2450" s="67" t="str">
        <x:v>Modeled from live base + Sep-2026 quality ratio</x:v>
      </x:c>
      <x:c r="K2450" s="67" t="str">
        <x:v>https://www.stonealgo.com/diamond-prices/</x:v>
      </x:c>
      <x:c r="L2450" s="67" t="str">
        <x:v>https://www.pricescope.com/blog/natural-diamond-prices-september-2026</x:v>
      </x:c>
    </x:row>
    <x:row r="2451">
      <x:c r="A2451" t="n">
        <x:v>4</x:v>
      </x:c>
      <x:c r="B2451" t="str">
        <x:v>Marquise</x:v>
      </x:c>
      <x:c r="C2451" t="str">
        <x:v>F</x:v>
      </x:c>
      <x:c r="D2451" t="str">
        <x:v>IF</x:v>
      </x:c>
      <x:c r="E2451" s="36" t="n">
        <x:v>89700</x:v>
      </x:c>
      <x:c r="F2451" s="36" t="n">
        <x:v>7302</x:v>
      </x:c>
      <x:c r="G2451" s="42" t="n">
        <x:v>1.5662805662805663</x:v>
      </x:c>
      <x:c r="H2451" s="36" t="n">
        <x:f>E2451*G2451</x:f>
        <x:v>140495.3667953668</x:v>
      </x:c>
      <x:c r="I2451" s="36" t="n">
        <x:f>IFERROR(H2451/A2451,0)</x:f>
        <x:v>35123.8416988417</x:v>
      </x:c>
      <x:c r="J2451" s="67" t="str">
        <x:v>Modeled from live base + Sep-2026 quality ratio</x:v>
      </x:c>
      <x:c r="K2451" s="67" t="str">
        <x:v>https://www.stonealgo.com/diamond-prices/</x:v>
      </x:c>
      <x:c r="L2451" s="67" t="str">
        <x:v>https://www.pricescope.com/blog/natural-diamond-prices-september-2026</x:v>
      </x:c>
    </x:row>
    <x:row r="2452">
      <x:c r="A2452" t="n">
        <x:v>4</x:v>
      </x:c>
      <x:c r="B2452" t="str">
        <x:v>Marquise</x:v>
      </x:c>
      <x:c r="C2452" t="str">
        <x:v>F</x:v>
      </x:c>
      <x:c r="D2452" t="str">
        <x:v>VVS1</x:v>
      </x:c>
      <x:c r="E2452" s="36" t="n">
        <x:v>89700</x:v>
      </x:c>
      <x:c r="F2452" s="36" t="n">
        <x:v>7542</x:v>
      </x:c>
      <x:c r="G2452" s="42" t="n">
        <x:v>1.6177606177606179</x:v>
      </x:c>
      <x:c r="H2452" s="36" t="n">
        <x:f>E2452*G2452</x:f>
        <x:v>145113.12741312743</x:v>
      </x:c>
      <x:c r="I2452" s="36" t="n">
        <x:f>IFERROR(H2452/A2452,0)</x:f>
        <x:v>36278.28185328186</x:v>
      </x:c>
      <x:c r="J2452" s="67" t="str">
        <x:v>Modeled from live base + Sep-2026 quality ratio</x:v>
      </x:c>
      <x:c r="K2452" s="67" t="str">
        <x:v>https://www.stonealgo.com/diamond-prices/</x:v>
      </x:c>
      <x:c r="L2452" s="67" t="str">
        <x:v>https://www.pricescope.com/blog/natural-diamond-prices-september-2026</x:v>
      </x:c>
    </x:row>
    <x:row r="2453">
      <x:c r="A2453" t="n">
        <x:v>4</x:v>
      </x:c>
      <x:c r="B2453" t="str">
        <x:v>Marquise</x:v>
      </x:c>
      <x:c r="C2453" t="str">
        <x:v>F</x:v>
      </x:c>
      <x:c r="D2453" t="str">
        <x:v>VVS2</x:v>
      </x:c>
      <x:c r="E2453" s="36" t="n">
        <x:v>89700</x:v>
      </x:c>
      <x:c r="F2453" s="36" t="n">
        <x:v>6352</x:v>
      </x:c>
      <x:c r="G2453" s="42" t="n">
        <x:v>1.3625053625053625</x:v>
      </x:c>
      <x:c r="H2453" s="36" t="n">
        <x:f>E2453*G2453</x:f>
        <x:v>122216.73101673102</x:v>
      </x:c>
      <x:c r="I2453" s="36" t="n">
        <x:f>IFERROR(H2453/A2453,0)</x:f>
        <x:v>30554.182754182755</x:v>
      </x:c>
      <x:c r="J2453" s="67" t="str">
        <x:v>Modeled from live base + Sep-2026 quality ratio</x:v>
      </x:c>
      <x:c r="K2453" s="67" t="str">
        <x:v>https://www.stonealgo.com/diamond-prices/</x:v>
      </x:c>
      <x:c r="L2453" s="67" t="str">
        <x:v>https://www.pricescope.com/blog/natural-diamond-prices-september-2026</x:v>
      </x:c>
    </x:row>
    <x:row r="2454">
      <x:c r="A2454" t="n">
        <x:v>4</x:v>
      </x:c>
      <x:c r="B2454" t="str">
        <x:v>Marquise</x:v>
      </x:c>
      <x:c r="C2454" t="str">
        <x:v>F</x:v>
      </x:c>
      <x:c r="D2454" t="str">
        <x:v>VS1</x:v>
      </x:c>
      <x:c r="E2454" s="36" t="n">
        <x:v>89700</x:v>
      </x:c>
      <x:c r="F2454" s="36" t="n">
        <x:v>5647</x:v>
      </x:c>
      <x:c r="G2454" s="42" t="n">
        <x:v>1.2112827112827114</x:v>
      </x:c>
      <x:c r="H2454" s="36" t="n">
        <x:f>E2454*G2454</x:f>
        <x:v>108652.05920205922</x:v>
      </x:c>
      <x:c r="I2454" s="36" t="n">
        <x:f>IFERROR(H2454/A2454,0)</x:f>
        <x:v>27163.014800514804</x:v>
      </x:c>
      <x:c r="J2454" s="67" t="str">
        <x:v>Modeled from live base + Sep-2026 quality ratio</x:v>
      </x:c>
      <x:c r="K2454" s="67" t="str">
        <x:v>https://www.stonealgo.com/diamond-prices/</x:v>
      </x:c>
      <x:c r="L2454" s="67" t="str">
        <x:v>https://www.pricescope.com/blog/natural-diamond-prices-september-2026</x:v>
      </x:c>
    </x:row>
    <x:row r="2455">
      <x:c r="A2455" t="n">
        <x:v>4</x:v>
      </x:c>
      <x:c r="B2455" t="str">
        <x:v>Marquise</x:v>
      </x:c>
      <x:c r="C2455" t="str">
        <x:v>F</x:v>
      </x:c>
      <x:c r="D2455" t="str">
        <x:v>VS2</x:v>
      </x:c>
      <x:c r="E2455" s="36" t="n">
        <x:v>89700</x:v>
      </x:c>
      <x:c r="F2455" s="36" t="n">
        <x:v>4730</x:v>
      </x:c>
      <x:c r="G2455" s="42" t="n">
        <x:v>1.0145860145860146</x:v>
      </x:c>
      <x:c r="H2455" s="36" t="n">
        <x:f>E2455*G2455</x:f>
        <x:v>91008.3655083655</x:v>
      </x:c>
      <x:c r="I2455" s="36" t="n">
        <x:f>IFERROR(H2455/A2455,0)</x:f>
        <x:v>22752.091377091376</x:v>
      </x:c>
      <x:c r="J2455" s="67" t="str">
        <x:v>Modeled from live base + Sep-2026 quality ratio</x:v>
      </x:c>
      <x:c r="K2455" s="67" t="str">
        <x:v>https://www.stonealgo.com/diamond-prices/</x:v>
      </x:c>
      <x:c r="L2455" s="67" t="str">
        <x:v>https://www.pricescope.com/blog/natural-diamond-prices-september-2026</x:v>
      </x:c>
    </x:row>
    <x:row r="2456">
      <x:c r="A2456" t="n">
        <x:v>4</x:v>
      </x:c>
      <x:c r="B2456" t="str">
        <x:v>Marquise</x:v>
      </x:c>
      <x:c r="C2456" t="str">
        <x:v>F</x:v>
      </x:c>
      <x:c r="D2456" t="str">
        <x:v>SI1</x:v>
      </x:c>
      <x:c r="E2456" s="36" t="n">
        <x:v>89700</x:v>
      </x:c>
      <x:c r="F2456" s="36" t="n">
        <x:v>3331</x:v>
      </x:c>
      <x:c r="G2456" s="42" t="n">
        <x:v>0.7145002145002145</x:v>
      </x:c>
      <x:c r="H2456" s="36" t="n">
        <x:f>E2456*G2456</x:f>
        <x:v>64090.66924066924</x:v>
      </x:c>
      <x:c r="I2456" s="36" t="n">
        <x:f>IFERROR(H2456/A2456,0)</x:f>
        <x:v>16022.66731016731</x:v>
      </x:c>
      <x:c r="J2456" s="67" t="str">
        <x:v>Modeled from live base + Sep-2026 quality ratio</x:v>
      </x:c>
      <x:c r="K2456" s="67" t="str">
        <x:v>https://www.stonealgo.com/diamond-prices/</x:v>
      </x:c>
      <x:c r="L2456" s="67" t="str">
        <x:v>https://www.pricescope.com/blog/natural-diamond-prices-september-2026</x:v>
      </x:c>
    </x:row>
    <x:row r="2457">
      <x:c r="A2457" t="n">
        <x:v>4</x:v>
      </x:c>
      <x:c r="B2457" t="str">
        <x:v>Marquise</x:v>
      </x:c>
      <x:c r="C2457" t="str">
        <x:v>F</x:v>
      </x:c>
      <x:c r="D2457" t="str">
        <x:v>SI2</x:v>
      </x:c>
      <x:c r="E2457" s="36" t="n">
        <x:v>89700</x:v>
      </x:c>
      <x:c r="F2457" s="36" t="n">
        <x:v>2733</x:v>
      </x:c>
      <x:c r="G2457" s="42" t="n">
        <x:v>0.5862290862290862</x:v>
      </x:c>
      <x:c r="H2457" s="36" t="n">
        <x:f>E2457*G2457</x:f>
        <x:v>52584.74903474903</x:v>
      </x:c>
      <x:c r="I2457" s="36" t="n">
        <x:f>IFERROR(H2457/A2457,0)</x:f>
        <x:v>13146.187258687258</x:v>
      </x:c>
      <x:c r="J2457" s="67" t="str">
        <x:v>Modeled from live base + Sep-2026 quality ratio</x:v>
      </x:c>
      <x:c r="K2457" s="67" t="str">
        <x:v>https://www.stonealgo.com/diamond-prices/</x:v>
      </x:c>
      <x:c r="L2457" s="67" t="str">
        <x:v>https://www.pricescope.com/blog/natural-diamond-prices-september-2026</x:v>
      </x:c>
    </x:row>
    <x:row r="2458">
      <x:c r="A2458" t="n">
        <x:v>4</x:v>
      </x:c>
      <x:c r="B2458" t="str">
        <x:v>Marquise</x:v>
      </x:c>
      <x:c r="C2458" t="str">
        <x:v>G</x:v>
      </x:c>
      <x:c r="D2458" t="str">
        <x:v>FL</x:v>
      </x:c>
      <x:c r="E2458" s="36" t="n">
        <x:v>89700</x:v>
      </x:c>
      <x:c r="F2458" s="36" t="n">
        <x:v>5905</x:v>
      </x:c>
      <x:c r="G2458" s="42" t="n">
        <x:v>1.2666237666237665</x:v>
      </x:c>
      <x:c r="H2458" s="36" t="n">
        <x:f>E2458*G2458</x:f>
        <x:v>113616.15186615186</x:v>
      </x:c>
      <x:c r="I2458" s="36" t="n">
        <x:f>IFERROR(H2458/A2458,0)</x:f>
        <x:v>28404.037966537966</x:v>
      </x:c>
      <x:c r="J2458" s="67" t="str">
        <x:v>Modeled from live base + Sep-2026 quality ratio</x:v>
      </x:c>
      <x:c r="K2458" s="67" t="str">
        <x:v>https://www.stonealgo.com/diamond-prices/</x:v>
      </x:c>
      <x:c r="L2458" s="67" t="str">
        <x:v>https://www.pricescope.com/blog/natural-diamond-prices-september-2026</x:v>
      </x:c>
    </x:row>
    <x:row r="2459">
      <x:c r="A2459" t="n">
        <x:v>4</x:v>
      </x:c>
      <x:c r="B2459" t="str">
        <x:v>Marquise</x:v>
      </x:c>
      <x:c r="C2459" t="str">
        <x:v>G</x:v>
      </x:c>
      <x:c r="D2459" t="str">
        <x:v>IF</x:v>
      </x:c>
      <x:c r="E2459" s="36" t="n">
        <x:v>89700</x:v>
      </x:c>
      <x:c r="F2459" s="36" t="n">
        <x:v>5601</x:v>
      </x:c>
      <x:c r="G2459" s="42" t="n">
        <x:v>1.2014157014157014</x:v>
      </x:c>
      <x:c r="H2459" s="36" t="n">
        <x:f>E2459*G2459</x:f>
        <x:v>107766.98841698842</x:v>
      </x:c>
      <x:c r="I2459" s="36" t="n">
        <x:f>IFERROR(H2459/A2459,0)</x:f>
        <x:v>26941.747104247104</x:v>
      </x:c>
      <x:c r="J2459" s="67" t="str">
        <x:v>Modeled from live base + Sep-2026 quality ratio</x:v>
      </x:c>
      <x:c r="K2459" s="67" t="str">
        <x:v>https://www.stonealgo.com/diamond-prices/</x:v>
      </x:c>
      <x:c r="L2459" s="67" t="str">
        <x:v>https://www.pricescope.com/blog/natural-diamond-prices-september-2026</x:v>
      </x:c>
    </x:row>
    <x:row r="2460">
      <x:c r="A2460" t="n">
        <x:v>4</x:v>
      </x:c>
      <x:c r="B2460" t="str">
        <x:v>Marquise</x:v>
      </x:c>
      <x:c r="C2460" t="str">
        <x:v>G</x:v>
      </x:c>
      <x:c r="D2460" t="str">
        <x:v>VVS1</x:v>
      </x:c>
      <x:c r="E2460" s="36" t="n">
        <x:v>89700</x:v>
      </x:c>
      <x:c r="F2460" s="36" t="n">
        <x:v>5124</x:v>
      </x:c>
      <x:c r="G2460" s="42" t="n">
        <x:v>1.0990990990990992</x:v>
      </x:c>
      <x:c r="H2460" s="36" t="n">
        <x:f>E2460*G2460</x:f>
        <x:v>98589.1891891892</x:v>
      </x:c>
      <x:c r="I2460" s="36" t="n">
        <x:f>IFERROR(H2460/A2460,0)</x:f>
        <x:v>24647.2972972973</x:v>
      </x:c>
      <x:c r="J2460" s="67" t="str">
        <x:v>Modeled from live base + Sep-2026 quality ratio</x:v>
      </x:c>
      <x:c r="K2460" s="67" t="str">
        <x:v>https://www.stonealgo.com/diamond-prices/</x:v>
      </x:c>
      <x:c r="L2460" s="67" t="str">
        <x:v>https://www.pricescope.com/blog/natural-diamond-prices-september-2026</x:v>
      </x:c>
    </x:row>
    <x:row r="2461">
      <x:c r="A2461" t="n">
        <x:v>4</x:v>
      </x:c>
      <x:c r="B2461" t="str">
        <x:v>Marquise</x:v>
      </x:c>
      <x:c r="C2461" t="str">
        <x:v>G</x:v>
      </x:c>
      <x:c r="D2461" t="str">
        <x:v>VVS2</x:v>
      </x:c>
      <x:c r="E2461" s="36" t="n">
        <x:v>89700</x:v>
      </x:c>
      <x:c r="F2461" s="36" t="n">
        <x:v>4962</x:v>
      </x:c>
      <x:c r="G2461" s="42" t="n">
        <x:v>1.0643500643500643</x:v>
      </x:c>
      <x:c r="H2461" s="36" t="n">
        <x:f>E2461*G2461</x:f>
        <x:v>95472.20077220077</x:v>
      </x:c>
      <x:c r="I2461" s="36" t="n">
        <x:f>IFERROR(H2461/A2461,0)</x:f>
        <x:v>23868.050193050192</x:v>
      </x:c>
      <x:c r="J2461" s="67" t="str">
        <x:v>Modeled from live base + Sep-2026 quality ratio</x:v>
      </x:c>
      <x:c r="K2461" s="67" t="str">
        <x:v>https://www.stonealgo.com/diamond-prices/</x:v>
      </x:c>
      <x:c r="L2461" s="67" t="str">
        <x:v>https://www.pricescope.com/blog/natural-diamond-prices-september-2026</x:v>
      </x:c>
    </x:row>
    <x:row r="2462">
      <x:c r="A2462" t="n">
        <x:v>4</x:v>
      </x:c>
      <x:c r="B2462" t="str">
        <x:v>Marquise</x:v>
      </x:c>
      <x:c r="C2462" t="str">
        <x:v>G</x:v>
      </x:c>
      <x:c r="D2462" t="str">
        <x:v>VS1</x:v>
      </x:c>
      <x:c r="E2462" s="36" t="n">
        <x:v>89700</x:v>
      </x:c>
      <x:c r="F2462" s="36" t="n">
        <x:v>4615</x:v>
      </x:c>
      <x:c r="G2462" s="42" t="n">
        <x:v>0.98991848991849</x:v>
      </x:c>
      <x:c r="H2462" s="36" t="n">
        <x:f>E2462*G2462</x:f>
        <x:v>88795.68854568855</x:v>
      </x:c>
      <x:c r="I2462" s="36" t="n">
        <x:f>IFERROR(H2462/A2462,0)</x:f>
        <x:v>22198.922136422138</x:v>
      </x:c>
      <x:c r="J2462" s="67" t="str">
        <x:v>Modeled from live base + Sep-2026 quality ratio</x:v>
      </x:c>
      <x:c r="K2462" s="67" t="str">
        <x:v>https://www.stonealgo.com/diamond-prices/</x:v>
      </x:c>
      <x:c r="L2462" s="67" t="str">
        <x:v>https://www.pricescope.com/blog/natural-diamond-prices-september-2026</x:v>
      </x:c>
    </x:row>
    <x:row r="2463">
      <x:c r="A2463" t="n">
        <x:v>4</x:v>
      </x:c>
      <x:c r="B2463" t="str">
        <x:v>Marquise</x:v>
      </x:c>
      <x:c r="C2463" t="str">
        <x:v>G</x:v>
      </x:c>
      <x:c r="D2463" t="str">
        <x:v>VS2</x:v>
      </x:c>
      <x:c r="E2463" s="36" t="n">
        <x:v>89700</x:v>
      </x:c>
      <x:c r="F2463" s="36" t="n">
        <x:v>4585</x:v>
      </x:c>
      <x:c r="G2463" s="42" t="n">
        <x:v>0.9834834834834835</x:v>
      </x:c>
      <x:c r="H2463" s="36" t="n">
        <x:f>E2463*G2463</x:f>
        <x:v>88218.46846846846</x:v>
      </x:c>
      <x:c r="I2463" s="36" t="n">
        <x:f>IFERROR(H2463/A2463,0)</x:f>
        <x:v>22054.617117117115</x:v>
      </x:c>
      <x:c r="J2463" s="67" t="str">
        <x:v>Modeled from live base + Sep-2026 quality ratio</x:v>
      </x:c>
      <x:c r="K2463" s="67" t="str">
        <x:v>https://www.stonealgo.com/diamond-prices/</x:v>
      </x:c>
      <x:c r="L2463" s="67" t="str">
        <x:v>https://www.pricescope.com/blog/natural-diamond-prices-september-2026</x:v>
      </x:c>
    </x:row>
    <x:row r="2464">
      <x:c r="A2464" t="n">
        <x:v>4</x:v>
      </x:c>
      <x:c r="B2464" t="str">
        <x:v>Marquise</x:v>
      </x:c>
      <x:c r="C2464" t="str">
        <x:v>G</x:v>
      </x:c>
      <x:c r="D2464" t="str">
        <x:v>SI1</x:v>
      </x:c>
      <x:c r="E2464" s="36" t="n">
        <x:v>89700</x:v>
      </x:c>
      <x:c r="F2464" s="36" t="n">
        <x:v>3664</x:v>
      </x:c>
      <x:c r="G2464" s="42" t="n">
        <x:v>0.7859287859287859</x:v>
      </x:c>
      <x:c r="H2464" s="36" t="n">
        <x:f>E2464*G2464</x:f>
        <x:v>70497.8120978121</x:v>
      </x:c>
      <x:c r="I2464" s="36" t="n">
        <x:f>IFERROR(H2464/A2464,0)</x:f>
        <x:v>17624.453024453025</x:v>
      </x:c>
      <x:c r="J2464" s="67" t="str">
        <x:v>Modeled from live base + Sep-2026 quality ratio</x:v>
      </x:c>
      <x:c r="K2464" s="67" t="str">
        <x:v>https://www.stonealgo.com/diamond-prices/</x:v>
      </x:c>
      <x:c r="L2464" s="67" t="str">
        <x:v>https://www.pricescope.com/blog/natural-diamond-prices-september-2026</x:v>
      </x:c>
    </x:row>
    <x:row r="2465">
      <x:c r="A2465" t="n">
        <x:v>4</x:v>
      </x:c>
      <x:c r="B2465" t="str">
        <x:v>Marquise</x:v>
      </x:c>
      <x:c r="C2465" t="str">
        <x:v>G</x:v>
      </x:c>
      <x:c r="D2465" t="str">
        <x:v>SI2</x:v>
      </x:c>
      <x:c r="E2465" s="36" t="n">
        <x:v>89700</x:v>
      </x:c>
      <x:c r="F2465" s="36" t="n">
        <x:v>2537</x:v>
      </x:c>
      <x:c r="G2465" s="42" t="n">
        <x:v>0.5441870441870442</x:v>
      </x:c>
      <x:c r="H2465" s="36" t="n">
        <x:f>E2465*G2465</x:f>
        <x:v>48813.57786357787</x:v>
      </x:c>
      <x:c r="I2465" s="36" t="n">
        <x:f>IFERROR(H2465/A2465,0)</x:f>
        <x:v>12203.394465894467</x:v>
      </x:c>
      <x:c r="J2465" s="67" t="str">
        <x:v>Modeled from live base + Sep-2026 quality ratio</x:v>
      </x:c>
      <x:c r="K2465" s="67" t="str">
        <x:v>https://www.stonealgo.com/diamond-prices/</x:v>
      </x:c>
      <x:c r="L2465" s="67" t="str">
        <x:v>https://www.pricescope.com/blog/natural-diamond-prices-september-2026</x:v>
      </x:c>
    </x:row>
    <x:row r="2466">
      <x:c r="A2466" t="n">
        <x:v>4</x:v>
      </x:c>
      <x:c r="B2466" t="str">
        <x:v>Marquise</x:v>
      </x:c>
      <x:c r="C2466" t="str">
        <x:v>H</x:v>
      </x:c>
      <x:c r="D2466" t="str">
        <x:v>FL</x:v>
      </x:c>
      <x:c r="E2466" s="36" t="n">
        <x:v>89700</x:v>
      </x:c>
      <x:c r="F2466" s="36" t="n">
        <x:v>4563</x:v>
      </x:c>
      <x:c r="G2466" s="42" t="n">
        <x:v>0.9787644787644788</x:v>
      </x:c>
      <x:c r="H2466" s="36" t="n">
        <x:f>E2466*G2466</x:f>
        <x:v>87795.17374517374</x:v>
      </x:c>
      <x:c r="I2466" s="36" t="n">
        <x:f>IFERROR(H2466/A2466,0)</x:f>
        <x:v>21948.793436293436</x:v>
      </x:c>
      <x:c r="J2466" s="67" t="str">
        <x:v>Modeled from live base + Sep-2026 quality ratio</x:v>
      </x:c>
      <x:c r="K2466" s="67" t="str">
        <x:v>https://www.stonealgo.com/diamond-prices/</x:v>
      </x:c>
      <x:c r="L2466" s="67" t="str">
        <x:v>https://www.pricescope.com/blog/natural-diamond-prices-september-2026</x:v>
      </x:c>
    </x:row>
    <x:row r="2467">
      <x:c r="A2467" t="n">
        <x:v>4</x:v>
      </x:c>
      <x:c r="B2467" t="str">
        <x:v>Marquise</x:v>
      </x:c>
      <x:c r="C2467" t="str">
        <x:v>H</x:v>
      </x:c>
      <x:c r="D2467" t="str">
        <x:v>IF</x:v>
      </x:c>
      <x:c r="E2467" s="36" t="n">
        <x:v>89700</x:v>
      </x:c>
      <x:c r="F2467" s="36" t="n">
        <x:v>4809</x:v>
      </x:c>
      <x:c r="G2467" s="42" t="n">
        <x:v>1.0315315315315314</x:v>
      </x:c>
      <x:c r="H2467" s="36" t="n">
        <x:f>E2467*G2467</x:f>
        <x:v>92528.37837837837</x:v>
      </x:c>
      <x:c r="I2467" s="36" t="n">
        <x:f>IFERROR(H2467/A2467,0)</x:f>
        <x:v>23132.094594594593</x:v>
      </x:c>
      <x:c r="J2467" s="67" t="str">
        <x:v>Modeled from live base + Sep-2026 quality ratio</x:v>
      </x:c>
      <x:c r="K2467" s="67" t="str">
        <x:v>https://www.stonealgo.com/diamond-prices/</x:v>
      </x:c>
      <x:c r="L2467" s="67" t="str">
        <x:v>https://www.pricescope.com/blog/natural-diamond-prices-september-2026</x:v>
      </x:c>
    </x:row>
    <x:row r="2468">
      <x:c r="A2468" t="n">
        <x:v>4</x:v>
      </x:c>
      <x:c r="B2468" t="str">
        <x:v>Marquise</x:v>
      </x:c>
      <x:c r="C2468" t="str">
        <x:v>H</x:v>
      </x:c>
      <x:c r="D2468" t="str">
        <x:v>VVS1</x:v>
      </x:c>
      <x:c r="E2468" s="36" t="n">
        <x:v>89700</x:v>
      </x:c>
      <x:c r="F2468" s="36" t="n">
        <x:v>4911</x:v>
      </x:c>
      <x:c r="G2468" s="42" t="n">
        <x:v>1.0534105534105533</x:v>
      </x:c>
      <x:c r="H2468" s="36" t="n">
        <x:f>E2468*G2468</x:f>
        <x:v>94490.92664092663</x:v>
      </x:c>
      <x:c r="I2468" s="36" t="n">
        <x:f>IFERROR(H2468/A2468,0)</x:f>
        <x:v>23622.731660231657</x:v>
      </x:c>
      <x:c r="J2468" s="67" t="str">
        <x:v>Modeled from live base + Sep-2026 quality ratio</x:v>
      </x:c>
      <x:c r="K2468" s="67" t="str">
        <x:v>https://www.stonealgo.com/diamond-prices/</x:v>
      </x:c>
      <x:c r="L2468" s="67" t="str">
        <x:v>https://www.pricescope.com/blog/natural-diamond-prices-september-2026</x:v>
      </x:c>
    </x:row>
    <x:row r="2469">
      <x:c r="A2469" t="n">
        <x:v>4</x:v>
      </x:c>
      <x:c r="B2469" t="str">
        <x:v>Marquise</x:v>
      </x:c>
      <x:c r="C2469" t="str">
        <x:v>H</x:v>
      </x:c>
      <x:c r="D2469" t="str">
        <x:v>VVS2</x:v>
      </x:c>
      <x:c r="E2469" s="36" t="n">
        <x:v>89700</x:v>
      </x:c>
      <x:c r="F2469" s="36" t="n">
        <x:v>4046</x:v>
      </x:c>
      <x:c r="G2469" s="42" t="n">
        <x:v>0.8678678678678678</x:v>
      </x:c>
      <x:c r="H2469" s="36" t="n">
        <x:f>E2469*G2469</x:f>
        <x:v>77847.74774774775</x:v>
      </x:c>
      <x:c r="I2469" s="36" t="n">
        <x:f>IFERROR(H2469/A2469,0)</x:f>
        <x:v>19461.936936936938</x:v>
      </x:c>
      <x:c r="J2469" s="67" t="str">
        <x:v>Modeled from live base + Sep-2026 quality ratio</x:v>
      </x:c>
      <x:c r="K2469" s="67" t="str">
        <x:v>https://www.stonealgo.com/diamond-prices/</x:v>
      </x:c>
      <x:c r="L2469" s="67" t="str">
        <x:v>https://www.pricescope.com/blog/natural-diamond-prices-september-2026</x:v>
      </x:c>
    </x:row>
    <x:row r="2470">
      <x:c r="A2470" t="n">
        <x:v>4</x:v>
      </x:c>
      <x:c r="B2470" t="str">
        <x:v>Marquise</x:v>
      </x:c>
      <x:c r="C2470" t="str">
        <x:v>H</x:v>
      </x:c>
      <x:c r="D2470" t="str">
        <x:v>VS1</x:v>
      </x:c>
      <x:c r="E2470" s="36" t="n">
        <x:v>89700</x:v>
      </x:c>
      <x:c r="F2470" s="36" t="n">
        <x:v>3893</x:v>
      </x:c>
      <x:c r="G2470" s="42" t="n">
        <x:v>0.8350493350493351</x:v>
      </x:c>
      <x:c r="H2470" s="36" t="n">
        <x:f>E2470*G2470</x:f>
        <x:v>74903.92535392536</x:v>
      </x:c>
      <x:c r="I2470" s="36" t="n">
        <x:f>IFERROR(H2470/A2470,0)</x:f>
        <x:v>18725.98133848134</x:v>
      </x:c>
      <x:c r="J2470" s="67" t="str">
        <x:v>Modeled from live base + Sep-2026 quality ratio</x:v>
      </x:c>
      <x:c r="K2470" s="67" t="str">
        <x:v>https://www.stonealgo.com/diamond-prices/</x:v>
      </x:c>
      <x:c r="L2470" s="67" t="str">
        <x:v>https://www.pricescope.com/blog/natural-diamond-prices-september-2026</x:v>
      </x:c>
    </x:row>
    <x:row r="2471">
      <x:c r="A2471" t="n">
        <x:v>4</x:v>
      </x:c>
      <x:c r="B2471" t="str">
        <x:v>Marquise</x:v>
      </x:c>
      <x:c r="C2471" t="str">
        <x:v>H</x:v>
      </x:c>
      <x:c r="D2471" t="str">
        <x:v>VS2</x:v>
      </x:c>
      <x:c r="E2471" s="36" t="n">
        <x:v>89700</x:v>
      </x:c>
      <x:c r="F2471" s="36" t="n">
        <x:v>3989</x:v>
      </x:c>
      <x:c r="G2471" s="42" t="n">
        <x:v>0.8556413556413557</x:v>
      </x:c>
      <x:c r="H2471" s="36" t="n">
        <x:f>E2471*G2471</x:f>
        <x:v>76751.0296010296</x:v>
      </x:c>
      <x:c r="I2471" s="36" t="n">
        <x:f>IFERROR(H2471/A2471,0)</x:f>
        <x:v>19187.7574002574</x:v>
      </x:c>
      <x:c r="J2471" s="67" t="str">
        <x:v>Modeled from live base + Sep-2026 quality ratio</x:v>
      </x:c>
      <x:c r="K2471" s="67" t="str">
        <x:v>https://www.stonealgo.com/diamond-prices/</x:v>
      </x:c>
      <x:c r="L2471" s="67" t="str">
        <x:v>https://www.pricescope.com/blog/natural-diamond-prices-september-2026</x:v>
      </x:c>
    </x:row>
    <x:row r="2472">
      <x:c r="A2472" t="n">
        <x:v>4</x:v>
      </x:c>
      <x:c r="B2472" t="str">
        <x:v>Marquise</x:v>
      </x:c>
      <x:c r="C2472" t="str">
        <x:v>H</x:v>
      </x:c>
      <x:c r="D2472" t="str">
        <x:v>SI1</x:v>
      </x:c>
      <x:c r="E2472" s="36" t="n">
        <x:v>89700</x:v>
      </x:c>
      <x:c r="F2472" s="36" t="n">
        <x:v>2828</x:v>
      </x:c>
      <x:c r="G2472" s="42" t="n">
        <x:v>0.6066066066066066</x:v>
      </x:c>
      <x:c r="H2472" s="36" t="n">
        <x:f>E2472*G2472</x:f>
        <x:v>54412.61261261261</x:v>
      </x:c>
      <x:c r="I2472" s="36" t="n">
        <x:f>IFERROR(H2472/A2472,0)</x:f>
        <x:v>13603.153153153153</x:v>
      </x:c>
      <x:c r="J2472" s="67" t="str">
        <x:v>Modeled from live base + Sep-2026 quality ratio</x:v>
      </x:c>
      <x:c r="K2472" s="67" t="str">
        <x:v>https://www.stonealgo.com/diamond-prices/</x:v>
      </x:c>
      <x:c r="L2472" s="67" t="str">
        <x:v>https://www.pricescope.com/blog/natural-diamond-prices-september-2026</x:v>
      </x:c>
    </x:row>
    <x:row r="2473">
      <x:c r="A2473" t="n">
        <x:v>4</x:v>
      </x:c>
      <x:c r="B2473" t="str">
        <x:v>Marquise</x:v>
      </x:c>
      <x:c r="C2473" t="str">
        <x:v>H</x:v>
      </x:c>
      <x:c r="D2473" t="str">
        <x:v>SI2</x:v>
      </x:c>
      <x:c r="E2473" s="36" t="n">
        <x:v>89700</x:v>
      </x:c>
      <x:c r="F2473" s="36" t="n">
        <x:v>2328</x:v>
      </x:c>
      <x:c r="G2473" s="42" t="n">
        <x:v>0.49935649935649934</x:v>
      </x:c>
      <x:c r="H2473" s="36" t="n">
        <x:f>E2473*G2473</x:f>
        <x:v>44792.27799227799</x:v>
      </x:c>
      <x:c r="I2473" s="36" t="n">
        <x:f>IFERROR(H2473/A2473,0)</x:f>
        <x:v>11198.069498069497</x:v>
      </x:c>
      <x:c r="J2473" s="67" t="str">
        <x:v>Modeled from live base + Sep-2026 quality ratio</x:v>
      </x:c>
      <x:c r="K2473" s="67" t="str">
        <x:v>https://www.stonealgo.com/diamond-prices/</x:v>
      </x:c>
      <x:c r="L2473" s="67" t="str">
        <x:v>https://www.pricescope.com/blog/natural-diamond-prices-september-2026</x:v>
      </x:c>
    </x:row>
    <x:row r="2474">
      <x:c r="A2474" t="n">
        <x:v>4</x:v>
      </x:c>
      <x:c r="B2474" t="str">
        <x:v>Marquise</x:v>
      </x:c>
      <x:c r="C2474" t="str">
        <x:v>I</x:v>
      </x:c>
      <x:c r="D2474" t="str">
        <x:v>FL</x:v>
      </x:c>
      <x:c r="E2474" s="36" t="n">
        <x:v>89700</x:v>
      </x:c>
      <x:c r="F2474" s="36" t="n">
        <x:v>4623</x:v>
      </x:c>
      <x:c r="G2474" s="42" t="n">
        <x:v>0.9916344916344917</x:v>
      </x:c>
      <x:c r="H2474" s="36" t="n">
        <x:f>E2474*G2474</x:f>
        <x:v>88949.6138996139</x:v>
      </x:c>
      <x:c r="I2474" s="36" t="n">
        <x:f>IFERROR(H2474/A2474,0)</x:f>
        <x:v>22237.403474903476</x:v>
      </x:c>
      <x:c r="J2474" s="67" t="str">
        <x:v>Modeled from live base + Sep-2026 quality ratio</x:v>
      </x:c>
      <x:c r="K2474" s="67" t="str">
        <x:v>https://www.stonealgo.com/diamond-prices/</x:v>
      </x:c>
      <x:c r="L2474" s="67" t="str">
        <x:v>https://www.pricescope.com/blog/natural-diamond-prices-september-2026</x:v>
      </x:c>
    </x:row>
    <x:row r="2475">
      <x:c r="A2475" t="n">
        <x:v>4</x:v>
      </x:c>
      <x:c r="B2475" t="str">
        <x:v>Marquise</x:v>
      </x:c>
      <x:c r="C2475" t="str">
        <x:v>I</x:v>
      </x:c>
      <x:c r="D2475" t="str">
        <x:v>IF</x:v>
      </x:c>
      <x:c r="E2475" s="36" t="n">
        <x:v>89700</x:v>
      </x:c>
      <x:c r="F2475" s="36" t="n">
        <x:v>4005</x:v>
      </x:c>
      <x:c r="G2475" s="42" t="n">
        <x:v>0.859073359073359</x:v>
      </x:c>
      <x:c r="H2475" s="36" t="n">
        <x:f>E2475*G2475</x:f>
        <x:v>77058.88030888031</x:v>
      </x:c>
      <x:c r="I2475" s="36" t="n">
        <x:f>IFERROR(H2475/A2475,0)</x:f>
        <x:v>19264.720077220078</x:v>
      </x:c>
      <x:c r="J2475" s="67" t="str">
        <x:v>Modeled from live base + Sep-2026 quality ratio</x:v>
      </x:c>
      <x:c r="K2475" s="67" t="str">
        <x:v>https://www.stonealgo.com/diamond-prices/</x:v>
      </x:c>
      <x:c r="L2475" s="67" t="str">
        <x:v>https://www.pricescope.com/blog/natural-diamond-prices-september-2026</x:v>
      </x:c>
    </x:row>
    <x:row r="2476">
      <x:c r="A2476" t="n">
        <x:v>4</x:v>
      </x:c>
      <x:c r="B2476" t="str">
        <x:v>Marquise</x:v>
      </x:c>
      <x:c r="C2476" t="str">
        <x:v>I</x:v>
      </x:c>
      <x:c r="D2476" t="str">
        <x:v>VVS1</x:v>
      </x:c>
      <x:c r="E2476" s="36" t="n">
        <x:v>89700</x:v>
      </x:c>
      <x:c r="F2476" s="36" t="n">
        <x:v>3670</x:v>
      </x:c>
      <x:c r="G2476" s="42" t="n">
        <x:v>0.7872157872157872</x:v>
      </x:c>
      <x:c r="H2476" s="36" t="n">
        <x:f>E2476*G2476</x:f>
        <x:v>70613.25611325611</x:v>
      </x:c>
      <x:c r="I2476" s="36" t="n">
        <x:f>IFERROR(H2476/A2476,0)</x:f>
        <x:v>17653.314028314027</x:v>
      </x:c>
      <x:c r="J2476" s="67" t="str">
        <x:v>Modeled from live base + Sep-2026 quality ratio</x:v>
      </x:c>
      <x:c r="K2476" s="67" t="str">
        <x:v>https://www.stonealgo.com/diamond-prices/</x:v>
      </x:c>
      <x:c r="L2476" s="67" t="str">
        <x:v>https://www.pricescope.com/blog/natural-diamond-prices-september-2026</x:v>
      </x:c>
    </x:row>
    <x:row r="2477">
      <x:c r="A2477" t="n">
        <x:v>4</x:v>
      </x:c>
      <x:c r="B2477" t="str">
        <x:v>Marquise</x:v>
      </x:c>
      <x:c r="C2477" t="str">
        <x:v>I</x:v>
      </x:c>
      <x:c r="D2477" t="str">
        <x:v>VVS2</x:v>
      </x:c>
      <x:c r="E2477" s="36" t="n">
        <x:v>89700</x:v>
      </x:c>
      <x:c r="F2477" s="36" t="n">
        <x:v>3447</x:v>
      </x:c>
      <x:c r="G2477" s="42" t="n">
        <x:v>0.7393822393822393</x:v>
      </x:c>
      <x:c r="H2477" s="36" t="n">
        <x:f>E2477*G2477</x:f>
        <x:v>66322.58687258686</x:v>
      </x:c>
      <x:c r="I2477" s="36" t="n">
        <x:f>IFERROR(H2477/A2477,0)</x:f>
        <x:v>16580.646718146716</x:v>
      </x:c>
      <x:c r="J2477" s="67" t="str">
        <x:v>Modeled from live base + Sep-2026 quality ratio</x:v>
      </x:c>
      <x:c r="K2477" s="67" t="str">
        <x:v>https://www.stonealgo.com/diamond-prices/</x:v>
      </x:c>
      <x:c r="L2477" s="67" t="str">
        <x:v>https://www.pricescope.com/blog/natural-diamond-prices-september-2026</x:v>
      </x:c>
    </x:row>
    <x:row r="2478">
      <x:c r="A2478" t="n">
        <x:v>4</x:v>
      </x:c>
      <x:c r="B2478" t="str">
        <x:v>Marquise</x:v>
      </x:c>
      <x:c r="C2478" t="str">
        <x:v>I</x:v>
      </x:c>
      <x:c r="D2478" t="str">
        <x:v>VS1</x:v>
      </x:c>
      <x:c r="E2478" s="36" t="n">
        <x:v>89700</x:v>
      </x:c>
      <x:c r="F2478" s="36" t="n">
        <x:v>3313</x:v>
      </x:c>
      <x:c r="G2478" s="42" t="n">
        <x:v>0.7106392106392107</x:v>
      </x:c>
      <x:c r="H2478" s="36" t="n">
        <x:f>E2478*G2478</x:f>
        <x:v>63744.3371943372</x:v>
      </x:c>
      <x:c r="I2478" s="36" t="n">
        <x:f>IFERROR(H2478/A2478,0)</x:f>
        <x:v>15936.0842985843</x:v>
      </x:c>
      <x:c r="J2478" s="67" t="str">
        <x:v>Modeled from live base + Sep-2026 quality ratio</x:v>
      </x:c>
      <x:c r="K2478" s="67" t="str">
        <x:v>https://www.stonealgo.com/diamond-prices/</x:v>
      </x:c>
      <x:c r="L2478" s="67" t="str">
        <x:v>https://www.pricescope.com/blog/natural-diamond-prices-september-2026</x:v>
      </x:c>
    </x:row>
    <x:row r="2479">
      <x:c r="A2479" t="n">
        <x:v>4</x:v>
      </x:c>
      <x:c r="B2479" t="str">
        <x:v>Marquise</x:v>
      </x:c>
      <x:c r="C2479" t="str">
        <x:v>I</x:v>
      </x:c>
      <x:c r="D2479" t="str">
        <x:v>VS2</x:v>
      </x:c>
      <x:c r="E2479" s="36" t="n">
        <x:v>89700</x:v>
      </x:c>
      <x:c r="F2479" s="36" t="n">
        <x:v>3240</x:v>
      </x:c>
      <x:c r="G2479" s="42" t="n">
        <x:v>0.694980694980695</x:v>
      </x:c>
      <x:c r="H2479" s="36" t="n">
        <x:f>E2479*G2479</x:f>
        <x:v>62339.76833976834</x:v>
      </x:c>
      <x:c r="I2479" s="36" t="n">
        <x:f>IFERROR(H2479/A2479,0)</x:f>
        <x:v>15584.942084942086</x:v>
      </x:c>
      <x:c r="J2479" s="67" t="str">
        <x:v>Modeled from live base + Sep-2026 quality ratio</x:v>
      </x:c>
      <x:c r="K2479" s="67" t="str">
        <x:v>https://www.stonealgo.com/diamond-prices/</x:v>
      </x:c>
      <x:c r="L2479" s="67" t="str">
        <x:v>https://www.pricescope.com/blog/natural-diamond-prices-september-2026</x:v>
      </x:c>
    </x:row>
    <x:row r="2480">
      <x:c r="A2480" t="n">
        <x:v>4</x:v>
      </x:c>
      <x:c r="B2480" t="str">
        <x:v>Marquise</x:v>
      </x:c>
      <x:c r="C2480" t="str">
        <x:v>I</x:v>
      </x:c>
      <x:c r="D2480" t="str">
        <x:v>SI1</x:v>
      </x:c>
      <x:c r="E2480" s="36" t="n">
        <x:v>89700</x:v>
      </x:c>
      <x:c r="F2480" s="36" t="n">
        <x:v>3199</x:v>
      </x:c>
      <x:c r="G2480" s="42" t="n">
        <x:v>0.6861861861861862</x:v>
      </x:c>
      <x:c r="H2480" s="36" t="n">
        <x:f>E2480*G2480</x:f>
        <x:v>61550.9009009009</x:v>
      </x:c>
      <x:c r="I2480" s="36" t="n">
        <x:f>IFERROR(H2480/A2480,0)</x:f>
        <x:v>15387.725225225226</x:v>
      </x:c>
      <x:c r="J2480" s="67" t="str">
        <x:v>Modeled from live base + Sep-2026 quality ratio</x:v>
      </x:c>
      <x:c r="K2480" s="67" t="str">
        <x:v>https://www.stonealgo.com/diamond-prices/</x:v>
      </x:c>
      <x:c r="L2480" s="67" t="str">
        <x:v>https://www.pricescope.com/blog/natural-diamond-prices-september-2026</x:v>
      </x:c>
    </x:row>
    <x:row r="2481">
      <x:c r="A2481" t="n">
        <x:v>4</x:v>
      </x:c>
      <x:c r="B2481" t="str">
        <x:v>Marquise</x:v>
      </x:c>
      <x:c r="C2481" t="str">
        <x:v>I</x:v>
      </x:c>
      <x:c r="D2481" t="str">
        <x:v>SI2</x:v>
      </x:c>
      <x:c r="E2481" s="36" t="n">
        <x:v>89700</x:v>
      </x:c>
      <x:c r="F2481" s="36" t="n">
        <x:v>2874</x:v>
      </x:c>
      <x:c r="G2481" s="42" t="n">
        <x:v>0.6164736164736164</x:v>
      </x:c>
      <x:c r="H2481" s="36" t="n">
        <x:f>E2481*G2481</x:f>
        <x:v>55297.683397683395</x:v>
      </x:c>
      <x:c r="I2481" s="36" t="n">
        <x:f>IFERROR(H2481/A2481,0)</x:f>
        <x:v>13824.420849420849</x:v>
      </x:c>
      <x:c r="J2481" s="67" t="str">
        <x:v>Modeled from live base + Sep-2026 quality ratio</x:v>
      </x:c>
      <x:c r="K2481" s="67" t="str">
        <x:v>https://www.stonealgo.com/diamond-prices/</x:v>
      </x:c>
      <x:c r="L2481" s="67" t="str">
        <x:v>https://www.pricescope.com/blog/natural-diamond-prices-september-2026</x:v>
      </x:c>
    </x:row>
    <x:row r="2482">
      <x:c r="A2482" t="n">
        <x:v>4</x:v>
      </x:c>
      <x:c r="B2482" t="str">
        <x:v>Marquise</x:v>
      </x:c>
      <x:c r="C2482" t="str">
        <x:v>J</x:v>
      </x:c>
      <x:c r="D2482" t="str">
        <x:v>FL</x:v>
      </x:c>
      <x:c r="E2482" s="36" t="n">
        <x:v>89700</x:v>
      </x:c>
      <x:c r="F2482" s="36" t="n">
        <x:v>3646</x:v>
      </x:c>
      <x:c r="G2482" s="42" t="n">
        <x:v>0.782067782067782</x:v>
      </x:c>
      <x:c r="H2482" s="36" t="n">
        <x:f>E2482*G2482</x:f>
        <x:v>70151.48005148004</x:v>
      </x:c>
      <x:c r="I2482" s="36" t="n">
        <x:f>IFERROR(H2482/A2482,0)</x:f>
        <x:v>17537.87001287001</x:v>
      </x:c>
      <x:c r="J2482" s="67" t="str">
        <x:v>Modeled from live base + Sep-2026 quality ratio</x:v>
      </x:c>
      <x:c r="K2482" s="67" t="str">
        <x:v>https://www.stonealgo.com/diamond-prices/</x:v>
      </x:c>
      <x:c r="L2482" s="67" t="str">
        <x:v>https://www.pricescope.com/blog/natural-diamond-prices-september-2026</x:v>
      </x:c>
    </x:row>
    <x:row r="2483">
      <x:c r="A2483" t="n">
        <x:v>4</x:v>
      </x:c>
      <x:c r="B2483" t="str">
        <x:v>Marquise</x:v>
      </x:c>
      <x:c r="C2483" t="str">
        <x:v>J</x:v>
      </x:c>
      <x:c r="D2483" t="str">
        <x:v>IF</x:v>
      </x:c>
      <x:c r="E2483" s="36" t="n">
        <x:v>89700</x:v>
      </x:c>
      <x:c r="F2483" s="36" t="n">
        <x:v>3368</x:v>
      </x:c>
      <x:c r="G2483" s="42" t="n">
        <x:v>0.7224367224367224</x:v>
      </x:c>
      <x:c r="H2483" s="36" t="n">
        <x:f>E2483*G2483</x:f>
        <x:v>64802.574002574</x:v>
      </x:c>
      <x:c r="I2483" s="36" t="n">
        <x:f>IFERROR(H2483/A2483,0)</x:f>
        <x:v>16200.6435006435</x:v>
      </x:c>
      <x:c r="J2483" s="67" t="str">
        <x:v>Modeled from live base + Sep-2026 quality ratio</x:v>
      </x:c>
      <x:c r="K2483" s="67" t="str">
        <x:v>https://www.stonealgo.com/diamond-prices/</x:v>
      </x:c>
      <x:c r="L2483" s="67" t="str">
        <x:v>https://www.pricescope.com/blog/natural-diamond-prices-september-2026</x:v>
      </x:c>
    </x:row>
    <x:row r="2484">
      <x:c r="A2484" t="n">
        <x:v>4</x:v>
      </x:c>
      <x:c r="B2484" t="str">
        <x:v>Marquise</x:v>
      </x:c>
      <x:c r="C2484" t="str">
        <x:v>J</x:v>
      </x:c>
      <x:c r="D2484" t="str">
        <x:v>VVS1</x:v>
      </x:c>
      <x:c r="E2484" s="36" t="n">
        <x:v>89700</x:v>
      </x:c>
      <x:c r="F2484" s="36" t="n">
        <x:v>2956</x:v>
      </x:c>
      <x:c r="G2484" s="42" t="n">
        <x:v>0.6340626340626341</x:v>
      </x:c>
      <x:c r="H2484" s="36" t="n">
        <x:f>E2484*G2484</x:f>
        <x:v>56875.41827541828</x:v>
      </x:c>
      <x:c r="I2484" s="36" t="n">
        <x:f>IFERROR(H2484/A2484,0)</x:f>
        <x:v>14218.85456885457</x:v>
      </x:c>
      <x:c r="J2484" s="67" t="str">
        <x:v>Modeled from live base + Sep-2026 quality ratio</x:v>
      </x:c>
      <x:c r="K2484" s="67" t="str">
        <x:v>https://www.stonealgo.com/diamond-prices/</x:v>
      </x:c>
      <x:c r="L2484" s="67" t="str">
        <x:v>https://www.pricescope.com/blog/natural-diamond-prices-september-2026</x:v>
      </x:c>
    </x:row>
    <x:row r="2485">
      <x:c r="A2485" t="n">
        <x:v>4</x:v>
      </x:c>
      <x:c r="B2485" t="str">
        <x:v>Marquise</x:v>
      </x:c>
      <x:c r="C2485" t="str">
        <x:v>J</x:v>
      </x:c>
      <x:c r="D2485" t="str">
        <x:v>VVS2</x:v>
      </x:c>
      <x:c r="E2485" s="36" t="n">
        <x:v>89700</x:v>
      </x:c>
      <x:c r="F2485" s="36" t="n">
        <x:v>2612</x:v>
      </x:c>
      <x:c r="G2485" s="42" t="n">
        <x:v>0.5602745602745602</x:v>
      </x:c>
      <x:c r="H2485" s="36" t="n">
        <x:f>E2485*G2485</x:f>
        <x:v>50256.628056628055</x:v>
      </x:c>
      <x:c r="I2485" s="36" t="n">
        <x:f>IFERROR(H2485/A2485,0)</x:f>
        <x:v>12564.157014157014</x:v>
      </x:c>
      <x:c r="J2485" s="67" t="str">
        <x:v>Modeled from live base + Sep-2026 quality ratio</x:v>
      </x:c>
      <x:c r="K2485" s="67" t="str">
        <x:v>https://www.stonealgo.com/diamond-prices/</x:v>
      </x:c>
      <x:c r="L2485" s="67" t="str">
        <x:v>https://www.pricescope.com/blog/natural-diamond-prices-september-2026</x:v>
      </x:c>
    </x:row>
    <x:row r="2486">
      <x:c r="A2486" t="n">
        <x:v>4</x:v>
      </x:c>
      <x:c r="B2486" t="str">
        <x:v>Marquise</x:v>
      </x:c>
      <x:c r="C2486" t="str">
        <x:v>J</x:v>
      </x:c>
      <x:c r="D2486" t="str">
        <x:v>VS1</x:v>
      </x:c>
      <x:c r="E2486" s="36" t="n">
        <x:v>89700</x:v>
      </x:c>
      <x:c r="F2486" s="36" t="n">
        <x:v>3002</x:v>
      </x:c>
      <x:c r="G2486" s="42" t="n">
        <x:v>0.6439296439296439</x:v>
      </x:c>
      <x:c r="H2486" s="36" t="n">
        <x:f>E2486*G2486</x:f>
        <x:v>57760.48906048906</x:v>
      </x:c>
      <x:c r="I2486" s="36" t="n">
        <x:f>IFERROR(H2486/A2486,0)</x:f>
        <x:v>14440.122265122265</x:v>
      </x:c>
      <x:c r="J2486" s="67" t="str">
        <x:v>Modeled from live base + Sep-2026 quality ratio</x:v>
      </x:c>
      <x:c r="K2486" s="67" t="str">
        <x:v>https://www.stonealgo.com/diamond-prices/</x:v>
      </x:c>
      <x:c r="L2486" s="67" t="str">
        <x:v>https://www.pricescope.com/blog/natural-diamond-prices-september-2026</x:v>
      </x:c>
    </x:row>
    <x:row r="2487">
      <x:c r="A2487" t="n">
        <x:v>4</x:v>
      </x:c>
      <x:c r="B2487" t="str">
        <x:v>Marquise</x:v>
      </x:c>
      <x:c r="C2487" t="str">
        <x:v>J</x:v>
      </x:c>
      <x:c r="D2487" t="str">
        <x:v>VS2</x:v>
      </x:c>
      <x:c r="E2487" s="36" t="n">
        <x:v>89700</x:v>
      </x:c>
      <x:c r="F2487" s="36" t="n">
        <x:v>2559</x:v>
      </x:c>
      <x:c r="G2487" s="42" t="n">
        <x:v>0.5489060489060489</x:v>
      </x:c>
      <x:c r="H2487" s="36" t="n">
        <x:f>E2487*G2487</x:f>
        <x:v>49236.87258687258</x:v>
      </x:c>
      <x:c r="I2487" s="36" t="n">
        <x:f>IFERROR(H2487/A2487,0)</x:f>
        <x:v>12309.218146718145</x:v>
      </x:c>
      <x:c r="J2487" s="67" t="str">
        <x:v>Modeled from live base + Sep-2026 quality ratio</x:v>
      </x:c>
      <x:c r="K2487" s="67" t="str">
        <x:v>https://www.stonealgo.com/diamond-prices/</x:v>
      </x:c>
      <x:c r="L2487" s="67" t="str">
        <x:v>https://www.pricescope.com/blog/natural-diamond-prices-september-2026</x:v>
      </x:c>
    </x:row>
    <x:row r="2488">
      <x:c r="A2488" t="n">
        <x:v>4</x:v>
      </x:c>
      <x:c r="B2488" t="str">
        <x:v>Marquise</x:v>
      </x:c>
      <x:c r="C2488" t="str">
        <x:v>J</x:v>
      </x:c>
      <x:c r="D2488" t="str">
        <x:v>SI1</x:v>
      </x:c>
      <x:c r="E2488" s="36" t="n">
        <x:v>89700</x:v>
      </x:c>
      <x:c r="F2488" s="36" t="n">
        <x:v>2195</x:v>
      </x:c>
      <x:c r="G2488" s="42" t="n">
        <x:v>0.47082797082797084</x:v>
      </x:c>
      <x:c r="H2488" s="36" t="n">
        <x:f>E2488*G2488</x:f>
        <x:v>42233.26898326899</x:v>
      </x:c>
      <x:c r="I2488" s="36" t="n">
        <x:f>IFERROR(H2488/A2488,0)</x:f>
        <x:v>10558.317245817247</x:v>
      </x:c>
      <x:c r="J2488" s="67" t="str">
        <x:v>Modeled from live base + Sep-2026 quality ratio</x:v>
      </x:c>
      <x:c r="K2488" s="67" t="str">
        <x:v>https://www.stonealgo.com/diamond-prices/</x:v>
      </x:c>
      <x:c r="L2488" s="67" t="str">
        <x:v>https://www.pricescope.com/blog/natural-diamond-prices-september-2026</x:v>
      </x:c>
    </x:row>
    <x:row r="2489">
      <x:c r="A2489" t="n">
        <x:v>4</x:v>
      </x:c>
      <x:c r="B2489" t="str">
        <x:v>Marquise</x:v>
      </x:c>
      <x:c r="C2489" t="str">
        <x:v>J</x:v>
      </x:c>
      <x:c r="D2489" t="str">
        <x:v>SI2</x:v>
      </x:c>
      <x:c r="E2489" s="36" t="n">
        <x:v>89700</x:v>
      </x:c>
      <x:c r="F2489" s="36" t="n">
        <x:v>2079</x:v>
      </x:c>
      <x:c r="G2489" s="42" t="n">
        <x:v>0.44594594594594594</x:v>
      </x:c>
      <x:c r="H2489" s="36" t="n">
        <x:f>E2489*G2489</x:f>
        <x:v>40001.35135135135</x:v>
      </x:c>
      <x:c r="I2489" s="36" t="n">
        <x:f>IFERROR(H2489/A2489,0)</x:f>
        <x:v>10000.337837837838</x:v>
      </x:c>
      <x:c r="J2489" s="67" t="str">
        <x:v>Modeled from live base + Sep-2026 quality ratio</x:v>
      </x:c>
      <x:c r="K2489" s="67" t="str">
        <x:v>https://www.stonealgo.com/diamond-prices/</x:v>
      </x:c>
      <x:c r="L2489" s="67" t="str">
        <x:v>https://www.pricescope.com/blog/natural-diamond-prices-september-2026</x:v>
      </x:c>
    </x:row>
    <x:row r="2490">
      <x:c r="A2490" t="n">
        <x:v>4</x:v>
      </x:c>
      <x:c r="B2490" t="str">
        <x:v>Marquise</x:v>
      </x:c>
      <x:c r="C2490" t="str">
        <x:v>K</x:v>
      </x:c>
      <x:c r="D2490" t="str">
        <x:v>FL</x:v>
      </x:c>
      <x:c r="E2490" s="36" t="n">
        <x:v>89700</x:v>
      </x:c>
      <x:c r="F2490" s="36" t="n">
        <x:v>2858</x:v>
      </x:c>
      <x:c r="G2490" s="42" t="n">
        <x:v>0.6130416130416131</x:v>
      </x:c>
      <x:c r="H2490" s="36" t="n">
        <x:f>E2490*G2490</x:f>
        <x:v>54989.83268983269</x:v>
      </x:c>
      <x:c r="I2490" s="36" t="n">
        <x:f>IFERROR(H2490/A2490,0)</x:f>
        <x:v>13747.458172458173</x:v>
      </x:c>
      <x:c r="J2490" s="67" t="str">
        <x:v>Modeled from live base + Sep-2026 quality ratio; K/FL quality cell modeled</x:v>
      </x:c>
      <x:c r="K2490" s="67" t="str">
        <x:v>https://www.stonealgo.com/diamond-prices/</x:v>
      </x:c>
      <x:c r="L2490" s="67" t="str">
        <x:v>https://www.pricescope.com/blog/natural-diamond-prices-september-2026</x:v>
      </x:c>
    </x:row>
    <x:row r="2491">
      <x:c r="A2491" t="n">
        <x:v>4</x:v>
      </x:c>
      <x:c r="B2491" t="str">
        <x:v>Marquise</x:v>
      </x:c>
      <x:c r="C2491" t="str">
        <x:v>K</x:v>
      </x:c>
      <x:c r="D2491" t="str">
        <x:v>IF</x:v>
      </x:c>
      <x:c r="E2491" s="36" t="n">
        <x:v>89700</x:v>
      </x:c>
      <x:c r="F2491" s="36" t="n">
        <x:v>2743</x:v>
      </x:c>
      <x:c r="G2491" s="42" t="n">
        <x:v>0.5883740883740883</x:v>
      </x:c>
      <x:c r="H2491" s="36" t="n">
        <x:f>E2491*G2491</x:f>
        <x:v>52777.155727155725</x:v>
      </x:c>
      <x:c r="I2491" s="36" t="n">
        <x:f>IFERROR(H2491/A2491,0)</x:f>
        <x:v>13194.288931788931</x:v>
      </x:c>
      <x:c r="J2491" s="67" t="str">
        <x:v>Modeled from live base + Sep-2026 quality ratio</x:v>
      </x:c>
      <x:c r="K2491" s="67" t="str">
        <x:v>https://www.stonealgo.com/diamond-prices/</x:v>
      </x:c>
      <x:c r="L2491" s="67" t="str">
        <x:v>https://www.pricescope.com/blog/natural-diamond-prices-september-2026</x:v>
      </x:c>
    </x:row>
    <x:row r="2492">
      <x:c r="A2492" t="n">
        <x:v>4</x:v>
      </x:c>
      <x:c r="B2492" t="str">
        <x:v>Marquise</x:v>
      </x:c>
      <x:c r="C2492" t="str">
        <x:v>K</x:v>
      </x:c>
      <x:c r="D2492" t="str">
        <x:v>VVS1</x:v>
      </x:c>
      <x:c r="E2492" s="36" t="n">
        <x:v>89700</x:v>
      </x:c>
      <x:c r="F2492" s="36" t="n">
        <x:v>2529</x:v>
      </x:c>
      <x:c r="G2492" s="42" t="n">
        <x:v>0.5424710424710425</x:v>
      </x:c>
      <x:c r="H2492" s="36" t="n">
        <x:f>E2492*G2492</x:f>
        <x:v>48659.652509652515</x:v>
      </x:c>
      <x:c r="I2492" s="36" t="n">
        <x:f>IFERROR(H2492/A2492,0)</x:f>
        <x:v>12164.913127413129</x:v>
      </x:c>
      <x:c r="J2492" s="67" t="str">
        <x:v>Modeled from live base + Sep-2026 quality ratio</x:v>
      </x:c>
      <x:c r="K2492" s="67" t="str">
        <x:v>https://www.stonealgo.com/diamond-prices/</x:v>
      </x:c>
      <x:c r="L2492" s="67" t="str">
        <x:v>https://www.pricescope.com/blog/natural-diamond-prices-september-2026</x:v>
      </x:c>
    </x:row>
    <x:row r="2493">
      <x:c r="A2493" t="n">
        <x:v>4</x:v>
      </x:c>
      <x:c r="B2493" t="str">
        <x:v>Marquise</x:v>
      </x:c>
      <x:c r="C2493" t="str">
        <x:v>K</x:v>
      </x:c>
      <x:c r="D2493" t="str">
        <x:v>VVS2</x:v>
      </x:c>
      <x:c r="E2493" s="36" t="n">
        <x:v>89700</x:v>
      </x:c>
      <x:c r="F2493" s="36" t="n">
        <x:v>2374</x:v>
      </x:c>
      <x:c r="G2493" s="42" t="n">
        <x:v>0.5092235092235092</x:v>
      </x:c>
      <x:c r="H2493" s="36" t="n">
        <x:f>E2493*G2493</x:f>
        <x:v>45677.34877734878</x:v>
      </x:c>
      <x:c r="I2493" s="36" t="n">
        <x:f>IFERROR(H2493/A2493,0)</x:f>
        <x:v>11419.337194337195</x:v>
      </x:c>
      <x:c r="J2493" s="67" t="str">
        <x:v>Modeled from live base + Sep-2026 quality ratio</x:v>
      </x:c>
      <x:c r="K2493" s="67" t="str">
        <x:v>https://www.stonealgo.com/diamond-prices/</x:v>
      </x:c>
      <x:c r="L2493" s="67" t="str">
        <x:v>https://www.pricescope.com/blog/natural-diamond-prices-september-2026</x:v>
      </x:c>
    </x:row>
    <x:row r="2494">
      <x:c r="A2494" t="n">
        <x:v>4</x:v>
      </x:c>
      <x:c r="B2494" t="str">
        <x:v>Marquise</x:v>
      </x:c>
      <x:c r="C2494" t="str">
        <x:v>K</x:v>
      </x:c>
      <x:c r="D2494" t="str">
        <x:v>VS1</x:v>
      </x:c>
      <x:c r="E2494" s="36" t="n">
        <x:v>89700</x:v>
      </x:c>
      <x:c r="F2494" s="36" t="n">
        <x:v>2223</x:v>
      </x:c>
      <x:c r="G2494" s="42" t="n">
        <x:v>0.4768339768339768</x:v>
      </x:c>
      <x:c r="H2494" s="36" t="n">
        <x:f>E2494*G2494</x:f>
        <x:v>42772.00772200772</x:v>
      </x:c>
      <x:c r="I2494" s="36" t="n">
        <x:f>IFERROR(H2494/A2494,0)</x:f>
        <x:v>10693.00193050193</x:v>
      </x:c>
      <x:c r="J2494" s="67" t="str">
        <x:v>Modeled from live base + Sep-2026 quality ratio</x:v>
      </x:c>
      <x:c r="K2494" s="67" t="str">
        <x:v>https://www.stonealgo.com/diamond-prices/</x:v>
      </x:c>
      <x:c r="L2494" s="67" t="str">
        <x:v>https://www.pricescope.com/blog/natural-diamond-prices-september-2026</x:v>
      </x:c>
    </x:row>
    <x:row r="2495">
      <x:c r="A2495" t="n">
        <x:v>4</x:v>
      </x:c>
      <x:c r="B2495" t="str">
        <x:v>Marquise</x:v>
      </x:c>
      <x:c r="C2495" t="str">
        <x:v>K</x:v>
      </x:c>
      <x:c r="D2495" t="str">
        <x:v>VS2</x:v>
      </x:c>
      <x:c r="E2495" s="36" t="n">
        <x:v>89700</x:v>
      </x:c>
      <x:c r="F2495" s="36" t="n">
        <x:v>2098</x:v>
      </x:c>
      <x:c r="G2495" s="42" t="n">
        <x:v>0.45002145002145</x:v>
      </x:c>
      <x:c r="H2495" s="36" t="n">
        <x:f>E2495*G2495</x:f>
        <x:v>40366.92406692407</x:v>
      </x:c>
      <x:c r="I2495" s="36" t="n">
        <x:f>IFERROR(H2495/A2495,0)</x:f>
        <x:v>10091.731016731017</x:v>
      </x:c>
      <x:c r="J2495" s="67" t="str">
        <x:v>Modeled from live base + Sep-2026 quality ratio</x:v>
      </x:c>
      <x:c r="K2495" s="67" t="str">
        <x:v>https://www.stonealgo.com/diamond-prices/</x:v>
      </x:c>
      <x:c r="L2495" s="67" t="str">
        <x:v>https://www.pricescope.com/blog/natural-diamond-prices-september-2026</x:v>
      </x:c>
    </x:row>
    <x:row r="2496">
      <x:c r="A2496" t="n">
        <x:v>4</x:v>
      </x:c>
      <x:c r="B2496" t="str">
        <x:v>Marquise</x:v>
      </x:c>
      <x:c r="C2496" t="str">
        <x:v>K</x:v>
      </x:c>
      <x:c r="D2496" t="str">
        <x:v>SI1</x:v>
      </x:c>
      <x:c r="E2496" s="36" t="n">
        <x:v>89700</x:v>
      </x:c>
      <x:c r="F2496" s="36" t="n">
        <x:v>1922</x:v>
      </x:c>
      <x:c r="G2496" s="42" t="n">
        <x:v>0.41226941226941227</x:v>
      </x:c>
      <x:c r="H2496" s="36" t="n">
        <x:f>E2496*G2496</x:f>
        <x:v>36980.56628056628</x:v>
      </x:c>
      <x:c r="I2496" s="36" t="n">
        <x:f>IFERROR(H2496/A2496,0)</x:f>
        <x:v>9245.14157014157</x:v>
      </x:c>
      <x:c r="J2496" s="67" t="str">
        <x:v>Modeled from live base + Sep-2026 quality ratio</x:v>
      </x:c>
      <x:c r="K2496" s="67" t="str">
        <x:v>https://www.stonealgo.com/diamond-prices/</x:v>
      </x:c>
      <x:c r="L2496" s="67" t="str">
        <x:v>https://www.pricescope.com/blog/natural-diamond-prices-september-2026</x:v>
      </x:c>
    </x:row>
    <x:row r="2497">
      <x:c r="A2497" t="n">
        <x:v>4</x:v>
      </x:c>
      <x:c r="B2497" t="str">
        <x:v>Marquise</x:v>
      </x:c>
      <x:c r="C2497" t="str">
        <x:v>K</x:v>
      </x:c>
      <x:c r="D2497" t="str">
        <x:v>SI2</x:v>
      </x:c>
      <x:c r="E2497" s="36" t="n">
        <x:v>89700</x:v>
      </x:c>
      <x:c r="F2497" s="36" t="n">
        <x:v>1764</x:v>
      </x:c>
      <x:c r="G2497" s="42" t="n">
        <x:v>0.3783783783783784</x:v>
      </x:c>
      <x:c r="H2497" s="36" t="n">
        <x:f>E2497*G2497</x:f>
        <x:v>33940.54054054054</x:v>
      </x:c>
      <x:c r="I2497" s="36" t="n">
        <x:f>IFERROR(H2497/A2497,0)</x:f>
        <x:v>8485.135135135135</x:v>
      </x:c>
      <x:c r="J2497" s="67" t="str">
        <x:v>Modeled from live base + Sep-2026 quality ratio</x:v>
      </x:c>
      <x:c r="K2497" s="67" t="str">
        <x:v>https://www.stonealgo.com/diamond-prices/</x:v>
      </x:c>
      <x:c r="L2497" s="67" t="str">
        <x:v>https://www.pricescope.com/blog/natural-diamond-prices-september-2026</x:v>
      </x:c>
    </x:row>
    <x:row r="2498">
      <x:c r="A2498" t="n">
        <x:v>4</x:v>
      </x:c>
      <x:c r="B2498" t="str">
        <x:v>Asscher</x:v>
      </x:c>
      <x:c r="C2498" t="str">
        <x:v>D</x:v>
      </x:c>
      <x:c r="D2498" t="str">
        <x:v>FL</x:v>
      </x:c>
      <x:c r="E2498" s="36" t="n">
        <x:v>59500</x:v>
      </x:c>
      <x:c r="F2498" s="36" t="n">
        <x:v>12665</x:v>
      </x:c>
      <x:c r="G2498" s="42" t="n">
        <x:v>2.7166452166452166</x:v>
      </x:c>
      <x:c r="H2498" s="36" t="n">
        <x:f>E2498*G2498</x:f>
        <x:v>161640.39039039038</x:v>
      </x:c>
      <x:c r="I2498" s="36" t="n">
        <x:f>IFERROR(H2498/A2498,0)</x:f>
        <x:v>40410.097597597596</x:v>
      </x:c>
      <x:c r="J2498" s="67" t="str">
        <x:v>Modeled from live base + Sep-2026 quality ratio</x:v>
      </x:c>
      <x:c r="K2498" s="67" t="str">
        <x:v>https://www.stonealgo.com/diamond-prices/</x:v>
      </x:c>
      <x:c r="L2498" s="67" t="str">
        <x:v>https://www.pricescope.com/blog/natural-diamond-prices-september-2026</x:v>
      </x:c>
    </x:row>
    <x:row r="2499">
      <x:c r="A2499" t="n">
        <x:v>4</x:v>
      </x:c>
      <x:c r="B2499" t="str">
        <x:v>Asscher</x:v>
      </x:c>
      <x:c r="C2499" t="str">
        <x:v>D</x:v>
      </x:c>
      <x:c r="D2499" t="str">
        <x:v>IF</x:v>
      </x:c>
      <x:c r="E2499" s="36" t="n">
        <x:v>59500</x:v>
      </x:c>
      <x:c r="F2499" s="36" t="n">
        <x:v>13240</x:v>
      </x:c>
      <x:c r="G2499" s="42" t="n">
        <x:v>2.83998283998284</x:v>
      </x:c>
      <x:c r="H2499" s="36" t="n">
        <x:f>E2499*G2499</x:f>
        <x:v>168978.978978979</x:v>
      </x:c>
      <x:c r="I2499" s="36" t="n">
        <x:f>IFERROR(H2499/A2499,0)</x:f>
        <x:v>42244.74474474475</x:v>
      </x:c>
      <x:c r="J2499" s="67" t="str">
        <x:v>Modeled from live base + Sep-2026 quality ratio</x:v>
      </x:c>
      <x:c r="K2499" s="67" t="str">
        <x:v>https://www.stonealgo.com/diamond-prices/</x:v>
      </x:c>
      <x:c r="L2499" s="67" t="str">
        <x:v>https://www.pricescope.com/blog/natural-diamond-prices-september-2026</x:v>
      </x:c>
    </x:row>
    <x:row r="2500">
      <x:c r="A2500" t="n">
        <x:v>4</x:v>
      </x:c>
      <x:c r="B2500" t="str">
        <x:v>Asscher</x:v>
      </x:c>
      <x:c r="C2500" t="str">
        <x:v>D</x:v>
      </x:c>
      <x:c r="D2500" t="str">
        <x:v>VVS1</x:v>
      </x:c>
      <x:c r="E2500" s="36" t="n">
        <x:v>59500</x:v>
      </x:c>
      <x:c r="F2500" s="36" t="n">
        <x:v>9555</x:v>
      </x:c>
      <x:c r="G2500" s="42" t="n">
        <x:v>2.0495495495495497</x:v>
      </x:c>
      <x:c r="H2500" s="36" t="n">
        <x:f>E2500*G2500</x:f>
        <x:v>121948.19819819821</x:v>
      </x:c>
      <x:c r="I2500" s="36" t="n">
        <x:f>IFERROR(H2500/A2500,0)</x:f>
        <x:v>30487.049549549552</x:v>
      </x:c>
      <x:c r="J2500" s="67" t="str">
        <x:v>Modeled from live base + Sep-2026 quality ratio</x:v>
      </x:c>
      <x:c r="K2500" s="67" t="str">
        <x:v>https://www.stonealgo.com/diamond-prices/</x:v>
      </x:c>
      <x:c r="L2500" s="67" t="str">
        <x:v>https://www.pricescope.com/blog/natural-diamond-prices-september-2026</x:v>
      </x:c>
    </x:row>
    <x:row r="2501">
      <x:c r="A2501" t="n">
        <x:v>4</x:v>
      </x:c>
      <x:c r="B2501" t="str">
        <x:v>Asscher</x:v>
      </x:c>
      <x:c r="C2501" t="str">
        <x:v>D</x:v>
      </x:c>
      <x:c r="D2501" t="str">
        <x:v>VVS2</x:v>
      </x:c>
      <x:c r="E2501" s="36" t="n">
        <x:v>59500</x:v>
      </x:c>
      <x:c r="F2501" s="36" t="n">
        <x:v>6660</x:v>
      </x:c>
      <x:c r="G2501" s="42" t="n">
        <x:v>1.4285714285714286</x:v>
      </x:c>
      <x:c r="H2501" s="36" t="n">
        <x:f>E2501*G2501</x:f>
        <x:v>85000</x:v>
      </x:c>
      <x:c r="I2501" s="36" t="n">
        <x:f>IFERROR(H2501/A2501,0)</x:f>
        <x:v>21250</x:v>
      </x:c>
      <x:c r="J2501" s="67" t="str">
        <x:v>Modeled from live base + Sep-2026 quality ratio</x:v>
      </x:c>
      <x:c r="K2501" s="67" t="str">
        <x:v>https://www.stonealgo.com/diamond-prices/</x:v>
      </x:c>
      <x:c r="L2501" s="67" t="str">
        <x:v>https://www.pricescope.com/blog/natural-diamond-prices-september-2026</x:v>
      </x:c>
    </x:row>
    <x:row r="2502">
      <x:c r="A2502" t="n">
        <x:v>4</x:v>
      </x:c>
      <x:c r="B2502" t="str">
        <x:v>Asscher</x:v>
      </x:c>
      <x:c r="C2502" t="str">
        <x:v>D</x:v>
      </x:c>
      <x:c r="D2502" t="str">
        <x:v>VS1</x:v>
      </x:c>
      <x:c r="E2502" s="36" t="n">
        <x:v>59500</x:v>
      </x:c>
      <x:c r="F2502" s="36" t="n">
        <x:v>6247</x:v>
      </x:c>
      <x:c r="G2502" s="42" t="n">
        <x:v>1.33998283998284</x:v>
      </x:c>
      <x:c r="H2502" s="36" t="n">
        <x:f>E2502*G2502</x:f>
        <x:v>79728.97897897898</x:v>
      </x:c>
      <x:c r="I2502" s="36" t="n">
        <x:f>IFERROR(H2502/A2502,0)</x:f>
        <x:v>19932.244744744745</x:v>
      </x:c>
      <x:c r="J2502" s="67" t="str">
        <x:v>Modeled from live base + Sep-2026 quality ratio</x:v>
      </x:c>
      <x:c r="K2502" s="67" t="str">
        <x:v>https://www.stonealgo.com/diamond-prices/</x:v>
      </x:c>
      <x:c r="L2502" s="67" t="str">
        <x:v>https://www.pricescope.com/blog/natural-diamond-prices-september-2026</x:v>
      </x:c>
    </x:row>
    <x:row r="2503">
      <x:c r="A2503" t="n">
        <x:v>4</x:v>
      </x:c>
      <x:c r="B2503" t="str">
        <x:v>Asscher</x:v>
      </x:c>
      <x:c r="C2503" t="str">
        <x:v>D</x:v>
      </x:c>
      <x:c r="D2503" t="str">
        <x:v>VS2</x:v>
      </x:c>
      <x:c r="E2503" s="36" t="n">
        <x:v>59500</x:v>
      </x:c>
      <x:c r="F2503" s="36" t="n">
        <x:v>5841</x:v>
      </x:c>
      <x:c r="G2503" s="42" t="n">
        <x:v>1.252895752895753</x:v>
      </x:c>
      <x:c r="H2503" s="36" t="n">
        <x:f>E2503*G2503</x:f>
        <x:v>74547.29729729731</x:v>
      </x:c>
      <x:c r="I2503" s="36" t="n">
        <x:f>IFERROR(H2503/A2503,0)</x:f>
        <x:v>18636.824324324327</x:v>
      </x:c>
      <x:c r="J2503" s="67" t="str">
        <x:v>Modeled from live base + Sep-2026 quality ratio</x:v>
      </x:c>
      <x:c r="K2503" s="67" t="str">
        <x:v>https://www.stonealgo.com/diamond-prices/</x:v>
      </x:c>
      <x:c r="L2503" s="67" t="str">
        <x:v>https://www.pricescope.com/blog/natural-diamond-prices-september-2026</x:v>
      </x:c>
    </x:row>
    <x:row r="2504">
      <x:c r="A2504" t="n">
        <x:v>4</x:v>
      </x:c>
      <x:c r="B2504" t="str">
        <x:v>Asscher</x:v>
      </x:c>
      <x:c r="C2504" t="str">
        <x:v>D</x:v>
      </x:c>
      <x:c r="D2504" t="str">
        <x:v>SI1</x:v>
      </x:c>
      <x:c r="E2504" s="36" t="n">
        <x:v>59500</x:v>
      </x:c>
      <x:c r="F2504" s="36" t="n">
        <x:v>3762</x:v>
      </x:c>
      <x:c r="G2504" s="42" t="n">
        <x:v>0.806949806949807</x:v>
      </x:c>
      <x:c r="H2504" s="36" t="n">
        <x:f>E2504*G2504</x:f>
        <x:v>48013.51351351351</x:v>
      </x:c>
      <x:c r="I2504" s="36" t="n">
        <x:f>IFERROR(H2504/A2504,0)</x:f>
        <x:v>12003.378378378378</x:v>
      </x:c>
      <x:c r="J2504" s="67" t="str">
        <x:v>Modeled from live base + Sep-2026 quality ratio</x:v>
      </x:c>
      <x:c r="K2504" s="67" t="str">
        <x:v>https://www.stonealgo.com/diamond-prices/</x:v>
      </x:c>
      <x:c r="L2504" s="67" t="str">
        <x:v>https://www.pricescope.com/blog/natural-diamond-prices-september-2026</x:v>
      </x:c>
    </x:row>
    <x:row r="2505">
      <x:c r="A2505" t="n">
        <x:v>4</x:v>
      </x:c>
      <x:c r="B2505" t="str">
        <x:v>Asscher</x:v>
      </x:c>
      <x:c r="C2505" t="str">
        <x:v>D</x:v>
      </x:c>
      <x:c r="D2505" t="str">
        <x:v>SI2</x:v>
      </x:c>
      <x:c r="E2505" s="36" t="n">
        <x:v>59500</x:v>
      </x:c>
      <x:c r="F2505" s="36" t="n">
        <x:v>3026</x:v>
      </x:c>
      <x:c r="G2505" s="42" t="n">
        <x:v>0.6490776490776491</x:v>
      </x:c>
      <x:c r="H2505" s="36" t="n">
        <x:f>E2505*G2505</x:f>
        <x:v>38620.12012012012</x:v>
      </x:c>
      <x:c r="I2505" s="36" t="n">
        <x:f>IFERROR(H2505/A2505,0)</x:f>
        <x:v>9655.03003003003</x:v>
      </x:c>
      <x:c r="J2505" s="67" t="str">
        <x:v>Modeled from live base + Sep-2026 quality ratio</x:v>
      </x:c>
      <x:c r="K2505" s="67" t="str">
        <x:v>https://www.stonealgo.com/diamond-prices/</x:v>
      </x:c>
      <x:c r="L2505" s="67" t="str">
        <x:v>https://www.pricescope.com/blog/natural-diamond-prices-september-2026</x:v>
      </x:c>
    </x:row>
    <x:row r="2506">
      <x:c r="A2506" t="n">
        <x:v>4</x:v>
      </x:c>
      <x:c r="B2506" t="str">
        <x:v>Asscher</x:v>
      </x:c>
      <x:c r="C2506" t="str">
        <x:v>E</x:v>
      </x:c>
      <x:c r="D2506" t="str">
        <x:v>FL</x:v>
      </x:c>
      <x:c r="E2506" s="36" t="n">
        <x:v>59500</x:v>
      </x:c>
      <x:c r="F2506" s="36" t="n">
        <x:v>10072</x:v>
      </x:c>
      <x:c r="G2506" s="42" t="n">
        <x:v>2.1604461604461602</x:v>
      </x:c>
      <x:c r="H2506" s="36" t="n">
        <x:f>E2506*G2506</x:f>
        <x:v>128546.54654654654</x:v>
      </x:c>
      <x:c r="I2506" s="36" t="n">
        <x:f>IFERROR(H2506/A2506,0)</x:f>
        <x:v>32136.636636636635</x:v>
      </x:c>
      <x:c r="J2506" s="67" t="str">
        <x:v>Modeled from live base + Sep-2026 quality ratio</x:v>
      </x:c>
      <x:c r="K2506" s="67" t="str">
        <x:v>https://www.stonealgo.com/diamond-prices/</x:v>
      </x:c>
      <x:c r="L2506" s="67" t="str">
        <x:v>https://www.pricescope.com/blog/natural-diamond-prices-september-2026</x:v>
      </x:c>
    </x:row>
    <x:row r="2507">
      <x:c r="A2507" t="n">
        <x:v>4</x:v>
      </x:c>
      <x:c r="B2507" t="str">
        <x:v>Asscher</x:v>
      </x:c>
      <x:c r="C2507" t="str">
        <x:v>E</x:v>
      </x:c>
      <x:c r="D2507" t="str">
        <x:v>IF</x:v>
      </x:c>
      <x:c r="E2507" s="36" t="n">
        <x:v>59500</x:v>
      </x:c>
      <x:c r="F2507" s="36" t="n">
        <x:v>8672</x:v>
      </x:c>
      <x:c r="G2507" s="42" t="n">
        <x:v>1.8601458601458603</x:v>
      </x:c>
      <x:c r="H2507" s="36" t="n">
        <x:f>E2507*G2507</x:f>
        <x:v>110678.67867867868</x:v>
      </x:c>
      <x:c r="I2507" s="36" t="n">
        <x:f>IFERROR(H2507/A2507,0)</x:f>
        <x:v>27669.66966966967</x:v>
      </x:c>
      <x:c r="J2507" s="67" t="str">
        <x:v>Modeled from live base + Sep-2026 quality ratio</x:v>
      </x:c>
      <x:c r="K2507" s="67" t="str">
        <x:v>https://www.stonealgo.com/diamond-prices/</x:v>
      </x:c>
      <x:c r="L2507" s="67" t="str">
        <x:v>https://www.pricescope.com/blog/natural-diamond-prices-september-2026</x:v>
      </x:c>
    </x:row>
    <x:row r="2508">
      <x:c r="A2508" t="n">
        <x:v>4</x:v>
      </x:c>
      <x:c r="B2508" t="str">
        <x:v>Asscher</x:v>
      </x:c>
      <x:c r="C2508" t="str">
        <x:v>E</x:v>
      </x:c>
      <x:c r="D2508" t="str">
        <x:v>VVS1</x:v>
      </x:c>
      <x:c r="E2508" s="36" t="n">
        <x:v>59500</x:v>
      </x:c>
      <x:c r="F2508" s="36" t="n">
        <x:v>7842</x:v>
      </x:c>
      <x:c r="G2508" s="42" t="n">
        <x:v>1.6821106821106822</x:v>
      </x:c>
      <x:c r="H2508" s="36" t="n">
        <x:f>E2508*G2508</x:f>
        <x:v>100085.58558558559</x:v>
      </x:c>
      <x:c r="I2508" s="36" t="n">
        <x:f>IFERROR(H2508/A2508,0)</x:f>
        <x:v>25021.396396396398</x:v>
      </x:c>
      <x:c r="J2508" s="67" t="str">
        <x:v>Modeled from live base + Sep-2026 quality ratio</x:v>
      </x:c>
      <x:c r="K2508" s="67" t="str">
        <x:v>https://www.stonealgo.com/diamond-prices/</x:v>
      </x:c>
      <x:c r="L2508" s="67" t="str">
        <x:v>https://www.pricescope.com/blog/natural-diamond-prices-september-2026</x:v>
      </x:c>
    </x:row>
    <x:row r="2509">
      <x:c r="A2509" t="n">
        <x:v>4</x:v>
      </x:c>
      <x:c r="B2509" t="str">
        <x:v>Asscher</x:v>
      </x:c>
      <x:c r="C2509" t="str">
        <x:v>E</x:v>
      </x:c>
      <x:c r="D2509" t="str">
        <x:v>VVS2</x:v>
      </x:c>
      <x:c r="E2509" s="36" t="n">
        <x:v>59500</x:v>
      </x:c>
      <x:c r="F2509" s="36" t="n">
        <x:v>6880</x:v>
      </x:c>
      <x:c r="G2509" s="42" t="n">
        <x:v>1.4757614757614759</x:v>
      </x:c>
      <x:c r="H2509" s="36" t="n">
        <x:f>E2509*G2509</x:f>
        <x:v>87807.80780780781</x:v>
      </x:c>
      <x:c r="I2509" s="36" t="n">
        <x:f>IFERROR(H2509/A2509,0)</x:f>
        <x:v>21951.951951951953</x:v>
      </x:c>
      <x:c r="J2509" s="67" t="str">
        <x:v>Modeled from live base + Sep-2026 quality ratio</x:v>
      </x:c>
      <x:c r="K2509" s="67" t="str">
        <x:v>https://www.stonealgo.com/diamond-prices/</x:v>
      </x:c>
      <x:c r="L2509" s="67" t="str">
        <x:v>https://www.pricescope.com/blog/natural-diamond-prices-september-2026</x:v>
      </x:c>
    </x:row>
    <x:row r="2510">
      <x:c r="A2510" t="n">
        <x:v>4</x:v>
      </x:c>
      <x:c r="B2510" t="str">
        <x:v>Asscher</x:v>
      </x:c>
      <x:c r="C2510" t="str">
        <x:v>E</x:v>
      </x:c>
      <x:c r="D2510" t="str">
        <x:v>VS1</x:v>
      </x:c>
      <x:c r="E2510" s="36" t="n">
        <x:v>59500</x:v>
      </x:c>
      <x:c r="F2510" s="36" t="n">
        <x:v>6307</x:v>
      </x:c>
      <x:c r="G2510" s="42" t="n">
        <x:v>1.352852852852853</x:v>
      </x:c>
      <x:c r="H2510" s="36" t="n">
        <x:f>E2510*G2510</x:f>
        <x:v>80494.74474474475</x:v>
      </x:c>
      <x:c r="I2510" s="36" t="n">
        <x:f>IFERROR(H2510/A2510,0)</x:f>
        <x:v>20123.686186186187</x:v>
      </x:c>
      <x:c r="J2510" s="67" t="str">
        <x:v>Modeled from live base + Sep-2026 quality ratio</x:v>
      </x:c>
      <x:c r="K2510" s="67" t="str">
        <x:v>https://www.stonealgo.com/diamond-prices/</x:v>
      </x:c>
      <x:c r="L2510" s="67" t="str">
        <x:v>https://www.pricescope.com/blog/natural-diamond-prices-september-2026</x:v>
      </x:c>
    </x:row>
    <x:row r="2511">
      <x:c r="A2511" t="n">
        <x:v>4</x:v>
      </x:c>
      <x:c r="B2511" t="str">
        <x:v>Asscher</x:v>
      </x:c>
      <x:c r="C2511" t="str">
        <x:v>E</x:v>
      </x:c>
      <x:c r="D2511" t="str">
        <x:v>VS2</x:v>
      </x:c>
      <x:c r="E2511" s="36" t="n">
        <x:v>59500</x:v>
      </x:c>
      <x:c r="F2511" s="36" t="n">
        <x:v>5249</x:v>
      </x:c>
      <x:c r="G2511" s="42" t="n">
        <x:v>1.125911625911626</x:v>
      </x:c>
      <x:c r="H2511" s="36" t="n">
        <x:f>E2511*G2511</x:f>
        <x:v>66991.74174174175</x:v>
      </x:c>
      <x:c r="I2511" s="36" t="n">
        <x:f>IFERROR(H2511/A2511,0)</x:f>
        <x:v>16747.935435435436</x:v>
      </x:c>
      <x:c r="J2511" s="67" t="str">
        <x:v>Modeled from live base + Sep-2026 quality ratio</x:v>
      </x:c>
      <x:c r="K2511" s="67" t="str">
        <x:v>https://www.stonealgo.com/diamond-prices/</x:v>
      </x:c>
      <x:c r="L2511" s="67" t="str">
        <x:v>https://www.pricescope.com/blog/natural-diamond-prices-september-2026</x:v>
      </x:c>
    </x:row>
    <x:row r="2512">
      <x:c r="A2512" t="n">
        <x:v>4</x:v>
      </x:c>
      <x:c r="B2512" t="str">
        <x:v>Asscher</x:v>
      </x:c>
      <x:c r="C2512" t="str">
        <x:v>E</x:v>
      </x:c>
      <x:c r="D2512" t="str">
        <x:v>SI1</x:v>
      </x:c>
      <x:c r="E2512" s="36" t="n">
        <x:v>59500</x:v>
      </x:c>
      <x:c r="F2512" s="36" t="n">
        <x:v>3551</x:v>
      </x:c>
      <x:c r="G2512" s="42" t="n">
        <x:v>0.7616902616902617</x:v>
      </x:c>
      <x:c r="H2512" s="36" t="n">
        <x:f>E2512*G2512</x:f>
        <x:v>45320.57057057057</x:v>
      </x:c>
      <x:c r="I2512" s="36" t="n">
        <x:f>IFERROR(H2512/A2512,0)</x:f>
        <x:v>11330.142642642642</x:v>
      </x:c>
      <x:c r="J2512" s="67" t="str">
        <x:v>Modeled from live base + Sep-2026 quality ratio</x:v>
      </x:c>
      <x:c r="K2512" s="67" t="str">
        <x:v>https://www.stonealgo.com/diamond-prices/</x:v>
      </x:c>
      <x:c r="L2512" s="67" t="str">
        <x:v>https://www.pricescope.com/blog/natural-diamond-prices-september-2026</x:v>
      </x:c>
    </x:row>
    <x:row r="2513">
      <x:c r="A2513" t="n">
        <x:v>4</x:v>
      </x:c>
      <x:c r="B2513" t="str">
        <x:v>Asscher</x:v>
      </x:c>
      <x:c r="C2513" t="str">
        <x:v>E</x:v>
      </x:c>
      <x:c r="D2513" t="str">
        <x:v>SI2</x:v>
      </x:c>
      <x:c r="E2513" s="36" t="n">
        <x:v>59500</x:v>
      </x:c>
      <x:c r="F2513" s="36" t="n">
        <x:v>2993</x:v>
      </x:c>
      <x:c r="G2513" s="42" t="n">
        <x:v>0.641999141999142</x:v>
      </x:c>
      <x:c r="H2513" s="36" t="n">
        <x:f>E2513*G2513</x:f>
        <x:v>38198.94894894895</x:v>
      </x:c>
      <x:c r="I2513" s="36" t="n">
        <x:f>IFERROR(H2513/A2513,0)</x:f>
        <x:v>9549.737237237237</x:v>
      </x:c>
      <x:c r="J2513" s="67" t="str">
        <x:v>Modeled from live base + Sep-2026 quality ratio</x:v>
      </x:c>
      <x:c r="K2513" s="67" t="str">
        <x:v>https://www.stonealgo.com/diamond-prices/</x:v>
      </x:c>
      <x:c r="L2513" s="67" t="str">
        <x:v>https://www.pricescope.com/blog/natural-diamond-prices-september-2026</x:v>
      </x:c>
    </x:row>
    <x:row r="2514">
      <x:c r="A2514" t="n">
        <x:v>4</x:v>
      </x:c>
      <x:c r="B2514" t="str">
        <x:v>Asscher</x:v>
      </x:c>
      <x:c r="C2514" t="str">
        <x:v>F</x:v>
      </x:c>
      <x:c r="D2514" t="str">
        <x:v>FL</x:v>
      </x:c>
      <x:c r="E2514" s="36" t="n">
        <x:v>59500</x:v>
      </x:c>
      <x:c r="F2514" s="36" t="n">
        <x:v>6830</x:v>
      </x:c>
      <x:c r="G2514" s="42" t="n">
        <x:v>1.4650364650364651</x:v>
      </x:c>
      <x:c r="H2514" s="36" t="n">
        <x:f>E2514*G2514</x:f>
        <x:v>87169.66966966967</x:v>
      </x:c>
      <x:c r="I2514" s="36" t="n">
        <x:f>IFERROR(H2514/A2514,0)</x:f>
        <x:v>21792.41741741742</x:v>
      </x:c>
      <x:c r="J2514" s="67" t="str">
        <x:v>Modeled from live base + Sep-2026 quality ratio</x:v>
      </x:c>
      <x:c r="K2514" s="67" t="str">
        <x:v>https://www.stonealgo.com/diamond-prices/</x:v>
      </x:c>
      <x:c r="L2514" s="67" t="str">
        <x:v>https://www.pricescope.com/blog/natural-diamond-prices-september-2026</x:v>
      </x:c>
    </x:row>
    <x:row r="2515">
      <x:c r="A2515" t="n">
        <x:v>4</x:v>
      </x:c>
      <x:c r="B2515" t="str">
        <x:v>Asscher</x:v>
      </x:c>
      <x:c r="C2515" t="str">
        <x:v>F</x:v>
      </x:c>
      <x:c r="D2515" t="str">
        <x:v>IF</x:v>
      </x:c>
      <x:c r="E2515" s="36" t="n">
        <x:v>59500</x:v>
      </x:c>
      <x:c r="F2515" s="36" t="n">
        <x:v>7302</x:v>
      </x:c>
      <x:c r="G2515" s="42" t="n">
        <x:v>1.5662805662805663</x:v>
      </x:c>
      <x:c r="H2515" s="36" t="n">
        <x:f>E2515*G2515</x:f>
        <x:v>93193.6936936937</x:v>
      </x:c>
      <x:c r="I2515" s="36" t="n">
        <x:f>IFERROR(H2515/A2515,0)</x:f>
        <x:v>23298.423423423425</x:v>
      </x:c>
      <x:c r="J2515" s="67" t="str">
        <x:v>Modeled from live base + Sep-2026 quality ratio</x:v>
      </x:c>
      <x:c r="K2515" s="67" t="str">
        <x:v>https://www.stonealgo.com/diamond-prices/</x:v>
      </x:c>
      <x:c r="L2515" s="67" t="str">
        <x:v>https://www.pricescope.com/blog/natural-diamond-prices-september-2026</x:v>
      </x:c>
    </x:row>
    <x:row r="2516">
      <x:c r="A2516" t="n">
        <x:v>4</x:v>
      </x:c>
      <x:c r="B2516" t="str">
        <x:v>Asscher</x:v>
      </x:c>
      <x:c r="C2516" t="str">
        <x:v>F</x:v>
      </x:c>
      <x:c r="D2516" t="str">
        <x:v>VVS1</x:v>
      </x:c>
      <x:c r="E2516" s="36" t="n">
        <x:v>59500</x:v>
      </x:c>
      <x:c r="F2516" s="36" t="n">
        <x:v>7542</x:v>
      </x:c>
      <x:c r="G2516" s="42" t="n">
        <x:v>1.6177606177606179</x:v>
      </x:c>
      <x:c r="H2516" s="36" t="n">
        <x:f>E2516*G2516</x:f>
        <x:v>96256.75675675676</x:v>
      </x:c>
      <x:c r="I2516" s="36" t="n">
        <x:f>IFERROR(H2516/A2516,0)</x:f>
        <x:v>24064.18918918919</x:v>
      </x:c>
      <x:c r="J2516" s="67" t="str">
        <x:v>Modeled from live base + Sep-2026 quality ratio</x:v>
      </x:c>
      <x:c r="K2516" s="67" t="str">
        <x:v>https://www.stonealgo.com/diamond-prices/</x:v>
      </x:c>
      <x:c r="L2516" s="67" t="str">
        <x:v>https://www.pricescope.com/blog/natural-diamond-prices-september-2026</x:v>
      </x:c>
    </x:row>
    <x:row r="2517">
      <x:c r="A2517" t="n">
        <x:v>4</x:v>
      </x:c>
      <x:c r="B2517" t="str">
        <x:v>Asscher</x:v>
      </x:c>
      <x:c r="C2517" t="str">
        <x:v>F</x:v>
      </x:c>
      <x:c r="D2517" t="str">
        <x:v>VVS2</x:v>
      </x:c>
      <x:c r="E2517" s="36" t="n">
        <x:v>59500</x:v>
      </x:c>
      <x:c r="F2517" s="36" t="n">
        <x:v>6352</x:v>
      </x:c>
      <x:c r="G2517" s="42" t="n">
        <x:v>1.3625053625053625</x:v>
      </x:c>
      <x:c r="H2517" s="36" t="n">
        <x:f>E2517*G2517</x:f>
        <x:v>81069.06906906907</x:v>
      </x:c>
      <x:c r="I2517" s="36" t="n">
        <x:f>IFERROR(H2517/A2517,0)</x:f>
        <x:v>20267.267267267267</x:v>
      </x:c>
      <x:c r="J2517" s="67" t="str">
        <x:v>Modeled from live base + Sep-2026 quality ratio</x:v>
      </x:c>
      <x:c r="K2517" s="67" t="str">
        <x:v>https://www.stonealgo.com/diamond-prices/</x:v>
      </x:c>
      <x:c r="L2517" s="67" t="str">
        <x:v>https://www.pricescope.com/blog/natural-diamond-prices-september-2026</x:v>
      </x:c>
    </x:row>
    <x:row r="2518">
      <x:c r="A2518" t="n">
        <x:v>4</x:v>
      </x:c>
      <x:c r="B2518" t="str">
        <x:v>Asscher</x:v>
      </x:c>
      <x:c r="C2518" t="str">
        <x:v>F</x:v>
      </x:c>
      <x:c r="D2518" t="str">
        <x:v>VS1</x:v>
      </x:c>
      <x:c r="E2518" s="36" t="n">
        <x:v>59500</x:v>
      </x:c>
      <x:c r="F2518" s="36" t="n">
        <x:v>5647</x:v>
      </x:c>
      <x:c r="G2518" s="42" t="n">
        <x:v>1.2112827112827114</x:v>
      </x:c>
      <x:c r="H2518" s="36" t="n">
        <x:f>E2518*G2518</x:f>
        <x:v>72071.32132132133</x:v>
      </x:c>
      <x:c r="I2518" s="36" t="n">
        <x:f>IFERROR(H2518/A2518,0)</x:f>
        <x:v>18017.830330330333</x:v>
      </x:c>
      <x:c r="J2518" s="67" t="str">
        <x:v>Modeled from live base + Sep-2026 quality ratio</x:v>
      </x:c>
      <x:c r="K2518" s="67" t="str">
        <x:v>https://www.stonealgo.com/diamond-prices/</x:v>
      </x:c>
      <x:c r="L2518" s="67" t="str">
        <x:v>https://www.pricescope.com/blog/natural-diamond-prices-september-2026</x:v>
      </x:c>
    </x:row>
    <x:row r="2519">
      <x:c r="A2519" t="n">
        <x:v>4</x:v>
      </x:c>
      <x:c r="B2519" t="str">
        <x:v>Asscher</x:v>
      </x:c>
      <x:c r="C2519" t="str">
        <x:v>F</x:v>
      </x:c>
      <x:c r="D2519" t="str">
        <x:v>VS2</x:v>
      </x:c>
      <x:c r="E2519" s="36" t="n">
        <x:v>59500</x:v>
      </x:c>
      <x:c r="F2519" s="36" t="n">
        <x:v>4730</x:v>
      </x:c>
      <x:c r="G2519" s="42" t="n">
        <x:v>1.0145860145860146</x:v>
      </x:c>
      <x:c r="H2519" s="36" t="n">
        <x:f>E2519*G2519</x:f>
        <x:v>60367.86786786787</x:v>
      </x:c>
      <x:c r="I2519" s="36" t="n">
        <x:f>IFERROR(H2519/A2519,0)</x:f>
        <x:v>15091.966966966967</x:v>
      </x:c>
      <x:c r="J2519" s="67" t="str">
        <x:v>Modeled from live base + Sep-2026 quality ratio</x:v>
      </x:c>
      <x:c r="K2519" s="67" t="str">
        <x:v>https://www.stonealgo.com/diamond-prices/</x:v>
      </x:c>
      <x:c r="L2519" s="67" t="str">
        <x:v>https://www.pricescope.com/blog/natural-diamond-prices-september-2026</x:v>
      </x:c>
    </x:row>
    <x:row r="2520">
      <x:c r="A2520" t="n">
        <x:v>4</x:v>
      </x:c>
      <x:c r="B2520" t="str">
        <x:v>Asscher</x:v>
      </x:c>
      <x:c r="C2520" t="str">
        <x:v>F</x:v>
      </x:c>
      <x:c r="D2520" t="str">
        <x:v>SI1</x:v>
      </x:c>
      <x:c r="E2520" s="36" t="n">
        <x:v>59500</x:v>
      </x:c>
      <x:c r="F2520" s="36" t="n">
        <x:v>3331</x:v>
      </x:c>
      <x:c r="G2520" s="42" t="n">
        <x:v>0.7145002145002145</x:v>
      </x:c>
      <x:c r="H2520" s="36" t="n">
        <x:f>E2520*G2520</x:f>
        <x:v>42512.762762762766</x:v>
      </x:c>
      <x:c r="I2520" s="36" t="n">
        <x:f>IFERROR(H2520/A2520,0)</x:f>
        <x:v>10628.190690690692</x:v>
      </x:c>
      <x:c r="J2520" s="67" t="str">
        <x:v>Modeled from live base + Sep-2026 quality ratio</x:v>
      </x:c>
      <x:c r="K2520" s="67" t="str">
        <x:v>https://www.stonealgo.com/diamond-prices/</x:v>
      </x:c>
      <x:c r="L2520" s="67" t="str">
        <x:v>https://www.pricescope.com/blog/natural-diamond-prices-september-2026</x:v>
      </x:c>
    </x:row>
    <x:row r="2521">
      <x:c r="A2521" t="n">
        <x:v>4</x:v>
      </x:c>
      <x:c r="B2521" t="str">
        <x:v>Asscher</x:v>
      </x:c>
      <x:c r="C2521" t="str">
        <x:v>F</x:v>
      </x:c>
      <x:c r="D2521" t="str">
        <x:v>SI2</x:v>
      </x:c>
      <x:c r="E2521" s="36" t="n">
        <x:v>59500</x:v>
      </x:c>
      <x:c r="F2521" s="36" t="n">
        <x:v>2733</x:v>
      </x:c>
      <x:c r="G2521" s="42" t="n">
        <x:v>0.5862290862290862</x:v>
      </x:c>
      <x:c r="H2521" s="36" t="n">
        <x:f>E2521*G2521</x:f>
        <x:v>34880.63063063063</x:v>
      </x:c>
      <x:c r="I2521" s="36" t="n">
        <x:f>IFERROR(H2521/A2521,0)</x:f>
        <x:v>8720.157657657657</x:v>
      </x:c>
      <x:c r="J2521" s="67" t="str">
        <x:v>Modeled from live base + Sep-2026 quality ratio</x:v>
      </x:c>
      <x:c r="K2521" s="67" t="str">
        <x:v>https://www.stonealgo.com/diamond-prices/</x:v>
      </x:c>
      <x:c r="L2521" s="67" t="str">
        <x:v>https://www.pricescope.com/blog/natural-diamond-prices-september-2026</x:v>
      </x:c>
    </x:row>
    <x:row r="2522">
      <x:c r="A2522" t="n">
        <x:v>4</x:v>
      </x:c>
      <x:c r="B2522" t="str">
        <x:v>Asscher</x:v>
      </x:c>
      <x:c r="C2522" t="str">
        <x:v>G</x:v>
      </x:c>
      <x:c r="D2522" t="str">
        <x:v>FL</x:v>
      </x:c>
      <x:c r="E2522" s="36" t="n">
        <x:v>59500</x:v>
      </x:c>
      <x:c r="F2522" s="36" t="n">
        <x:v>5905</x:v>
      </x:c>
      <x:c r="G2522" s="42" t="n">
        <x:v>1.2666237666237665</x:v>
      </x:c>
      <x:c r="H2522" s="36" t="n">
        <x:f>E2522*G2522</x:f>
        <x:v>75364.11411411411</x:v>
      </x:c>
      <x:c r="I2522" s="36" t="n">
        <x:f>IFERROR(H2522/A2522,0)</x:f>
        <x:v>18841.028528528528</x:v>
      </x:c>
      <x:c r="J2522" s="67" t="str">
        <x:v>Modeled from live base + Sep-2026 quality ratio</x:v>
      </x:c>
      <x:c r="K2522" s="67" t="str">
        <x:v>https://www.stonealgo.com/diamond-prices/</x:v>
      </x:c>
      <x:c r="L2522" s="67" t="str">
        <x:v>https://www.pricescope.com/blog/natural-diamond-prices-september-2026</x:v>
      </x:c>
    </x:row>
    <x:row r="2523">
      <x:c r="A2523" t="n">
        <x:v>4</x:v>
      </x:c>
      <x:c r="B2523" t="str">
        <x:v>Asscher</x:v>
      </x:c>
      <x:c r="C2523" t="str">
        <x:v>G</x:v>
      </x:c>
      <x:c r="D2523" t="str">
        <x:v>IF</x:v>
      </x:c>
      <x:c r="E2523" s="36" t="n">
        <x:v>59500</x:v>
      </x:c>
      <x:c r="F2523" s="36" t="n">
        <x:v>5601</x:v>
      </x:c>
      <x:c r="G2523" s="42" t="n">
        <x:v>1.2014157014157014</x:v>
      </x:c>
      <x:c r="H2523" s="36" t="n">
        <x:f>E2523*G2523</x:f>
        <x:v>71484.23423423423</x:v>
      </x:c>
      <x:c r="I2523" s="36" t="n">
        <x:f>IFERROR(H2523/A2523,0)</x:f>
        <x:v>17871.058558558558</x:v>
      </x:c>
      <x:c r="J2523" s="67" t="str">
        <x:v>Modeled from live base + Sep-2026 quality ratio</x:v>
      </x:c>
      <x:c r="K2523" s="67" t="str">
        <x:v>https://www.stonealgo.com/diamond-prices/</x:v>
      </x:c>
      <x:c r="L2523" s="67" t="str">
        <x:v>https://www.pricescope.com/blog/natural-diamond-prices-september-2026</x:v>
      </x:c>
    </x:row>
    <x:row r="2524">
      <x:c r="A2524" t="n">
        <x:v>4</x:v>
      </x:c>
      <x:c r="B2524" t="str">
        <x:v>Asscher</x:v>
      </x:c>
      <x:c r="C2524" t="str">
        <x:v>G</x:v>
      </x:c>
      <x:c r="D2524" t="str">
        <x:v>VVS1</x:v>
      </x:c>
      <x:c r="E2524" s="36" t="n">
        <x:v>59500</x:v>
      </x:c>
      <x:c r="F2524" s="36" t="n">
        <x:v>5124</x:v>
      </x:c>
      <x:c r="G2524" s="42" t="n">
        <x:v>1.0990990990990992</x:v>
      </x:c>
      <x:c r="H2524" s="36" t="n">
        <x:f>E2524*G2524</x:f>
        <x:v>65396.396396396405</x:v>
      </x:c>
      <x:c r="I2524" s="36" t="n">
        <x:f>IFERROR(H2524/A2524,0)</x:f>
        <x:v>16349.099099099101</x:v>
      </x:c>
      <x:c r="J2524" s="67" t="str">
        <x:v>Modeled from live base + Sep-2026 quality ratio</x:v>
      </x:c>
      <x:c r="K2524" s="67" t="str">
        <x:v>https://www.stonealgo.com/diamond-prices/</x:v>
      </x:c>
      <x:c r="L2524" s="67" t="str">
        <x:v>https://www.pricescope.com/blog/natural-diamond-prices-september-2026</x:v>
      </x:c>
    </x:row>
    <x:row r="2525">
      <x:c r="A2525" t="n">
        <x:v>4</x:v>
      </x:c>
      <x:c r="B2525" t="str">
        <x:v>Asscher</x:v>
      </x:c>
      <x:c r="C2525" t="str">
        <x:v>G</x:v>
      </x:c>
      <x:c r="D2525" t="str">
        <x:v>VVS2</x:v>
      </x:c>
      <x:c r="E2525" s="36" t="n">
        <x:v>59500</x:v>
      </x:c>
      <x:c r="F2525" s="36" t="n">
        <x:v>4962</x:v>
      </x:c>
      <x:c r="G2525" s="42" t="n">
        <x:v>1.0643500643500643</x:v>
      </x:c>
      <x:c r="H2525" s="36" t="n">
        <x:f>E2525*G2525</x:f>
        <x:v>63328.828828828824</x:v>
      </x:c>
      <x:c r="I2525" s="36" t="n">
        <x:f>IFERROR(H2525/A2525,0)</x:f>
        <x:v>15832.207207207206</x:v>
      </x:c>
      <x:c r="J2525" s="67" t="str">
        <x:v>Modeled from live base + Sep-2026 quality ratio</x:v>
      </x:c>
      <x:c r="K2525" s="67" t="str">
        <x:v>https://www.stonealgo.com/diamond-prices/</x:v>
      </x:c>
      <x:c r="L2525" s="67" t="str">
        <x:v>https://www.pricescope.com/blog/natural-diamond-prices-september-2026</x:v>
      </x:c>
    </x:row>
    <x:row r="2526">
      <x:c r="A2526" t="n">
        <x:v>4</x:v>
      </x:c>
      <x:c r="B2526" t="str">
        <x:v>Asscher</x:v>
      </x:c>
      <x:c r="C2526" t="str">
        <x:v>G</x:v>
      </x:c>
      <x:c r="D2526" t="str">
        <x:v>VS1</x:v>
      </x:c>
      <x:c r="E2526" s="36" t="n">
        <x:v>59500</x:v>
      </x:c>
      <x:c r="F2526" s="36" t="n">
        <x:v>4615</x:v>
      </x:c>
      <x:c r="G2526" s="42" t="n">
        <x:v>0.98991848991849</x:v>
      </x:c>
      <x:c r="H2526" s="36" t="n">
        <x:f>E2526*G2526</x:f>
        <x:v>58900.150150150155</x:v>
      </x:c>
      <x:c r="I2526" s="36" t="n">
        <x:f>IFERROR(H2526/A2526,0)</x:f>
        <x:v>14725.037537537539</x:v>
      </x:c>
      <x:c r="J2526" s="67" t="str">
        <x:v>Modeled from live base + Sep-2026 quality ratio</x:v>
      </x:c>
      <x:c r="K2526" s="67" t="str">
        <x:v>https://www.stonealgo.com/diamond-prices/</x:v>
      </x:c>
      <x:c r="L2526" s="67" t="str">
        <x:v>https://www.pricescope.com/blog/natural-diamond-prices-september-2026</x:v>
      </x:c>
    </x:row>
    <x:row r="2527">
      <x:c r="A2527" t="n">
        <x:v>4</x:v>
      </x:c>
      <x:c r="B2527" t="str">
        <x:v>Asscher</x:v>
      </x:c>
      <x:c r="C2527" t="str">
        <x:v>G</x:v>
      </x:c>
      <x:c r="D2527" t="str">
        <x:v>VS2</x:v>
      </x:c>
      <x:c r="E2527" s="36" t="n">
        <x:v>59500</x:v>
      </x:c>
      <x:c r="F2527" s="36" t="n">
        <x:v>4585</x:v>
      </x:c>
      <x:c r="G2527" s="42" t="n">
        <x:v>0.9834834834834835</x:v>
      </x:c>
      <x:c r="H2527" s="36" t="n">
        <x:f>E2527*G2527</x:f>
        <x:v>58517.26726726726</x:v>
      </x:c>
      <x:c r="I2527" s="36" t="n">
        <x:f>IFERROR(H2527/A2527,0)</x:f>
        <x:v>14629.316816816816</x:v>
      </x:c>
      <x:c r="J2527" s="67" t="str">
        <x:v>Modeled from live base + Sep-2026 quality ratio</x:v>
      </x:c>
      <x:c r="K2527" s="67" t="str">
        <x:v>https://www.stonealgo.com/diamond-prices/</x:v>
      </x:c>
      <x:c r="L2527" s="67" t="str">
        <x:v>https://www.pricescope.com/blog/natural-diamond-prices-september-2026</x:v>
      </x:c>
    </x:row>
    <x:row r="2528">
      <x:c r="A2528" t="n">
        <x:v>4</x:v>
      </x:c>
      <x:c r="B2528" t="str">
        <x:v>Asscher</x:v>
      </x:c>
      <x:c r="C2528" t="str">
        <x:v>G</x:v>
      </x:c>
      <x:c r="D2528" t="str">
        <x:v>SI1</x:v>
      </x:c>
      <x:c r="E2528" s="36" t="n">
        <x:v>59500</x:v>
      </x:c>
      <x:c r="F2528" s="36" t="n">
        <x:v>3664</x:v>
      </x:c>
      <x:c r="G2528" s="42" t="n">
        <x:v>0.7859287859287859</x:v>
      </x:c>
      <x:c r="H2528" s="36" t="n">
        <x:f>E2528*G2528</x:f>
        <x:v>46762.76276276276</x:v>
      </x:c>
      <x:c r="I2528" s="36" t="n">
        <x:f>IFERROR(H2528/A2528,0)</x:f>
        <x:v>11690.69069069069</x:v>
      </x:c>
      <x:c r="J2528" s="67" t="str">
        <x:v>Modeled from live base + Sep-2026 quality ratio</x:v>
      </x:c>
      <x:c r="K2528" s="67" t="str">
        <x:v>https://www.stonealgo.com/diamond-prices/</x:v>
      </x:c>
      <x:c r="L2528" s="67" t="str">
        <x:v>https://www.pricescope.com/blog/natural-diamond-prices-september-2026</x:v>
      </x:c>
    </x:row>
    <x:row r="2529">
      <x:c r="A2529" t="n">
        <x:v>4</x:v>
      </x:c>
      <x:c r="B2529" t="str">
        <x:v>Asscher</x:v>
      </x:c>
      <x:c r="C2529" t="str">
        <x:v>G</x:v>
      </x:c>
      <x:c r="D2529" t="str">
        <x:v>SI2</x:v>
      </x:c>
      <x:c r="E2529" s="36" t="n">
        <x:v>59500</x:v>
      </x:c>
      <x:c r="F2529" s="36" t="n">
        <x:v>2537</x:v>
      </x:c>
      <x:c r="G2529" s="42" t="n">
        <x:v>0.5441870441870442</x:v>
      </x:c>
      <x:c r="H2529" s="36" t="n">
        <x:f>E2529*G2529</x:f>
        <x:v>32379.12912912913</x:v>
      </x:c>
      <x:c r="I2529" s="36" t="n">
        <x:f>IFERROR(H2529/A2529,0)</x:f>
        <x:v>8094.782282282283</x:v>
      </x:c>
      <x:c r="J2529" s="67" t="str">
        <x:v>Modeled from live base + Sep-2026 quality ratio</x:v>
      </x:c>
      <x:c r="K2529" s="67" t="str">
        <x:v>https://www.stonealgo.com/diamond-prices/</x:v>
      </x:c>
      <x:c r="L2529" s="67" t="str">
        <x:v>https://www.pricescope.com/blog/natural-diamond-prices-september-2026</x:v>
      </x:c>
    </x:row>
    <x:row r="2530">
      <x:c r="A2530" t="n">
        <x:v>4</x:v>
      </x:c>
      <x:c r="B2530" t="str">
        <x:v>Asscher</x:v>
      </x:c>
      <x:c r="C2530" t="str">
        <x:v>H</x:v>
      </x:c>
      <x:c r="D2530" t="str">
        <x:v>FL</x:v>
      </x:c>
      <x:c r="E2530" s="36" t="n">
        <x:v>59500</x:v>
      </x:c>
      <x:c r="F2530" s="36" t="n">
        <x:v>4563</x:v>
      </x:c>
      <x:c r="G2530" s="42" t="n">
        <x:v>0.9787644787644788</x:v>
      </x:c>
      <x:c r="H2530" s="36" t="n">
        <x:f>E2530*G2530</x:f>
        <x:v>58236.48648648649</x:v>
      </x:c>
      <x:c r="I2530" s="36" t="n">
        <x:f>IFERROR(H2530/A2530,0)</x:f>
        <x:v>14559.121621621622</x:v>
      </x:c>
      <x:c r="J2530" s="67" t="str">
        <x:v>Modeled from live base + Sep-2026 quality ratio</x:v>
      </x:c>
      <x:c r="K2530" s="67" t="str">
        <x:v>https://www.stonealgo.com/diamond-prices/</x:v>
      </x:c>
      <x:c r="L2530" s="67" t="str">
        <x:v>https://www.pricescope.com/blog/natural-diamond-prices-september-2026</x:v>
      </x:c>
    </x:row>
    <x:row r="2531">
      <x:c r="A2531" t="n">
        <x:v>4</x:v>
      </x:c>
      <x:c r="B2531" t="str">
        <x:v>Asscher</x:v>
      </x:c>
      <x:c r="C2531" t="str">
        <x:v>H</x:v>
      </x:c>
      <x:c r="D2531" t="str">
        <x:v>IF</x:v>
      </x:c>
      <x:c r="E2531" s="36" t="n">
        <x:v>59500</x:v>
      </x:c>
      <x:c r="F2531" s="36" t="n">
        <x:v>4809</x:v>
      </x:c>
      <x:c r="G2531" s="42" t="n">
        <x:v>1.0315315315315314</x:v>
      </x:c>
      <x:c r="H2531" s="36" t="n">
        <x:f>E2531*G2531</x:f>
        <x:v>61376.12612612612</x:v>
      </x:c>
      <x:c r="I2531" s="36" t="n">
        <x:f>IFERROR(H2531/A2531,0)</x:f>
        <x:v>15344.03153153153</x:v>
      </x:c>
      <x:c r="J2531" s="67" t="str">
        <x:v>Modeled from live base + Sep-2026 quality ratio</x:v>
      </x:c>
      <x:c r="K2531" s="67" t="str">
        <x:v>https://www.stonealgo.com/diamond-prices/</x:v>
      </x:c>
      <x:c r="L2531" s="67" t="str">
        <x:v>https://www.pricescope.com/blog/natural-diamond-prices-september-2026</x:v>
      </x:c>
    </x:row>
    <x:row r="2532">
      <x:c r="A2532" t="n">
        <x:v>4</x:v>
      </x:c>
      <x:c r="B2532" t="str">
        <x:v>Asscher</x:v>
      </x:c>
      <x:c r="C2532" t="str">
        <x:v>H</x:v>
      </x:c>
      <x:c r="D2532" t="str">
        <x:v>VVS1</x:v>
      </x:c>
      <x:c r="E2532" s="36" t="n">
        <x:v>59500</x:v>
      </x:c>
      <x:c r="F2532" s="36" t="n">
        <x:v>4911</x:v>
      </x:c>
      <x:c r="G2532" s="42" t="n">
        <x:v>1.0534105534105533</x:v>
      </x:c>
      <x:c r="H2532" s="36" t="n">
        <x:f>E2532*G2532</x:f>
        <x:v>62677.92792792792</x:v>
      </x:c>
      <x:c r="I2532" s="36" t="n">
        <x:f>IFERROR(H2532/A2532,0)</x:f>
        <x:v>15669.48198198198</x:v>
      </x:c>
      <x:c r="J2532" s="67" t="str">
        <x:v>Modeled from live base + Sep-2026 quality ratio</x:v>
      </x:c>
      <x:c r="K2532" s="67" t="str">
        <x:v>https://www.stonealgo.com/diamond-prices/</x:v>
      </x:c>
      <x:c r="L2532" s="67" t="str">
        <x:v>https://www.pricescope.com/blog/natural-diamond-prices-september-2026</x:v>
      </x:c>
    </x:row>
    <x:row r="2533">
      <x:c r="A2533" t="n">
        <x:v>4</x:v>
      </x:c>
      <x:c r="B2533" t="str">
        <x:v>Asscher</x:v>
      </x:c>
      <x:c r="C2533" t="str">
        <x:v>H</x:v>
      </x:c>
      <x:c r="D2533" t="str">
        <x:v>VVS2</x:v>
      </x:c>
      <x:c r="E2533" s="36" t="n">
        <x:v>59500</x:v>
      </x:c>
      <x:c r="F2533" s="36" t="n">
        <x:v>4046</x:v>
      </x:c>
      <x:c r="G2533" s="42" t="n">
        <x:v>0.8678678678678678</x:v>
      </x:c>
      <x:c r="H2533" s="36" t="n">
        <x:f>E2533*G2533</x:f>
        <x:v>51638.138138138136</x:v>
      </x:c>
      <x:c r="I2533" s="36" t="n">
        <x:f>IFERROR(H2533/A2533,0)</x:f>
        <x:v>12909.534534534534</x:v>
      </x:c>
      <x:c r="J2533" s="67" t="str">
        <x:v>Modeled from live base + Sep-2026 quality ratio</x:v>
      </x:c>
      <x:c r="K2533" s="67" t="str">
        <x:v>https://www.stonealgo.com/diamond-prices/</x:v>
      </x:c>
      <x:c r="L2533" s="67" t="str">
        <x:v>https://www.pricescope.com/blog/natural-diamond-prices-september-2026</x:v>
      </x:c>
    </x:row>
    <x:row r="2534">
      <x:c r="A2534" t="n">
        <x:v>4</x:v>
      </x:c>
      <x:c r="B2534" t="str">
        <x:v>Asscher</x:v>
      </x:c>
      <x:c r="C2534" t="str">
        <x:v>H</x:v>
      </x:c>
      <x:c r="D2534" t="str">
        <x:v>VS1</x:v>
      </x:c>
      <x:c r="E2534" s="36" t="n">
        <x:v>59500</x:v>
      </x:c>
      <x:c r="F2534" s="36" t="n">
        <x:v>3893</x:v>
      </x:c>
      <x:c r="G2534" s="42" t="n">
        <x:v>0.8350493350493351</x:v>
      </x:c>
      <x:c r="H2534" s="36" t="n">
        <x:f>E2534*G2534</x:f>
        <x:v>49685.43543543544</x:v>
      </x:c>
      <x:c r="I2534" s="36" t="n">
        <x:f>IFERROR(H2534/A2534,0)</x:f>
        <x:v>12421.35885885886</x:v>
      </x:c>
      <x:c r="J2534" s="67" t="str">
        <x:v>Modeled from live base + Sep-2026 quality ratio</x:v>
      </x:c>
      <x:c r="K2534" s="67" t="str">
        <x:v>https://www.stonealgo.com/diamond-prices/</x:v>
      </x:c>
      <x:c r="L2534" s="67" t="str">
        <x:v>https://www.pricescope.com/blog/natural-diamond-prices-september-2026</x:v>
      </x:c>
    </x:row>
    <x:row r="2535">
      <x:c r="A2535" t="n">
        <x:v>4</x:v>
      </x:c>
      <x:c r="B2535" t="str">
        <x:v>Asscher</x:v>
      </x:c>
      <x:c r="C2535" t="str">
        <x:v>H</x:v>
      </x:c>
      <x:c r="D2535" t="str">
        <x:v>VS2</x:v>
      </x:c>
      <x:c r="E2535" s="36" t="n">
        <x:v>59500</x:v>
      </x:c>
      <x:c r="F2535" s="36" t="n">
        <x:v>3989</x:v>
      </x:c>
      <x:c r="G2535" s="42" t="n">
        <x:v>0.8556413556413557</x:v>
      </x:c>
      <x:c r="H2535" s="36" t="n">
        <x:f>E2535*G2535</x:f>
        <x:v>50910.660660660666</x:v>
      </x:c>
      <x:c r="I2535" s="36" t="n">
        <x:f>IFERROR(H2535/A2535,0)</x:f>
        <x:v>12727.665165165166</x:v>
      </x:c>
      <x:c r="J2535" s="67" t="str">
        <x:v>Modeled from live base + Sep-2026 quality ratio</x:v>
      </x:c>
      <x:c r="K2535" s="67" t="str">
        <x:v>https://www.stonealgo.com/diamond-prices/</x:v>
      </x:c>
      <x:c r="L2535" s="67" t="str">
        <x:v>https://www.pricescope.com/blog/natural-diamond-prices-september-2026</x:v>
      </x:c>
    </x:row>
    <x:row r="2536">
      <x:c r="A2536" t="n">
        <x:v>4</x:v>
      </x:c>
      <x:c r="B2536" t="str">
        <x:v>Asscher</x:v>
      </x:c>
      <x:c r="C2536" t="str">
        <x:v>H</x:v>
      </x:c>
      <x:c r="D2536" t="str">
        <x:v>SI1</x:v>
      </x:c>
      <x:c r="E2536" s="36" t="n">
        <x:v>59500</x:v>
      </x:c>
      <x:c r="F2536" s="36" t="n">
        <x:v>2828</x:v>
      </x:c>
      <x:c r="G2536" s="42" t="n">
        <x:v>0.6066066066066066</x:v>
      </x:c>
      <x:c r="H2536" s="36" t="n">
        <x:f>E2536*G2536</x:f>
        <x:v>36093.09309309309</x:v>
      </x:c>
      <x:c r="I2536" s="36" t="n">
        <x:f>IFERROR(H2536/A2536,0)</x:f>
        <x:v>9023.273273273273</x:v>
      </x:c>
      <x:c r="J2536" s="67" t="str">
        <x:v>Modeled from live base + Sep-2026 quality ratio</x:v>
      </x:c>
      <x:c r="K2536" s="67" t="str">
        <x:v>https://www.stonealgo.com/diamond-prices/</x:v>
      </x:c>
      <x:c r="L2536" s="67" t="str">
        <x:v>https://www.pricescope.com/blog/natural-diamond-prices-september-2026</x:v>
      </x:c>
    </x:row>
    <x:row r="2537">
      <x:c r="A2537" t="n">
        <x:v>4</x:v>
      </x:c>
      <x:c r="B2537" t="str">
        <x:v>Asscher</x:v>
      </x:c>
      <x:c r="C2537" t="str">
        <x:v>H</x:v>
      </x:c>
      <x:c r="D2537" t="str">
        <x:v>SI2</x:v>
      </x:c>
      <x:c r="E2537" s="36" t="n">
        <x:v>59500</x:v>
      </x:c>
      <x:c r="F2537" s="36" t="n">
        <x:v>2328</x:v>
      </x:c>
      <x:c r="G2537" s="42" t="n">
        <x:v>0.49935649935649934</x:v>
      </x:c>
      <x:c r="H2537" s="36" t="n">
        <x:f>E2537*G2537</x:f>
        <x:v>29711.711711711712</x:v>
      </x:c>
      <x:c r="I2537" s="36" t="n">
        <x:f>IFERROR(H2537/A2537,0)</x:f>
        <x:v>7427.927927927928</x:v>
      </x:c>
      <x:c r="J2537" s="67" t="str">
        <x:v>Modeled from live base + Sep-2026 quality ratio</x:v>
      </x:c>
      <x:c r="K2537" s="67" t="str">
        <x:v>https://www.stonealgo.com/diamond-prices/</x:v>
      </x:c>
      <x:c r="L2537" s="67" t="str">
        <x:v>https://www.pricescope.com/blog/natural-diamond-prices-september-2026</x:v>
      </x:c>
    </x:row>
    <x:row r="2538">
      <x:c r="A2538" t="n">
        <x:v>4</x:v>
      </x:c>
      <x:c r="B2538" t="str">
        <x:v>Asscher</x:v>
      </x:c>
      <x:c r="C2538" t="str">
        <x:v>I</x:v>
      </x:c>
      <x:c r="D2538" t="str">
        <x:v>FL</x:v>
      </x:c>
      <x:c r="E2538" s="36" t="n">
        <x:v>59500</x:v>
      </x:c>
      <x:c r="F2538" s="36" t="n">
        <x:v>4623</x:v>
      </x:c>
      <x:c r="G2538" s="42" t="n">
        <x:v>0.9916344916344917</x:v>
      </x:c>
      <x:c r="H2538" s="36" t="n">
        <x:f>E2538*G2538</x:f>
        <x:v>59002.252252252256</x:v>
      </x:c>
      <x:c r="I2538" s="36" t="n">
        <x:f>IFERROR(H2538/A2538,0)</x:f>
        <x:v>14750.563063063064</x:v>
      </x:c>
      <x:c r="J2538" s="67" t="str">
        <x:v>Modeled from live base + Sep-2026 quality ratio</x:v>
      </x:c>
      <x:c r="K2538" s="67" t="str">
        <x:v>https://www.stonealgo.com/diamond-prices/</x:v>
      </x:c>
      <x:c r="L2538" s="67" t="str">
        <x:v>https://www.pricescope.com/blog/natural-diamond-prices-september-2026</x:v>
      </x:c>
    </x:row>
    <x:row r="2539">
      <x:c r="A2539" t="n">
        <x:v>4</x:v>
      </x:c>
      <x:c r="B2539" t="str">
        <x:v>Asscher</x:v>
      </x:c>
      <x:c r="C2539" t="str">
        <x:v>I</x:v>
      </x:c>
      <x:c r="D2539" t="str">
        <x:v>IF</x:v>
      </x:c>
      <x:c r="E2539" s="36" t="n">
        <x:v>59500</x:v>
      </x:c>
      <x:c r="F2539" s="36" t="n">
        <x:v>4005</x:v>
      </x:c>
      <x:c r="G2539" s="42" t="n">
        <x:v>0.859073359073359</x:v>
      </x:c>
      <x:c r="H2539" s="36" t="n">
        <x:f>E2539*G2539</x:f>
        <x:v>51114.86486486486</x:v>
      </x:c>
      <x:c r="I2539" s="36" t="n">
        <x:f>IFERROR(H2539/A2539,0)</x:f>
        <x:v>12778.716216216215</x:v>
      </x:c>
      <x:c r="J2539" s="67" t="str">
        <x:v>Modeled from live base + Sep-2026 quality ratio</x:v>
      </x:c>
      <x:c r="K2539" s="67" t="str">
        <x:v>https://www.stonealgo.com/diamond-prices/</x:v>
      </x:c>
      <x:c r="L2539" s="67" t="str">
        <x:v>https://www.pricescope.com/blog/natural-diamond-prices-september-2026</x:v>
      </x:c>
    </x:row>
    <x:row r="2540">
      <x:c r="A2540" t="n">
        <x:v>4</x:v>
      </x:c>
      <x:c r="B2540" t="str">
        <x:v>Asscher</x:v>
      </x:c>
      <x:c r="C2540" t="str">
        <x:v>I</x:v>
      </x:c>
      <x:c r="D2540" t="str">
        <x:v>VVS1</x:v>
      </x:c>
      <x:c r="E2540" s="36" t="n">
        <x:v>59500</x:v>
      </x:c>
      <x:c r="F2540" s="36" t="n">
        <x:v>3670</x:v>
      </x:c>
      <x:c r="G2540" s="42" t="n">
        <x:v>0.7872157872157872</x:v>
      </x:c>
      <x:c r="H2540" s="36" t="n">
        <x:f>E2540*G2540</x:f>
        <x:v>46839.33933933934</x:v>
      </x:c>
      <x:c r="I2540" s="36" t="n">
        <x:f>IFERROR(H2540/A2540,0)</x:f>
        <x:v>11709.834834834835</x:v>
      </x:c>
      <x:c r="J2540" s="67" t="str">
        <x:v>Modeled from live base + Sep-2026 quality ratio</x:v>
      </x:c>
      <x:c r="K2540" s="67" t="str">
        <x:v>https://www.stonealgo.com/diamond-prices/</x:v>
      </x:c>
      <x:c r="L2540" s="67" t="str">
        <x:v>https://www.pricescope.com/blog/natural-diamond-prices-september-2026</x:v>
      </x:c>
    </x:row>
    <x:row r="2541">
      <x:c r="A2541" t="n">
        <x:v>4</x:v>
      </x:c>
      <x:c r="B2541" t="str">
        <x:v>Asscher</x:v>
      </x:c>
      <x:c r="C2541" t="str">
        <x:v>I</x:v>
      </x:c>
      <x:c r="D2541" t="str">
        <x:v>VVS2</x:v>
      </x:c>
      <x:c r="E2541" s="36" t="n">
        <x:v>59500</x:v>
      </x:c>
      <x:c r="F2541" s="36" t="n">
        <x:v>3447</x:v>
      </x:c>
      <x:c r="G2541" s="42" t="n">
        <x:v>0.7393822393822393</x:v>
      </x:c>
      <x:c r="H2541" s="36" t="n">
        <x:f>E2541*G2541</x:f>
        <x:v>43993.24324324324</x:v>
      </x:c>
      <x:c r="I2541" s="36" t="n">
        <x:f>IFERROR(H2541/A2541,0)</x:f>
        <x:v>10998.31081081081</x:v>
      </x:c>
      <x:c r="J2541" s="67" t="str">
        <x:v>Modeled from live base + Sep-2026 quality ratio</x:v>
      </x:c>
      <x:c r="K2541" s="67" t="str">
        <x:v>https://www.stonealgo.com/diamond-prices/</x:v>
      </x:c>
      <x:c r="L2541" s="67" t="str">
        <x:v>https://www.pricescope.com/blog/natural-diamond-prices-september-2026</x:v>
      </x:c>
    </x:row>
    <x:row r="2542">
      <x:c r="A2542" t="n">
        <x:v>4</x:v>
      </x:c>
      <x:c r="B2542" t="str">
        <x:v>Asscher</x:v>
      </x:c>
      <x:c r="C2542" t="str">
        <x:v>I</x:v>
      </x:c>
      <x:c r="D2542" t="str">
        <x:v>VS1</x:v>
      </x:c>
      <x:c r="E2542" s="36" t="n">
        <x:v>59500</x:v>
      </x:c>
      <x:c r="F2542" s="36" t="n">
        <x:v>3313</x:v>
      </x:c>
      <x:c r="G2542" s="42" t="n">
        <x:v>0.7106392106392107</x:v>
      </x:c>
      <x:c r="H2542" s="36" t="n">
        <x:f>E2542*G2542</x:f>
        <x:v>42283.03303303303</x:v>
      </x:c>
      <x:c r="I2542" s="36" t="n">
        <x:f>IFERROR(H2542/A2542,0)</x:f>
        <x:v>10570.758258258258</x:v>
      </x:c>
      <x:c r="J2542" s="67" t="str">
        <x:v>Modeled from live base + Sep-2026 quality ratio</x:v>
      </x:c>
      <x:c r="K2542" s="67" t="str">
        <x:v>https://www.stonealgo.com/diamond-prices/</x:v>
      </x:c>
      <x:c r="L2542" s="67" t="str">
        <x:v>https://www.pricescope.com/blog/natural-diamond-prices-september-2026</x:v>
      </x:c>
    </x:row>
    <x:row r="2543">
      <x:c r="A2543" t="n">
        <x:v>4</x:v>
      </x:c>
      <x:c r="B2543" t="str">
        <x:v>Asscher</x:v>
      </x:c>
      <x:c r="C2543" t="str">
        <x:v>I</x:v>
      </x:c>
      <x:c r="D2543" t="str">
        <x:v>VS2</x:v>
      </x:c>
      <x:c r="E2543" s="36" t="n">
        <x:v>59500</x:v>
      </x:c>
      <x:c r="F2543" s="36" t="n">
        <x:v>3240</x:v>
      </x:c>
      <x:c r="G2543" s="42" t="n">
        <x:v>0.694980694980695</x:v>
      </x:c>
      <x:c r="H2543" s="36" t="n">
        <x:f>E2543*G2543</x:f>
        <x:v>41351.35135135135</x:v>
      </x:c>
      <x:c r="I2543" s="36" t="n">
        <x:f>IFERROR(H2543/A2543,0)</x:f>
        <x:v>10337.837837837838</x:v>
      </x:c>
      <x:c r="J2543" s="67" t="str">
        <x:v>Modeled from live base + Sep-2026 quality ratio</x:v>
      </x:c>
      <x:c r="K2543" s="67" t="str">
        <x:v>https://www.stonealgo.com/diamond-prices/</x:v>
      </x:c>
      <x:c r="L2543" s="67" t="str">
        <x:v>https://www.pricescope.com/blog/natural-diamond-prices-september-2026</x:v>
      </x:c>
    </x:row>
    <x:row r="2544">
      <x:c r="A2544" t="n">
        <x:v>4</x:v>
      </x:c>
      <x:c r="B2544" t="str">
        <x:v>Asscher</x:v>
      </x:c>
      <x:c r="C2544" t="str">
        <x:v>I</x:v>
      </x:c>
      <x:c r="D2544" t="str">
        <x:v>SI1</x:v>
      </x:c>
      <x:c r="E2544" s="36" t="n">
        <x:v>59500</x:v>
      </x:c>
      <x:c r="F2544" s="36" t="n">
        <x:v>3199</x:v>
      </x:c>
      <x:c r="G2544" s="42" t="n">
        <x:v>0.6861861861861862</x:v>
      </x:c>
      <x:c r="H2544" s="36" t="n">
        <x:f>E2544*G2544</x:f>
        <x:v>40828.07807807808</x:v>
      </x:c>
      <x:c r="I2544" s="36" t="n">
        <x:f>IFERROR(H2544/A2544,0)</x:f>
        <x:v>10207.01951951952</x:v>
      </x:c>
      <x:c r="J2544" s="67" t="str">
        <x:v>Modeled from live base + Sep-2026 quality ratio</x:v>
      </x:c>
      <x:c r="K2544" s="67" t="str">
        <x:v>https://www.stonealgo.com/diamond-prices/</x:v>
      </x:c>
      <x:c r="L2544" s="67" t="str">
        <x:v>https://www.pricescope.com/blog/natural-diamond-prices-september-2026</x:v>
      </x:c>
    </x:row>
    <x:row r="2545">
      <x:c r="A2545" t="n">
        <x:v>4</x:v>
      </x:c>
      <x:c r="B2545" t="str">
        <x:v>Asscher</x:v>
      </x:c>
      <x:c r="C2545" t="str">
        <x:v>I</x:v>
      </x:c>
      <x:c r="D2545" t="str">
        <x:v>SI2</x:v>
      </x:c>
      <x:c r="E2545" s="36" t="n">
        <x:v>59500</x:v>
      </x:c>
      <x:c r="F2545" s="36" t="n">
        <x:v>2874</x:v>
      </x:c>
      <x:c r="G2545" s="42" t="n">
        <x:v>0.6164736164736164</x:v>
      </x:c>
      <x:c r="H2545" s="36" t="n">
        <x:f>E2545*G2545</x:f>
        <x:v>36680.18018018018</x:v>
      </x:c>
      <x:c r="I2545" s="36" t="n">
        <x:f>IFERROR(H2545/A2545,0)</x:f>
        <x:v>9170.045045045044</x:v>
      </x:c>
      <x:c r="J2545" s="67" t="str">
        <x:v>Modeled from live base + Sep-2026 quality ratio</x:v>
      </x:c>
      <x:c r="K2545" s="67" t="str">
        <x:v>https://www.stonealgo.com/diamond-prices/</x:v>
      </x:c>
      <x:c r="L2545" s="67" t="str">
        <x:v>https://www.pricescope.com/blog/natural-diamond-prices-september-2026</x:v>
      </x:c>
    </x:row>
    <x:row r="2546">
      <x:c r="A2546" t="n">
        <x:v>4</x:v>
      </x:c>
      <x:c r="B2546" t="str">
        <x:v>Asscher</x:v>
      </x:c>
      <x:c r="C2546" t="str">
        <x:v>J</x:v>
      </x:c>
      <x:c r="D2546" t="str">
        <x:v>FL</x:v>
      </x:c>
      <x:c r="E2546" s="36" t="n">
        <x:v>59500</x:v>
      </x:c>
      <x:c r="F2546" s="36" t="n">
        <x:v>3646</x:v>
      </x:c>
      <x:c r="G2546" s="42" t="n">
        <x:v>0.782067782067782</x:v>
      </x:c>
      <x:c r="H2546" s="36" t="n">
        <x:f>E2546*G2546</x:f>
        <x:v>46533.03303303303</x:v>
      </x:c>
      <x:c r="I2546" s="36" t="n">
        <x:f>IFERROR(H2546/A2546,0)</x:f>
        <x:v>11633.258258258258</x:v>
      </x:c>
      <x:c r="J2546" s="67" t="str">
        <x:v>Modeled from live base + Sep-2026 quality ratio</x:v>
      </x:c>
      <x:c r="K2546" s="67" t="str">
        <x:v>https://www.stonealgo.com/diamond-prices/</x:v>
      </x:c>
      <x:c r="L2546" s="67" t="str">
        <x:v>https://www.pricescope.com/blog/natural-diamond-prices-september-2026</x:v>
      </x:c>
    </x:row>
    <x:row r="2547">
      <x:c r="A2547" t="n">
        <x:v>4</x:v>
      </x:c>
      <x:c r="B2547" t="str">
        <x:v>Asscher</x:v>
      </x:c>
      <x:c r="C2547" t="str">
        <x:v>J</x:v>
      </x:c>
      <x:c r="D2547" t="str">
        <x:v>IF</x:v>
      </x:c>
      <x:c r="E2547" s="36" t="n">
        <x:v>59500</x:v>
      </x:c>
      <x:c r="F2547" s="36" t="n">
        <x:v>3368</x:v>
      </x:c>
      <x:c r="G2547" s="42" t="n">
        <x:v>0.7224367224367224</x:v>
      </x:c>
      <x:c r="H2547" s="36" t="n">
        <x:f>E2547*G2547</x:f>
        <x:v>42984.984984984985</x:v>
      </x:c>
      <x:c r="I2547" s="36" t="n">
        <x:f>IFERROR(H2547/A2547,0)</x:f>
        <x:v>10746.246246246246</x:v>
      </x:c>
      <x:c r="J2547" s="67" t="str">
        <x:v>Modeled from live base + Sep-2026 quality ratio</x:v>
      </x:c>
      <x:c r="K2547" s="67" t="str">
        <x:v>https://www.stonealgo.com/diamond-prices/</x:v>
      </x:c>
      <x:c r="L2547" s="67" t="str">
        <x:v>https://www.pricescope.com/blog/natural-diamond-prices-september-2026</x:v>
      </x:c>
    </x:row>
    <x:row r="2548">
      <x:c r="A2548" t="n">
        <x:v>4</x:v>
      </x:c>
      <x:c r="B2548" t="str">
        <x:v>Asscher</x:v>
      </x:c>
      <x:c r="C2548" t="str">
        <x:v>J</x:v>
      </x:c>
      <x:c r="D2548" t="str">
        <x:v>VVS1</x:v>
      </x:c>
      <x:c r="E2548" s="36" t="n">
        <x:v>59500</x:v>
      </x:c>
      <x:c r="F2548" s="36" t="n">
        <x:v>2956</x:v>
      </x:c>
      <x:c r="G2548" s="42" t="n">
        <x:v>0.6340626340626341</x:v>
      </x:c>
      <x:c r="H2548" s="36" t="n">
        <x:f>E2548*G2548</x:f>
        <x:v>37726.72672672673</x:v>
      </x:c>
      <x:c r="I2548" s="36" t="n">
        <x:f>IFERROR(H2548/A2548,0)</x:f>
        <x:v>9431.681681681683</x:v>
      </x:c>
      <x:c r="J2548" s="67" t="str">
        <x:v>Modeled from live base + Sep-2026 quality ratio</x:v>
      </x:c>
      <x:c r="K2548" s="67" t="str">
        <x:v>https://www.stonealgo.com/diamond-prices/</x:v>
      </x:c>
      <x:c r="L2548" s="67" t="str">
        <x:v>https://www.pricescope.com/blog/natural-diamond-prices-september-2026</x:v>
      </x:c>
    </x:row>
    <x:row r="2549">
      <x:c r="A2549" t="n">
        <x:v>4</x:v>
      </x:c>
      <x:c r="B2549" t="str">
        <x:v>Asscher</x:v>
      </x:c>
      <x:c r="C2549" t="str">
        <x:v>J</x:v>
      </x:c>
      <x:c r="D2549" t="str">
        <x:v>VVS2</x:v>
      </x:c>
      <x:c r="E2549" s="36" t="n">
        <x:v>59500</x:v>
      </x:c>
      <x:c r="F2549" s="36" t="n">
        <x:v>2612</x:v>
      </x:c>
      <x:c r="G2549" s="42" t="n">
        <x:v>0.5602745602745602</x:v>
      </x:c>
      <x:c r="H2549" s="36" t="n">
        <x:f>E2549*G2549</x:f>
        <x:v>33336.33633633633</x:v>
      </x:c>
      <x:c r="I2549" s="36" t="n">
        <x:f>IFERROR(H2549/A2549,0)</x:f>
        <x:v>8334.084084084083</x:v>
      </x:c>
      <x:c r="J2549" s="67" t="str">
        <x:v>Modeled from live base + Sep-2026 quality ratio</x:v>
      </x:c>
      <x:c r="K2549" s="67" t="str">
        <x:v>https://www.stonealgo.com/diamond-prices/</x:v>
      </x:c>
      <x:c r="L2549" s="67" t="str">
        <x:v>https://www.pricescope.com/blog/natural-diamond-prices-september-2026</x:v>
      </x:c>
    </x:row>
    <x:row r="2550">
      <x:c r="A2550" t="n">
        <x:v>4</x:v>
      </x:c>
      <x:c r="B2550" t="str">
        <x:v>Asscher</x:v>
      </x:c>
      <x:c r="C2550" t="str">
        <x:v>J</x:v>
      </x:c>
      <x:c r="D2550" t="str">
        <x:v>VS1</x:v>
      </x:c>
      <x:c r="E2550" s="36" t="n">
        <x:v>59500</x:v>
      </x:c>
      <x:c r="F2550" s="36" t="n">
        <x:v>3002</x:v>
      </x:c>
      <x:c r="G2550" s="42" t="n">
        <x:v>0.6439296439296439</x:v>
      </x:c>
      <x:c r="H2550" s="36" t="n">
        <x:f>E2550*G2550</x:f>
        <x:v>38313.81381381381</x:v>
      </x:c>
      <x:c r="I2550" s="36" t="n">
        <x:f>IFERROR(H2550/A2550,0)</x:f>
        <x:v>9578.453453453452</x:v>
      </x:c>
      <x:c r="J2550" s="67" t="str">
        <x:v>Modeled from live base + Sep-2026 quality ratio</x:v>
      </x:c>
      <x:c r="K2550" s="67" t="str">
        <x:v>https://www.stonealgo.com/diamond-prices/</x:v>
      </x:c>
      <x:c r="L2550" s="67" t="str">
        <x:v>https://www.pricescope.com/blog/natural-diamond-prices-september-2026</x:v>
      </x:c>
    </x:row>
    <x:row r="2551">
      <x:c r="A2551" t="n">
        <x:v>4</x:v>
      </x:c>
      <x:c r="B2551" t="str">
        <x:v>Asscher</x:v>
      </x:c>
      <x:c r="C2551" t="str">
        <x:v>J</x:v>
      </x:c>
      <x:c r="D2551" t="str">
        <x:v>VS2</x:v>
      </x:c>
      <x:c r="E2551" s="36" t="n">
        <x:v>59500</x:v>
      </x:c>
      <x:c r="F2551" s="36" t="n">
        <x:v>2559</x:v>
      </x:c>
      <x:c r="G2551" s="42" t="n">
        <x:v>0.5489060489060489</x:v>
      </x:c>
      <x:c r="H2551" s="36" t="n">
        <x:f>E2551*G2551</x:f>
        <x:v>32659.909909909908</x:v>
      </x:c>
      <x:c r="I2551" s="36" t="n">
        <x:f>IFERROR(H2551/A2551,0)</x:f>
        <x:v>8164.977477477477</x:v>
      </x:c>
      <x:c r="J2551" s="67" t="str">
        <x:v>Modeled from live base + Sep-2026 quality ratio</x:v>
      </x:c>
      <x:c r="K2551" s="67" t="str">
        <x:v>https://www.stonealgo.com/diamond-prices/</x:v>
      </x:c>
      <x:c r="L2551" s="67" t="str">
        <x:v>https://www.pricescope.com/blog/natural-diamond-prices-september-2026</x:v>
      </x:c>
    </x:row>
    <x:row r="2552">
      <x:c r="A2552" t="n">
        <x:v>4</x:v>
      </x:c>
      <x:c r="B2552" t="str">
        <x:v>Asscher</x:v>
      </x:c>
      <x:c r="C2552" t="str">
        <x:v>J</x:v>
      </x:c>
      <x:c r="D2552" t="str">
        <x:v>SI1</x:v>
      </x:c>
      <x:c r="E2552" s="36" t="n">
        <x:v>59500</x:v>
      </x:c>
      <x:c r="F2552" s="36" t="n">
        <x:v>2195</x:v>
      </x:c>
      <x:c r="G2552" s="42" t="n">
        <x:v>0.47082797082797084</x:v>
      </x:c>
      <x:c r="H2552" s="36" t="n">
        <x:f>E2552*G2552</x:f>
        <x:v>28014.264264264264</x:v>
      </x:c>
      <x:c r="I2552" s="36" t="n">
        <x:f>IFERROR(H2552/A2552,0)</x:f>
        <x:v>7003.566066066066</x:v>
      </x:c>
      <x:c r="J2552" s="67" t="str">
        <x:v>Modeled from live base + Sep-2026 quality ratio</x:v>
      </x:c>
      <x:c r="K2552" s="67" t="str">
        <x:v>https://www.stonealgo.com/diamond-prices/</x:v>
      </x:c>
      <x:c r="L2552" s="67" t="str">
        <x:v>https://www.pricescope.com/blog/natural-diamond-prices-september-2026</x:v>
      </x:c>
    </x:row>
    <x:row r="2553">
      <x:c r="A2553" t="n">
        <x:v>4</x:v>
      </x:c>
      <x:c r="B2553" t="str">
        <x:v>Asscher</x:v>
      </x:c>
      <x:c r="C2553" t="str">
        <x:v>J</x:v>
      </x:c>
      <x:c r="D2553" t="str">
        <x:v>SI2</x:v>
      </x:c>
      <x:c r="E2553" s="36" t="n">
        <x:v>59500</x:v>
      </x:c>
      <x:c r="F2553" s="36" t="n">
        <x:v>2079</x:v>
      </x:c>
      <x:c r="G2553" s="42" t="n">
        <x:v>0.44594594594594594</x:v>
      </x:c>
      <x:c r="H2553" s="36" t="n">
        <x:f>E2553*G2553</x:f>
        <x:v>26533.783783783783</x:v>
      </x:c>
      <x:c r="I2553" s="36" t="n">
        <x:f>IFERROR(H2553/A2553,0)</x:f>
        <x:v>6633.445945945946</x:v>
      </x:c>
      <x:c r="J2553" s="67" t="str">
        <x:v>Modeled from live base + Sep-2026 quality ratio</x:v>
      </x:c>
      <x:c r="K2553" s="67" t="str">
        <x:v>https://www.stonealgo.com/diamond-prices/</x:v>
      </x:c>
      <x:c r="L2553" s="67" t="str">
        <x:v>https://www.pricescope.com/blog/natural-diamond-prices-september-2026</x:v>
      </x:c>
    </x:row>
    <x:row r="2554">
      <x:c r="A2554" t="n">
        <x:v>4</x:v>
      </x:c>
      <x:c r="B2554" t="str">
        <x:v>Asscher</x:v>
      </x:c>
      <x:c r="C2554" t="str">
        <x:v>K</x:v>
      </x:c>
      <x:c r="D2554" t="str">
        <x:v>FL</x:v>
      </x:c>
      <x:c r="E2554" s="36" t="n">
        <x:v>59500</x:v>
      </x:c>
      <x:c r="F2554" s="36" t="n">
        <x:v>2858</x:v>
      </x:c>
      <x:c r="G2554" s="42" t="n">
        <x:v>0.6130416130416131</x:v>
      </x:c>
      <x:c r="H2554" s="36" t="n">
        <x:f>E2554*G2554</x:f>
        <x:v>36475.975975975976</x:v>
      </x:c>
      <x:c r="I2554" s="36" t="n">
        <x:f>IFERROR(H2554/A2554,0)</x:f>
        <x:v>9118.993993993994</x:v>
      </x:c>
      <x:c r="J2554" s="67" t="str">
        <x:v>Modeled from live base + Sep-2026 quality ratio; K/FL quality cell modeled</x:v>
      </x:c>
      <x:c r="K2554" s="67" t="str">
        <x:v>https://www.stonealgo.com/diamond-prices/</x:v>
      </x:c>
      <x:c r="L2554" s="67" t="str">
        <x:v>https://www.pricescope.com/blog/natural-diamond-prices-september-2026</x:v>
      </x:c>
    </x:row>
    <x:row r="2555">
      <x:c r="A2555" t="n">
        <x:v>4</x:v>
      </x:c>
      <x:c r="B2555" t="str">
        <x:v>Asscher</x:v>
      </x:c>
      <x:c r="C2555" t="str">
        <x:v>K</x:v>
      </x:c>
      <x:c r="D2555" t="str">
        <x:v>IF</x:v>
      </x:c>
      <x:c r="E2555" s="36" t="n">
        <x:v>59500</x:v>
      </x:c>
      <x:c r="F2555" s="36" t="n">
        <x:v>2743</x:v>
      </x:c>
      <x:c r="G2555" s="42" t="n">
        <x:v>0.5883740883740883</x:v>
      </x:c>
      <x:c r="H2555" s="36" t="n">
        <x:f>E2555*G2555</x:f>
        <x:v>35008.258258258255</x:v>
      </x:c>
      <x:c r="I2555" s="36" t="n">
        <x:f>IFERROR(H2555/A2555,0)</x:f>
        <x:v>8752.064564564564</x:v>
      </x:c>
      <x:c r="J2555" s="67" t="str">
        <x:v>Modeled from live base + Sep-2026 quality ratio</x:v>
      </x:c>
      <x:c r="K2555" s="67" t="str">
        <x:v>https://www.stonealgo.com/diamond-prices/</x:v>
      </x:c>
      <x:c r="L2555" s="67" t="str">
        <x:v>https://www.pricescope.com/blog/natural-diamond-prices-september-2026</x:v>
      </x:c>
    </x:row>
    <x:row r="2556">
      <x:c r="A2556" t="n">
        <x:v>4</x:v>
      </x:c>
      <x:c r="B2556" t="str">
        <x:v>Asscher</x:v>
      </x:c>
      <x:c r="C2556" t="str">
        <x:v>K</x:v>
      </x:c>
      <x:c r="D2556" t="str">
        <x:v>VVS1</x:v>
      </x:c>
      <x:c r="E2556" s="36" t="n">
        <x:v>59500</x:v>
      </x:c>
      <x:c r="F2556" s="36" t="n">
        <x:v>2529</x:v>
      </x:c>
      <x:c r="G2556" s="42" t="n">
        <x:v>0.5424710424710425</x:v>
      </x:c>
      <x:c r="H2556" s="36" t="n">
        <x:f>E2556*G2556</x:f>
        <x:v>32277.02702702703</x:v>
      </x:c>
      <x:c r="I2556" s="36" t="n">
        <x:f>IFERROR(H2556/A2556,0)</x:f>
        <x:v>8069.256756756758</x:v>
      </x:c>
      <x:c r="J2556" s="67" t="str">
        <x:v>Modeled from live base + Sep-2026 quality ratio</x:v>
      </x:c>
      <x:c r="K2556" s="67" t="str">
        <x:v>https://www.stonealgo.com/diamond-prices/</x:v>
      </x:c>
      <x:c r="L2556" s="67" t="str">
        <x:v>https://www.pricescope.com/blog/natural-diamond-prices-september-2026</x:v>
      </x:c>
    </x:row>
    <x:row r="2557">
      <x:c r="A2557" t="n">
        <x:v>4</x:v>
      </x:c>
      <x:c r="B2557" t="str">
        <x:v>Asscher</x:v>
      </x:c>
      <x:c r="C2557" t="str">
        <x:v>K</x:v>
      </x:c>
      <x:c r="D2557" t="str">
        <x:v>VVS2</x:v>
      </x:c>
      <x:c r="E2557" s="36" t="n">
        <x:v>59500</x:v>
      </x:c>
      <x:c r="F2557" s="36" t="n">
        <x:v>2374</x:v>
      </x:c>
      <x:c r="G2557" s="42" t="n">
        <x:v>0.5092235092235092</x:v>
      </x:c>
      <x:c r="H2557" s="36" t="n">
        <x:f>E2557*G2557</x:f>
        <x:v>30298.798798798798</x:v>
      </x:c>
      <x:c r="I2557" s="36" t="n">
        <x:f>IFERROR(H2557/A2557,0)</x:f>
        <x:v>7574.6996996996995</x:v>
      </x:c>
      <x:c r="J2557" s="67" t="str">
        <x:v>Modeled from live base + Sep-2026 quality ratio</x:v>
      </x:c>
      <x:c r="K2557" s="67" t="str">
        <x:v>https://www.stonealgo.com/diamond-prices/</x:v>
      </x:c>
      <x:c r="L2557" s="67" t="str">
        <x:v>https://www.pricescope.com/blog/natural-diamond-prices-september-2026</x:v>
      </x:c>
    </x:row>
    <x:row r="2558">
      <x:c r="A2558" t="n">
        <x:v>4</x:v>
      </x:c>
      <x:c r="B2558" t="str">
        <x:v>Asscher</x:v>
      </x:c>
      <x:c r="C2558" t="str">
        <x:v>K</x:v>
      </x:c>
      <x:c r="D2558" t="str">
        <x:v>VS1</x:v>
      </x:c>
      <x:c r="E2558" s="36" t="n">
        <x:v>59500</x:v>
      </x:c>
      <x:c r="F2558" s="36" t="n">
        <x:v>2223</x:v>
      </x:c>
      <x:c r="G2558" s="42" t="n">
        <x:v>0.4768339768339768</x:v>
      </x:c>
      <x:c r="H2558" s="36" t="n">
        <x:f>E2558*G2558</x:f>
        <x:v>28371.62162162162</x:v>
      </x:c>
      <x:c r="I2558" s="36" t="n">
        <x:f>IFERROR(H2558/A2558,0)</x:f>
        <x:v>7092.905405405405</x:v>
      </x:c>
      <x:c r="J2558" s="67" t="str">
        <x:v>Modeled from live base + Sep-2026 quality ratio</x:v>
      </x:c>
      <x:c r="K2558" s="67" t="str">
        <x:v>https://www.stonealgo.com/diamond-prices/</x:v>
      </x:c>
      <x:c r="L2558" s="67" t="str">
        <x:v>https://www.pricescope.com/blog/natural-diamond-prices-september-2026</x:v>
      </x:c>
    </x:row>
    <x:row r="2559">
      <x:c r="A2559" t="n">
        <x:v>4</x:v>
      </x:c>
      <x:c r="B2559" t="str">
        <x:v>Asscher</x:v>
      </x:c>
      <x:c r="C2559" t="str">
        <x:v>K</x:v>
      </x:c>
      <x:c r="D2559" t="str">
        <x:v>VS2</x:v>
      </x:c>
      <x:c r="E2559" s="36" t="n">
        <x:v>59500</x:v>
      </x:c>
      <x:c r="F2559" s="36" t="n">
        <x:v>2098</x:v>
      </x:c>
      <x:c r="G2559" s="42" t="n">
        <x:v>0.45002145002145</x:v>
      </x:c>
      <x:c r="H2559" s="36" t="n">
        <x:f>E2559*G2559</x:f>
        <x:v>26776.276276276276</x:v>
      </x:c>
      <x:c r="I2559" s="36" t="n">
        <x:f>IFERROR(H2559/A2559,0)</x:f>
        <x:v>6694.069069069069</x:v>
      </x:c>
      <x:c r="J2559" s="67" t="str">
        <x:v>Modeled from live base + Sep-2026 quality ratio</x:v>
      </x:c>
      <x:c r="K2559" s="67" t="str">
        <x:v>https://www.stonealgo.com/diamond-prices/</x:v>
      </x:c>
      <x:c r="L2559" s="67" t="str">
        <x:v>https://www.pricescope.com/blog/natural-diamond-prices-september-2026</x:v>
      </x:c>
    </x:row>
    <x:row r="2560">
      <x:c r="A2560" t="n">
        <x:v>4</x:v>
      </x:c>
      <x:c r="B2560" t="str">
        <x:v>Asscher</x:v>
      </x:c>
      <x:c r="C2560" t="str">
        <x:v>K</x:v>
      </x:c>
      <x:c r="D2560" t="str">
        <x:v>SI1</x:v>
      </x:c>
      <x:c r="E2560" s="36" t="n">
        <x:v>59500</x:v>
      </x:c>
      <x:c r="F2560" s="36" t="n">
        <x:v>1922</x:v>
      </x:c>
      <x:c r="G2560" s="42" t="n">
        <x:v>0.41226941226941227</x:v>
      </x:c>
      <x:c r="H2560" s="36" t="n">
        <x:f>E2560*G2560</x:f>
        <x:v>24530.03003003003</x:v>
      </x:c>
      <x:c r="I2560" s="36" t="n">
        <x:f>IFERROR(H2560/A2560,0)</x:f>
        <x:v>6132.507507507507</x:v>
      </x:c>
      <x:c r="J2560" s="67" t="str">
        <x:v>Modeled from live base + Sep-2026 quality ratio</x:v>
      </x:c>
      <x:c r="K2560" s="67" t="str">
        <x:v>https://www.stonealgo.com/diamond-prices/</x:v>
      </x:c>
      <x:c r="L2560" s="67" t="str">
        <x:v>https://www.pricescope.com/blog/natural-diamond-prices-september-2026</x:v>
      </x:c>
    </x:row>
    <x:row r="2561">
      <x:c r="A2561" t="n">
        <x:v>4</x:v>
      </x:c>
      <x:c r="B2561" t="str">
        <x:v>Asscher</x:v>
      </x:c>
      <x:c r="C2561" t="str">
        <x:v>K</x:v>
      </x:c>
      <x:c r="D2561" t="str">
        <x:v>SI2</x:v>
      </x:c>
      <x:c r="E2561" s="36" t="n">
        <x:v>59500</x:v>
      </x:c>
      <x:c r="F2561" s="36" t="n">
        <x:v>1764</x:v>
      </x:c>
      <x:c r="G2561" s="42" t="n">
        <x:v>0.3783783783783784</x:v>
      </x:c>
      <x:c r="H2561" s="36" t="n">
        <x:f>E2561*G2561</x:f>
        <x:v>22513.513513513513</x:v>
      </x:c>
      <x:c r="I2561" s="36" t="n">
        <x:f>IFERROR(H2561/A2561,0)</x:f>
        <x:v>5628.378378378378</x:v>
      </x:c>
      <x:c r="J2561" s="67" t="str">
        <x:v>Modeled from live base + Sep-2026 quality ratio</x:v>
      </x:c>
      <x:c r="K2561" s="67" t="str">
        <x:v>https://www.stonealgo.com/diamond-prices/</x:v>
      </x:c>
      <x:c r="L2561" s="67" t="str">
        <x:v>https://www.pricescope.com/blog/natural-diamond-prices-september-2026</x:v>
      </x:c>
    </x:row>
    <x:row r="2562">
      <x:c r="A2562" t="n">
        <x:v>5</x:v>
      </x:c>
      <x:c r="B2562" t="str">
        <x:v>Round</x:v>
      </x:c>
      <x:c r="C2562" t="str">
        <x:v>D</x:v>
      </x:c>
      <x:c r="D2562" t="str">
        <x:v>FL</x:v>
      </x:c>
      <x:c r="E2562" s="36" t="n">
        <x:v>112148</x:v>
      </x:c>
      <x:c r="F2562" s="36" t="n">
        <x:v>12665</x:v>
      </x:c>
      <x:c r="G2562" s="42" t="n">
        <x:v>2.7166452166452166</x:v>
      </x:c>
      <x:c r="H2562" s="36" t="n">
        <x:f>E2562*G2562</x:f>
        <x:v>304666.32775632775</x:v>
      </x:c>
      <x:c r="I2562" s="36" t="n">
        <x:f>IFERROR(H2562/A2562,0)</x:f>
        <x:v>60933.26555126555</x:v>
      </x:c>
      <x:c r="J2562" s="67" t="str">
        <x:v>Modeled from live base + Sep-2026 quality ratio</x:v>
      </x:c>
      <x:c r="K2562" s="67" t="str">
        <x:v>https://www.stonealgo.com/diamond-prices/</x:v>
      </x:c>
      <x:c r="L2562" s="67" t="str">
        <x:v>https://www.pricescope.com/blog/natural-diamond-prices-september-2026</x:v>
      </x:c>
    </x:row>
    <x:row r="2563">
      <x:c r="A2563" t="n">
        <x:v>5</x:v>
      </x:c>
      <x:c r="B2563" t="str">
        <x:v>Round</x:v>
      </x:c>
      <x:c r="C2563" t="str">
        <x:v>D</x:v>
      </x:c>
      <x:c r="D2563" t="str">
        <x:v>IF</x:v>
      </x:c>
      <x:c r="E2563" s="36" t="n">
        <x:v>112148</x:v>
      </x:c>
      <x:c r="F2563" s="36" t="n">
        <x:v>13240</x:v>
      </x:c>
      <x:c r="G2563" s="42" t="n">
        <x:v>2.83998283998284</x:v>
      </x:c>
      <x:c r="H2563" s="36" t="n">
        <x:f>E2563*G2563</x:f>
        <x:v>318498.39553839556</x:v>
      </x:c>
      <x:c r="I2563" s="36" t="n">
        <x:f>IFERROR(H2563/A2563,0)</x:f>
        <x:v>63699.67910767911</x:v>
      </x:c>
      <x:c r="J2563" s="67" t="str">
        <x:v>Modeled from live base + Sep-2026 quality ratio</x:v>
      </x:c>
      <x:c r="K2563" s="67" t="str">
        <x:v>https://www.stonealgo.com/diamond-prices/</x:v>
      </x:c>
      <x:c r="L2563" s="67" t="str">
        <x:v>https://www.pricescope.com/blog/natural-diamond-prices-september-2026</x:v>
      </x:c>
    </x:row>
    <x:row r="2564">
      <x:c r="A2564" t="n">
        <x:v>5</x:v>
      </x:c>
      <x:c r="B2564" t="str">
        <x:v>Round</x:v>
      </x:c>
      <x:c r="C2564" t="str">
        <x:v>D</x:v>
      </x:c>
      <x:c r="D2564" t="str">
        <x:v>VVS1</x:v>
      </x:c>
      <x:c r="E2564" s="36" t="n">
        <x:v>112148</x:v>
      </x:c>
      <x:c r="F2564" s="36" t="n">
        <x:v>9555</x:v>
      </x:c>
      <x:c r="G2564" s="42" t="n">
        <x:v>2.0495495495495497</x:v>
      </x:c>
      <x:c r="H2564" s="36" t="n">
        <x:f>E2564*G2564</x:f>
        <x:v>229852.8828828829</x:v>
      </x:c>
      <x:c r="I2564" s="36" t="n">
        <x:f>IFERROR(H2564/A2564,0)</x:f>
        <x:v>45970.57657657658</x:v>
      </x:c>
      <x:c r="J2564" s="67" t="str">
        <x:v>Modeled from live base + Sep-2026 quality ratio</x:v>
      </x:c>
      <x:c r="K2564" s="67" t="str">
        <x:v>https://www.stonealgo.com/diamond-prices/</x:v>
      </x:c>
      <x:c r="L2564" s="67" t="str">
        <x:v>https://www.pricescope.com/blog/natural-diamond-prices-september-2026</x:v>
      </x:c>
    </x:row>
    <x:row r="2565">
      <x:c r="A2565" t="n">
        <x:v>5</x:v>
      </x:c>
      <x:c r="B2565" t="str">
        <x:v>Round</x:v>
      </x:c>
      <x:c r="C2565" t="str">
        <x:v>D</x:v>
      </x:c>
      <x:c r="D2565" t="str">
        <x:v>VVS2</x:v>
      </x:c>
      <x:c r="E2565" s="36" t="n">
        <x:v>112148</x:v>
      </x:c>
      <x:c r="F2565" s="36" t="n">
        <x:v>6660</x:v>
      </x:c>
      <x:c r="G2565" s="42" t="n">
        <x:v>1.4285714285714286</x:v>
      </x:c>
      <x:c r="H2565" s="36" t="n">
        <x:f>E2565*G2565</x:f>
        <x:v>160211.42857142858</x:v>
      </x:c>
      <x:c r="I2565" s="36" t="n">
        <x:f>IFERROR(H2565/A2565,0)</x:f>
        <x:v>32042.285714285717</x:v>
      </x:c>
      <x:c r="J2565" s="67" t="str">
        <x:v>Modeled from live base + Sep-2026 quality ratio</x:v>
      </x:c>
      <x:c r="K2565" s="67" t="str">
        <x:v>https://www.stonealgo.com/diamond-prices/</x:v>
      </x:c>
      <x:c r="L2565" s="67" t="str">
        <x:v>https://www.pricescope.com/blog/natural-diamond-prices-september-2026</x:v>
      </x:c>
    </x:row>
    <x:row r="2566">
      <x:c r="A2566" t="n">
        <x:v>5</x:v>
      </x:c>
      <x:c r="B2566" t="str">
        <x:v>Round</x:v>
      </x:c>
      <x:c r="C2566" t="str">
        <x:v>D</x:v>
      </x:c>
      <x:c r="D2566" t="str">
        <x:v>VS1</x:v>
      </x:c>
      <x:c r="E2566" s="36" t="n">
        <x:v>112148</x:v>
      </x:c>
      <x:c r="F2566" s="36" t="n">
        <x:v>6247</x:v>
      </x:c>
      <x:c r="G2566" s="42" t="n">
        <x:v>1.33998283998284</x:v>
      </x:c>
      <x:c r="H2566" s="36" t="n">
        <x:f>E2566*G2566</x:f>
        <x:v>150276.39553839553</x:v>
      </x:c>
      <x:c r="I2566" s="36" t="n">
        <x:f>IFERROR(H2566/A2566,0)</x:f>
        <x:v>30055.279107679107</x:v>
      </x:c>
      <x:c r="J2566" s="67" t="str">
        <x:v>Modeled from live base + Sep-2026 quality ratio</x:v>
      </x:c>
      <x:c r="K2566" s="67" t="str">
        <x:v>https://www.stonealgo.com/diamond-prices/</x:v>
      </x:c>
      <x:c r="L2566" s="67" t="str">
        <x:v>https://www.pricescope.com/blog/natural-diamond-prices-september-2026</x:v>
      </x:c>
    </x:row>
    <x:row r="2567">
      <x:c r="A2567" t="n">
        <x:v>5</x:v>
      </x:c>
      <x:c r="B2567" t="str">
        <x:v>Round</x:v>
      </x:c>
      <x:c r="C2567" t="str">
        <x:v>D</x:v>
      </x:c>
      <x:c r="D2567" t="str">
        <x:v>VS2</x:v>
      </x:c>
      <x:c r="E2567" s="36" t="n">
        <x:v>112148</x:v>
      </x:c>
      <x:c r="F2567" s="36" t="n">
        <x:v>5841</x:v>
      </x:c>
      <x:c r="G2567" s="42" t="n">
        <x:v>1.252895752895753</x:v>
      </x:c>
      <x:c r="H2567" s="36" t="n">
        <x:f>E2567*G2567</x:f>
        <x:v>140509.7528957529</x:v>
      </x:c>
      <x:c r="I2567" s="36" t="n">
        <x:f>IFERROR(H2567/A2567,0)</x:f>
        <x:v>28101.95057915058</x:v>
      </x:c>
      <x:c r="J2567" s="67" t="str">
        <x:v>Modeled from live base + Sep-2026 quality ratio</x:v>
      </x:c>
      <x:c r="K2567" s="67" t="str">
        <x:v>https://www.stonealgo.com/diamond-prices/</x:v>
      </x:c>
      <x:c r="L2567" s="67" t="str">
        <x:v>https://www.pricescope.com/blog/natural-diamond-prices-september-2026</x:v>
      </x:c>
    </x:row>
    <x:row r="2568">
      <x:c r="A2568" t="n">
        <x:v>5</x:v>
      </x:c>
      <x:c r="B2568" t="str">
        <x:v>Round</x:v>
      </x:c>
      <x:c r="C2568" t="str">
        <x:v>D</x:v>
      </x:c>
      <x:c r="D2568" t="str">
        <x:v>SI1</x:v>
      </x:c>
      <x:c r="E2568" s="36" t="n">
        <x:v>112148</x:v>
      </x:c>
      <x:c r="F2568" s="36" t="n">
        <x:v>3762</x:v>
      </x:c>
      <x:c r="G2568" s="42" t="n">
        <x:v>0.806949806949807</x:v>
      </x:c>
      <x:c r="H2568" s="36" t="n">
        <x:f>E2568*G2568</x:f>
        <x:v>90497.80694980695</x:v>
      </x:c>
      <x:c r="I2568" s="36" t="n">
        <x:f>IFERROR(H2568/A2568,0)</x:f>
        <x:v>18099.56138996139</x:v>
      </x:c>
      <x:c r="J2568" s="67" t="str">
        <x:v>Modeled from live base + Sep-2026 quality ratio</x:v>
      </x:c>
      <x:c r="K2568" s="67" t="str">
        <x:v>https://www.stonealgo.com/diamond-prices/</x:v>
      </x:c>
      <x:c r="L2568" s="67" t="str">
        <x:v>https://www.pricescope.com/blog/natural-diamond-prices-september-2026</x:v>
      </x:c>
    </x:row>
    <x:row r="2569">
      <x:c r="A2569" t="n">
        <x:v>5</x:v>
      </x:c>
      <x:c r="B2569" t="str">
        <x:v>Round</x:v>
      </x:c>
      <x:c r="C2569" t="str">
        <x:v>D</x:v>
      </x:c>
      <x:c r="D2569" t="str">
        <x:v>SI2</x:v>
      </x:c>
      <x:c r="E2569" s="36" t="n">
        <x:v>112148</x:v>
      </x:c>
      <x:c r="F2569" s="36" t="n">
        <x:v>3026</x:v>
      </x:c>
      <x:c r="G2569" s="42" t="n">
        <x:v>0.6490776490776491</x:v>
      </x:c>
      <x:c r="H2569" s="36" t="n">
        <x:f>E2569*G2569</x:f>
        <x:v>72792.76018876019</x:v>
      </x:c>
      <x:c r="I2569" s="36" t="n">
        <x:f>IFERROR(H2569/A2569,0)</x:f>
        <x:v>14558.552037752039</x:v>
      </x:c>
      <x:c r="J2569" s="67" t="str">
        <x:v>Modeled from live base + Sep-2026 quality ratio</x:v>
      </x:c>
      <x:c r="K2569" s="67" t="str">
        <x:v>https://www.stonealgo.com/diamond-prices/</x:v>
      </x:c>
      <x:c r="L2569" s="67" t="str">
        <x:v>https://www.pricescope.com/blog/natural-diamond-prices-september-2026</x:v>
      </x:c>
    </x:row>
    <x:row r="2570">
      <x:c r="A2570" t="n">
        <x:v>5</x:v>
      </x:c>
      <x:c r="B2570" t="str">
        <x:v>Round</x:v>
      </x:c>
      <x:c r="C2570" t="str">
        <x:v>E</x:v>
      </x:c>
      <x:c r="D2570" t="str">
        <x:v>FL</x:v>
      </x:c>
      <x:c r="E2570" s="36" t="n">
        <x:v>112148</x:v>
      </x:c>
      <x:c r="F2570" s="36" t="n">
        <x:v>10072</x:v>
      </x:c>
      <x:c r="G2570" s="42" t="n">
        <x:v>2.1604461604461602</x:v>
      </x:c>
      <x:c r="H2570" s="36" t="n">
        <x:f>E2570*G2570</x:f>
        <x:v>242289.71600171598</x:v>
      </x:c>
      <x:c r="I2570" s="36" t="n">
        <x:f>IFERROR(H2570/A2570,0)</x:f>
        <x:v>48457.943200343194</x:v>
      </x:c>
      <x:c r="J2570" s="67" t="str">
        <x:v>Modeled from live base + Sep-2026 quality ratio</x:v>
      </x:c>
      <x:c r="K2570" s="67" t="str">
        <x:v>https://www.stonealgo.com/diamond-prices/</x:v>
      </x:c>
      <x:c r="L2570" s="67" t="str">
        <x:v>https://www.pricescope.com/blog/natural-diamond-prices-september-2026</x:v>
      </x:c>
    </x:row>
    <x:row r="2571">
      <x:c r="A2571" t="n">
        <x:v>5</x:v>
      </x:c>
      <x:c r="B2571" t="str">
        <x:v>Round</x:v>
      </x:c>
      <x:c r="C2571" t="str">
        <x:v>E</x:v>
      </x:c>
      <x:c r="D2571" t="str">
        <x:v>IF</x:v>
      </x:c>
      <x:c r="E2571" s="36" t="n">
        <x:v>112148</x:v>
      </x:c>
      <x:c r="F2571" s="36" t="n">
        <x:v>8672</x:v>
      </x:c>
      <x:c r="G2571" s="42" t="n">
        <x:v>1.8601458601458603</x:v>
      </x:c>
      <x:c r="H2571" s="36" t="n">
        <x:f>E2571*G2571</x:f>
        <x:v>208611.63792363793</x:v>
      </x:c>
      <x:c r="I2571" s="36" t="n">
        <x:f>IFERROR(H2571/A2571,0)</x:f>
        <x:v>41722.32758472759</x:v>
      </x:c>
      <x:c r="J2571" s="67" t="str">
        <x:v>Modeled from live base + Sep-2026 quality ratio</x:v>
      </x:c>
      <x:c r="K2571" s="67" t="str">
        <x:v>https://www.stonealgo.com/diamond-prices/</x:v>
      </x:c>
      <x:c r="L2571" s="67" t="str">
        <x:v>https://www.pricescope.com/blog/natural-diamond-prices-september-2026</x:v>
      </x:c>
    </x:row>
    <x:row r="2572">
      <x:c r="A2572" t="n">
        <x:v>5</x:v>
      </x:c>
      <x:c r="B2572" t="str">
        <x:v>Round</x:v>
      </x:c>
      <x:c r="C2572" t="str">
        <x:v>E</x:v>
      </x:c>
      <x:c r="D2572" t="str">
        <x:v>VVS1</x:v>
      </x:c>
      <x:c r="E2572" s="36" t="n">
        <x:v>112148</x:v>
      </x:c>
      <x:c r="F2572" s="36" t="n">
        <x:v>7842</x:v>
      </x:c>
      <x:c r="G2572" s="42" t="n">
        <x:v>1.6821106821106822</x:v>
      </x:c>
      <x:c r="H2572" s="36" t="n">
        <x:f>E2572*G2572</x:f>
        <x:v>188645.3487773488</x:v>
      </x:c>
      <x:c r="I2572" s="36" t="n">
        <x:f>IFERROR(H2572/A2572,0)</x:f>
        <x:v>37729.069755469754</x:v>
      </x:c>
      <x:c r="J2572" s="67" t="str">
        <x:v>Modeled from live base + Sep-2026 quality ratio</x:v>
      </x:c>
      <x:c r="K2572" s="67" t="str">
        <x:v>https://www.stonealgo.com/diamond-prices/</x:v>
      </x:c>
      <x:c r="L2572" s="67" t="str">
        <x:v>https://www.pricescope.com/blog/natural-diamond-prices-september-2026</x:v>
      </x:c>
    </x:row>
    <x:row r="2573">
      <x:c r="A2573" t="n">
        <x:v>5</x:v>
      </x:c>
      <x:c r="B2573" t="str">
        <x:v>Round</x:v>
      </x:c>
      <x:c r="C2573" t="str">
        <x:v>E</x:v>
      </x:c>
      <x:c r="D2573" t="str">
        <x:v>VVS2</x:v>
      </x:c>
      <x:c r="E2573" s="36" t="n">
        <x:v>112148</x:v>
      </x:c>
      <x:c r="F2573" s="36" t="n">
        <x:v>6880</x:v>
      </x:c>
      <x:c r="G2573" s="42" t="n">
        <x:v>1.4757614757614759</x:v>
      </x:c>
      <x:c r="H2573" s="36" t="n">
        <x:f>E2573*G2573</x:f>
        <x:v>165503.697983698</x:v>
      </x:c>
      <x:c r="I2573" s="36" t="n">
        <x:f>IFERROR(H2573/A2573,0)</x:f>
        <x:v>33100.7395967396</x:v>
      </x:c>
      <x:c r="J2573" s="67" t="str">
        <x:v>Modeled from live base + Sep-2026 quality ratio</x:v>
      </x:c>
      <x:c r="K2573" s="67" t="str">
        <x:v>https://www.stonealgo.com/diamond-prices/</x:v>
      </x:c>
      <x:c r="L2573" s="67" t="str">
        <x:v>https://www.pricescope.com/blog/natural-diamond-prices-september-2026</x:v>
      </x:c>
    </x:row>
    <x:row r="2574">
      <x:c r="A2574" t="n">
        <x:v>5</x:v>
      </x:c>
      <x:c r="B2574" t="str">
        <x:v>Round</x:v>
      </x:c>
      <x:c r="C2574" t="str">
        <x:v>E</x:v>
      </x:c>
      <x:c r="D2574" t="str">
        <x:v>VS1</x:v>
      </x:c>
      <x:c r="E2574" s="36" t="n">
        <x:v>112148</x:v>
      </x:c>
      <x:c r="F2574" s="36" t="n">
        <x:v>6307</x:v>
      </x:c>
      <x:c r="G2574" s="42" t="n">
        <x:v>1.352852852852853</x:v>
      </x:c>
      <x:c r="H2574" s="36" t="n">
        <x:f>E2574*G2574</x:f>
        <x:v>151719.74174174175</x:v>
      </x:c>
      <x:c r="I2574" s="36" t="n">
        <x:f>IFERROR(H2574/A2574,0)</x:f>
        <x:v>30343.94834834835</x:v>
      </x:c>
      <x:c r="J2574" s="67" t="str">
        <x:v>Modeled from live base + Sep-2026 quality ratio</x:v>
      </x:c>
      <x:c r="K2574" s="67" t="str">
        <x:v>https://www.stonealgo.com/diamond-prices/</x:v>
      </x:c>
      <x:c r="L2574" s="67" t="str">
        <x:v>https://www.pricescope.com/blog/natural-diamond-prices-september-2026</x:v>
      </x:c>
    </x:row>
    <x:row r="2575">
      <x:c r="A2575" t="n">
        <x:v>5</x:v>
      </x:c>
      <x:c r="B2575" t="str">
        <x:v>Round</x:v>
      </x:c>
      <x:c r="C2575" t="str">
        <x:v>E</x:v>
      </x:c>
      <x:c r="D2575" t="str">
        <x:v>VS2</x:v>
      </x:c>
      <x:c r="E2575" s="36" t="n">
        <x:v>112148</x:v>
      </x:c>
      <x:c r="F2575" s="36" t="n">
        <x:v>5249</x:v>
      </x:c>
      <x:c r="G2575" s="42" t="n">
        <x:v>1.125911625911626</x:v>
      </x:c>
      <x:c r="H2575" s="36" t="n">
        <x:f>E2575*G2575</x:f>
        <x:v>126268.73702273703</x:v>
      </x:c>
      <x:c r="I2575" s="36" t="n">
        <x:f>IFERROR(H2575/A2575,0)</x:f>
        <x:v>25253.747404547405</x:v>
      </x:c>
      <x:c r="J2575" s="67" t="str">
        <x:v>Modeled from live base + Sep-2026 quality ratio</x:v>
      </x:c>
      <x:c r="K2575" s="67" t="str">
        <x:v>https://www.stonealgo.com/diamond-prices/</x:v>
      </x:c>
      <x:c r="L2575" s="67" t="str">
        <x:v>https://www.pricescope.com/blog/natural-diamond-prices-september-2026</x:v>
      </x:c>
    </x:row>
    <x:row r="2576">
      <x:c r="A2576" t="n">
        <x:v>5</x:v>
      </x:c>
      <x:c r="B2576" t="str">
        <x:v>Round</x:v>
      </x:c>
      <x:c r="C2576" t="str">
        <x:v>E</x:v>
      </x:c>
      <x:c r="D2576" t="str">
        <x:v>SI1</x:v>
      </x:c>
      <x:c r="E2576" s="36" t="n">
        <x:v>112148</x:v>
      </x:c>
      <x:c r="F2576" s="36" t="n">
        <x:v>3551</x:v>
      </x:c>
      <x:c r="G2576" s="42" t="n">
        <x:v>0.7616902616902617</x:v>
      </x:c>
      <x:c r="H2576" s="36" t="n">
        <x:f>E2576*G2576</x:f>
        <x:v>85422.03946803947</x:v>
      </x:c>
      <x:c r="I2576" s="36" t="n">
        <x:f>IFERROR(H2576/A2576,0)</x:f>
        <x:v>17084.407893607895</x:v>
      </x:c>
      <x:c r="J2576" s="67" t="str">
        <x:v>Modeled from live base + Sep-2026 quality ratio</x:v>
      </x:c>
      <x:c r="K2576" s="67" t="str">
        <x:v>https://www.stonealgo.com/diamond-prices/</x:v>
      </x:c>
      <x:c r="L2576" s="67" t="str">
        <x:v>https://www.pricescope.com/blog/natural-diamond-prices-september-2026</x:v>
      </x:c>
    </x:row>
    <x:row r="2577">
      <x:c r="A2577" t="n">
        <x:v>5</x:v>
      </x:c>
      <x:c r="B2577" t="str">
        <x:v>Round</x:v>
      </x:c>
      <x:c r="C2577" t="str">
        <x:v>E</x:v>
      </x:c>
      <x:c r="D2577" t="str">
        <x:v>SI2</x:v>
      </x:c>
      <x:c r="E2577" s="36" t="n">
        <x:v>112148</x:v>
      </x:c>
      <x:c r="F2577" s="36" t="n">
        <x:v>2993</x:v>
      </x:c>
      <x:c r="G2577" s="42" t="n">
        <x:v>0.641999141999142</x:v>
      </x:c>
      <x:c r="H2577" s="36" t="n">
        <x:f>E2577*G2577</x:f>
        <x:v>71998.91977691978</x:v>
      </x:c>
      <x:c r="I2577" s="36" t="n">
        <x:f>IFERROR(H2577/A2577,0)</x:f>
        <x:v>14399.783955383955</x:v>
      </x:c>
      <x:c r="J2577" s="67" t="str">
        <x:v>Modeled from live base + Sep-2026 quality ratio</x:v>
      </x:c>
      <x:c r="K2577" s="67" t="str">
        <x:v>https://www.stonealgo.com/diamond-prices/</x:v>
      </x:c>
      <x:c r="L2577" s="67" t="str">
        <x:v>https://www.pricescope.com/blog/natural-diamond-prices-september-2026</x:v>
      </x:c>
    </x:row>
    <x:row r="2578">
      <x:c r="A2578" t="n">
        <x:v>5</x:v>
      </x:c>
      <x:c r="B2578" t="str">
        <x:v>Round</x:v>
      </x:c>
      <x:c r="C2578" t="str">
        <x:v>F</x:v>
      </x:c>
      <x:c r="D2578" t="str">
        <x:v>FL</x:v>
      </x:c>
      <x:c r="E2578" s="36" t="n">
        <x:v>112148</x:v>
      </x:c>
      <x:c r="F2578" s="36" t="n">
        <x:v>6830</x:v>
      </x:c>
      <x:c r="G2578" s="42" t="n">
        <x:v>1.4650364650364651</x:v>
      </x:c>
      <x:c r="H2578" s="36" t="n">
        <x:f>E2578*G2578</x:f>
        <x:v>164300.9094809095</x:v>
      </x:c>
      <x:c r="I2578" s="36" t="n">
        <x:f>IFERROR(H2578/A2578,0)</x:f>
        <x:v>32860.1818961819</x:v>
      </x:c>
      <x:c r="J2578" s="67" t="str">
        <x:v>Modeled from live base + Sep-2026 quality ratio</x:v>
      </x:c>
      <x:c r="K2578" s="67" t="str">
        <x:v>https://www.stonealgo.com/diamond-prices/</x:v>
      </x:c>
      <x:c r="L2578" s="67" t="str">
        <x:v>https://www.pricescope.com/blog/natural-diamond-prices-september-2026</x:v>
      </x:c>
    </x:row>
    <x:row r="2579">
      <x:c r="A2579" t="n">
        <x:v>5</x:v>
      </x:c>
      <x:c r="B2579" t="str">
        <x:v>Round</x:v>
      </x:c>
      <x:c r="C2579" t="str">
        <x:v>F</x:v>
      </x:c>
      <x:c r="D2579" t="str">
        <x:v>IF</x:v>
      </x:c>
      <x:c r="E2579" s="36" t="n">
        <x:v>112148</x:v>
      </x:c>
      <x:c r="F2579" s="36" t="n">
        <x:v>7302</x:v>
      </x:c>
      <x:c r="G2579" s="42" t="n">
        <x:v>1.5662805662805663</x:v>
      </x:c>
      <x:c r="H2579" s="36" t="n">
        <x:f>E2579*G2579</x:f>
        <x:v>175655.23294723296</x:v>
      </x:c>
      <x:c r="I2579" s="36" t="n">
        <x:f>IFERROR(H2579/A2579,0)</x:f>
        <x:v>35131.04658944659</x:v>
      </x:c>
      <x:c r="J2579" s="67" t="str">
        <x:v>Modeled from live base + Sep-2026 quality ratio</x:v>
      </x:c>
      <x:c r="K2579" s="67" t="str">
        <x:v>https://www.stonealgo.com/diamond-prices/</x:v>
      </x:c>
      <x:c r="L2579" s="67" t="str">
        <x:v>https://www.pricescope.com/blog/natural-diamond-prices-september-2026</x:v>
      </x:c>
    </x:row>
    <x:row r="2580">
      <x:c r="A2580" t="n">
        <x:v>5</x:v>
      </x:c>
      <x:c r="B2580" t="str">
        <x:v>Round</x:v>
      </x:c>
      <x:c r="C2580" t="str">
        <x:v>F</x:v>
      </x:c>
      <x:c r="D2580" t="str">
        <x:v>VVS1</x:v>
      </x:c>
      <x:c r="E2580" s="36" t="n">
        <x:v>112148</x:v>
      </x:c>
      <x:c r="F2580" s="36" t="n">
        <x:v>7542</x:v>
      </x:c>
      <x:c r="G2580" s="42" t="n">
        <x:v>1.6177606177606179</x:v>
      </x:c>
      <x:c r="H2580" s="36" t="n">
        <x:f>E2580*G2580</x:f>
        <x:v>181428.61776061778</x:v>
      </x:c>
      <x:c r="I2580" s="36" t="n">
        <x:f>IFERROR(H2580/A2580,0)</x:f>
        <x:v>36285.723552123556</x:v>
      </x:c>
      <x:c r="J2580" s="67" t="str">
        <x:v>Modeled from live base + Sep-2026 quality ratio</x:v>
      </x:c>
      <x:c r="K2580" s="67" t="str">
        <x:v>https://www.stonealgo.com/diamond-prices/</x:v>
      </x:c>
      <x:c r="L2580" s="67" t="str">
        <x:v>https://www.pricescope.com/blog/natural-diamond-prices-september-2026</x:v>
      </x:c>
    </x:row>
    <x:row r="2581">
      <x:c r="A2581" t="n">
        <x:v>5</x:v>
      </x:c>
      <x:c r="B2581" t="str">
        <x:v>Round</x:v>
      </x:c>
      <x:c r="C2581" t="str">
        <x:v>F</x:v>
      </x:c>
      <x:c r="D2581" t="str">
        <x:v>VVS2</x:v>
      </x:c>
      <x:c r="E2581" s="36" t="n">
        <x:v>112148</x:v>
      </x:c>
      <x:c r="F2581" s="36" t="n">
        <x:v>6352</x:v>
      </x:c>
      <x:c r="G2581" s="42" t="n">
        <x:v>1.3625053625053625</x:v>
      </x:c>
      <x:c r="H2581" s="36" t="n">
        <x:f>E2581*G2581</x:f>
        <x:v>152802.2513942514</x:v>
      </x:c>
      <x:c r="I2581" s="36" t="n">
        <x:f>IFERROR(H2581/A2581,0)</x:f>
        <x:v>30560.45027885028</x:v>
      </x:c>
      <x:c r="J2581" s="67" t="str">
        <x:v>Modeled from live base + Sep-2026 quality ratio</x:v>
      </x:c>
      <x:c r="K2581" s="67" t="str">
        <x:v>https://www.stonealgo.com/diamond-prices/</x:v>
      </x:c>
      <x:c r="L2581" s="67" t="str">
        <x:v>https://www.pricescope.com/blog/natural-diamond-prices-september-2026</x:v>
      </x:c>
    </x:row>
    <x:row r="2582">
      <x:c r="A2582" t="n">
        <x:v>5</x:v>
      </x:c>
      <x:c r="B2582" t="str">
        <x:v>Round</x:v>
      </x:c>
      <x:c r="C2582" t="str">
        <x:v>F</x:v>
      </x:c>
      <x:c r="D2582" t="str">
        <x:v>VS1</x:v>
      </x:c>
      <x:c r="E2582" s="36" t="n">
        <x:v>112148</x:v>
      </x:c>
      <x:c r="F2582" s="36" t="n">
        <x:v>5647</x:v>
      </x:c>
      <x:c r="G2582" s="42" t="n">
        <x:v>1.2112827112827114</x:v>
      </x:c>
      <x:c r="H2582" s="36" t="n">
        <x:f>E2582*G2582</x:f>
        <x:v>135842.93350493352</x:v>
      </x:c>
      <x:c r="I2582" s="36" t="n">
        <x:f>IFERROR(H2582/A2582,0)</x:f>
        <x:v>27168.586700986703</x:v>
      </x:c>
      <x:c r="J2582" s="67" t="str">
        <x:v>Modeled from live base + Sep-2026 quality ratio</x:v>
      </x:c>
      <x:c r="K2582" s="67" t="str">
        <x:v>https://www.stonealgo.com/diamond-prices/</x:v>
      </x:c>
      <x:c r="L2582" s="67" t="str">
        <x:v>https://www.pricescope.com/blog/natural-diamond-prices-september-2026</x:v>
      </x:c>
    </x:row>
    <x:row r="2583">
      <x:c r="A2583" t="n">
        <x:v>5</x:v>
      </x:c>
      <x:c r="B2583" t="str">
        <x:v>Round</x:v>
      </x:c>
      <x:c r="C2583" t="str">
        <x:v>F</x:v>
      </x:c>
      <x:c r="D2583" t="str">
        <x:v>VS2</x:v>
      </x:c>
      <x:c r="E2583" s="36" t="n">
        <x:v>112148</x:v>
      </x:c>
      <x:c r="F2583" s="36" t="n">
        <x:v>4730</x:v>
      </x:c>
      <x:c r="G2583" s="42" t="n">
        <x:v>1.0145860145860146</x:v>
      </x:c>
      <x:c r="H2583" s="36" t="n">
        <x:f>E2583*G2583</x:f>
        <x:v>113783.79236379237</x:v>
      </x:c>
      <x:c r="I2583" s="36" t="n">
        <x:f>IFERROR(H2583/A2583,0)</x:f>
        <x:v>22756.758472758473</x:v>
      </x:c>
      <x:c r="J2583" s="67" t="str">
        <x:v>Modeled from live base + Sep-2026 quality ratio</x:v>
      </x:c>
      <x:c r="K2583" s="67" t="str">
        <x:v>https://www.stonealgo.com/diamond-prices/</x:v>
      </x:c>
      <x:c r="L2583" s="67" t="str">
        <x:v>https://www.pricescope.com/blog/natural-diamond-prices-september-2026</x:v>
      </x:c>
    </x:row>
    <x:row r="2584">
      <x:c r="A2584" t="n">
        <x:v>5</x:v>
      </x:c>
      <x:c r="B2584" t="str">
        <x:v>Round</x:v>
      </x:c>
      <x:c r="C2584" t="str">
        <x:v>F</x:v>
      </x:c>
      <x:c r="D2584" t="str">
        <x:v>SI1</x:v>
      </x:c>
      <x:c r="E2584" s="36" t="n">
        <x:v>112148</x:v>
      </x:c>
      <x:c r="F2584" s="36" t="n">
        <x:v>3331</x:v>
      </x:c>
      <x:c r="G2584" s="42" t="n">
        <x:v>0.7145002145002145</x:v>
      </x:c>
      <x:c r="H2584" s="36" t="n">
        <x:f>E2584*G2584</x:f>
        <x:v>80129.77005577006</x:v>
      </x:c>
      <x:c r="I2584" s="36" t="n">
        <x:f>IFERROR(H2584/A2584,0)</x:f>
        <x:v>16025.954011154012</x:v>
      </x:c>
      <x:c r="J2584" s="67" t="str">
        <x:v>Modeled from live base + Sep-2026 quality ratio</x:v>
      </x:c>
      <x:c r="K2584" s="67" t="str">
        <x:v>https://www.stonealgo.com/diamond-prices/</x:v>
      </x:c>
      <x:c r="L2584" s="67" t="str">
        <x:v>https://www.pricescope.com/blog/natural-diamond-prices-september-2026</x:v>
      </x:c>
    </x:row>
    <x:row r="2585">
      <x:c r="A2585" t="n">
        <x:v>5</x:v>
      </x:c>
      <x:c r="B2585" t="str">
        <x:v>Round</x:v>
      </x:c>
      <x:c r="C2585" t="str">
        <x:v>F</x:v>
      </x:c>
      <x:c r="D2585" t="str">
        <x:v>SI2</x:v>
      </x:c>
      <x:c r="E2585" s="36" t="n">
        <x:v>112148</x:v>
      </x:c>
      <x:c r="F2585" s="36" t="n">
        <x:v>2733</x:v>
      </x:c>
      <x:c r="G2585" s="42" t="n">
        <x:v>0.5862290862290862</x:v>
      </x:c>
      <x:c r="H2585" s="36" t="n">
        <x:f>E2585*G2585</x:f>
        <x:v>65744.41956241956</x:v>
      </x:c>
      <x:c r="I2585" s="36" t="n">
        <x:f>IFERROR(H2585/A2585,0)</x:f>
        <x:v>13148.88391248391</x:v>
      </x:c>
      <x:c r="J2585" s="67" t="str">
        <x:v>Modeled from live base + Sep-2026 quality ratio</x:v>
      </x:c>
      <x:c r="K2585" s="67" t="str">
        <x:v>https://www.stonealgo.com/diamond-prices/</x:v>
      </x:c>
      <x:c r="L2585" s="67" t="str">
        <x:v>https://www.pricescope.com/blog/natural-diamond-prices-september-2026</x:v>
      </x:c>
    </x:row>
    <x:row r="2586">
      <x:c r="A2586" t="n">
        <x:v>5</x:v>
      </x:c>
      <x:c r="B2586" t="str">
        <x:v>Round</x:v>
      </x:c>
      <x:c r="C2586" t="str">
        <x:v>G</x:v>
      </x:c>
      <x:c r="D2586" t="str">
        <x:v>FL</x:v>
      </x:c>
      <x:c r="E2586" s="36" t="n">
        <x:v>112148</x:v>
      </x:c>
      <x:c r="F2586" s="36" t="n">
        <x:v>5905</x:v>
      </x:c>
      <x:c r="G2586" s="42" t="n">
        <x:v>1.2666237666237665</x:v>
      </x:c>
      <x:c r="H2586" s="36" t="n">
        <x:f>E2586*G2586</x:f>
        <x:v>142049.32217932216</x:v>
      </x:c>
      <x:c r="I2586" s="36" t="n">
        <x:f>IFERROR(H2586/A2586,0)</x:f>
        <x:v>28409.86443586443</x:v>
      </x:c>
      <x:c r="J2586" s="67" t="str">
        <x:v>Modeled from live base + Sep-2026 quality ratio</x:v>
      </x:c>
      <x:c r="K2586" s="67" t="str">
        <x:v>https://www.stonealgo.com/diamond-prices/</x:v>
      </x:c>
      <x:c r="L2586" s="67" t="str">
        <x:v>https://www.pricescope.com/blog/natural-diamond-prices-september-2026</x:v>
      </x:c>
    </x:row>
    <x:row r="2587">
      <x:c r="A2587" t="n">
        <x:v>5</x:v>
      </x:c>
      <x:c r="B2587" t="str">
        <x:v>Round</x:v>
      </x:c>
      <x:c r="C2587" t="str">
        <x:v>G</x:v>
      </x:c>
      <x:c r="D2587" t="str">
        <x:v>IF</x:v>
      </x:c>
      <x:c r="E2587" s="36" t="n">
        <x:v>112148</x:v>
      </x:c>
      <x:c r="F2587" s="36" t="n">
        <x:v>5601</x:v>
      </x:c>
      <x:c r="G2587" s="42" t="n">
        <x:v>1.2014157014157014</x:v>
      </x:c>
      <x:c r="H2587" s="36" t="n">
        <x:f>E2587*G2587</x:f>
        <x:v>134736.36808236808</x:v>
      </x:c>
      <x:c r="I2587" s="36" t="n">
        <x:f>IFERROR(H2587/A2587,0)</x:f>
        <x:v>26947.273616473616</x:v>
      </x:c>
      <x:c r="J2587" s="67" t="str">
        <x:v>Modeled from live base + Sep-2026 quality ratio</x:v>
      </x:c>
      <x:c r="K2587" s="67" t="str">
        <x:v>https://www.stonealgo.com/diamond-prices/</x:v>
      </x:c>
      <x:c r="L2587" s="67" t="str">
        <x:v>https://www.pricescope.com/blog/natural-diamond-prices-september-2026</x:v>
      </x:c>
    </x:row>
    <x:row r="2588">
      <x:c r="A2588" t="n">
        <x:v>5</x:v>
      </x:c>
      <x:c r="B2588" t="str">
        <x:v>Round</x:v>
      </x:c>
      <x:c r="C2588" t="str">
        <x:v>G</x:v>
      </x:c>
      <x:c r="D2588" t="str">
        <x:v>VVS1</x:v>
      </x:c>
      <x:c r="E2588" s="36" t="n">
        <x:v>112148</x:v>
      </x:c>
      <x:c r="F2588" s="36" t="n">
        <x:v>5124</x:v>
      </x:c>
      <x:c r="G2588" s="42" t="n">
        <x:v>1.0990990990990992</x:v>
      </x:c>
      <x:c r="H2588" s="36" t="n">
        <x:f>E2588*G2588</x:f>
        <x:v>123261.76576576578</x:v>
      </x:c>
      <x:c r="I2588" s="36" t="n">
        <x:f>IFERROR(H2588/A2588,0)</x:f>
        <x:v>24652.353153153155</x:v>
      </x:c>
      <x:c r="J2588" s="67" t="str">
        <x:v>Modeled from live base + Sep-2026 quality ratio</x:v>
      </x:c>
      <x:c r="K2588" s="67" t="str">
        <x:v>https://www.stonealgo.com/diamond-prices/</x:v>
      </x:c>
      <x:c r="L2588" s="67" t="str">
        <x:v>https://www.pricescope.com/blog/natural-diamond-prices-september-2026</x:v>
      </x:c>
    </x:row>
    <x:row r="2589">
      <x:c r="A2589" t="n">
        <x:v>5</x:v>
      </x:c>
      <x:c r="B2589" t="str">
        <x:v>Round</x:v>
      </x:c>
      <x:c r="C2589" t="str">
        <x:v>G</x:v>
      </x:c>
      <x:c r="D2589" t="str">
        <x:v>VVS2</x:v>
      </x:c>
      <x:c r="E2589" s="36" t="n">
        <x:v>112148</x:v>
      </x:c>
      <x:c r="F2589" s="36" t="n">
        <x:v>4962</x:v>
      </x:c>
      <x:c r="G2589" s="42" t="n">
        <x:v>1.0643500643500643</x:v>
      </x:c>
      <x:c r="H2589" s="36" t="n">
        <x:f>E2589*G2589</x:f>
        <x:v>119364.731016731</x:v>
      </x:c>
      <x:c r="I2589" s="36" t="n">
        <x:f>IFERROR(H2589/A2589,0)</x:f>
        <x:v>23872.9462033462</x:v>
      </x:c>
      <x:c r="J2589" s="67" t="str">
        <x:v>Modeled from live base + Sep-2026 quality ratio</x:v>
      </x:c>
      <x:c r="K2589" s="67" t="str">
        <x:v>https://www.stonealgo.com/diamond-prices/</x:v>
      </x:c>
      <x:c r="L2589" s="67" t="str">
        <x:v>https://www.pricescope.com/blog/natural-diamond-prices-september-2026</x:v>
      </x:c>
    </x:row>
    <x:row r="2590">
      <x:c r="A2590" t="n">
        <x:v>5</x:v>
      </x:c>
      <x:c r="B2590" t="str">
        <x:v>Round</x:v>
      </x:c>
      <x:c r="C2590" t="str">
        <x:v>G</x:v>
      </x:c>
      <x:c r="D2590" t="str">
        <x:v>VS1</x:v>
      </x:c>
      <x:c r="E2590" s="36" t="n">
        <x:v>112148</x:v>
      </x:c>
      <x:c r="F2590" s="36" t="n">
        <x:v>4615</x:v>
      </x:c>
      <x:c r="G2590" s="42" t="n">
        <x:v>0.98991848991849</x:v>
      </x:c>
      <x:c r="H2590" s="36" t="n">
        <x:f>E2590*G2590</x:f>
        <x:v>111017.37880737882</x:v>
      </x:c>
      <x:c r="I2590" s="36" t="n">
        <x:f>IFERROR(H2590/A2590,0)</x:f>
        <x:v>22203.475761475762</x:v>
      </x:c>
      <x:c r="J2590" s="67" t="str">
        <x:v>Modeled from live base + Sep-2026 quality ratio</x:v>
      </x:c>
      <x:c r="K2590" s="67" t="str">
        <x:v>https://www.stonealgo.com/diamond-prices/</x:v>
      </x:c>
      <x:c r="L2590" s="67" t="str">
        <x:v>https://www.pricescope.com/blog/natural-diamond-prices-september-2026</x:v>
      </x:c>
    </x:row>
    <x:row r="2591">
      <x:c r="A2591" t="n">
        <x:v>5</x:v>
      </x:c>
      <x:c r="B2591" t="str">
        <x:v>Round</x:v>
      </x:c>
      <x:c r="C2591" t="str">
        <x:v>G</x:v>
      </x:c>
      <x:c r="D2591" t="str">
        <x:v>VS2</x:v>
      </x:c>
      <x:c r="E2591" s="36" t="n">
        <x:v>112148</x:v>
      </x:c>
      <x:c r="F2591" s="36" t="n">
        <x:v>4585</x:v>
      </x:c>
      <x:c r="G2591" s="42" t="n">
        <x:v>0.9834834834834835</x:v>
      </x:c>
      <x:c r="H2591" s="36" t="n">
        <x:f>E2591*G2591</x:f>
        <x:v>110295.70570570571</x:v>
      </x:c>
      <x:c r="I2591" s="36" t="n">
        <x:f>IFERROR(H2591/A2591,0)</x:f>
        <x:v>22059.141141141143</x:v>
      </x:c>
      <x:c r="J2591" s="67" t="str">
        <x:v>Modeled from live base + Sep-2026 quality ratio</x:v>
      </x:c>
      <x:c r="K2591" s="67" t="str">
        <x:v>https://www.stonealgo.com/diamond-prices/</x:v>
      </x:c>
      <x:c r="L2591" s="67" t="str">
        <x:v>https://www.pricescope.com/blog/natural-diamond-prices-september-2026</x:v>
      </x:c>
    </x:row>
    <x:row r="2592">
      <x:c r="A2592" t="n">
        <x:v>5</x:v>
      </x:c>
      <x:c r="B2592" t="str">
        <x:v>Round</x:v>
      </x:c>
      <x:c r="C2592" t="str">
        <x:v>G</x:v>
      </x:c>
      <x:c r="D2592" t="str">
        <x:v>SI1</x:v>
      </x:c>
      <x:c r="E2592" s="36" t="n">
        <x:v>112148</x:v>
      </x:c>
      <x:c r="F2592" s="36" t="n">
        <x:v>3664</x:v>
      </x:c>
      <x:c r="G2592" s="42" t="n">
        <x:v>0.7859287859287859</x:v>
      </x:c>
      <x:c r="H2592" s="36" t="n">
        <x:f>E2592*G2592</x:f>
        <x:v>88140.34148434148</x:v>
      </x:c>
      <x:c r="I2592" s="36" t="n">
        <x:f>IFERROR(H2592/A2592,0)</x:f>
        <x:v>17628.068296868296</x:v>
      </x:c>
      <x:c r="J2592" s="67" t="str">
        <x:v>Modeled from live base + Sep-2026 quality ratio</x:v>
      </x:c>
      <x:c r="K2592" s="67" t="str">
        <x:v>https://www.stonealgo.com/diamond-prices/</x:v>
      </x:c>
      <x:c r="L2592" s="67" t="str">
        <x:v>https://www.pricescope.com/blog/natural-diamond-prices-september-2026</x:v>
      </x:c>
    </x:row>
    <x:row r="2593">
      <x:c r="A2593" t="n">
        <x:v>5</x:v>
      </x:c>
      <x:c r="B2593" t="str">
        <x:v>Round</x:v>
      </x:c>
      <x:c r="C2593" t="str">
        <x:v>G</x:v>
      </x:c>
      <x:c r="D2593" t="str">
        <x:v>SI2</x:v>
      </x:c>
      <x:c r="E2593" s="36" t="n">
        <x:v>112148</x:v>
      </x:c>
      <x:c r="F2593" s="36" t="n">
        <x:v>2537</x:v>
      </x:c>
      <x:c r="G2593" s="42" t="n">
        <x:v>0.5441870441870442</x:v>
      </x:c>
      <x:c r="H2593" s="36" t="n">
        <x:f>E2593*G2593</x:f>
        <x:v>61029.48863148864</x:v>
      </x:c>
      <x:c r="I2593" s="36" t="n">
        <x:f>IFERROR(H2593/A2593,0)</x:f>
        <x:v>12205.897726297728</x:v>
      </x:c>
      <x:c r="J2593" s="67" t="str">
        <x:v>Modeled from live base + Sep-2026 quality ratio</x:v>
      </x:c>
      <x:c r="K2593" s="67" t="str">
        <x:v>https://www.stonealgo.com/diamond-prices/</x:v>
      </x:c>
      <x:c r="L2593" s="67" t="str">
        <x:v>https://www.pricescope.com/blog/natural-diamond-prices-september-2026</x:v>
      </x:c>
    </x:row>
    <x:row r="2594">
      <x:c r="A2594" t="n">
        <x:v>5</x:v>
      </x:c>
      <x:c r="B2594" t="str">
        <x:v>Round</x:v>
      </x:c>
      <x:c r="C2594" t="str">
        <x:v>H</x:v>
      </x:c>
      <x:c r="D2594" t="str">
        <x:v>FL</x:v>
      </x:c>
      <x:c r="E2594" s="36" t="n">
        <x:v>112148</x:v>
      </x:c>
      <x:c r="F2594" s="36" t="n">
        <x:v>4563</x:v>
      </x:c>
      <x:c r="G2594" s="42" t="n">
        <x:v>0.9787644787644788</x:v>
      </x:c>
      <x:c r="H2594" s="36" t="n">
        <x:f>E2594*G2594</x:f>
        <x:v>109766.47876447877</x:v>
      </x:c>
      <x:c r="I2594" s="36" t="n">
        <x:f>IFERROR(H2594/A2594,0)</x:f>
        <x:v>21953.295752895756</x:v>
      </x:c>
      <x:c r="J2594" s="67" t="str">
        <x:v>Modeled from live base + Sep-2026 quality ratio</x:v>
      </x:c>
      <x:c r="K2594" s="67" t="str">
        <x:v>https://www.stonealgo.com/diamond-prices/</x:v>
      </x:c>
      <x:c r="L2594" s="67" t="str">
        <x:v>https://www.pricescope.com/blog/natural-diamond-prices-september-2026</x:v>
      </x:c>
    </x:row>
    <x:row r="2595">
      <x:c r="A2595" t="n">
        <x:v>5</x:v>
      </x:c>
      <x:c r="B2595" t="str">
        <x:v>Round</x:v>
      </x:c>
      <x:c r="C2595" t="str">
        <x:v>H</x:v>
      </x:c>
      <x:c r="D2595" t="str">
        <x:v>IF</x:v>
      </x:c>
      <x:c r="E2595" s="36" t="n">
        <x:v>112148</x:v>
      </x:c>
      <x:c r="F2595" s="36" t="n">
        <x:v>4809</x:v>
      </x:c>
      <x:c r="G2595" s="42" t="n">
        <x:v>1.0315315315315314</x:v>
      </x:c>
      <x:c r="H2595" s="36" t="n">
        <x:f>E2595*G2595</x:f>
        <x:v>115684.19819819818</x:v>
      </x:c>
      <x:c r="I2595" s="36" t="n">
        <x:f>IFERROR(H2595/A2595,0)</x:f>
        <x:v>23136.839639639635</x:v>
      </x:c>
      <x:c r="J2595" s="67" t="str">
        <x:v>Modeled from live base + Sep-2026 quality ratio</x:v>
      </x:c>
      <x:c r="K2595" s="67" t="str">
        <x:v>https://www.stonealgo.com/diamond-prices/</x:v>
      </x:c>
      <x:c r="L2595" s="67" t="str">
        <x:v>https://www.pricescope.com/blog/natural-diamond-prices-september-2026</x:v>
      </x:c>
    </x:row>
    <x:row r="2596">
      <x:c r="A2596" t="n">
        <x:v>5</x:v>
      </x:c>
      <x:c r="B2596" t="str">
        <x:v>Round</x:v>
      </x:c>
      <x:c r="C2596" t="str">
        <x:v>H</x:v>
      </x:c>
      <x:c r="D2596" t="str">
        <x:v>VVS1</x:v>
      </x:c>
      <x:c r="E2596" s="36" t="n">
        <x:v>112148</x:v>
      </x:c>
      <x:c r="F2596" s="36" t="n">
        <x:v>4911</x:v>
      </x:c>
      <x:c r="G2596" s="42" t="n">
        <x:v>1.0534105534105533</x:v>
      </x:c>
      <x:c r="H2596" s="36" t="n">
        <x:f>E2596*G2596</x:f>
        <x:v>118137.88674388673</x:v>
      </x:c>
      <x:c r="I2596" s="36" t="n">
        <x:f>IFERROR(H2596/A2596,0)</x:f>
        <x:v>23627.577348777348</x:v>
      </x:c>
      <x:c r="J2596" s="67" t="str">
        <x:v>Modeled from live base + Sep-2026 quality ratio</x:v>
      </x:c>
      <x:c r="K2596" s="67" t="str">
        <x:v>https://www.stonealgo.com/diamond-prices/</x:v>
      </x:c>
      <x:c r="L2596" s="67" t="str">
        <x:v>https://www.pricescope.com/blog/natural-diamond-prices-september-2026</x:v>
      </x:c>
    </x:row>
    <x:row r="2597">
      <x:c r="A2597" t="n">
        <x:v>5</x:v>
      </x:c>
      <x:c r="B2597" t="str">
        <x:v>Round</x:v>
      </x:c>
      <x:c r="C2597" t="str">
        <x:v>H</x:v>
      </x:c>
      <x:c r="D2597" t="str">
        <x:v>VVS2</x:v>
      </x:c>
      <x:c r="E2597" s="36" t="n">
        <x:v>112148</x:v>
      </x:c>
      <x:c r="F2597" s="36" t="n">
        <x:v>4046</x:v>
      </x:c>
      <x:c r="G2597" s="42" t="n">
        <x:v>0.8678678678678678</x:v>
      </x:c>
      <x:c r="H2597" s="36" t="n">
        <x:f>E2597*G2597</x:f>
        <x:v>97329.64564564564</x:v>
      </x:c>
      <x:c r="I2597" s="36" t="n">
        <x:f>IFERROR(H2597/A2597,0)</x:f>
        <x:v>19465.929129129127</x:v>
      </x:c>
      <x:c r="J2597" s="67" t="str">
        <x:v>Modeled from live base + Sep-2026 quality ratio</x:v>
      </x:c>
      <x:c r="K2597" s="67" t="str">
        <x:v>https://www.stonealgo.com/diamond-prices/</x:v>
      </x:c>
      <x:c r="L2597" s="67" t="str">
        <x:v>https://www.pricescope.com/blog/natural-diamond-prices-september-2026</x:v>
      </x:c>
    </x:row>
    <x:row r="2598">
      <x:c r="A2598" t="n">
        <x:v>5</x:v>
      </x:c>
      <x:c r="B2598" t="str">
        <x:v>Round</x:v>
      </x:c>
      <x:c r="C2598" t="str">
        <x:v>H</x:v>
      </x:c>
      <x:c r="D2598" t="str">
        <x:v>VS1</x:v>
      </x:c>
      <x:c r="E2598" s="36" t="n">
        <x:v>112148</x:v>
      </x:c>
      <x:c r="F2598" s="36" t="n">
        <x:v>3893</x:v>
      </x:c>
      <x:c r="G2598" s="42" t="n">
        <x:v>0.8350493350493351</x:v>
      </x:c>
      <x:c r="H2598" s="36" t="n">
        <x:f>E2598*G2598</x:f>
        <x:v>93649.11282711283</x:v>
      </x:c>
      <x:c r="I2598" s="36" t="n">
        <x:f>IFERROR(H2598/A2598,0)</x:f>
        <x:v>18729.822565422564</x:v>
      </x:c>
      <x:c r="J2598" s="67" t="str">
        <x:v>Modeled from live base + Sep-2026 quality ratio</x:v>
      </x:c>
      <x:c r="K2598" s="67" t="str">
        <x:v>https://www.stonealgo.com/diamond-prices/</x:v>
      </x:c>
      <x:c r="L2598" s="67" t="str">
        <x:v>https://www.pricescope.com/blog/natural-diamond-prices-september-2026</x:v>
      </x:c>
    </x:row>
    <x:row r="2599">
      <x:c r="A2599" t="n">
        <x:v>5</x:v>
      </x:c>
      <x:c r="B2599" t="str">
        <x:v>Round</x:v>
      </x:c>
      <x:c r="C2599" t="str">
        <x:v>H</x:v>
      </x:c>
      <x:c r="D2599" t="str">
        <x:v>VS2</x:v>
      </x:c>
      <x:c r="E2599" s="36" t="n">
        <x:v>112148</x:v>
      </x:c>
      <x:c r="F2599" s="36" t="n">
        <x:v>3989</x:v>
      </x:c>
      <x:c r="G2599" s="42" t="n">
        <x:v>0.8556413556413557</x:v>
      </x:c>
      <x:c r="H2599" s="36" t="n">
        <x:f>E2599*G2599</x:f>
        <x:v>95958.46675246676</x:v>
      </x:c>
      <x:c r="I2599" s="36" t="n">
        <x:f>IFERROR(H2599/A2599,0)</x:f>
        <x:v>19191.69335049335</x:v>
      </x:c>
      <x:c r="J2599" s="67" t="str">
        <x:v>Modeled from live base + Sep-2026 quality ratio</x:v>
      </x:c>
      <x:c r="K2599" s="67" t="str">
        <x:v>https://www.stonealgo.com/diamond-prices/</x:v>
      </x:c>
      <x:c r="L2599" s="67" t="str">
        <x:v>https://www.pricescope.com/blog/natural-diamond-prices-september-2026</x:v>
      </x:c>
    </x:row>
    <x:row r="2600">
      <x:c r="A2600" t="n">
        <x:v>5</x:v>
      </x:c>
      <x:c r="B2600" t="str">
        <x:v>Round</x:v>
      </x:c>
      <x:c r="C2600" t="str">
        <x:v>H</x:v>
      </x:c>
      <x:c r="D2600" t="str">
        <x:v>SI1</x:v>
      </x:c>
      <x:c r="E2600" s="36" t="n">
        <x:v>112148</x:v>
      </x:c>
      <x:c r="F2600" s="36" t="n">
        <x:v>2828</x:v>
      </x:c>
      <x:c r="G2600" s="42" t="n">
        <x:v>0.6066066066066066</x:v>
      </x:c>
      <x:c r="H2600" s="36" t="n">
        <x:f>E2600*G2600</x:f>
        <x:v>68029.71771771772</x:v>
      </x:c>
      <x:c r="I2600" s="36" t="n">
        <x:f>IFERROR(H2600/A2600,0)</x:f>
        <x:v>13605.943543543544</x:v>
      </x:c>
      <x:c r="J2600" s="67" t="str">
        <x:v>Modeled from live base + Sep-2026 quality ratio</x:v>
      </x:c>
      <x:c r="K2600" s="67" t="str">
        <x:v>https://www.stonealgo.com/diamond-prices/</x:v>
      </x:c>
      <x:c r="L2600" s="67" t="str">
        <x:v>https://www.pricescope.com/blog/natural-diamond-prices-september-2026</x:v>
      </x:c>
    </x:row>
    <x:row r="2601">
      <x:c r="A2601" t="n">
        <x:v>5</x:v>
      </x:c>
      <x:c r="B2601" t="str">
        <x:v>Round</x:v>
      </x:c>
      <x:c r="C2601" t="str">
        <x:v>H</x:v>
      </x:c>
      <x:c r="D2601" t="str">
        <x:v>SI2</x:v>
      </x:c>
      <x:c r="E2601" s="36" t="n">
        <x:v>112148</x:v>
      </x:c>
      <x:c r="F2601" s="36" t="n">
        <x:v>2328</x:v>
      </x:c>
      <x:c r="G2601" s="42" t="n">
        <x:v>0.49935649935649934</x:v>
      </x:c>
      <x:c r="H2601" s="36" t="n">
        <x:f>E2601*G2601</x:f>
        <x:v>56001.832689832685</x:v>
      </x:c>
      <x:c r="I2601" s="36" t="n">
        <x:f>IFERROR(H2601/A2601,0)</x:f>
        <x:v>11200.366537966536</x:v>
      </x:c>
      <x:c r="J2601" s="67" t="str">
        <x:v>Modeled from live base + Sep-2026 quality ratio</x:v>
      </x:c>
      <x:c r="K2601" s="67" t="str">
        <x:v>https://www.stonealgo.com/diamond-prices/</x:v>
      </x:c>
      <x:c r="L2601" s="67" t="str">
        <x:v>https://www.pricescope.com/blog/natural-diamond-prices-september-2026</x:v>
      </x:c>
    </x:row>
    <x:row r="2602">
      <x:c r="A2602" t="n">
        <x:v>5</x:v>
      </x:c>
      <x:c r="B2602" t="str">
        <x:v>Round</x:v>
      </x:c>
      <x:c r="C2602" t="str">
        <x:v>I</x:v>
      </x:c>
      <x:c r="D2602" t="str">
        <x:v>FL</x:v>
      </x:c>
      <x:c r="E2602" s="36" t="n">
        <x:v>112148</x:v>
      </x:c>
      <x:c r="F2602" s="36" t="n">
        <x:v>4623</x:v>
      </x:c>
      <x:c r="G2602" s="42" t="n">
        <x:v>0.9916344916344917</x:v>
      </x:c>
      <x:c r="H2602" s="36" t="n">
        <x:f>E2602*G2602</x:f>
        <x:v>111209.82496782497</x:v>
      </x:c>
      <x:c r="I2602" s="36" t="n">
        <x:f>IFERROR(H2602/A2602,0)</x:f>
        <x:v>22241.964993564994</x:v>
      </x:c>
      <x:c r="J2602" s="67" t="str">
        <x:v>Modeled from live base + Sep-2026 quality ratio</x:v>
      </x:c>
      <x:c r="K2602" s="67" t="str">
        <x:v>https://www.stonealgo.com/diamond-prices/</x:v>
      </x:c>
      <x:c r="L2602" s="67" t="str">
        <x:v>https://www.pricescope.com/blog/natural-diamond-prices-september-2026</x:v>
      </x:c>
    </x:row>
    <x:row r="2603">
      <x:c r="A2603" t="n">
        <x:v>5</x:v>
      </x:c>
      <x:c r="B2603" t="str">
        <x:v>Round</x:v>
      </x:c>
      <x:c r="C2603" t="str">
        <x:v>I</x:v>
      </x:c>
      <x:c r="D2603" t="str">
        <x:v>IF</x:v>
      </x:c>
      <x:c r="E2603" s="36" t="n">
        <x:v>112148</x:v>
      </x:c>
      <x:c r="F2603" s="36" t="n">
        <x:v>4005</x:v>
      </x:c>
      <x:c r="G2603" s="42" t="n">
        <x:v>0.859073359073359</x:v>
      </x:c>
      <x:c r="H2603" s="36" t="n">
        <x:f>E2603*G2603</x:f>
        <x:v>96343.35907335907</x:v>
      </x:c>
      <x:c r="I2603" s="36" t="n">
        <x:f>IFERROR(H2603/A2603,0)</x:f>
        <x:v>19268.671814671812</x:v>
      </x:c>
      <x:c r="J2603" s="67" t="str">
        <x:v>Modeled from live base + Sep-2026 quality ratio</x:v>
      </x:c>
      <x:c r="K2603" s="67" t="str">
        <x:v>https://www.stonealgo.com/diamond-prices/</x:v>
      </x:c>
      <x:c r="L2603" s="67" t="str">
        <x:v>https://www.pricescope.com/blog/natural-diamond-prices-september-2026</x:v>
      </x:c>
    </x:row>
    <x:row r="2604">
      <x:c r="A2604" t="n">
        <x:v>5</x:v>
      </x:c>
      <x:c r="B2604" t="str">
        <x:v>Round</x:v>
      </x:c>
      <x:c r="C2604" t="str">
        <x:v>I</x:v>
      </x:c>
      <x:c r="D2604" t="str">
        <x:v>VVS1</x:v>
      </x:c>
      <x:c r="E2604" s="36" t="n">
        <x:v>112148</x:v>
      </x:c>
      <x:c r="F2604" s="36" t="n">
        <x:v>3670</x:v>
      </x:c>
      <x:c r="G2604" s="42" t="n">
        <x:v>0.7872157872157872</x:v>
      </x:c>
      <x:c r="H2604" s="36" t="n">
        <x:f>E2604*G2604</x:f>
        <x:v>88284.67610467611</x:v>
      </x:c>
      <x:c r="I2604" s="36" t="n">
        <x:f>IFERROR(H2604/A2604,0)</x:f>
        <x:v>17656.935220935222</x:v>
      </x:c>
      <x:c r="J2604" s="67" t="str">
        <x:v>Modeled from live base + Sep-2026 quality ratio</x:v>
      </x:c>
      <x:c r="K2604" s="67" t="str">
        <x:v>https://www.stonealgo.com/diamond-prices/</x:v>
      </x:c>
      <x:c r="L2604" s="67" t="str">
        <x:v>https://www.pricescope.com/blog/natural-diamond-prices-september-2026</x:v>
      </x:c>
    </x:row>
    <x:row r="2605">
      <x:c r="A2605" t="n">
        <x:v>5</x:v>
      </x:c>
      <x:c r="B2605" t="str">
        <x:v>Round</x:v>
      </x:c>
      <x:c r="C2605" t="str">
        <x:v>I</x:v>
      </x:c>
      <x:c r="D2605" t="str">
        <x:v>VVS2</x:v>
      </x:c>
      <x:c r="E2605" s="36" t="n">
        <x:v>112148</x:v>
      </x:c>
      <x:c r="F2605" s="36" t="n">
        <x:v>3447</x:v>
      </x:c>
      <x:c r="G2605" s="42" t="n">
        <x:v>0.7393822393822393</x:v>
      </x:c>
      <x:c r="H2605" s="36" t="n">
        <x:f>E2605*G2605</x:f>
        <x:v>82920.23938223938</x:v>
      </x:c>
      <x:c r="I2605" s="36" t="n">
        <x:f>IFERROR(H2605/A2605,0)</x:f>
        <x:v>16584.047876447876</x:v>
      </x:c>
      <x:c r="J2605" s="67" t="str">
        <x:v>Modeled from live base + Sep-2026 quality ratio</x:v>
      </x:c>
      <x:c r="K2605" s="67" t="str">
        <x:v>https://www.stonealgo.com/diamond-prices/</x:v>
      </x:c>
      <x:c r="L2605" s="67" t="str">
        <x:v>https://www.pricescope.com/blog/natural-diamond-prices-september-2026</x:v>
      </x:c>
    </x:row>
    <x:row r="2606">
      <x:c r="A2606" t="n">
        <x:v>5</x:v>
      </x:c>
      <x:c r="B2606" t="str">
        <x:v>Round</x:v>
      </x:c>
      <x:c r="C2606" t="str">
        <x:v>I</x:v>
      </x:c>
      <x:c r="D2606" t="str">
        <x:v>VS1</x:v>
      </x:c>
      <x:c r="E2606" s="36" t="n">
        <x:v>112148</x:v>
      </x:c>
      <x:c r="F2606" s="36" t="n">
        <x:v>3313</x:v>
      </x:c>
      <x:c r="G2606" s="42" t="n">
        <x:v>0.7106392106392107</x:v>
      </x:c>
      <x:c r="H2606" s="36" t="n">
        <x:f>E2606*G2606</x:f>
        <x:v>79696.7661947662</x:v>
      </x:c>
      <x:c r="I2606" s="36" t="n">
        <x:f>IFERROR(H2606/A2606,0)</x:f>
        <x:v>15939.35323895324</x:v>
      </x:c>
      <x:c r="J2606" s="67" t="str">
        <x:v>Modeled from live base + Sep-2026 quality ratio</x:v>
      </x:c>
      <x:c r="K2606" s="67" t="str">
        <x:v>https://www.stonealgo.com/diamond-prices/</x:v>
      </x:c>
      <x:c r="L2606" s="67" t="str">
        <x:v>https://www.pricescope.com/blog/natural-diamond-prices-september-2026</x:v>
      </x:c>
    </x:row>
    <x:row r="2607">
      <x:c r="A2607" t="n">
        <x:v>5</x:v>
      </x:c>
      <x:c r="B2607" t="str">
        <x:v>Round</x:v>
      </x:c>
      <x:c r="C2607" t="str">
        <x:v>I</x:v>
      </x:c>
      <x:c r="D2607" t="str">
        <x:v>VS2</x:v>
      </x:c>
      <x:c r="E2607" s="36" t="n">
        <x:v>112148</x:v>
      </x:c>
      <x:c r="F2607" s="36" t="n">
        <x:v>3240</x:v>
      </x:c>
      <x:c r="G2607" s="42" t="n">
        <x:v>0.694980694980695</x:v>
      </x:c>
      <x:c r="H2607" s="36" t="n">
        <x:f>E2607*G2607</x:f>
        <x:v>77940.69498069499</x:v>
      </x:c>
      <x:c r="I2607" s="36" t="n">
        <x:f>IFERROR(H2607/A2607,0)</x:f>
        <x:v>15588.138996138998</x:v>
      </x:c>
      <x:c r="J2607" s="67" t="str">
        <x:v>Modeled from live base + Sep-2026 quality ratio</x:v>
      </x:c>
      <x:c r="K2607" s="67" t="str">
        <x:v>https://www.stonealgo.com/diamond-prices/</x:v>
      </x:c>
      <x:c r="L2607" s="67" t="str">
        <x:v>https://www.pricescope.com/blog/natural-diamond-prices-september-2026</x:v>
      </x:c>
    </x:row>
    <x:row r="2608">
      <x:c r="A2608" t="n">
        <x:v>5</x:v>
      </x:c>
      <x:c r="B2608" t="str">
        <x:v>Round</x:v>
      </x:c>
      <x:c r="C2608" t="str">
        <x:v>I</x:v>
      </x:c>
      <x:c r="D2608" t="str">
        <x:v>SI1</x:v>
      </x:c>
      <x:c r="E2608" s="36" t="n">
        <x:v>112148</x:v>
      </x:c>
      <x:c r="F2608" s="36" t="n">
        <x:v>3199</x:v>
      </x:c>
      <x:c r="G2608" s="42" t="n">
        <x:v>0.6861861861861862</x:v>
      </x:c>
      <x:c r="H2608" s="36" t="n">
        <x:f>E2608*G2608</x:f>
        <x:v>76954.40840840842</x:v>
      </x:c>
      <x:c r="I2608" s="36" t="n">
        <x:f>IFERROR(H2608/A2608,0)</x:f>
        <x:v>15390.881681681683</x:v>
      </x:c>
      <x:c r="J2608" s="67" t="str">
        <x:v>Modeled from live base + Sep-2026 quality ratio</x:v>
      </x:c>
      <x:c r="K2608" s="67" t="str">
        <x:v>https://www.stonealgo.com/diamond-prices/</x:v>
      </x:c>
      <x:c r="L2608" s="67" t="str">
        <x:v>https://www.pricescope.com/blog/natural-diamond-prices-september-2026</x:v>
      </x:c>
    </x:row>
    <x:row r="2609">
      <x:c r="A2609" t="n">
        <x:v>5</x:v>
      </x:c>
      <x:c r="B2609" t="str">
        <x:v>Round</x:v>
      </x:c>
      <x:c r="C2609" t="str">
        <x:v>I</x:v>
      </x:c>
      <x:c r="D2609" t="str">
        <x:v>SI2</x:v>
      </x:c>
      <x:c r="E2609" s="36" t="n">
        <x:v>112148</x:v>
      </x:c>
      <x:c r="F2609" s="36" t="n">
        <x:v>2874</x:v>
      </x:c>
      <x:c r="G2609" s="42" t="n">
        <x:v>0.6164736164736164</x:v>
      </x:c>
      <x:c r="H2609" s="36" t="n">
        <x:f>E2609*G2609</x:f>
        <x:v>69136.28314028314</x:v>
      </x:c>
      <x:c r="I2609" s="36" t="n">
        <x:f>IFERROR(H2609/A2609,0)</x:f>
        <x:v>13827.256628056628</x:v>
      </x:c>
      <x:c r="J2609" s="67" t="str">
        <x:v>Modeled from live base + Sep-2026 quality ratio</x:v>
      </x:c>
      <x:c r="K2609" s="67" t="str">
        <x:v>https://www.stonealgo.com/diamond-prices/</x:v>
      </x:c>
      <x:c r="L2609" s="67" t="str">
        <x:v>https://www.pricescope.com/blog/natural-diamond-prices-september-2026</x:v>
      </x:c>
    </x:row>
    <x:row r="2610">
      <x:c r="A2610" t="n">
        <x:v>5</x:v>
      </x:c>
      <x:c r="B2610" t="str">
        <x:v>Round</x:v>
      </x:c>
      <x:c r="C2610" t="str">
        <x:v>J</x:v>
      </x:c>
      <x:c r="D2610" t="str">
        <x:v>FL</x:v>
      </x:c>
      <x:c r="E2610" s="36" t="n">
        <x:v>112148</x:v>
      </x:c>
      <x:c r="F2610" s="36" t="n">
        <x:v>3646</x:v>
      </x:c>
      <x:c r="G2610" s="42" t="n">
        <x:v>0.782067782067782</x:v>
      </x:c>
      <x:c r="H2610" s="36" t="n">
        <x:f>E2610*G2610</x:f>
        <x:v>87707.33762333762</x:v>
      </x:c>
      <x:c r="I2610" s="36" t="n">
        <x:f>IFERROR(H2610/A2610,0)</x:f>
        <x:v>17541.467524667525</x:v>
      </x:c>
      <x:c r="J2610" s="67" t="str">
        <x:v>Modeled from live base + Sep-2026 quality ratio</x:v>
      </x:c>
      <x:c r="K2610" s="67" t="str">
        <x:v>https://www.stonealgo.com/diamond-prices/</x:v>
      </x:c>
      <x:c r="L2610" s="67" t="str">
        <x:v>https://www.pricescope.com/blog/natural-diamond-prices-september-2026</x:v>
      </x:c>
    </x:row>
    <x:row r="2611">
      <x:c r="A2611" t="n">
        <x:v>5</x:v>
      </x:c>
      <x:c r="B2611" t="str">
        <x:v>Round</x:v>
      </x:c>
      <x:c r="C2611" t="str">
        <x:v>J</x:v>
      </x:c>
      <x:c r="D2611" t="str">
        <x:v>IF</x:v>
      </x:c>
      <x:c r="E2611" s="36" t="n">
        <x:v>112148</x:v>
      </x:c>
      <x:c r="F2611" s="36" t="n">
        <x:v>3368</x:v>
      </x:c>
      <x:c r="G2611" s="42" t="n">
        <x:v>0.7224367224367224</x:v>
      </x:c>
      <x:c r="H2611" s="36" t="n">
        <x:f>E2611*G2611</x:f>
        <x:v>81019.83354783355</x:v>
      </x:c>
      <x:c r="I2611" s="36" t="n">
        <x:f>IFERROR(H2611/A2611,0)</x:f>
        <x:v>16203.96670956671</x:v>
      </x:c>
      <x:c r="J2611" s="67" t="str">
        <x:v>Modeled from live base + Sep-2026 quality ratio</x:v>
      </x:c>
      <x:c r="K2611" s="67" t="str">
        <x:v>https://www.stonealgo.com/diamond-prices/</x:v>
      </x:c>
      <x:c r="L2611" s="67" t="str">
        <x:v>https://www.pricescope.com/blog/natural-diamond-prices-september-2026</x:v>
      </x:c>
    </x:row>
    <x:row r="2612">
      <x:c r="A2612" t="n">
        <x:v>5</x:v>
      </x:c>
      <x:c r="B2612" t="str">
        <x:v>Round</x:v>
      </x:c>
      <x:c r="C2612" t="str">
        <x:v>J</x:v>
      </x:c>
      <x:c r="D2612" t="str">
        <x:v>VVS1</x:v>
      </x:c>
      <x:c r="E2612" s="36" t="n">
        <x:v>112148</x:v>
      </x:c>
      <x:c r="F2612" s="36" t="n">
        <x:v>2956</x:v>
      </x:c>
      <x:c r="G2612" s="42" t="n">
        <x:v>0.6340626340626341</x:v>
      </x:c>
      <x:c r="H2612" s="36" t="n">
        <x:f>E2612*G2612</x:f>
        <x:v>71108.85628485629</x:v>
      </x:c>
      <x:c r="I2612" s="36" t="n">
        <x:f>IFERROR(H2612/A2612,0)</x:f>
        <x:v>14221.771256971257</x:v>
      </x:c>
      <x:c r="J2612" s="67" t="str">
        <x:v>Modeled from live base + Sep-2026 quality ratio</x:v>
      </x:c>
      <x:c r="K2612" s="67" t="str">
        <x:v>https://www.stonealgo.com/diamond-prices/</x:v>
      </x:c>
      <x:c r="L2612" s="67" t="str">
        <x:v>https://www.pricescope.com/blog/natural-diamond-prices-september-2026</x:v>
      </x:c>
    </x:row>
    <x:row r="2613">
      <x:c r="A2613" t="n">
        <x:v>5</x:v>
      </x:c>
      <x:c r="B2613" t="str">
        <x:v>Round</x:v>
      </x:c>
      <x:c r="C2613" t="str">
        <x:v>J</x:v>
      </x:c>
      <x:c r="D2613" t="str">
        <x:v>VVS2</x:v>
      </x:c>
      <x:c r="E2613" s="36" t="n">
        <x:v>112148</x:v>
      </x:c>
      <x:c r="F2613" s="36" t="n">
        <x:v>2612</x:v>
      </x:c>
      <x:c r="G2613" s="42" t="n">
        <x:v>0.5602745602745602</x:v>
      </x:c>
      <x:c r="H2613" s="36" t="n">
        <x:f>E2613*G2613</x:f>
        <x:v>62833.67138567138</x:v>
      </x:c>
      <x:c r="I2613" s="36" t="n">
        <x:f>IFERROR(H2613/A2613,0)</x:f>
        <x:v>12566.734277134277</x:v>
      </x:c>
      <x:c r="J2613" s="67" t="str">
        <x:v>Modeled from live base + Sep-2026 quality ratio</x:v>
      </x:c>
      <x:c r="K2613" s="67" t="str">
        <x:v>https://www.stonealgo.com/diamond-prices/</x:v>
      </x:c>
      <x:c r="L2613" s="67" t="str">
        <x:v>https://www.pricescope.com/blog/natural-diamond-prices-september-2026</x:v>
      </x:c>
    </x:row>
    <x:row r="2614">
      <x:c r="A2614" t="n">
        <x:v>5</x:v>
      </x:c>
      <x:c r="B2614" t="str">
        <x:v>Round</x:v>
      </x:c>
      <x:c r="C2614" t="str">
        <x:v>J</x:v>
      </x:c>
      <x:c r="D2614" t="str">
        <x:v>VS1</x:v>
      </x:c>
      <x:c r="E2614" s="36" t="n">
        <x:v>112148</x:v>
      </x:c>
      <x:c r="F2614" s="36" t="n">
        <x:v>3002</x:v>
      </x:c>
      <x:c r="G2614" s="42" t="n">
        <x:v>0.6439296439296439</x:v>
      </x:c>
      <x:c r="H2614" s="36" t="n">
        <x:f>E2614*G2614</x:f>
        <x:v>72215.4217074217</x:v>
      </x:c>
      <x:c r="I2614" s="36" t="n">
        <x:f>IFERROR(H2614/A2614,0)</x:f>
        <x:v>14443.08434148434</x:v>
      </x:c>
      <x:c r="J2614" s="67" t="str">
        <x:v>Modeled from live base + Sep-2026 quality ratio</x:v>
      </x:c>
      <x:c r="K2614" s="67" t="str">
        <x:v>https://www.stonealgo.com/diamond-prices/</x:v>
      </x:c>
      <x:c r="L2614" s="67" t="str">
        <x:v>https://www.pricescope.com/blog/natural-diamond-prices-september-2026</x:v>
      </x:c>
    </x:row>
    <x:row r="2615">
      <x:c r="A2615" t="n">
        <x:v>5</x:v>
      </x:c>
      <x:c r="B2615" t="str">
        <x:v>Round</x:v>
      </x:c>
      <x:c r="C2615" t="str">
        <x:v>J</x:v>
      </x:c>
      <x:c r="D2615" t="str">
        <x:v>VS2</x:v>
      </x:c>
      <x:c r="E2615" s="36" t="n">
        <x:v>112148</x:v>
      </x:c>
      <x:c r="F2615" s="36" t="n">
        <x:v>2559</x:v>
      </x:c>
      <x:c r="G2615" s="42" t="n">
        <x:v>0.5489060489060489</x:v>
      </x:c>
      <x:c r="H2615" s="36" t="n">
        <x:f>E2615*G2615</x:f>
        <x:v>61558.71557271557</x:v>
      </x:c>
      <x:c r="I2615" s="36" t="n">
        <x:f>IFERROR(H2615/A2615,0)</x:f>
        <x:v>12311.743114543115</x:v>
      </x:c>
      <x:c r="J2615" s="67" t="str">
        <x:v>Modeled from live base + Sep-2026 quality ratio</x:v>
      </x:c>
      <x:c r="K2615" s="67" t="str">
        <x:v>https://www.stonealgo.com/diamond-prices/</x:v>
      </x:c>
      <x:c r="L2615" s="67" t="str">
        <x:v>https://www.pricescope.com/blog/natural-diamond-prices-september-2026</x:v>
      </x:c>
    </x:row>
    <x:row r="2616">
      <x:c r="A2616" t="n">
        <x:v>5</x:v>
      </x:c>
      <x:c r="B2616" t="str">
        <x:v>Round</x:v>
      </x:c>
      <x:c r="C2616" t="str">
        <x:v>J</x:v>
      </x:c>
      <x:c r="D2616" t="str">
        <x:v>SI1</x:v>
      </x:c>
      <x:c r="E2616" s="36" t="n">
        <x:v>112148</x:v>
      </x:c>
      <x:c r="F2616" s="36" t="n">
        <x:v>2195</x:v>
      </x:c>
      <x:c r="G2616" s="42" t="n">
        <x:v>0.47082797082797084</x:v>
      </x:c>
      <x:c r="H2616" s="36" t="n">
        <x:f>E2616*G2616</x:f>
        <x:v>52802.415272415274</x:v>
      </x:c>
      <x:c r="I2616" s="36" t="n">
        <x:f>IFERROR(H2616/A2616,0)</x:f>
        <x:v>10560.483054483055</x:v>
      </x:c>
      <x:c r="J2616" s="67" t="str">
        <x:v>Modeled from live base + Sep-2026 quality ratio</x:v>
      </x:c>
      <x:c r="K2616" s="67" t="str">
        <x:v>https://www.stonealgo.com/diamond-prices/</x:v>
      </x:c>
      <x:c r="L2616" s="67" t="str">
        <x:v>https://www.pricescope.com/blog/natural-diamond-prices-september-2026</x:v>
      </x:c>
    </x:row>
    <x:row r="2617">
      <x:c r="A2617" t="n">
        <x:v>5</x:v>
      </x:c>
      <x:c r="B2617" t="str">
        <x:v>Round</x:v>
      </x:c>
      <x:c r="C2617" t="str">
        <x:v>J</x:v>
      </x:c>
      <x:c r="D2617" t="str">
        <x:v>SI2</x:v>
      </x:c>
      <x:c r="E2617" s="36" t="n">
        <x:v>112148</x:v>
      </x:c>
      <x:c r="F2617" s="36" t="n">
        <x:v>2079</x:v>
      </x:c>
      <x:c r="G2617" s="42" t="n">
        <x:v>0.44594594594594594</x:v>
      </x:c>
      <x:c r="H2617" s="36" t="n">
        <x:f>E2617*G2617</x:f>
        <x:v>50011.94594594595</x:v>
      </x:c>
      <x:c r="I2617" s="36" t="n">
        <x:f>IFERROR(H2617/A2617,0)</x:f>
        <x:v>10002.389189189189</x:v>
      </x:c>
      <x:c r="J2617" s="67" t="str">
        <x:v>Modeled from live base + Sep-2026 quality ratio</x:v>
      </x:c>
      <x:c r="K2617" s="67" t="str">
        <x:v>https://www.stonealgo.com/diamond-prices/</x:v>
      </x:c>
      <x:c r="L2617" s="67" t="str">
        <x:v>https://www.pricescope.com/blog/natural-diamond-prices-september-2026</x:v>
      </x:c>
    </x:row>
    <x:row r="2618">
      <x:c r="A2618" t="n">
        <x:v>5</x:v>
      </x:c>
      <x:c r="B2618" t="str">
        <x:v>Round</x:v>
      </x:c>
      <x:c r="C2618" t="str">
        <x:v>K</x:v>
      </x:c>
      <x:c r="D2618" t="str">
        <x:v>FL</x:v>
      </x:c>
      <x:c r="E2618" s="36" t="n">
        <x:v>112148</x:v>
      </x:c>
      <x:c r="F2618" s="36" t="n">
        <x:v>2858</x:v>
      </x:c>
      <x:c r="G2618" s="42" t="n">
        <x:v>0.6130416130416131</x:v>
      </x:c>
      <x:c r="H2618" s="36" t="n">
        <x:f>E2618*G2618</x:f>
        <x:v>68751.39081939083</x:v>
      </x:c>
      <x:c r="I2618" s="36" t="n">
        <x:f>IFERROR(H2618/A2618,0)</x:f>
        <x:v>13750.278163878165</x:v>
      </x:c>
      <x:c r="J2618" s="67" t="str">
        <x:v>Modeled from live base + Sep-2026 quality ratio; K/FL quality cell modeled</x:v>
      </x:c>
      <x:c r="K2618" s="67" t="str">
        <x:v>https://www.stonealgo.com/diamond-prices/</x:v>
      </x:c>
      <x:c r="L2618" s="67" t="str">
        <x:v>https://www.pricescope.com/blog/natural-diamond-prices-september-2026</x:v>
      </x:c>
    </x:row>
    <x:row r="2619">
      <x:c r="A2619" t="n">
        <x:v>5</x:v>
      </x:c>
      <x:c r="B2619" t="str">
        <x:v>Round</x:v>
      </x:c>
      <x:c r="C2619" t="str">
        <x:v>K</x:v>
      </x:c>
      <x:c r="D2619" t="str">
        <x:v>IF</x:v>
      </x:c>
      <x:c r="E2619" s="36" t="n">
        <x:v>112148</x:v>
      </x:c>
      <x:c r="F2619" s="36" t="n">
        <x:v>2743</x:v>
      </x:c>
      <x:c r="G2619" s="42" t="n">
        <x:v>0.5883740883740883</x:v>
      </x:c>
      <x:c r="H2619" s="36" t="n">
        <x:f>E2619*G2619</x:f>
        <x:v>65984.97726297726</x:v>
      </x:c>
      <x:c r="I2619" s="36" t="n">
        <x:f>IFERROR(H2619/A2619,0)</x:f>
        <x:v>13196.995452595453</x:v>
      </x:c>
      <x:c r="J2619" s="67" t="str">
        <x:v>Modeled from live base + Sep-2026 quality ratio</x:v>
      </x:c>
      <x:c r="K2619" s="67" t="str">
        <x:v>https://www.stonealgo.com/diamond-prices/</x:v>
      </x:c>
      <x:c r="L2619" s="67" t="str">
        <x:v>https://www.pricescope.com/blog/natural-diamond-prices-september-2026</x:v>
      </x:c>
    </x:row>
    <x:row r="2620">
      <x:c r="A2620" t="n">
        <x:v>5</x:v>
      </x:c>
      <x:c r="B2620" t="str">
        <x:v>Round</x:v>
      </x:c>
      <x:c r="C2620" t="str">
        <x:v>K</x:v>
      </x:c>
      <x:c r="D2620" t="str">
        <x:v>VVS1</x:v>
      </x:c>
      <x:c r="E2620" s="36" t="n">
        <x:v>112148</x:v>
      </x:c>
      <x:c r="F2620" s="36" t="n">
        <x:v>2529</x:v>
      </x:c>
      <x:c r="G2620" s="42" t="n">
        <x:v>0.5424710424710425</x:v>
      </x:c>
      <x:c r="H2620" s="36" t="n">
        <x:f>E2620*G2620</x:f>
        <x:v>60837.04247104247</x:v>
      </x:c>
      <x:c r="I2620" s="36" t="n">
        <x:f>IFERROR(H2620/A2620,0)</x:f>
        <x:v>12167.408494208494</x:v>
      </x:c>
      <x:c r="J2620" s="67" t="str">
        <x:v>Modeled from live base + Sep-2026 quality ratio</x:v>
      </x:c>
      <x:c r="K2620" s="67" t="str">
        <x:v>https://www.stonealgo.com/diamond-prices/</x:v>
      </x:c>
      <x:c r="L2620" s="67" t="str">
        <x:v>https://www.pricescope.com/blog/natural-diamond-prices-september-2026</x:v>
      </x:c>
    </x:row>
    <x:row r="2621">
      <x:c r="A2621" t="n">
        <x:v>5</x:v>
      </x:c>
      <x:c r="B2621" t="str">
        <x:v>Round</x:v>
      </x:c>
      <x:c r="C2621" t="str">
        <x:v>K</x:v>
      </x:c>
      <x:c r="D2621" t="str">
        <x:v>VVS2</x:v>
      </x:c>
      <x:c r="E2621" s="36" t="n">
        <x:v>112148</x:v>
      </x:c>
      <x:c r="F2621" s="36" t="n">
        <x:v>2374</x:v>
      </x:c>
      <x:c r="G2621" s="42" t="n">
        <x:v>0.5092235092235092</x:v>
      </x:c>
      <x:c r="H2621" s="36" t="n">
        <x:f>E2621*G2621</x:f>
        <x:v>57108.398112398114</x:v>
      </x:c>
      <x:c r="I2621" s="36" t="n">
        <x:f>IFERROR(H2621/A2621,0)</x:f>
        <x:v>11421.679622479624</x:v>
      </x:c>
      <x:c r="J2621" s="67" t="str">
        <x:v>Modeled from live base + Sep-2026 quality ratio</x:v>
      </x:c>
      <x:c r="K2621" s="67" t="str">
        <x:v>https://www.stonealgo.com/diamond-prices/</x:v>
      </x:c>
      <x:c r="L2621" s="67" t="str">
        <x:v>https://www.pricescope.com/blog/natural-diamond-prices-september-2026</x:v>
      </x:c>
    </x:row>
    <x:row r="2622">
      <x:c r="A2622" t="n">
        <x:v>5</x:v>
      </x:c>
      <x:c r="B2622" t="str">
        <x:v>Round</x:v>
      </x:c>
      <x:c r="C2622" t="str">
        <x:v>K</x:v>
      </x:c>
      <x:c r="D2622" t="str">
        <x:v>VS1</x:v>
      </x:c>
      <x:c r="E2622" s="36" t="n">
        <x:v>112148</x:v>
      </x:c>
      <x:c r="F2622" s="36" t="n">
        <x:v>2223</x:v>
      </x:c>
      <x:c r="G2622" s="42" t="n">
        <x:v>0.4768339768339768</x:v>
      </x:c>
      <x:c r="H2622" s="36" t="n">
        <x:f>E2622*G2622</x:f>
        <x:v>53475.976833976834</x:v>
      </x:c>
      <x:c r="I2622" s="36" t="n">
        <x:f>IFERROR(H2622/A2622,0)</x:f>
        <x:v>10695.195366795368</x:v>
      </x:c>
      <x:c r="J2622" s="67" t="str">
        <x:v>Modeled from live base + Sep-2026 quality ratio</x:v>
      </x:c>
      <x:c r="K2622" s="67" t="str">
        <x:v>https://www.stonealgo.com/diamond-prices/</x:v>
      </x:c>
      <x:c r="L2622" s="67" t="str">
        <x:v>https://www.pricescope.com/blog/natural-diamond-prices-september-2026</x:v>
      </x:c>
    </x:row>
    <x:row r="2623">
      <x:c r="A2623" t="n">
        <x:v>5</x:v>
      </x:c>
      <x:c r="B2623" t="str">
        <x:v>Round</x:v>
      </x:c>
      <x:c r="C2623" t="str">
        <x:v>K</x:v>
      </x:c>
      <x:c r="D2623" t="str">
        <x:v>VS2</x:v>
      </x:c>
      <x:c r="E2623" s="36" t="n">
        <x:v>112148</x:v>
      </x:c>
      <x:c r="F2623" s="36" t="n">
        <x:v>2098</x:v>
      </x:c>
      <x:c r="G2623" s="42" t="n">
        <x:v>0.45002145002145</x:v>
      </x:c>
      <x:c r="H2623" s="36" t="n">
        <x:f>E2623*G2623</x:f>
        <x:v>50469.00557700558</x:v>
      </x:c>
      <x:c r="I2623" s="36" t="n">
        <x:f>IFERROR(H2623/A2623,0)</x:f>
        <x:v>10093.801115401115</x:v>
      </x:c>
      <x:c r="J2623" s="67" t="str">
        <x:v>Modeled from live base + Sep-2026 quality ratio</x:v>
      </x:c>
      <x:c r="K2623" s="67" t="str">
        <x:v>https://www.stonealgo.com/diamond-prices/</x:v>
      </x:c>
      <x:c r="L2623" s="67" t="str">
        <x:v>https://www.pricescope.com/blog/natural-diamond-prices-september-2026</x:v>
      </x:c>
    </x:row>
    <x:row r="2624">
      <x:c r="A2624" t="n">
        <x:v>5</x:v>
      </x:c>
      <x:c r="B2624" t="str">
        <x:v>Round</x:v>
      </x:c>
      <x:c r="C2624" t="str">
        <x:v>K</x:v>
      </x:c>
      <x:c r="D2624" t="str">
        <x:v>SI1</x:v>
      </x:c>
      <x:c r="E2624" s="36" t="n">
        <x:v>112148</x:v>
      </x:c>
      <x:c r="F2624" s="36" t="n">
        <x:v>1922</x:v>
      </x:c>
      <x:c r="G2624" s="42" t="n">
        <x:v>0.41226941226941227</x:v>
      </x:c>
      <x:c r="H2624" s="36" t="n">
        <x:f>E2624*G2624</x:f>
        <x:v>46235.190047190044</x:v>
      </x:c>
      <x:c r="I2624" s="36" t="n">
        <x:f>IFERROR(H2624/A2624,0)</x:f>
        <x:v>9247.038009438009</x:v>
      </x:c>
      <x:c r="J2624" s="67" t="str">
        <x:v>Modeled from live base + Sep-2026 quality ratio</x:v>
      </x:c>
      <x:c r="K2624" s="67" t="str">
        <x:v>https://www.stonealgo.com/diamond-prices/</x:v>
      </x:c>
      <x:c r="L2624" s="67" t="str">
        <x:v>https://www.pricescope.com/blog/natural-diamond-prices-september-2026</x:v>
      </x:c>
    </x:row>
    <x:row r="2625">
      <x:c r="A2625" t="n">
        <x:v>5</x:v>
      </x:c>
      <x:c r="B2625" t="str">
        <x:v>Round</x:v>
      </x:c>
      <x:c r="C2625" t="str">
        <x:v>K</x:v>
      </x:c>
      <x:c r="D2625" t="str">
        <x:v>SI2</x:v>
      </x:c>
      <x:c r="E2625" s="36" t="n">
        <x:v>112148</x:v>
      </x:c>
      <x:c r="F2625" s="36" t="n">
        <x:v>1764</x:v>
      </x:c>
      <x:c r="G2625" s="42" t="n">
        <x:v>0.3783783783783784</x:v>
      </x:c>
      <x:c r="H2625" s="36" t="n">
        <x:f>E2625*G2625</x:f>
        <x:v>42434.37837837838</x:v>
      </x:c>
      <x:c r="I2625" s="36" t="n">
        <x:f>IFERROR(H2625/A2625,0)</x:f>
        <x:v>8486.875675675676</x:v>
      </x:c>
      <x:c r="J2625" s="67" t="str">
        <x:v>Modeled from live base + Sep-2026 quality ratio</x:v>
      </x:c>
      <x:c r="K2625" s="67" t="str">
        <x:v>https://www.stonealgo.com/diamond-prices/</x:v>
      </x:c>
      <x:c r="L2625" s="67" t="str">
        <x:v>https://www.pricescope.com/blog/natural-diamond-prices-september-2026</x:v>
      </x:c>
    </x:row>
    <x:row r="2626">
      <x:c r="A2626" t="n">
        <x:v>5</x:v>
      </x:c>
      <x:c r="B2626" t="str">
        <x:v>Oval</x:v>
      </x:c>
      <x:c r="C2626" t="str">
        <x:v>D</x:v>
      </x:c>
      <x:c r="D2626" t="str">
        <x:v>FL</x:v>
      </x:c>
      <x:c r="E2626" s="36" t="n">
        <x:v>130566</x:v>
      </x:c>
      <x:c r="F2626" s="36" t="n">
        <x:v>12665</x:v>
      </x:c>
      <x:c r="G2626" s="42" t="n">
        <x:v>2.7166452166452166</x:v>
      </x:c>
      <x:c r="H2626" s="36" t="n">
        <x:f>E2626*G2626</x:f>
        <x:v>354701.49935649935</x:v>
      </x:c>
      <x:c r="I2626" s="36" t="n">
        <x:f>IFERROR(H2626/A2626,0)</x:f>
        <x:v>70940.29987129987</x:v>
      </x:c>
      <x:c r="J2626" s="67" t="str">
        <x:v>Modeled from live base + Sep-2026 quality ratio</x:v>
      </x:c>
      <x:c r="K2626" s="67" t="str">
        <x:v>https://www.stonealgo.com/diamond-prices/</x:v>
      </x:c>
      <x:c r="L2626" s="67" t="str">
        <x:v>https://www.pricescope.com/blog/natural-diamond-prices-september-2026</x:v>
      </x:c>
    </x:row>
    <x:row r="2627">
      <x:c r="A2627" t="n">
        <x:v>5</x:v>
      </x:c>
      <x:c r="B2627" t="str">
        <x:v>Oval</x:v>
      </x:c>
      <x:c r="C2627" t="str">
        <x:v>D</x:v>
      </x:c>
      <x:c r="D2627" t="str">
        <x:v>IF</x:v>
      </x:c>
      <x:c r="E2627" s="36" t="n">
        <x:v>130566</x:v>
      </x:c>
      <x:c r="F2627" s="36" t="n">
        <x:v>13240</x:v>
      </x:c>
      <x:c r="G2627" s="42" t="n">
        <x:v>2.83998283998284</x:v>
      </x:c>
      <x:c r="H2627" s="36" t="n">
        <x:f>E2627*G2627</x:f>
        <x:v>370805.1994851995</x:v>
      </x:c>
      <x:c r="I2627" s="36" t="n">
        <x:f>IFERROR(H2627/A2627,0)</x:f>
        <x:v>74161.03989703991</x:v>
      </x:c>
      <x:c r="J2627" s="67" t="str">
        <x:v>Modeled from live base + Sep-2026 quality ratio</x:v>
      </x:c>
      <x:c r="K2627" s="67" t="str">
        <x:v>https://www.stonealgo.com/diamond-prices/</x:v>
      </x:c>
      <x:c r="L2627" s="67" t="str">
        <x:v>https://www.pricescope.com/blog/natural-diamond-prices-september-2026</x:v>
      </x:c>
    </x:row>
    <x:row r="2628">
      <x:c r="A2628" t="n">
        <x:v>5</x:v>
      </x:c>
      <x:c r="B2628" t="str">
        <x:v>Oval</x:v>
      </x:c>
      <x:c r="C2628" t="str">
        <x:v>D</x:v>
      </x:c>
      <x:c r="D2628" t="str">
        <x:v>VVS1</x:v>
      </x:c>
      <x:c r="E2628" s="36" t="n">
        <x:v>130566</x:v>
      </x:c>
      <x:c r="F2628" s="36" t="n">
        <x:v>9555</x:v>
      </x:c>
      <x:c r="G2628" s="42" t="n">
        <x:v>2.0495495495495497</x:v>
      </x:c>
      <x:c r="H2628" s="36" t="n">
        <x:f>E2628*G2628</x:f>
        <x:v>267601.4864864865</x:v>
      </x:c>
      <x:c r="I2628" s="36" t="n">
        <x:f>IFERROR(H2628/A2628,0)</x:f>
        <x:v>53520.2972972973</x:v>
      </x:c>
      <x:c r="J2628" s="67" t="str">
        <x:v>Modeled from live base + Sep-2026 quality ratio</x:v>
      </x:c>
      <x:c r="K2628" s="67" t="str">
        <x:v>https://www.stonealgo.com/diamond-prices/</x:v>
      </x:c>
      <x:c r="L2628" s="67" t="str">
        <x:v>https://www.pricescope.com/blog/natural-diamond-prices-september-2026</x:v>
      </x:c>
    </x:row>
    <x:row r="2629">
      <x:c r="A2629" t="n">
        <x:v>5</x:v>
      </x:c>
      <x:c r="B2629" t="str">
        <x:v>Oval</x:v>
      </x:c>
      <x:c r="C2629" t="str">
        <x:v>D</x:v>
      </x:c>
      <x:c r="D2629" t="str">
        <x:v>VVS2</x:v>
      </x:c>
      <x:c r="E2629" s="36" t="n">
        <x:v>130566</x:v>
      </x:c>
      <x:c r="F2629" s="36" t="n">
        <x:v>6660</x:v>
      </x:c>
      <x:c r="G2629" s="42" t="n">
        <x:v>1.4285714285714286</x:v>
      </x:c>
      <x:c r="H2629" s="36" t="n">
        <x:f>E2629*G2629</x:f>
        <x:v>186522.85714285716</x:v>
      </x:c>
      <x:c r="I2629" s="36" t="n">
        <x:f>IFERROR(H2629/A2629,0)</x:f>
        <x:v>37304.571428571435</x:v>
      </x:c>
      <x:c r="J2629" s="67" t="str">
        <x:v>Modeled from live base + Sep-2026 quality ratio</x:v>
      </x:c>
      <x:c r="K2629" s="67" t="str">
        <x:v>https://www.stonealgo.com/diamond-prices/</x:v>
      </x:c>
      <x:c r="L2629" s="67" t="str">
        <x:v>https://www.pricescope.com/blog/natural-diamond-prices-september-2026</x:v>
      </x:c>
    </x:row>
    <x:row r="2630">
      <x:c r="A2630" t="n">
        <x:v>5</x:v>
      </x:c>
      <x:c r="B2630" t="str">
        <x:v>Oval</x:v>
      </x:c>
      <x:c r="C2630" t="str">
        <x:v>D</x:v>
      </x:c>
      <x:c r="D2630" t="str">
        <x:v>VS1</x:v>
      </x:c>
      <x:c r="E2630" s="36" t="n">
        <x:v>130566</x:v>
      </x:c>
      <x:c r="F2630" s="36" t="n">
        <x:v>6247</x:v>
      </x:c>
      <x:c r="G2630" s="42" t="n">
        <x:v>1.33998283998284</x:v>
      </x:c>
      <x:c r="H2630" s="36" t="n">
        <x:f>E2630*G2630</x:f>
        <x:v>174956.19948519947</x:v>
      </x:c>
      <x:c r="I2630" s="36" t="n">
        <x:f>IFERROR(H2630/A2630,0)</x:f>
        <x:v>34991.23989703989</x:v>
      </x:c>
      <x:c r="J2630" s="67" t="str">
        <x:v>Modeled from live base + Sep-2026 quality ratio</x:v>
      </x:c>
      <x:c r="K2630" s="67" t="str">
        <x:v>https://www.stonealgo.com/diamond-prices/</x:v>
      </x:c>
      <x:c r="L2630" s="67" t="str">
        <x:v>https://www.pricescope.com/blog/natural-diamond-prices-september-2026</x:v>
      </x:c>
    </x:row>
    <x:row r="2631">
      <x:c r="A2631" t="n">
        <x:v>5</x:v>
      </x:c>
      <x:c r="B2631" t="str">
        <x:v>Oval</x:v>
      </x:c>
      <x:c r="C2631" t="str">
        <x:v>D</x:v>
      </x:c>
      <x:c r="D2631" t="str">
        <x:v>VS2</x:v>
      </x:c>
      <x:c r="E2631" s="36" t="n">
        <x:v>130566</x:v>
      </x:c>
      <x:c r="F2631" s="36" t="n">
        <x:v>5841</x:v>
      </x:c>
      <x:c r="G2631" s="42" t="n">
        <x:v>1.252895752895753</x:v>
      </x:c>
      <x:c r="H2631" s="36" t="n">
        <x:f>E2631*G2631</x:f>
        <x:v>163585.5868725869</x:v>
      </x:c>
      <x:c r="I2631" s="36" t="n">
        <x:f>IFERROR(H2631/A2631,0)</x:f>
        <x:v>32717.11737451738</x:v>
      </x:c>
      <x:c r="J2631" s="67" t="str">
        <x:v>Modeled from live base + Sep-2026 quality ratio</x:v>
      </x:c>
      <x:c r="K2631" s="67" t="str">
        <x:v>https://www.stonealgo.com/diamond-prices/</x:v>
      </x:c>
      <x:c r="L2631" s="67" t="str">
        <x:v>https://www.pricescope.com/blog/natural-diamond-prices-september-2026</x:v>
      </x:c>
    </x:row>
    <x:row r="2632">
      <x:c r="A2632" t="n">
        <x:v>5</x:v>
      </x:c>
      <x:c r="B2632" t="str">
        <x:v>Oval</x:v>
      </x:c>
      <x:c r="C2632" t="str">
        <x:v>D</x:v>
      </x:c>
      <x:c r="D2632" t="str">
        <x:v>SI1</x:v>
      </x:c>
      <x:c r="E2632" s="36" t="n">
        <x:v>130566</x:v>
      </x:c>
      <x:c r="F2632" s="36" t="n">
        <x:v>3762</x:v>
      </x:c>
      <x:c r="G2632" s="42" t="n">
        <x:v>0.806949806949807</x:v>
      </x:c>
      <x:c r="H2632" s="36" t="n">
        <x:f>E2632*G2632</x:f>
        <x:v>105360.2084942085</x:v>
      </x:c>
      <x:c r="I2632" s="36" t="n">
        <x:f>IFERROR(H2632/A2632,0)</x:f>
        <x:v>21072.041698841702</x:v>
      </x:c>
      <x:c r="J2632" s="67" t="str">
        <x:v>Modeled from live base + Sep-2026 quality ratio</x:v>
      </x:c>
      <x:c r="K2632" s="67" t="str">
        <x:v>https://www.stonealgo.com/diamond-prices/</x:v>
      </x:c>
      <x:c r="L2632" s="67" t="str">
        <x:v>https://www.pricescope.com/blog/natural-diamond-prices-september-2026</x:v>
      </x:c>
    </x:row>
    <x:row r="2633">
      <x:c r="A2633" t="n">
        <x:v>5</x:v>
      </x:c>
      <x:c r="B2633" t="str">
        <x:v>Oval</x:v>
      </x:c>
      <x:c r="C2633" t="str">
        <x:v>D</x:v>
      </x:c>
      <x:c r="D2633" t="str">
        <x:v>SI2</x:v>
      </x:c>
      <x:c r="E2633" s="36" t="n">
        <x:v>130566</x:v>
      </x:c>
      <x:c r="F2633" s="36" t="n">
        <x:v>3026</x:v>
      </x:c>
      <x:c r="G2633" s="42" t="n">
        <x:v>0.6490776490776491</x:v>
      </x:c>
      <x:c r="H2633" s="36" t="n">
        <x:f>E2633*G2633</x:f>
        <x:v>84747.47232947234</x:v>
      </x:c>
      <x:c r="I2633" s="36" t="n">
        <x:f>IFERROR(H2633/A2633,0)</x:f>
        <x:v>16949.494465894466</x:v>
      </x:c>
      <x:c r="J2633" s="67" t="str">
        <x:v>Modeled from live base + Sep-2026 quality ratio</x:v>
      </x:c>
      <x:c r="K2633" s="67" t="str">
        <x:v>https://www.stonealgo.com/diamond-prices/</x:v>
      </x:c>
      <x:c r="L2633" s="67" t="str">
        <x:v>https://www.pricescope.com/blog/natural-diamond-prices-september-2026</x:v>
      </x:c>
    </x:row>
    <x:row r="2634">
      <x:c r="A2634" t="n">
        <x:v>5</x:v>
      </x:c>
      <x:c r="B2634" t="str">
        <x:v>Oval</x:v>
      </x:c>
      <x:c r="C2634" t="str">
        <x:v>E</x:v>
      </x:c>
      <x:c r="D2634" t="str">
        <x:v>FL</x:v>
      </x:c>
      <x:c r="E2634" s="36" t="n">
        <x:v>130566</x:v>
      </x:c>
      <x:c r="F2634" s="36" t="n">
        <x:v>10072</x:v>
      </x:c>
      <x:c r="G2634" s="42" t="n">
        <x:v>2.1604461604461602</x:v>
      </x:c>
      <x:c r="H2634" s="36" t="n">
        <x:f>E2634*G2634</x:f>
        <x:v>282080.8133848134</x:v>
      </x:c>
      <x:c r="I2634" s="36" t="n">
        <x:f>IFERROR(H2634/A2634,0)</x:f>
        <x:v>56416.162676962675</x:v>
      </x:c>
      <x:c r="J2634" s="67" t="str">
        <x:v>Modeled from live base + Sep-2026 quality ratio</x:v>
      </x:c>
      <x:c r="K2634" s="67" t="str">
        <x:v>https://www.stonealgo.com/diamond-prices/</x:v>
      </x:c>
      <x:c r="L2634" s="67" t="str">
        <x:v>https://www.pricescope.com/blog/natural-diamond-prices-september-2026</x:v>
      </x:c>
    </x:row>
    <x:row r="2635">
      <x:c r="A2635" t="n">
        <x:v>5</x:v>
      </x:c>
      <x:c r="B2635" t="str">
        <x:v>Oval</x:v>
      </x:c>
      <x:c r="C2635" t="str">
        <x:v>E</x:v>
      </x:c>
      <x:c r="D2635" t="str">
        <x:v>IF</x:v>
      </x:c>
      <x:c r="E2635" s="36" t="n">
        <x:v>130566</x:v>
      </x:c>
      <x:c r="F2635" s="36" t="n">
        <x:v>8672</x:v>
      </x:c>
      <x:c r="G2635" s="42" t="n">
        <x:v>1.8601458601458603</x:v>
      </x:c>
      <x:c r="H2635" s="36" t="n">
        <x:f>E2635*G2635</x:f>
        <x:v>242871.80437580438</x:v>
      </x:c>
      <x:c r="I2635" s="36" t="n">
        <x:f>IFERROR(H2635/A2635,0)</x:f>
        <x:v>48574.36087516088</x:v>
      </x:c>
      <x:c r="J2635" s="67" t="str">
        <x:v>Modeled from live base + Sep-2026 quality ratio</x:v>
      </x:c>
      <x:c r="K2635" s="67" t="str">
        <x:v>https://www.stonealgo.com/diamond-prices/</x:v>
      </x:c>
      <x:c r="L2635" s="67" t="str">
        <x:v>https://www.pricescope.com/blog/natural-diamond-prices-september-2026</x:v>
      </x:c>
    </x:row>
    <x:row r="2636">
      <x:c r="A2636" t="n">
        <x:v>5</x:v>
      </x:c>
      <x:c r="B2636" t="str">
        <x:v>Oval</x:v>
      </x:c>
      <x:c r="C2636" t="str">
        <x:v>E</x:v>
      </x:c>
      <x:c r="D2636" t="str">
        <x:v>VVS1</x:v>
      </x:c>
      <x:c r="E2636" s="36" t="n">
        <x:v>130566</x:v>
      </x:c>
      <x:c r="F2636" s="36" t="n">
        <x:v>7842</x:v>
      </x:c>
      <x:c r="G2636" s="42" t="n">
        <x:v>1.6821106821106822</x:v>
      </x:c>
      <x:c r="H2636" s="36" t="n">
        <x:f>E2636*G2636</x:f>
        <x:v>219626.4633204633</x:v>
      </x:c>
      <x:c r="I2636" s="36" t="n">
        <x:f>IFERROR(H2636/A2636,0)</x:f>
        <x:v>43925.29266409266</x:v>
      </x:c>
      <x:c r="J2636" s="67" t="str">
        <x:v>Modeled from live base + Sep-2026 quality ratio</x:v>
      </x:c>
      <x:c r="K2636" s="67" t="str">
        <x:v>https://www.stonealgo.com/diamond-prices/</x:v>
      </x:c>
      <x:c r="L2636" s="67" t="str">
        <x:v>https://www.pricescope.com/blog/natural-diamond-prices-september-2026</x:v>
      </x:c>
    </x:row>
    <x:row r="2637">
      <x:c r="A2637" t="n">
        <x:v>5</x:v>
      </x:c>
      <x:c r="B2637" t="str">
        <x:v>Oval</x:v>
      </x:c>
      <x:c r="C2637" t="str">
        <x:v>E</x:v>
      </x:c>
      <x:c r="D2637" t="str">
        <x:v>VVS2</x:v>
      </x:c>
      <x:c r="E2637" s="36" t="n">
        <x:v>130566</x:v>
      </x:c>
      <x:c r="F2637" s="36" t="n">
        <x:v>6880</x:v>
      </x:c>
      <x:c r="G2637" s="42" t="n">
        <x:v>1.4757614757614759</x:v>
      </x:c>
      <x:c r="H2637" s="36" t="n">
        <x:f>E2637*G2637</x:f>
        <x:v>192684.27284427287</x:v>
      </x:c>
      <x:c r="I2637" s="36" t="n">
        <x:f>IFERROR(H2637/A2637,0)</x:f>
        <x:v>38536.85456885457</x:v>
      </x:c>
      <x:c r="J2637" s="67" t="str">
        <x:v>Modeled from live base + Sep-2026 quality ratio</x:v>
      </x:c>
      <x:c r="K2637" s="67" t="str">
        <x:v>https://www.stonealgo.com/diamond-prices/</x:v>
      </x:c>
      <x:c r="L2637" s="67" t="str">
        <x:v>https://www.pricescope.com/blog/natural-diamond-prices-september-2026</x:v>
      </x:c>
    </x:row>
    <x:row r="2638">
      <x:c r="A2638" t="n">
        <x:v>5</x:v>
      </x:c>
      <x:c r="B2638" t="str">
        <x:v>Oval</x:v>
      </x:c>
      <x:c r="C2638" t="str">
        <x:v>E</x:v>
      </x:c>
      <x:c r="D2638" t="str">
        <x:v>VS1</x:v>
      </x:c>
      <x:c r="E2638" s="36" t="n">
        <x:v>130566</x:v>
      </x:c>
      <x:c r="F2638" s="36" t="n">
        <x:v>6307</x:v>
      </x:c>
      <x:c r="G2638" s="42" t="n">
        <x:v>1.352852852852853</x:v>
      </x:c>
      <x:c r="H2638" s="36" t="n">
        <x:f>E2638*G2638</x:f>
        <x:v>176636.5855855856</x:v>
      </x:c>
      <x:c r="I2638" s="36" t="n">
        <x:f>IFERROR(H2638/A2638,0)</x:f>
        <x:v>35327.31711711712</x:v>
      </x:c>
      <x:c r="J2638" s="67" t="str">
        <x:v>Modeled from live base + Sep-2026 quality ratio</x:v>
      </x:c>
      <x:c r="K2638" s="67" t="str">
        <x:v>https://www.stonealgo.com/diamond-prices/</x:v>
      </x:c>
      <x:c r="L2638" s="67" t="str">
        <x:v>https://www.pricescope.com/blog/natural-diamond-prices-september-2026</x:v>
      </x:c>
    </x:row>
    <x:row r="2639">
      <x:c r="A2639" t="n">
        <x:v>5</x:v>
      </x:c>
      <x:c r="B2639" t="str">
        <x:v>Oval</x:v>
      </x:c>
      <x:c r="C2639" t="str">
        <x:v>E</x:v>
      </x:c>
      <x:c r="D2639" t="str">
        <x:v>VS2</x:v>
      </x:c>
      <x:c r="E2639" s="36" t="n">
        <x:v>130566</x:v>
      </x:c>
      <x:c r="F2639" s="36" t="n">
        <x:v>5249</x:v>
      </x:c>
      <x:c r="G2639" s="42" t="n">
        <x:v>1.125911625911626</x:v>
      </x:c>
      <x:c r="H2639" s="36" t="n">
        <x:f>E2639*G2639</x:f>
        <x:v>147005.77734877737</x:v>
      </x:c>
      <x:c r="I2639" s="36" t="n">
        <x:f>IFERROR(H2639/A2639,0)</x:f>
        <x:v>29401.155469755475</x:v>
      </x:c>
      <x:c r="J2639" s="67" t="str">
        <x:v>Modeled from live base + Sep-2026 quality ratio</x:v>
      </x:c>
      <x:c r="K2639" s="67" t="str">
        <x:v>https://www.stonealgo.com/diamond-prices/</x:v>
      </x:c>
      <x:c r="L2639" s="67" t="str">
        <x:v>https://www.pricescope.com/blog/natural-diamond-prices-september-2026</x:v>
      </x:c>
    </x:row>
    <x:row r="2640">
      <x:c r="A2640" t="n">
        <x:v>5</x:v>
      </x:c>
      <x:c r="B2640" t="str">
        <x:v>Oval</x:v>
      </x:c>
      <x:c r="C2640" t="str">
        <x:v>E</x:v>
      </x:c>
      <x:c r="D2640" t="str">
        <x:v>SI1</x:v>
      </x:c>
      <x:c r="E2640" s="36" t="n">
        <x:v>130566</x:v>
      </x:c>
      <x:c r="F2640" s="36" t="n">
        <x:v>3551</x:v>
      </x:c>
      <x:c r="G2640" s="42" t="n">
        <x:v>0.7616902616902617</x:v>
      </x:c>
      <x:c r="H2640" s="36" t="n">
        <x:f>E2640*G2640</x:f>
        <x:v>99450.85070785071</x:v>
      </x:c>
      <x:c r="I2640" s="36" t="n">
        <x:f>IFERROR(H2640/A2640,0)</x:f>
        <x:v>19890.170141570143</x:v>
      </x:c>
      <x:c r="J2640" s="67" t="str">
        <x:v>Modeled from live base + Sep-2026 quality ratio</x:v>
      </x:c>
      <x:c r="K2640" s="67" t="str">
        <x:v>https://www.stonealgo.com/diamond-prices/</x:v>
      </x:c>
      <x:c r="L2640" s="67" t="str">
        <x:v>https://www.pricescope.com/blog/natural-diamond-prices-september-2026</x:v>
      </x:c>
    </x:row>
    <x:row r="2641">
      <x:c r="A2641" t="n">
        <x:v>5</x:v>
      </x:c>
      <x:c r="B2641" t="str">
        <x:v>Oval</x:v>
      </x:c>
      <x:c r="C2641" t="str">
        <x:v>E</x:v>
      </x:c>
      <x:c r="D2641" t="str">
        <x:v>SI2</x:v>
      </x:c>
      <x:c r="E2641" s="36" t="n">
        <x:v>130566</x:v>
      </x:c>
      <x:c r="F2641" s="36" t="n">
        <x:v>2993</x:v>
      </x:c>
      <x:c r="G2641" s="42" t="n">
        <x:v>0.641999141999142</x:v>
      </x:c>
      <x:c r="H2641" s="36" t="n">
        <x:f>E2641*G2641</x:f>
        <x:v>83823.25997425997</x:v>
      </x:c>
      <x:c r="I2641" s="36" t="n">
        <x:f>IFERROR(H2641/A2641,0)</x:f>
        <x:v>16764.651994851993</x:v>
      </x:c>
      <x:c r="J2641" s="67" t="str">
        <x:v>Modeled from live base + Sep-2026 quality ratio</x:v>
      </x:c>
      <x:c r="K2641" s="67" t="str">
        <x:v>https://www.stonealgo.com/diamond-prices/</x:v>
      </x:c>
      <x:c r="L2641" s="67" t="str">
        <x:v>https://www.pricescope.com/blog/natural-diamond-prices-september-2026</x:v>
      </x:c>
    </x:row>
    <x:row r="2642">
      <x:c r="A2642" t="n">
        <x:v>5</x:v>
      </x:c>
      <x:c r="B2642" t="str">
        <x:v>Oval</x:v>
      </x:c>
      <x:c r="C2642" t="str">
        <x:v>F</x:v>
      </x:c>
      <x:c r="D2642" t="str">
        <x:v>FL</x:v>
      </x:c>
      <x:c r="E2642" s="36" t="n">
        <x:v>130566</x:v>
      </x:c>
      <x:c r="F2642" s="36" t="n">
        <x:v>6830</x:v>
      </x:c>
      <x:c r="G2642" s="42" t="n">
        <x:v>1.4650364650364651</x:v>
      </x:c>
      <x:c r="H2642" s="36" t="n">
        <x:f>E2642*G2642</x:f>
        <x:v>191283.9510939511</x:v>
      </x:c>
      <x:c r="I2642" s="36" t="n">
        <x:f>IFERROR(H2642/A2642,0)</x:f>
        <x:v>38256.79021879022</x:v>
      </x:c>
      <x:c r="J2642" s="67" t="str">
        <x:v>Modeled from live base + Sep-2026 quality ratio</x:v>
      </x:c>
      <x:c r="K2642" s="67" t="str">
        <x:v>https://www.stonealgo.com/diamond-prices/</x:v>
      </x:c>
      <x:c r="L2642" s="67" t="str">
        <x:v>https://www.pricescope.com/blog/natural-diamond-prices-september-2026</x:v>
      </x:c>
    </x:row>
    <x:row r="2643">
      <x:c r="A2643" t="n">
        <x:v>5</x:v>
      </x:c>
      <x:c r="B2643" t="str">
        <x:v>Oval</x:v>
      </x:c>
      <x:c r="C2643" t="str">
        <x:v>F</x:v>
      </x:c>
      <x:c r="D2643" t="str">
        <x:v>IF</x:v>
      </x:c>
      <x:c r="E2643" s="36" t="n">
        <x:v>130566</x:v>
      </x:c>
      <x:c r="F2643" s="36" t="n">
        <x:v>7302</x:v>
      </x:c>
      <x:c r="G2643" s="42" t="n">
        <x:v>1.5662805662805663</x:v>
      </x:c>
      <x:c r="H2643" s="36" t="n">
        <x:f>E2643*G2643</x:f>
        <x:v>204502.98841698843</x:v>
      </x:c>
      <x:c r="I2643" s="36" t="n">
        <x:f>IFERROR(H2643/A2643,0)</x:f>
        <x:v>40900.59768339769</x:v>
      </x:c>
      <x:c r="J2643" s="67" t="str">
        <x:v>Modeled from live base + Sep-2026 quality ratio</x:v>
      </x:c>
      <x:c r="K2643" s="67" t="str">
        <x:v>https://www.stonealgo.com/diamond-prices/</x:v>
      </x:c>
      <x:c r="L2643" s="67" t="str">
        <x:v>https://www.pricescope.com/blog/natural-diamond-prices-september-2026</x:v>
      </x:c>
    </x:row>
    <x:row r="2644">
      <x:c r="A2644" t="n">
        <x:v>5</x:v>
      </x:c>
      <x:c r="B2644" t="str">
        <x:v>Oval</x:v>
      </x:c>
      <x:c r="C2644" t="str">
        <x:v>F</x:v>
      </x:c>
      <x:c r="D2644" t="str">
        <x:v>VVS1</x:v>
      </x:c>
      <x:c r="E2644" s="36" t="n">
        <x:v>130566</x:v>
      </x:c>
      <x:c r="F2644" s="36" t="n">
        <x:v>7542</x:v>
      </x:c>
      <x:c r="G2644" s="42" t="n">
        <x:v>1.6177606177606179</x:v>
      </x:c>
      <x:c r="H2644" s="36" t="n">
        <x:f>E2644*G2644</x:f>
        <x:v>211224.53281853284</x:v>
      </x:c>
      <x:c r="I2644" s="36" t="n">
        <x:f>IFERROR(H2644/A2644,0)</x:f>
        <x:v>42244.906563706565</x:v>
      </x:c>
      <x:c r="J2644" s="67" t="str">
        <x:v>Modeled from live base + Sep-2026 quality ratio</x:v>
      </x:c>
      <x:c r="K2644" s="67" t="str">
        <x:v>https://www.stonealgo.com/diamond-prices/</x:v>
      </x:c>
      <x:c r="L2644" s="67" t="str">
        <x:v>https://www.pricescope.com/blog/natural-diamond-prices-september-2026</x:v>
      </x:c>
    </x:row>
    <x:row r="2645">
      <x:c r="A2645" t="n">
        <x:v>5</x:v>
      </x:c>
      <x:c r="B2645" t="str">
        <x:v>Oval</x:v>
      </x:c>
      <x:c r="C2645" t="str">
        <x:v>F</x:v>
      </x:c>
      <x:c r="D2645" t="str">
        <x:v>VVS2</x:v>
      </x:c>
      <x:c r="E2645" s="36" t="n">
        <x:v>130566</x:v>
      </x:c>
      <x:c r="F2645" s="36" t="n">
        <x:v>6352</x:v>
      </x:c>
      <x:c r="G2645" s="42" t="n">
        <x:v>1.3625053625053625</x:v>
      </x:c>
      <x:c r="H2645" s="36" t="n">
        <x:f>E2645*G2645</x:f>
        <x:v>177896.87516087515</x:v>
      </x:c>
      <x:c r="I2645" s="36" t="n">
        <x:f>IFERROR(H2645/A2645,0)</x:f>
        <x:v>35579.37503217503</x:v>
      </x:c>
      <x:c r="J2645" s="67" t="str">
        <x:v>Modeled from live base + Sep-2026 quality ratio</x:v>
      </x:c>
      <x:c r="K2645" s="67" t="str">
        <x:v>https://www.stonealgo.com/diamond-prices/</x:v>
      </x:c>
      <x:c r="L2645" s="67" t="str">
        <x:v>https://www.pricescope.com/blog/natural-diamond-prices-september-2026</x:v>
      </x:c>
    </x:row>
    <x:row r="2646">
      <x:c r="A2646" t="n">
        <x:v>5</x:v>
      </x:c>
      <x:c r="B2646" t="str">
        <x:v>Oval</x:v>
      </x:c>
      <x:c r="C2646" t="str">
        <x:v>F</x:v>
      </x:c>
      <x:c r="D2646" t="str">
        <x:v>VS1</x:v>
      </x:c>
      <x:c r="E2646" s="36" t="n">
        <x:v>130566</x:v>
      </x:c>
      <x:c r="F2646" s="36" t="n">
        <x:v>5647</x:v>
      </x:c>
      <x:c r="G2646" s="42" t="n">
        <x:v>1.2112827112827114</x:v>
      </x:c>
      <x:c r="H2646" s="36" t="n">
        <x:f>E2646*G2646</x:f>
        <x:v>158152.3384813385</x:v>
      </x:c>
      <x:c r="I2646" s="36" t="n">
        <x:f>IFERROR(H2646/A2646,0)</x:f>
        <x:v>31630.467696267697</x:v>
      </x:c>
      <x:c r="J2646" s="67" t="str">
        <x:v>Modeled from live base + Sep-2026 quality ratio</x:v>
      </x:c>
      <x:c r="K2646" s="67" t="str">
        <x:v>https://www.stonealgo.com/diamond-prices/</x:v>
      </x:c>
      <x:c r="L2646" s="67" t="str">
        <x:v>https://www.pricescope.com/blog/natural-diamond-prices-september-2026</x:v>
      </x:c>
    </x:row>
    <x:row r="2647">
      <x:c r="A2647" t="n">
        <x:v>5</x:v>
      </x:c>
      <x:c r="B2647" t="str">
        <x:v>Oval</x:v>
      </x:c>
      <x:c r="C2647" t="str">
        <x:v>F</x:v>
      </x:c>
      <x:c r="D2647" t="str">
        <x:v>VS2</x:v>
      </x:c>
      <x:c r="E2647" s="36" t="n">
        <x:v>130566</x:v>
      </x:c>
      <x:c r="F2647" s="36" t="n">
        <x:v>4730</x:v>
      </x:c>
      <x:c r="G2647" s="42" t="n">
        <x:v>1.0145860145860146</x:v>
      </x:c>
      <x:c r="H2647" s="36" t="n">
        <x:f>E2647*G2647</x:f>
        <x:v>132470.43758043757</x:v>
      </x:c>
      <x:c r="I2647" s="36" t="n">
        <x:f>IFERROR(H2647/A2647,0)</x:f>
        <x:v>26494.087516087515</x:v>
      </x:c>
      <x:c r="J2647" s="67" t="str">
        <x:v>Modeled from live base + Sep-2026 quality ratio</x:v>
      </x:c>
      <x:c r="K2647" s="67" t="str">
        <x:v>https://www.stonealgo.com/diamond-prices/</x:v>
      </x:c>
      <x:c r="L2647" s="67" t="str">
        <x:v>https://www.pricescope.com/blog/natural-diamond-prices-september-2026</x:v>
      </x:c>
    </x:row>
    <x:row r="2648">
      <x:c r="A2648" t="n">
        <x:v>5</x:v>
      </x:c>
      <x:c r="B2648" t="str">
        <x:v>Oval</x:v>
      </x:c>
      <x:c r="C2648" t="str">
        <x:v>F</x:v>
      </x:c>
      <x:c r="D2648" t="str">
        <x:v>SI1</x:v>
      </x:c>
      <x:c r="E2648" s="36" t="n">
        <x:v>130566</x:v>
      </x:c>
      <x:c r="F2648" s="36" t="n">
        <x:v>3331</x:v>
      </x:c>
      <x:c r="G2648" s="42" t="n">
        <x:v>0.7145002145002145</x:v>
      </x:c>
      <x:c r="H2648" s="36" t="n">
        <x:f>E2648*G2648</x:f>
        <x:v>93289.435006435</x:v>
      </x:c>
      <x:c r="I2648" s="36" t="n">
        <x:f>IFERROR(H2648/A2648,0)</x:f>
        <x:v>18657.887001287</x:v>
      </x:c>
      <x:c r="J2648" s="67" t="str">
        <x:v>Modeled from live base + Sep-2026 quality ratio</x:v>
      </x:c>
      <x:c r="K2648" s="67" t="str">
        <x:v>https://www.stonealgo.com/diamond-prices/</x:v>
      </x:c>
      <x:c r="L2648" s="67" t="str">
        <x:v>https://www.pricescope.com/blog/natural-diamond-prices-september-2026</x:v>
      </x:c>
    </x:row>
    <x:row r="2649">
      <x:c r="A2649" t="n">
        <x:v>5</x:v>
      </x:c>
      <x:c r="B2649" t="str">
        <x:v>Oval</x:v>
      </x:c>
      <x:c r="C2649" t="str">
        <x:v>F</x:v>
      </x:c>
      <x:c r="D2649" t="str">
        <x:v>SI2</x:v>
      </x:c>
      <x:c r="E2649" s="36" t="n">
        <x:v>130566</x:v>
      </x:c>
      <x:c r="F2649" s="36" t="n">
        <x:v>2733</x:v>
      </x:c>
      <x:c r="G2649" s="42" t="n">
        <x:v>0.5862290862290862</x:v>
      </x:c>
      <x:c r="H2649" s="36" t="n">
        <x:f>E2649*G2649</x:f>
        <x:v>76541.58687258686</x:v>
      </x:c>
      <x:c r="I2649" s="36" t="n">
        <x:f>IFERROR(H2649/A2649,0)</x:f>
        <x:v>15308.317374517374</x:v>
      </x:c>
      <x:c r="J2649" s="67" t="str">
        <x:v>Modeled from live base + Sep-2026 quality ratio</x:v>
      </x:c>
      <x:c r="K2649" s="67" t="str">
        <x:v>https://www.stonealgo.com/diamond-prices/</x:v>
      </x:c>
      <x:c r="L2649" s="67" t="str">
        <x:v>https://www.pricescope.com/blog/natural-diamond-prices-september-2026</x:v>
      </x:c>
    </x:row>
    <x:row r="2650">
      <x:c r="A2650" t="n">
        <x:v>5</x:v>
      </x:c>
      <x:c r="B2650" t="str">
        <x:v>Oval</x:v>
      </x:c>
      <x:c r="C2650" t="str">
        <x:v>G</x:v>
      </x:c>
      <x:c r="D2650" t="str">
        <x:v>FL</x:v>
      </x:c>
      <x:c r="E2650" s="36" t="n">
        <x:v>130566</x:v>
      </x:c>
      <x:c r="F2650" s="36" t="n">
        <x:v>5905</x:v>
      </x:c>
      <x:c r="G2650" s="42" t="n">
        <x:v>1.2666237666237665</x:v>
      </x:c>
      <x:c r="H2650" s="36" t="n">
        <x:f>E2650*G2650</x:f>
        <x:v>165377.9987129987</x:v>
      </x:c>
      <x:c r="I2650" s="36" t="n">
        <x:f>IFERROR(H2650/A2650,0)</x:f>
        <x:v>33075.59974259974</x:v>
      </x:c>
      <x:c r="J2650" s="67" t="str">
        <x:v>Modeled from live base + Sep-2026 quality ratio</x:v>
      </x:c>
      <x:c r="K2650" s="67" t="str">
        <x:v>https://www.stonealgo.com/diamond-prices/</x:v>
      </x:c>
      <x:c r="L2650" s="67" t="str">
        <x:v>https://www.pricescope.com/blog/natural-diamond-prices-september-2026</x:v>
      </x:c>
    </x:row>
    <x:row r="2651">
      <x:c r="A2651" t="n">
        <x:v>5</x:v>
      </x:c>
      <x:c r="B2651" t="str">
        <x:v>Oval</x:v>
      </x:c>
      <x:c r="C2651" t="str">
        <x:v>G</x:v>
      </x:c>
      <x:c r="D2651" t="str">
        <x:v>IF</x:v>
      </x:c>
      <x:c r="E2651" s="36" t="n">
        <x:v>130566</x:v>
      </x:c>
      <x:c r="F2651" s="36" t="n">
        <x:v>5601</x:v>
      </x:c>
      <x:c r="G2651" s="42" t="n">
        <x:v>1.2014157014157014</x:v>
      </x:c>
      <x:c r="H2651" s="36" t="n">
        <x:f>E2651*G2651</x:f>
        <x:v>156864.04247104248</x:v>
      </x:c>
      <x:c r="I2651" s="36" t="n">
        <x:f>IFERROR(H2651/A2651,0)</x:f>
        <x:v>31372.808494208497</x:v>
      </x:c>
      <x:c r="J2651" s="67" t="str">
        <x:v>Modeled from live base + Sep-2026 quality ratio</x:v>
      </x:c>
      <x:c r="K2651" s="67" t="str">
        <x:v>https://www.stonealgo.com/diamond-prices/</x:v>
      </x:c>
      <x:c r="L2651" s="67" t="str">
        <x:v>https://www.pricescope.com/blog/natural-diamond-prices-september-2026</x:v>
      </x:c>
    </x:row>
    <x:row r="2652">
      <x:c r="A2652" t="n">
        <x:v>5</x:v>
      </x:c>
      <x:c r="B2652" t="str">
        <x:v>Oval</x:v>
      </x:c>
      <x:c r="C2652" t="str">
        <x:v>G</x:v>
      </x:c>
      <x:c r="D2652" t="str">
        <x:v>VVS1</x:v>
      </x:c>
      <x:c r="E2652" s="36" t="n">
        <x:v>130566</x:v>
      </x:c>
      <x:c r="F2652" s="36" t="n">
        <x:v>5124</x:v>
      </x:c>
      <x:c r="G2652" s="42" t="n">
        <x:v>1.0990990990990992</x:v>
      </x:c>
      <x:c r="H2652" s="36" t="n">
        <x:f>E2652*G2652</x:f>
        <x:v>143504.972972973</x:v>
      </x:c>
      <x:c r="I2652" s="36" t="n">
        <x:f>IFERROR(H2652/A2652,0)</x:f>
        <x:v>28700.9945945946</x:v>
      </x:c>
      <x:c r="J2652" s="67" t="str">
        <x:v>Modeled from live base + Sep-2026 quality ratio</x:v>
      </x:c>
      <x:c r="K2652" s="67" t="str">
        <x:v>https://www.stonealgo.com/diamond-prices/</x:v>
      </x:c>
      <x:c r="L2652" s="67" t="str">
        <x:v>https://www.pricescope.com/blog/natural-diamond-prices-september-2026</x:v>
      </x:c>
    </x:row>
    <x:row r="2653">
      <x:c r="A2653" t="n">
        <x:v>5</x:v>
      </x:c>
      <x:c r="B2653" t="str">
        <x:v>Oval</x:v>
      </x:c>
      <x:c r="C2653" t="str">
        <x:v>G</x:v>
      </x:c>
      <x:c r="D2653" t="str">
        <x:v>VVS2</x:v>
      </x:c>
      <x:c r="E2653" s="36" t="n">
        <x:v>130566</x:v>
      </x:c>
      <x:c r="F2653" s="36" t="n">
        <x:v>4962</x:v>
      </x:c>
      <x:c r="G2653" s="42" t="n">
        <x:v>1.0643500643500643</x:v>
      </x:c>
      <x:c r="H2653" s="36" t="n">
        <x:f>E2653*G2653</x:f>
        <x:v>138967.9305019305</x:v>
      </x:c>
      <x:c r="I2653" s="36" t="n">
        <x:f>IFERROR(H2653/A2653,0)</x:f>
        <x:v>27793.5861003861</x:v>
      </x:c>
      <x:c r="J2653" s="67" t="str">
        <x:v>Modeled from live base + Sep-2026 quality ratio</x:v>
      </x:c>
      <x:c r="K2653" s="67" t="str">
        <x:v>https://www.stonealgo.com/diamond-prices/</x:v>
      </x:c>
      <x:c r="L2653" s="67" t="str">
        <x:v>https://www.pricescope.com/blog/natural-diamond-prices-september-2026</x:v>
      </x:c>
    </x:row>
    <x:row r="2654">
      <x:c r="A2654" t="n">
        <x:v>5</x:v>
      </x:c>
      <x:c r="B2654" t="str">
        <x:v>Oval</x:v>
      </x:c>
      <x:c r="C2654" t="str">
        <x:v>G</x:v>
      </x:c>
      <x:c r="D2654" t="str">
        <x:v>VS1</x:v>
      </x:c>
      <x:c r="E2654" s="36" t="n">
        <x:v>130566</x:v>
      </x:c>
      <x:c r="F2654" s="36" t="n">
        <x:v>4615</x:v>
      </x:c>
      <x:c r="G2654" s="42" t="n">
        <x:v>0.98991848991849</x:v>
      </x:c>
      <x:c r="H2654" s="36" t="n">
        <x:f>E2654*G2654</x:f>
        <x:v>129249.69755469756</x:v>
      </x:c>
      <x:c r="I2654" s="36" t="n">
        <x:f>IFERROR(H2654/A2654,0)</x:f>
        <x:v>25849.939510939512</x:v>
      </x:c>
      <x:c r="J2654" s="67" t="str">
        <x:v>Modeled from live base + Sep-2026 quality ratio</x:v>
      </x:c>
      <x:c r="K2654" s="67" t="str">
        <x:v>https://www.stonealgo.com/diamond-prices/</x:v>
      </x:c>
      <x:c r="L2654" s="67" t="str">
        <x:v>https://www.pricescope.com/blog/natural-diamond-prices-september-2026</x:v>
      </x:c>
    </x:row>
    <x:row r="2655">
      <x:c r="A2655" t="n">
        <x:v>5</x:v>
      </x:c>
      <x:c r="B2655" t="str">
        <x:v>Oval</x:v>
      </x:c>
      <x:c r="C2655" t="str">
        <x:v>G</x:v>
      </x:c>
      <x:c r="D2655" t="str">
        <x:v>VS2</x:v>
      </x:c>
      <x:c r="E2655" s="36" t="n">
        <x:v>130566</x:v>
      </x:c>
      <x:c r="F2655" s="36" t="n">
        <x:v>4585</x:v>
      </x:c>
      <x:c r="G2655" s="42" t="n">
        <x:v>0.9834834834834835</x:v>
      </x:c>
      <x:c r="H2655" s="36" t="n">
        <x:f>E2655*G2655</x:f>
        <x:v>128409.5045045045</x:v>
      </x:c>
      <x:c r="I2655" s="36" t="n">
        <x:f>IFERROR(H2655/A2655,0)</x:f>
        <x:v>25681.9009009009</x:v>
      </x:c>
      <x:c r="J2655" s="67" t="str">
        <x:v>Modeled from live base + Sep-2026 quality ratio</x:v>
      </x:c>
      <x:c r="K2655" s="67" t="str">
        <x:v>https://www.stonealgo.com/diamond-prices/</x:v>
      </x:c>
      <x:c r="L2655" s="67" t="str">
        <x:v>https://www.pricescope.com/blog/natural-diamond-prices-september-2026</x:v>
      </x:c>
    </x:row>
    <x:row r="2656">
      <x:c r="A2656" t="n">
        <x:v>5</x:v>
      </x:c>
      <x:c r="B2656" t="str">
        <x:v>Oval</x:v>
      </x:c>
      <x:c r="C2656" t="str">
        <x:v>G</x:v>
      </x:c>
      <x:c r="D2656" t="str">
        <x:v>SI1</x:v>
      </x:c>
      <x:c r="E2656" s="36" t="n">
        <x:v>130566</x:v>
      </x:c>
      <x:c r="F2656" s="36" t="n">
        <x:v>3664</x:v>
      </x:c>
      <x:c r="G2656" s="42" t="n">
        <x:v>0.7859287859287859</x:v>
      </x:c>
      <x:c r="H2656" s="36" t="n">
        <x:f>E2656*G2656</x:f>
        <x:v>102615.57786357786</x:v>
      </x:c>
      <x:c r="I2656" s="36" t="n">
        <x:f>IFERROR(H2656/A2656,0)</x:f>
        <x:v>20523.11557271557</x:v>
      </x:c>
      <x:c r="J2656" s="67" t="str">
        <x:v>Modeled from live base + Sep-2026 quality ratio</x:v>
      </x:c>
      <x:c r="K2656" s="67" t="str">
        <x:v>https://www.stonealgo.com/diamond-prices/</x:v>
      </x:c>
      <x:c r="L2656" s="67" t="str">
        <x:v>https://www.pricescope.com/blog/natural-diamond-prices-september-2026</x:v>
      </x:c>
    </x:row>
    <x:row r="2657">
      <x:c r="A2657" t="n">
        <x:v>5</x:v>
      </x:c>
      <x:c r="B2657" t="str">
        <x:v>Oval</x:v>
      </x:c>
      <x:c r="C2657" t="str">
        <x:v>G</x:v>
      </x:c>
      <x:c r="D2657" t="str">
        <x:v>SI2</x:v>
      </x:c>
      <x:c r="E2657" s="36" t="n">
        <x:v>130566</x:v>
      </x:c>
      <x:c r="F2657" s="36" t="n">
        <x:v>2537</x:v>
      </x:c>
      <x:c r="G2657" s="42" t="n">
        <x:v>0.5441870441870442</x:v>
      </x:c>
      <x:c r="H2657" s="36" t="n">
        <x:f>E2657*G2657</x:f>
        <x:v>71052.32561132562</x:v>
      </x:c>
      <x:c r="I2657" s="36" t="n">
        <x:f>IFERROR(H2657/A2657,0)</x:f>
        <x:v>14210.465122265125</x:v>
      </x:c>
      <x:c r="J2657" s="67" t="str">
        <x:v>Modeled from live base + Sep-2026 quality ratio</x:v>
      </x:c>
      <x:c r="K2657" s="67" t="str">
        <x:v>https://www.stonealgo.com/diamond-prices/</x:v>
      </x:c>
      <x:c r="L2657" s="67" t="str">
        <x:v>https://www.pricescope.com/blog/natural-diamond-prices-september-2026</x:v>
      </x:c>
    </x:row>
    <x:row r="2658">
      <x:c r="A2658" t="n">
        <x:v>5</x:v>
      </x:c>
      <x:c r="B2658" t="str">
        <x:v>Oval</x:v>
      </x:c>
      <x:c r="C2658" t="str">
        <x:v>H</x:v>
      </x:c>
      <x:c r="D2658" t="str">
        <x:v>FL</x:v>
      </x:c>
      <x:c r="E2658" s="36" t="n">
        <x:v>130566</x:v>
      </x:c>
      <x:c r="F2658" s="36" t="n">
        <x:v>4563</x:v>
      </x:c>
      <x:c r="G2658" s="42" t="n">
        <x:v>0.9787644787644788</x:v>
      </x:c>
      <x:c r="H2658" s="36" t="n">
        <x:f>E2658*G2658</x:f>
        <x:v>127793.36293436294</x:v>
      </x:c>
      <x:c r="I2658" s="36" t="n">
        <x:f>IFERROR(H2658/A2658,0)</x:f>
        <x:v>25558.672586872588</x:v>
      </x:c>
      <x:c r="J2658" s="67" t="str">
        <x:v>Modeled from live base + Sep-2026 quality ratio</x:v>
      </x:c>
      <x:c r="K2658" s="67" t="str">
        <x:v>https://www.stonealgo.com/diamond-prices/</x:v>
      </x:c>
      <x:c r="L2658" s="67" t="str">
        <x:v>https://www.pricescope.com/blog/natural-diamond-prices-september-2026</x:v>
      </x:c>
    </x:row>
    <x:row r="2659">
      <x:c r="A2659" t="n">
        <x:v>5</x:v>
      </x:c>
      <x:c r="B2659" t="str">
        <x:v>Oval</x:v>
      </x:c>
      <x:c r="C2659" t="str">
        <x:v>H</x:v>
      </x:c>
      <x:c r="D2659" t="str">
        <x:v>IF</x:v>
      </x:c>
      <x:c r="E2659" s="36" t="n">
        <x:v>130566</x:v>
      </x:c>
      <x:c r="F2659" s="36" t="n">
        <x:v>4809</x:v>
      </x:c>
      <x:c r="G2659" s="42" t="n">
        <x:v>1.0315315315315314</x:v>
      </x:c>
      <x:c r="H2659" s="36" t="n">
        <x:f>E2659*G2659</x:f>
        <x:v>134682.94594594595</x:v>
      </x:c>
      <x:c r="I2659" s="36" t="n">
        <x:f>IFERROR(H2659/A2659,0)</x:f>
        <x:v>26936.589189189188</x:v>
      </x:c>
      <x:c r="J2659" s="67" t="str">
        <x:v>Modeled from live base + Sep-2026 quality ratio</x:v>
      </x:c>
      <x:c r="K2659" s="67" t="str">
        <x:v>https://www.stonealgo.com/diamond-prices/</x:v>
      </x:c>
      <x:c r="L2659" s="67" t="str">
        <x:v>https://www.pricescope.com/blog/natural-diamond-prices-september-2026</x:v>
      </x:c>
    </x:row>
    <x:row r="2660">
      <x:c r="A2660" t="n">
        <x:v>5</x:v>
      </x:c>
      <x:c r="B2660" t="str">
        <x:v>Oval</x:v>
      </x:c>
      <x:c r="C2660" t="str">
        <x:v>H</x:v>
      </x:c>
      <x:c r="D2660" t="str">
        <x:v>VVS1</x:v>
      </x:c>
      <x:c r="E2660" s="36" t="n">
        <x:v>130566</x:v>
      </x:c>
      <x:c r="F2660" s="36" t="n">
        <x:v>4911</x:v>
      </x:c>
      <x:c r="G2660" s="42" t="n">
        <x:v>1.0534105534105533</x:v>
      </x:c>
      <x:c r="H2660" s="36" t="n">
        <x:f>E2660*G2660</x:f>
        <x:v>137539.6023166023</x:v>
      </x:c>
      <x:c r="I2660" s="36" t="n">
        <x:f>IFERROR(H2660/A2660,0)</x:f>
        <x:v>27507.92046332046</x:v>
      </x:c>
      <x:c r="J2660" s="67" t="str">
        <x:v>Modeled from live base + Sep-2026 quality ratio</x:v>
      </x:c>
      <x:c r="K2660" s="67" t="str">
        <x:v>https://www.stonealgo.com/diamond-prices/</x:v>
      </x:c>
      <x:c r="L2660" s="67" t="str">
        <x:v>https://www.pricescope.com/blog/natural-diamond-prices-september-2026</x:v>
      </x:c>
    </x:row>
    <x:row r="2661">
      <x:c r="A2661" t="n">
        <x:v>5</x:v>
      </x:c>
      <x:c r="B2661" t="str">
        <x:v>Oval</x:v>
      </x:c>
      <x:c r="C2661" t="str">
        <x:v>H</x:v>
      </x:c>
      <x:c r="D2661" t="str">
        <x:v>VVS2</x:v>
      </x:c>
      <x:c r="E2661" s="36" t="n">
        <x:v>130566</x:v>
      </x:c>
      <x:c r="F2661" s="36" t="n">
        <x:v>4046</x:v>
      </x:c>
      <x:c r="G2661" s="42" t="n">
        <x:v>0.8678678678678678</x:v>
      </x:c>
      <x:c r="H2661" s="36" t="n">
        <x:f>E2661*G2661</x:f>
        <x:v>113314.03603603604</x:v>
      </x:c>
      <x:c r="I2661" s="36" t="n">
        <x:f>IFERROR(H2661/A2661,0)</x:f>
        <x:v>22662.807207207206</x:v>
      </x:c>
      <x:c r="J2661" s="67" t="str">
        <x:v>Modeled from live base + Sep-2026 quality ratio</x:v>
      </x:c>
      <x:c r="K2661" s="67" t="str">
        <x:v>https://www.stonealgo.com/diamond-prices/</x:v>
      </x:c>
      <x:c r="L2661" s="67" t="str">
        <x:v>https://www.pricescope.com/blog/natural-diamond-prices-september-2026</x:v>
      </x:c>
    </x:row>
    <x:row r="2662">
      <x:c r="A2662" t="n">
        <x:v>5</x:v>
      </x:c>
      <x:c r="B2662" t="str">
        <x:v>Oval</x:v>
      </x:c>
      <x:c r="C2662" t="str">
        <x:v>H</x:v>
      </x:c>
      <x:c r="D2662" t="str">
        <x:v>VS1</x:v>
      </x:c>
      <x:c r="E2662" s="36" t="n">
        <x:v>130566</x:v>
      </x:c>
      <x:c r="F2662" s="36" t="n">
        <x:v>3893</x:v>
      </x:c>
      <x:c r="G2662" s="42" t="n">
        <x:v>0.8350493350493351</x:v>
      </x:c>
      <x:c r="H2662" s="36" t="n">
        <x:f>E2662*G2662</x:f>
        <x:v>109029.05148005148</x:v>
      </x:c>
      <x:c r="I2662" s="36" t="n">
        <x:f>IFERROR(H2662/A2662,0)</x:f>
        <x:v>21805.810296010295</x:v>
      </x:c>
      <x:c r="J2662" s="67" t="str">
        <x:v>Modeled from live base + Sep-2026 quality ratio</x:v>
      </x:c>
      <x:c r="K2662" s="67" t="str">
        <x:v>https://www.stonealgo.com/diamond-prices/</x:v>
      </x:c>
      <x:c r="L2662" s="67" t="str">
        <x:v>https://www.pricescope.com/blog/natural-diamond-prices-september-2026</x:v>
      </x:c>
    </x:row>
    <x:row r="2663">
      <x:c r="A2663" t="n">
        <x:v>5</x:v>
      </x:c>
      <x:c r="B2663" t="str">
        <x:v>Oval</x:v>
      </x:c>
      <x:c r="C2663" t="str">
        <x:v>H</x:v>
      </x:c>
      <x:c r="D2663" t="str">
        <x:v>VS2</x:v>
      </x:c>
      <x:c r="E2663" s="36" t="n">
        <x:v>130566</x:v>
      </x:c>
      <x:c r="F2663" s="36" t="n">
        <x:v>3989</x:v>
      </x:c>
      <x:c r="G2663" s="42" t="n">
        <x:v>0.8556413556413557</x:v>
      </x:c>
      <x:c r="H2663" s="36" t="n">
        <x:f>E2663*G2663</x:f>
        <x:v>111717.66924066925</x:v>
      </x:c>
      <x:c r="I2663" s="36" t="n">
        <x:f>IFERROR(H2663/A2663,0)</x:f>
        <x:v>22343.533848133848</x:v>
      </x:c>
      <x:c r="J2663" s="67" t="str">
        <x:v>Modeled from live base + Sep-2026 quality ratio</x:v>
      </x:c>
      <x:c r="K2663" s="67" t="str">
        <x:v>https://www.stonealgo.com/diamond-prices/</x:v>
      </x:c>
      <x:c r="L2663" s="67" t="str">
        <x:v>https://www.pricescope.com/blog/natural-diamond-prices-september-2026</x:v>
      </x:c>
    </x:row>
    <x:row r="2664">
      <x:c r="A2664" t="n">
        <x:v>5</x:v>
      </x:c>
      <x:c r="B2664" t="str">
        <x:v>Oval</x:v>
      </x:c>
      <x:c r="C2664" t="str">
        <x:v>H</x:v>
      </x:c>
      <x:c r="D2664" t="str">
        <x:v>SI1</x:v>
      </x:c>
      <x:c r="E2664" s="36" t="n">
        <x:v>130566</x:v>
      </x:c>
      <x:c r="F2664" s="36" t="n">
        <x:v>2828</x:v>
      </x:c>
      <x:c r="G2664" s="42" t="n">
        <x:v>0.6066066066066066</x:v>
      </x:c>
      <x:c r="H2664" s="36" t="n">
        <x:f>E2664*G2664</x:f>
        <x:v>79202.1981981982</x:v>
      </x:c>
      <x:c r="I2664" s="36" t="n">
        <x:f>IFERROR(H2664/A2664,0)</x:f>
        <x:v>15840.439639639639</x:v>
      </x:c>
      <x:c r="J2664" s="67" t="str">
        <x:v>Modeled from live base + Sep-2026 quality ratio</x:v>
      </x:c>
      <x:c r="K2664" s="67" t="str">
        <x:v>https://www.stonealgo.com/diamond-prices/</x:v>
      </x:c>
      <x:c r="L2664" s="67" t="str">
        <x:v>https://www.pricescope.com/blog/natural-diamond-prices-september-2026</x:v>
      </x:c>
    </x:row>
    <x:row r="2665">
      <x:c r="A2665" t="n">
        <x:v>5</x:v>
      </x:c>
      <x:c r="B2665" t="str">
        <x:v>Oval</x:v>
      </x:c>
      <x:c r="C2665" t="str">
        <x:v>H</x:v>
      </x:c>
      <x:c r="D2665" t="str">
        <x:v>SI2</x:v>
      </x:c>
      <x:c r="E2665" s="36" t="n">
        <x:v>130566</x:v>
      </x:c>
      <x:c r="F2665" s="36" t="n">
        <x:v>2328</x:v>
      </x:c>
      <x:c r="G2665" s="42" t="n">
        <x:v>0.49935649935649934</x:v>
      </x:c>
      <x:c r="H2665" s="36" t="n">
        <x:f>E2665*G2665</x:f>
        <x:v>65198.980694980695</x:v>
      </x:c>
      <x:c r="I2665" s="36" t="n">
        <x:f>IFERROR(H2665/A2665,0)</x:f>
        <x:v>13039.796138996138</x:v>
      </x:c>
      <x:c r="J2665" s="67" t="str">
        <x:v>Modeled from live base + Sep-2026 quality ratio</x:v>
      </x:c>
      <x:c r="K2665" s="67" t="str">
        <x:v>https://www.stonealgo.com/diamond-prices/</x:v>
      </x:c>
      <x:c r="L2665" s="67" t="str">
        <x:v>https://www.pricescope.com/blog/natural-diamond-prices-september-2026</x:v>
      </x:c>
    </x:row>
    <x:row r="2666">
      <x:c r="A2666" t="n">
        <x:v>5</x:v>
      </x:c>
      <x:c r="B2666" t="str">
        <x:v>Oval</x:v>
      </x:c>
      <x:c r="C2666" t="str">
        <x:v>I</x:v>
      </x:c>
      <x:c r="D2666" t="str">
        <x:v>FL</x:v>
      </x:c>
      <x:c r="E2666" s="36" t="n">
        <x:v>130566</x:v>
      </x:c>
      <x:c r="F2666" s="36" t="n">
        <x:v>4623</x:v>
      </x:c>
      <x:c r="G2666" s="42" t="n">
        <x:v>0.9916344916344917</x:v>
      </x:c>
      <x:c r="H2666" s="36" t="n">
        <x:f>E2666*G2666</x:f>
        <x:v>129473.74903474904</x:v>
      </x:c>
      <x:c r="I2666" s="36" t="n">
        <x:f>IFERROR(H2666/A2666,0)</x:f>
        <x:v>25894.749806949807</x:v>
      </x:c>
      <x:c r="J2666" s="67" t="str">
        <x:v>Modeled from live base + Sep-2026 quality ratio</x:v>
      </x:c>
      <x:c r="K2666" s="67" t="str">
        <x:v>https://www.stonealgo.com/diamond-prices/</x:v>
      </x:c>
      <x:c r="L2666" s="67" t="str">
        <x:v>https://www.pricescope.com/blog/natural-diamond-prices-september-2026</x:v>
      </x:c>
    </x:row>
    <x:row r="2667">
      <x:c r="A2667" t="n">
        <x:v>5</x:v>
      </x:c>
      <x:c r="B2667" t="str">
        <x:v>Oval</x:v>
      </x:c>
      <x:c r="C2667" t="str">
        <x:v>I</x:v>
      </x:c>
      <x:c r="D2667" t="str">
        <x:v>IF</x:v>
      </x:c>
      <x:c r="E2667" s="36" t="n">
        <x:v>130566</x:v>
      </x:c>
      <x:c r="F2667" s="36" t="n">
        <x:v>4005</x:v>
      </x:c>
      <x:c r="G2667" s="42" t="n">
        <x:v>0.859073359073359</x:v>
      </x:c>
      <x:c r="H2667" s="36" t="n">
        <x:f>E2667*G2667</x:f>
        <x:v>112165.77220077219</x:v>
      </x:c>
      <x:c r="I2667" s="36" t="n">
        <x:f>IFERROR(H2667/A2667,0)</x:f>
        <x:v>22433.154440154438</x:v>
      </x:c>
      <x:c r="J2667" s="67" t="str">
        <x:v>Modeled from live base + Sep-2026 quality ratio</x:v>
      </x:c>
      <x:c r="K2667" s="67" t="str">
        <x:v>https://www.stonealgo.com/diamond-prices/</x:v>
      </x:c>
      <x:c r="L2667" s="67" t="str">
        <x:v>https://www.pricescope.com/blog/natural-diamond-prices-september-2026</x:v>
      </x:c>
    </x:row>
    <x:row r="2668">
      <x:c r="A2668" t="n">
        <x:v>5</x:v>
      </x:c>
      <x:c r="B2668" t="str">
        <x:v>Oval</x:v>
      </x:c>
      <x:c r="C2668" t="str">
        <x:v>I</x:v>
      </x:c>
      <x:c r="D2668" t="str">
        <x:v>VVS1</x:v>
      </x:c>
      <x:c r="E2668" s="36" t="n">
        <x:v>130566</x:v>
      </x:c>
      <x:c r="F2668" s="36" t="n">
        <x:v>3670</x:v>
      </x:c>
      <x:c r="G2668" s="42" t="n">
        <x:v>0.7872157872157872</x:v>
      </x:c>
      <x:c r="H2668" s="36" t="n">
        <x:f>E2668*G2668</x:f>
        <x:v>102783.61647361648</x:v>
      </x:c>
      <x:c r="I2668" s="36" t="n">
        <x:f>IFERROR(H2668/A2668,0)</x:f>
        <x:v>20556.723294723295</x:v>
      </x:c>
      <x:c r="J2668" s="67" t="str">
        <x:v>Modeled from live base + Sep-2026 quality ratio</x:v>
      </x:c>
      <x:c r="K2668" s="67" t="str">
        <x:v>https://www.stonealgo.com/diamond-prices/</x:v>
      </x:c>
      <x:c r="L2668" s="67" t="str">
        <x:v>https://www.pricescope.com/blog/natural-diamond-prices-september-2026</x:v>
      </x:c>
    </x:row>
    <x:row r="2669">
      <x:c r="A2669" t="n">
        <x:v>5</x:v>
      </x:c>
      <x:c r="B2669" t="str">
        <x:v>Oval</x:v>
      </x:c>
      <x:c r="C2669" t="str">
        <x:v>I</x:v>
      </x:c>
      <x:c r="D2669" t="str">
        <x:v>VVS2</x:v>
      </x:c>
      <x:c r="E2669" s="36" t="n">
        <x:v>130566</x:v>
      </x:c>
      <x:c r="F2669" s="36" t="n">
        <x:v>3447</x:v>
      </x:c>
      <x:c r="G2669" s="42" t="n">
        <x:v>0.7393822393822393</x:v>
      </x:c>
      <x:c r="H2669" s="36" t="n">
        <x:f>E2669*G2669</x:f>
        <x:v>96538.18146718146</x:v>
      </x:c>
      <x:c r="I2669" s="36" t="n">
        <x:f>IFERROR(H2669/A2669,0)</x:f>
        <x:v>19307.63629343629</x:v>
      </x:c>
      <x:c r="J2669" s="67" t="str">
        <x:v>Modeled from live base + Sep-2026 quality ratio</x:v>
      </x:c>
      <x:c r="K2669" s="67" t="str">
        <x:v>https://www.stonealgo.com/diamond-prices/</x:v>
      </x:c>
      <x:c r="L2669" s="67" t="str">
        <x:v>https://www.pricescope.com/blog/natural-diamond-prices-september-2026</x:v>
      </x:c>
    </x:row>
    <x:row r="2670">
      <x:c r="A2670" t="n">
        <x:v>5</x:v>
      </x:c>
      <x:c r="B2670" t="str">
        <x:v>Oval</x:v>
      </x:c>
      <x:c r="C2670" t="str">
        <x:v>I</x:v>
      </x:c>
      <x:c r="D2670" t="str">
        <x:v>VS1</x:v>
      </x:c>
      <x:c r="E2670" s="36" t="n">
        <x:v>130566</x:v>
      </x:c>
      <x:c r="F2670" s="36" t="n">
        <x:v>3313</x:v>
      </x:c>
      <x:c r="G2670" s="42" t="n">
        <x:v>0.7106392106392107</x:v>
      </x:c>
      <x:c r="H2670" s="36" t="n">
        <x:f>E2670*G2670</x:f>
        <x:v>92785.31917631917</x:v>
      </x:c>
      <x:c r="I2670" s="36" t="n">
        <x:f>IFERROR(H2670/A2670,0)</x:f>
        <x:v>18557.063835263834</x:v>
      </x:c>
      <x:c r="J2670" s="67" t="str">
        <x:v>Modeled from live base + Sep-2026 quality ratio</x:v>
      </x:c>
      <x:c r="K2670" s="67" t="str">
        <x:v>https://www.stonealgo.com/diamond-prices/</x:v>
      </x:c>
      <x:c r="L2670" s="67" t="str">
        <x:v>https://www.pricescope.com/blog/natural-diamond-prices-september-2026</x:v>
      </x:c>
    </x:row>
    <x:row r="2671">
      <x:c r="A2671" t="n">
        <x:v>5</x:v>
      </x:c>
      <x:c r="B2671" t="str">
        <x:v>Oval</x:v>
      </x:c>
      <x:c r="C2671" t="str">
        <x:v>I</x:v>
      </x:c>
      <x:c r="D2671" t="str">
        <x:v>VS2</x:v>
      </x:c>
      <x:c r="E2671" s="36" t="n">
        <x:v>130566</x:v>
      </x:c>
      <x:c r="F2671" s="36" t="n">
        <x:v>3240</x:v>
      </x:c>
      <x:c r="G2671" s="42" t="n">
        <x:v>0.694980694980695</x:v>
      </x:c>
      <x:c r="H2671" s="36" t="n">
        <x:f>E2671*G2671</x:f>
        <x:v>90740.84942084942</x:v>
      </x:c>
      <x:c r="I2671" s="36" t="n">
        <x:f>IFERROR(H2671/A2671,0)</x:f>
        <x:v>18148.169884169885</x:v>
      </x:c>
      <x:c r="J2671" s="67" t="str">
        <x:v>Modeled from live base + Sep-2026 quality ratio</x:v>
      </x:c>
      <x:c r="K2671" s="67" t="str">
        <x:v>https://www.stonealgo.com/diamond-prices/</x:v>
      </x:c>
      <x:c r="L2671" s="67" t="str">
        <x:v>https://www.pricescope.com/blog/natural-diamond-prices-september-2026</x:v>
      </x:c>
    </x:row>
    <x:row r="2672">
      <x:c r="A2672" t="n">
        <x:v>5</x:v>
      </x:c>
      <x:c r="B2672" t="str">
        <x:v>Oval</x:v>
      </x:c>
      <x:c r="C2672" t="str">
        <x:v>I</x:v>
      </x:c>
      <x:c r="D2672" t="str">
        <x:v>SI1</x:v>
      </x:c>
      <x:c r="E2672" s="36" t="n">
        <x:v>130566</x:v>
      </x:c>
      <x:c r="F2672" s="36" t="n">
        <x:v>3199</x:v>
      </x:c>
      <x:c r="G2672" s="42" t="n">
        <x:v>0.6861861861861862</x:v>
      </x:c>
      <x:c r="H2672" s="36" t="n">
        <x:f>E2672*G2672</x:f>
        <x:v>89592.58558558559</x:v>
      </x:c>
      <x:c r="I2672" s="36" t="n">
        <x:f>IFERROR(H2672/A2672,0)</x:f>
        <x:v>17918.517117117117</x:v>
      </x:c>
      <x:c r="J2672" s="67" t="str">
        <x:v>Modeled from live base + Sep-2026 quality ratio</x:v>
      </x:c>
      <x:c r="K2672" s="67" t="str">
        <x:v>https://www.stonealgo.com/diamond-prices/</x:v>
      </x:c>
      <x:c r="L2672" s="67" t="str">
        <x:v>https://www.pricescope.com/blog/natural-diamond-prices-september-2026</x:v>
      </x:c>
    </x:row>
    <x:row r="2673">
      <x:c r="A2673" t="n">
        <x:v>5</x:v>
      </x:c>
      <x:c r="B2673" t="str">
        <x:v>Oval</x:v>
      </x:c>
      <x:c r="C2673" t="str">
        <x:v>I</x:v>
      </x:c>
      <x:c r="D2673" t="str">
        <x:v>SI2</x:v>
      </x:c>
      <x:c r="E2673" s="36" t="n">
        <x:v>130566</x:v>
      </x:c>
      <x:c r="F2673" s="36" t="n">
        <x:v>2874</x:v>
      </x:c>
      <x:c r="G2673" s="42" t="n">
        <x:v>0.6164736164736164</x:v>
      </x:c>
      <x:c r="H2673" s="36" t="n">
        <x:f>E2673*G2673</x:f>
        <x:v>80490.4942084942</x:v>
      </x:c>
      <x:c r="I2673" s="36" t="n">
        <x:f>IFERROR(H2673/A2673,0)</x:f>
        <x:v>16098.09884169884</x:v>
      </x:c>
      <x:c r="J2673" s="67" t="str">
        <x:v>Modeled from live base + Sep-2026 quality ratio</x:v>
      </x:c>
      <x:c r="K2673" s="67" t="str">
        <x:v>https://www.stonealgo.com/diamond-prices/</x:v>
      </x:c>
      <x:c r="L2673" s="67" t="str">
        <x:v>https://www.pricescope.com/blog/natural-diamond-prices-september-2026</x:v>
      </x:c>
    </x:row>
    <x:row r="2674">
      <x:c r="A2674" t="n">
        <x:v>5</x:v>
      </x:c>
      <x:c r="B2674" t="str">
        <x:v>Oval</x:v>
      </x:c>
      <x:c r="C2674" t="str">
        <x:v>J</x:v>
      </x:c>
      <x:c r="D2674" t="str">
        <x:v>FL</x:v>
      </x:c>
      <x:c r="E2674" s="36" t="n">
        <x:v>130566</x:v>
      </x:c>
      <x:c r="F2674" s="36" t="n">
        <x:v>3646</x:v>
      </x:c>
      <x:c r="G2674" s="42" t="n">
        <x:v>0.782067782067782</x:v>
      </x:c>
      <x:c r="H2674" s="36" t="n">
        <x:f>E2674*G2674</x:f>
        <x:v>102111.46203346203</x:v>
      </x:c>
      <x:c r="I2674" s="36" t="n">
        <x:f>IFERROR(H2674/A2674,0)</x:f>
        <x:v>20422.292406692406</x:v>
      </x:c>
      <x:c r="J2674" s="67" t="str">
        <x:v>Modeled from live base + Sep-2026 quality ratio</x:v>
      </x:c>
      <x:c r="K2674" s="67" t="str">
        <x:v>https://www.stonealgo.com/diamond-prices/</x:v>
      </x:c>
      <x:c r="L2674" s="67" t="str">
        <x:v>https://www.pricescope.com/blog/natural-diamond-prices-september-2026</x:v>
      </x:c>
    </x:row>
    <x:row r="2675">
      <x:c r="A2675" t="n">
        <x:v>5</x:v>
      </x:c>
      <x:c r="B2675" t="str">
        <x:v>Oval</x:v>
      </x:c>
      <x:c r="C2675" t="str">
        <x:v>J</x:v>
      </x:c>
      <x:c r="D2675" t="str">
        <x:v>IF</x:v>
      </x:c>
      <x:c r="E2675" s="36" t="n">
        <x:v>130566</x:v>
      </x:c>
      <x:c r="F2675" s="36" t="n">
        <x:v>3368</x:v>
      </x:c>
      <x:c r="G2675" s="42" t="n">
        <x:v>0.7224367224367224</x:v>
      </x:c>
      <x:c r="H2675" s="36" t="n">
        <x:f>E2675*G2675</x:f>
        <x:v>94325.67310167309</x:v>
      </x:c>
      <x:c r="I2675" s="36" t="n">
        <x:f>IFERROR(H2675/A2675,0)</x:f>
        <x:v>18865.13462033462</x:v>
      </x:c>
      <x:c r="J2675" s="67" t="str">
        <x:v>Modeled from live base + Sep-2026 quality ratio</x:v>
      </x:c>
      <x:c r="K2675" s="67" t="str">
        <x:v>https://www.stonealgo.com/diamond-prices/</x:v>
      </x:c>
      <x:c r="L2675" s="67" t="str">
        <x:v>https://www.pricescope.com/blog/natural-diamond-prices-september-2026</x:v>
      </x:c>
    </x:row>
    <x:row r="2676">
      <x:c r="A2676" t="n">
        <x:v>5</x:v>
      </x:c>
      <x:c r="B2676" t="str">
        <x:v>Oval</x:v>
      </x:c>
      <x:c r="C2676" t="str">
        <x:v>J</x:v>
      </x:c>
      <x:c r="D2676" t="str">
        <x:v>VVS1</x:v>
      </x:c>
      <x:c r="E2676" s="36" t="n">
        <x:v>130566</x:v>
      </x:c>
      <x:c r="F2676" s="36" t="n">
        <x:v>2956</x:v>
      </x:c>
      <x:c r="G2676" s="42" t="n">
        <x:v>0.6340626340626341</x:v>
      </x:c>
      <x:c r="H2676" s="36" t="n">
        <x:f>E2676*G2676</x:f>
        <x:v>82787.02187902188</x:v>
      </x:c>
      <x:c r="I2676" s="36" t="n">
        <x:f>IFERROR(H2676/A2676,0)</x:f>
        <x:v>16557.404375804377</x:v>
      </x:c>
      <x:c r="J2676" s="67" t="str">
        <x:v>Modeled from live base + Sep-2026 quality ratio</x:v>
      </x:c>
      <x:c r="K2676" s="67" t="str">
        <x:v>https://www.stonealgo.com/diamond-prices/</x:v>
      </x:c>
      <x:c r="L2676" s="67" t="str">
        <x:v>https://www.pricescope.com/blog/natural-diamond-prices-september-2026</x:v>
      </x:c>
    </x:row>
    <x:row r="2677">
      <x:c r="A2677" t="n">
        <x:v>5</x:v>
      </x:c>
      <x:c r="B2677" t="str">
        <x:v>Oval</x:v>
      </x:c>
      <x:c r="C2677" t="str">
        <x:v>J</x:v>
      </x:c>
      <x:c r="D2677" t="str">
        <x:v>VVS2</x:v>
      </x:c>
      <x:c r="E2677" s="36" t="n">
        <x:v>130566</x:v>
      </x:c>
      <x:c r="F2677" s="36" t="n">
        <x:v>2612</x:v>
      </x:c>
      <x:c r="G2677" s="42" t="n">
        <x:v>0.5602745602745602</x:v>
      </x:c>
      <x:c r="H2677" s="36" t="n">
        <x:f>E2677*G2677</x:f>
        <x:v>73152.80823680824</x:v>
      </x:c>
      <x:c r="I2677" s="36" t="n">
        <x:f>IFERROR(H2677/A2677,0)</x:f>
        <x:v>14630.561647361648</x:v>
      </x:c>
      <x:c r="J2677" s="67" t="str">
        <x:v>Modeled from live base + Sep-2026 quality ratio</x:v>
      </x:c>
      <x:c r="K2677" s="67" t="str">
        <x:v>https://www.stonealgo.com/diamond-prices/</x:v>
      </x:c>
      <x:c r="L2677" s="67" t="str">
        <x:v>https://www.pricescope.com/blog/natural-diamond-prices-september-2026</x:v>
      </x:c>
    </x:row>
    <x:row r="2678">
      <x:c r="A2678" t="n">
        <x:v>5</x:v>
      </x:c>
      <x:c r="B2678" t="str">
        <x:v>Oval</x:v>
      </x:c>
      <x:c r="C2678" t="str">
        <x:v>J</x:v>
      </x:c>
      <x:c r="D2678" t="str">
        <x:v>VS1</x:v>
      </x:c>
      <x:c r="E2678" s="36" t="n">
        <x:v>130566</x:v>
      </x:c>
      <x:c r="F2678" s="36" t="n">
        <x:v>3002</x:v>
      </x:c>
      <x:c r="G2678" s="42" t="n">
        <x:v>0.6439296439296439</x:v>
      </x:c>
      <x:c r="H2678" s="36" t="n">
        <x:f>E2678*G2678</x:f>
        <x:v>84075.31788931788</x:v>
      </x:c>
      <x:c r="I2678" s="36" t="n">
        <x:f>IFERROR(H2678/A2678,0)</x:f>
        <x:v>16815.063577863577</x:v>
      </x:c>
      <x:c r="J2678" s="67" t="str">
        <x:v>Modeled from live base + Sep-2026 quality ratio</x:v>
      </x:c>
      <x:c r="K2678" s="67" t="str">
        <x:v>https://www.stonealgo.com/diamond-prices/</x:v>
      </x:c>
      <x:c r="L2678" s="67" t="str">
        <x:v>https://www.pricescope.com/blog/natural-diamond-prices-september-2026</x:v>
      </x:c>
    </x:row>
    <x:row r="2679">
      <x:c r="A2679" t="n">
        <x:v>5</x:v>
      </x:c>
      <x:c r="B2679" t="str">
        <x:v>Oval</x:v>
      </x:c>
      <x:c r="C2679" t="str">
        <x:v>J</x:v>
      </x:c>
      <x:c r="D2679" t="str">
        <x:v>VS2</x:v>
      </x:c>
      <x:c r="E2679" s="36" t="n">
        <x:v>130566</x:v>
      </x:c>
      <x:c r="F2679" s="36" t="n">
        <x:v>2559</x:v>
      </x:c>
      <x:c r="G2679" s="42" t="n">
        <x:v>0.5489060489060489</x:v>
      </x:c>
      <x:c r="H2679" s="36" t="n">
        <x:f>E2679*G2679</x:f>
        <x:v>71668.46718146717</x:v>
      </x:c>
      <x:c r="I2679" s="36" t="n">
        <x:f>IFERROR(H2679/A2679,0)</x:f>
        <x:v>14333.693436293435</x:v>
      </x:c>
      <x:c r="J2679" s="67" t="str">
        <x:v>Modeled from live base + Sep-2026 quality ratio</x:v>
      </x:c>
      <x:c r="K2679" s="67" t="str">
        <x:v>https://www.stonealgo.com/diamond-prices/</x:v>
      </x:c>
      <x:c r="L2679" s="67" t="str">
        <x:v>https://www.pricescope.com/blog/natural-diamond-prices-september-2026</x:v>
      </x:c>
    </x:row>
    <x:row r="2680">
      <x:c r="A2680" t="n">
        <x:v>5</x:v>
      </x:c>
      <x:c r="B2680" t="str">
        <x:v>Oval</x:v>
      </x:c>
      <x:c r="C2680" t="str">
        <x:v>J</x:v>
      </x:c>
      <x:c r="D2680" t="str">
        <x:v>SI1</x:v>
      </x:c>
      <x:c r="E2680" s="36" t="n">
        <x:v>130566</x:v>
      </x:c>
      <x:c r="F2680" s="36" t="n">
        <x:v>2195</x:v>
      </x:c>
      <x:c r="G2680" s="42" t="n">
        <x:v>0.47082797082797084</x:v>
      </x:c>
      <x:c r="H2680" s="36" t="n">
        <x:f>E2680*G2680</x:f>
        <x:v>61474.124839124845</x:v>
      </x:c>
      <x:c r="I2680" s="36" t="n">
        <x:f>IFERROR(H2680/A2680,0)</x:f>
        <x:v>12294.824967824969</x:v>
      </x:c>
      <x:c r="J2680" s="67" t="str">
        <x:v>Modeled from live base + Sep-2026 quality ratio</x:v>
      </x:c>
      <x:c r="K2680" s="67" t="str">
        <x:v>https://www.stonealgo.com/diamond-prices/</x:v>
      </x:c>
      <x:c r="L2680" s="67" t="str">
        <x:v>https://www.pricescope.com/blog/natural-diamond-prices-september-2026</x:v>
      </x:c>
    </x:row>
    <x:row r="2681">
      <x:c r="A2681" t="n">
        <x:v>5</x:v>
      </x:c>
      <x:c r="B2681" t="str">
        <x:v>Oval</x:v>
      </x:c>
      <x:c r="C2681" t="str">
        <x:v>J</x:v>
      </x:c>
      <x:c r="D2681" t="str">
        <x:v>SI2</x:v>
      </x:c>
      <x:c r="E2681" s="36" t="n">
        <x:v>130566</x:v>
      </x:c>
      <x:c r="F2681" s="36" t="n">
        <x:v>2079</x:v>
      </x:c>
      <x:c r="G2681" s="42" t="n">
        <x:v>0.44594594594594594</x:v>
      </x:c>
      <x:c r="H2681" s="36" t="n">
        <x:f>E2681*G2681</x:f>
        <x:v>58225.37837837838</x:v>
      </x:c>
      <x:c r="I2681" s="36" t="n">
        <x:f>IFERROR(H2681/A2681,0)</x:f>
        <x:v>11645.075675675676</x:v>
      </x:c>
      <x:c r="J2681" s="67" t="str">
        <x:v>Modeled from live base + Sep-2026 quality ratio</x:v>
      </x:c>
      <x:c r="K2681" s="67" t="str">
        <x:v>https://www.stonealgo.com/diamond-prices/</x:v>
      </x:c>
      <x:c r="L2681" s="67" t="str">
        <x:v>https://www.pricescope.com/blog/natural-diamond-prices-september-2026</x:v>
      </x:c>
    </x:row>
    <x:row r="2682">
      <x:c r="A2682" t="n">
        <x:v>5</x:v>
      </x:c>
      <x:c r="B2682" t="str">
        <x:v>Oval</x:v>
      </x:c>
      <x:c r="C2682" t="str">
        <x:v>K</x:v>
      </x:c>
      <x:c r="D2682" t="str">
        <x:v>FL</x:v>
      </x:c>
      <x:c r="E2682" s="36" t="n">
        <x:v>130566</x:v>
      </x:c>
      <x:c r="F2682" s="36" t="n">
        <x:v>2858</x:v>
      </x:c>
      <x:c r="G2682" s="42" t="n">
        <x:v>0.6130416130416131</x:v>
      </x:c>
      <x:c r="H2682" s="36" t="n">
        <x:f>E2682*G2682</x:f>
        <x:v>80042.39124839126</x:v>
      </x:c>
      <x:c r="I2682" s="36" t="n">
        <x:f>IFERROR(H2682/A2682,0)</x:f>
        <x:v>16008.478249678252</x:v>
      </x:c>
      <x:c r="J2682" s="67" t="str">
        <x:v>Modeled from live base + Sep-2026 quality ratio; K/FL quality cell modeled</x:v>
      </x:c>
      <x:c r="K2682" s="67" t="str">
        <x:v>https://www.stonealgo.com/diamond-prices/</x:v>
      </x:c>
      <x:c r="L2682" s="67" t="str">
        <x:v>https://www.pricescope.com/blog/natural-diamond-prices-september-2026</x:v>
      </x:c>
    </x:row>
    <x:row r="2683">
      <x:c r="A2683" t="n">
        <x:v>5</x:v>
      </x:c>
      <x:c r="B2683" t="str">
        <x:v>Oval</x:v>
      </x:c>
      <x:c r="C2683" t="str">
        <x:v>K</x:v>
      </x:c>
      <x:c r="D2683" t="str">
        <x:v>IF</x:v>
      </x:c>
      <x:c r="E2683" s="36" t="n">
        <x:v>130566</x:v>
      </x:c>
      <x:c r="F2683" s="36" t="n">
        <x:v>2743</x:v>
      </x:c>
      <x:c r="G2683" s="42" t="n">
        <x:v>0.5883740883740883</x:v>
      </x:c>
      <x:c r="H2683" s="36" t="n">
        <x:f>E2683*G2683</x:f>
        <x:v>76821.65122265121</x:v>
      </x:c>
      <x:c r="I2683" s="36" t="n">
        <x:f>IFERROR(H2683/A2683,0)</x:f>
        <x:v>15364.330244530243</x:v>
      </x:c>
      <x:c r="J2683" s="67" t="str">
        <x:v>Modeled from live base + Sep-2026 quality ratio</x:v>
      </x:c>
      <x:c r="K2683" s="67" t="str">
        <x:v>https://www.stonealgo.com/diamond-prices/</x:v>
      </x:c>
      <x:c r="L2683" s="67" t="str">
        <x:v>https://www.pricescope.com/blog/natural-diamond-prices-september-2026</x:v>
      </x:c>
    </x:row>
    <x:row r="2684">
      <x:c r="A2684" t="n">
        <x:v>5</x:v>
      </x:c>
      <x:c r="B2684" t="str">
        <x:v>Oval</x:v>
      </x:c>
      <x:c r="C2684" t="str">
        <x:v>K</x:v>
      </x:c>
      <x:c r="D2684" t="str">
        <x:v>VVS1</x:v>
      </x:c>
      <x:c r="E2684" s="36" t="n">
        <x:v>130566</x:v>
      </x:c>
      <x:c r="F2684" s="36" t="n">
        <x:v>2529</x:v>
      </x:c>
      <x:c r="G2684" s="42" t="n">
        <x:v>0.5424710424710425</x:v>
      </x:c>
      <x:c r="H2684" s="36" t="n">
        <x:f>E2684*G2684</x:f>
        <x:v>70828.27413127414</x:v>
      </x:c>
      <x:c r="I2684" s="36" t="n">
        <x:f>IFERROR(H2684/A2684,0)</x:f>
        <x:v>14165.654826254828</x:v>
      </x:c>
      <x:c r="J2684" s="67" t="str">
        <x:v>Modeled from live base + Sep-2026 quality ratio</x:v>
      </x:c>
      <x:c r="K2684" s="67" t="str">
        <x:v>https://www.stonealgo.com/diamond-prices/</x:v>
      </x:c>
      <x:c r="L2684" s="67" t="str">
        <x:v>https://www.pricescope.com/blog/natural-diamond-prices-september-2026</x:v>
      </x:c>
    </x:row>
    <x:row r="2685">
      <x:c r="A2685" t="n">
        <x:v>5</x:v>
      </x:c>
      <x:c r="B2685" t="str">
        <x:v>Oval</x:v>
      </x:c>
      <x:c r="C2685" t="str">
        <x:v>K</x:v>
      </x:c>
      <x:c r="D2685" t="str">
        <x:v>VVS2</x:v>
      </x:c>
      <x:c r="E2685" s="36" t="n">
        <x:v>130566</x:v>
      </x:c>
      <x:c r="F2685" s="36" t="n">
        <x:v>2374</x:v>
      </x:c>
      <x:c r="G2685" s="42" t="n">
        <x:v>0.5092235092235092</x:v>
      </x:c>
      <x:c r="H2685" s="36" t="n">
        <x:f>E2685*G2685</x:f>
        <x:v>66487.2767052767</x:v>
      </x:c>
      <x:c r="I2685" s="36" t="n">
        <x:f>IFERROR(H2685/A2685,0)</x:f>
        <x:v>13297.45534105534</x:v>
      </x:c>
      <x:c r="J2685" s="67" t="str">
        <x:v>Modeled from live base + Sep-2026 quality ratio</x:v>
      </x:c>
      <x:c r="K2685" s="67" t="str">
        <x:v>https://www.stonealgo.com/diamond-prices/</x:v>
      </x:c>
      <x:c r="L2685" s="67" t="str">
        <x:v>https://www.pricescope.com/blog/natural-diamond-prices-september-2026</x:v>
      </x:c>
    </x:row>
    <x:row r="2686">
      <x:c r="A2686" t="n">
        <x:v>5</x:v>
      </x:c>
      <x:c r="B2686" t="str">
        <x:v>Oval</x:v>
      </x:c>
      <x:c r="C2686" t="str">
        <x:v>K</x:v>
      </x:c>
      <x:c r="D2686" t="str">
        <x:v>VS1</x:v>
      </x:c>
      <x:c r="E2686" s="36" t="n">
        <x:v>130566</x:v>
      </x:c>
      <x:c r="F2686" s="36" t="n">
        <x:v>2223</x:v>
      </x:c>
      <x:c r="G2686" s="42" t="n">
        <x:v>0.4768339768339768</x:v>
      </x:c>
      <x:c r="H2686" s="36" t="n">
        <x:f>E2686*G2686</x:f>
        <x:v>62258.305019305015</x:v>
      </x:c>
      <x:c r="I2686" s="36" t="n">
        <x:f>IFERROR(H2686/A2686,0)</x:f>
        <x:v>12451.661003861003</x:v>
      </x:c>
      <x:c r="J2686" s="67" t="str">
        <x:v>Modeled from live base + Sep-2026 quality ratio</x:v>
      </x:c>
      <x:c r="K2686" s="67" t="str">
        <x:v>https://www.stonealgo.com/diamond-prices/</x:v>
      </x:c>
      <x:c r="L2686" s="67" t="str">
        <x:v>https://www.pricescope.com/blog/natural-diamond-prices-september-2026</x:v>
      </x:c>
    </x:row>
    <x:row r="2687">
      <x:c r="A2687" t="n">
        <x:v>5</x:v>
      </x:c>
      <x:c r="B2687" t="str">
        <x:v>Oval</x:v>
      </x:c>
      <x:c r="C2687" t="str">
        <x:v>K</x:v>
      </x:c>
      <x:c r="D2687" t="str">
        <x:v>VS2</x:v>
      </x:c>
      <x:c r="E2687" s="36" t="n">
        <x:v>130566</x:v>
      </x:c>
      <x:c r="F2687" s="36" t="n">
        <x:v>2098</x:v>
      </x:c>
      <x:c r="G2687" s="42" t="n">
        <x:v>0.45002145002145</x:v>
      </x:c>
      <x:c r="H2687" s="36" t="n">
        <x:f>E2687*G2687</x:f>
        <x:v>58757.50064350064</x:v>
      </x:c>
      <x:c r="I2687" s="36" t="n">
        <x:f>IFERROR(H2687/A2687,0)</x:f>
        <x:v>11751.500128700129</x:v>
      </x:c>
      <x:c r="J2687" s="67" t="str">
        <x:v>Modeled from live base + Sep-2026 quality ratio</x:v>
      </x:c>
      <x:c r="K2687" s="67" t="str">
        <x:v>https://www.stonealgo.com/diamond-prices/</x:v>
      </x:c>
      <x:c r="L2687" s="67" t="str">
        <x:v>https://www.pricescope.com/blog/natural-diamond-prices-september-2026</x:v>
      </x:c>
    </x:row>
    <x:row r="2688">
      <x:c r="A2688" t="n">
        <x:v>5</x:v>
      </x:c>
      <x:c r="B2688" t="str">
        <x:v>Oval</x:v>
      </x:c>
      <x:c r="C2688" t="str">
        <x:v>K</x:v>
      </x:c>
      <x:c r="D2688" t="str">
        <x:v>SI1</x:v>
      </x:c>
      <x:c r="E2688" s="36" t="n">
        <x:v>130566</x:v>
      </x:c>
      <x:c r="F2688" s="36" t="n">
        <x:v>1922</x:v>
      </x:c>
      <x:c r="G2688" s="42" t="n">
        <x:v>0.41226941226941227</x:v>
      </x:c>
      <x:c r="H2688" s="36" t="n">
        <x:f>E2688*G2688</x:f>
        <x:v>53828.368082368084</x:v>
      </x:c>
      <x:c r="I2688" s="36" t="n">
        <x:f>IFERROR(H2688/A2688,0)</x:f>
        <x:v>10765.673616473618</x:v>
      </x:c>
      <x:c r="J2688" s="67" t="str">
        <x:v>Modeled from live base + Sep-2026 quality ratio</x:v>
      </x:c>
      <x:c r="K2688" s="67" t="str">
        <x:v>https://www.stonealgo.com/diamond-prices/</x:v>
      </x:c>
      <x:c r="L2688" s="67" t="str">
        <x:v>https://www.pricescope.com/blog/natural-diamond-prices-september-2026</x:v>
      </x:c>
    </x:row>
    <x:row r="2689">
      <x:c r="A2689" t="n">
        <x:v>5</x:v>
      </x:c>
      <x:c r="B2689" t="str">
        <x:v>Oval</x:v>
      </x:c>
      <x:c r="C2689" t="str">
        <x:v>K</x:v>
      </x:c>
      <x:c r="D2689" t="str">
        <x:v>SI2</x:v>
      </x:c>
      <x:c r="E2689" s="36" t="n">
        <x:v>130566</x:v>
      </x:c>
      <x:c r="F2689" s="36" t="n">
        <x:v>1764</x:v>
      </x:c>
      <x:c r="G2689" s="42" t="n">
        <x:v>0.3783783783783784</x:v>
      </x:c>
      <x:c r="H2689" s="36" t="n">
        <x:f>E2689*G2689</x:f>
        <x:v>49403.35135135135</x:v>
      </x:c>
      <x:c r="I2689" s="36" t="n">
        <x:f>IFERROR(H2689/A2689,0)</x:f>
        <x:v>9880.670270270271</x:v>
      </x:c>
      <x:c r="J2689" s="67" t="str">
        <x:v>Modeled from live base + Sep-2026 quality ratio</x:v>
      </x:c>
      <x:c r="K2689" s="67" t="str">
        <x:v>https://www.stonealgo.com/diamond-prices/</x:v>
      </x:c>
      <x:c r="L2689" s="67" t="str">
        <x:v>https://www.pricescope.com/blog/natural-diamond-prices-september-2026</x:v>
      </x:c>
    </x:row>
    <x:row r="2690">
      <x:c r="A2690" t="n">
        <x:v>5</x:v>
      </x:c>
      <x:c r="B2690" t="str">
        <x:v>Princess</x:v>
      </x:c>
      <x:c r="C2690" t="str">
        <x:v>D</x:v>
      </x:c>
      <x:c r="D2690" t="str">
        <x:v>FL</x:v>
      </x:c>
      <x:c r="E2690" s="36" t="n">
        <x:v>87200</x:v>
      </x:c>
      <x:c r="F2690" s="36" t="n">
        <x:v>12665</x:v>
      </x:c>
      <x:c r="G2690" s="42" t="n">
        <x:v>2.7166452166452166</x:v>
      </x:c>
      <x:c r="H2690" s="36" t="n">
        <x:f>E2690*G2690</x:f>
        <x:v>236891.4628914629</x:v>
      </x:c>
      <x:c r="I2690" s="36" t="n">
        <x:f>IFERROR(H2690/A2690,0)</x:f>
        <x:v>47378.29257829258</x:v>
      </x:c>
      <x:c r="J2690" s="67" t="str">
        <x:v>Modeled from live base + Sep-2026 quality ratio</x:v>
      </x:c>
      <x:c r="K2690" s="67" t="str">
        <x:v>https://www.stonealgo.com/diamond-prices/</x:v>
      </x:c>
      <x:c r="L2690" s="67" t="str">
        <x:v>https://www.pricescope.com/blog/natural-diamond-prices-september-2026</x:v>
      </x:c>
    </x:row>
    <x:row r="2691">
      <x:c r="A2691" t="n">
        <x:v>5</x:v>
      </x:c>
      <x:c r="B2691" t="str">
        <x:v>Princess</x:v>
      </x:c>
      <x:c r="C2691" t="str">
        <x:v>D</x:v>
      </x:c>
      <x:c r="D2691" t="str">
        <x:v>IF</x:v>
      </x:c>
      <x:c r="E2691" s="36" t="n">
        <x:v>87200</x:v>
      </x:c>
      <x:c r="F2691" s="36" t="n">
        <x:v>13240</x:v>
      </x:c>
      <x:c r="G2691" s="42" t="n">
        <x:v>2.83998283998284</x:v>
      </x:c>
      <x:c r="H2691" s="36" t="n">
        <x:f>E2691*G2691</x:f>
        <x:v>247646.50364650367</x:v>
      </x:c>
      <x:c r="I2691" s="36" t="n">
        <x:f>IFERROR(H2691/A2691,0)</x:f>
        <x:v>49529.30072930073</x:v>
      </x:c>
      <x:c r="J2691" s="67" t="str">
        <x:v>Modeled from live base + Sep-2026 quality ratio</x:v>
      </x:c>
      <x:c r="K2691" s="67" t="str">
        <x:v>https://www.stonealgo.com/diamond-prices/</x:v>
      </x:c>
      <x:c r="L2691" s="67" t="str">
        <x:v>https://www.pricescope.com/blog/natural-diamond-prices-september-2026</x:v>
      </x:c>
    </x:row>
    <x:row r="2692">
      <x:c r="A2692" t="n">
        <x:v>5</x:v>
      </x:c>
      <x:c r="B2692" t="str">
        <x:v>Princess</x:v>
      </x:c>
      <x:c r="C2692" t="str">
        <x:v>D</x:v>
      </x:c>
      <x:c r="D2692" t="str">
        <x:v>VVS1</x:v>
      </x:c>
      <x:c r="E2692" s="36" t="n">
        <x:v>87200</x:v>
      </x:c>
      <x:c r="F2692" s="36" t="n">
        <x:v>9555</x:v>
      </x:c>
      <x:c r="G2692" s="42" t="n">
        <x:v>2.0495495495495497</x:v>
      </x:c>
      <x:c r="H2692" s="36" t="n">
        <x:f>E2692*G2692</x:f>
        <x:v>178720.72072072074</x:v>
      </x:c>
      <x:c r="I2692" s="36" t="n">
        <x:f>IFERROR(H2692/A2692,0)</x:f>
        <x:v>35744.14414414415</x:v>
      </x:c>
      <x:c r="J2692" s="67" t="str">
        <x:v>Modeled from live base + Sep-2026 quality ratio</x:v>
      </x:c>
      <x:c r="K2692" s="67" t="str">
        <x:v>https://www.stonealgo.com/diamond-prices/</x:v>
      </x:c>
      <x:c r="L2692" s="67" t="str">
        <x:v>https://www.pricescope.com/blog/natural-diamond-prices-september-2026</x:v>
      </x:c>
    </x:row>
    <x:row r="2693">
      <x:c r="A2693" t="n">
        <x:v>5</x:v>
      </x:c>
      <x:c r="B2693" t="str">
        <x:v>Princess</x:v>
      </x:c>
      <x:c r="C2693" t="str">
        <x:v>D</x:v>
      </x:c>
      <x:c r="D2693" t="str">
        <x:v>VVS2</x:v>
      </x:c>
      <x:c r="E2693" s="36" t="n">
        <x:v>87200</x:v>
      </x:c>
      <x:c r="F2693" s="36" t="n">
        <x:v>6660</x:v>
      </x:c>
      <x:c r="G2693" s="42" t="n">
        <x:v>1.4285714285714286</x:v>
      </x:c>
      <x:c r="H2693" s="36" t="n">
        <x:f>E2693*G2693</x:f>
        <x:v>124571.42857142858</x:v>
      </x:c>
      <x:c r="I2693" s="36" t="n">
        <x:f>IFERROR(H2693/A2693,0)</x:f>
        <x:v>24914.285714285717</x:v>
      </x:c>
      <x:c r="J2693" s="67" t="str">
        <x:v>Modeled from live base + Sep-2026 quality ratio</x:v>
      </x:c>
      <x:c r="K2693" s="67" t="str">
        <x:v>https://www.stonealgo.com/diamond-prices/</x:v>
      </x:c>
      <x:c r="L2693" s="67" t="str">
        <x:v>https://www.pricescope.com/blog/natural-diamond-prices-september-2026</x:v>
      </x:c>
    </x:row>
    <x:row r="2694">
      <x:c r="A2694" t="n">
        <x:v>5</x:v>
      </x:c>
      <x:c r="B2694" t="str">
        <x:v>Princess</x:v>
      </x:c>
      <x:c r="C2694" t="str">
        <x:v>D</x:v>
      </x:c>
      <x:c r="D2694" t="str">
        <x:v>VS1</x:v>
      </x:c>
      <x:c r="E2694" s="36" t="n">
        <x:v>87200</x:v>
      </x:c>
      <x:c r="F2694" s="36" t="n">
        <x:v>6247</x:v>
      </x:c>
      <x:c r="G2694" s="42" t="n">
        <x:v>1.33998283998284</x:v>
      </x:c>
      <x:c r="H2694" s="36" t="n">
        <x:f>E2694*G2694</x:f>
        <x:v>116846.50364650364</x:v>
      </x:c>
      <x:c r="I2694" s="36" t="n">
        <x:f>IFERROR(H2694/A2694,0)</x:f>
        <x:v>23369.30072930073</x:v>
      </x:c>
      <x:c r="J2694" s="67" t="str">
        <x:v>Modeled from live base + Sep-2026 quality ratio</x:v>
      </x:c>
      <x:c r="K2694" s="67" t="str">
        <x:v>https://www.stonealgo.com/diamond-prices/</x:v>
      </x:c>
      <x:c r="L2694" s="67" t="str">
        <x:v>https://www.pricescope.com/blog/natural-diamond-prices-september-2026</x:v>
      </x:c>
    </x:row>
    <x:row r="2695">
      <x:c r="A2695" t="n">
        <x:v>5</x:v>
      </x:c>
      <x:c r="B2695" t="str">
        <x:v>Princess</x:v>
      </x:c>
      <x:c r="C2695" t="str">
        <x:v>D</x:v>
      </x:c>
      <x:c r="D2695" t="str">
        <x:v>VS2</x:v>
      </x:c>
      <x:c r="E2695" s="36" t="n">
        <x:v>87200</x:v>
      </x:c>
      <x:c r="F2695" s="36" t="n">
        <x:v>5841</x:v>
      </x:c>
      <x:c r="G2695" s="42" t="n">
        <x:v>1.252895752895753</x:v>
      </x:c>
      <x:c r="H2695" s="36" t="n">
        <x:f>E2695*G2695</x:f>
        <x:v>109252.50965250966</x:v>
      </x:c>
      <x:c r="I2695" s="36" t="n">
        <x:f>IFERROR(H2695/A2695,0)</x:f>
        <x:v>21850.50193050193</x:v>
      </x:c>
      <x:c r="J2695" s="67" t="str">
        <x:v>Modeled from live base + Sep-2026 quality ratio</x:v>
      </x:c>
      <x:c r="K2695" s="67" t="str">
        <x:v>https://www.stonealgo.com/diamond-prices/</x:v>
      </x:c>
      <x:c r="L2695" s="67" t="str">
        <x:v>https://www.pricescope.com/blog/natural-diamond-prices-september-2026</x:v>
      </x:c>
    </x:row>
    <x:row r="2696">
      <x:c r="A2696" t="n">
        <x:v>5</x:v>
      </x:c>
      <x:c r="B2696" t="str">
        <x:v>Princess</x:v>
      </x:c>
      <x:c r="C2696" t="str">
        <x:v>D</x:v>
      </x:c>
      <x:c r="D2696" t="str">
        <x:v>SI1</x:v>
      </x:c>
      <x:c r="E2696" s="36" t="n">
        <x:v>87200</x:v>
      </x:c>
      <x:c r="F2696" s="36" t="n">
        <x:v>3762</x:v>
      </x:c>
      <x:c r="G2696" s="42" t="n">
        <x:v>0.806949806949807</x:v>
      </x:c>
      <x:c r="H2696" s="36" t="n">
        <x:f>E2696*G2696</x:f>
        <x:v>70366.02316602317</x:v>
      </x:c>
      <x:c r="I2696" s="36" t="n">
        <x:f>IFERROR(H2696/A2696,0)</x:f>
        <x:v>14073.204633204634</x:v>
      </x:c>
      <x:c r="J2696" s="67" t="str">
        <x:v>Modeled from live base + Sep-2026 quality ratio</x:v>
      </x:c>
      <x:c r="K2696" s="67" t="str">
        <x:v>https://www.stonealgo.com/diamond-prices/</x:v>
      </x:c>
      <x:c r="L2696" s="67" t="str">
        <x:v>https://www.pricescope.com/blog/natural-diamond-prices-september-2026</x:v>
      </x:c>
    </x:row>
    <x:row r="2697">
      <x:c r="A2697" t="n">
        <x:v>5</x:v>
      </x:c>
      <x:c r="B2697" t="str">
        <x:v>Princess</x:v>
      </x:c>
      <x:c r="C2697" t="str">
        <x:v>D</x:v>
      </x:c>
      <x:c r="D2697" t="str">
        <x:v>SI2</x:v>
      </x:c>
      <x:c r="E2697" s="36" t="n">
        <x:v>87200</x:v>
      </x:c>
      <x:c r="F2697" s="36" t="n">
        <x:v>3026</x:v>
      </x:c>
      <x:c r="G2697" s="42" t="n">
        <x:v>0.6490776490776491</x:v>
      </x:c>
      <x:c r="H2697" s="36" t="n">
        <x:f>E2697*G2697</x:f>
        <x:v>56599.570999571</x:v>
      </x:c>
      <x:c r="I2697" s="36" t="n">
        <x:f>IFERROR(H2697/A2697,0)</x:f>
        <x:v>11319.9141999142</x:v>
      </x:c>
      <x:c r="J2697" s="67" t="str">
        <x:v>Modeled from live base + Sep-2026 quality ratio</x:v>
      </x:c>
      <x:c r="K2697" s="67" t="str">
        <x:v>https://www.stonealgo.com/diamond-prices/</x:v>
      </x:c>
      <x:c r="L2697" s="67" t="str">
        <x:v>https://www.pricescope.com/blog/natural-diamond-prices-september-2026</x:v>
      </x:c>
    </x:row>
    <x:row r="2698">
      <x:c r="A2698" t="n">
        <x:v>5</x:v>
      </x:c>
      <x:c r="B2698" t="str">
        <x:v>Princess</x:v>
      </x:c>
      <x:c r="C2698" t="str">
        <x:v>E</x:v>
      </x:c>
      <x:c r="D2698" t="str">
        <x:v>FL</x:v>
      </x:c>
      <x:c r="E2698" s="36" t="n">
        <x:v>87200</x:v>
      </x:c>
      <x:c r="F2698" s="36" t="n">
        <x:v>10072</x:v>
      </x:c>
      <x:c r="G2698" s="42" t="n">
        <x:v>2.1604461604461602</x:v>
      </x:c>
      <x:c r="H2698" s="36" t="n">
        <x:f>E2698*G2698</x:f>
        <x:v>188390.90519090518</x:v>
      </x:c>
      <x:c r="I2698" s="36" t="n">
        <x:f>IFERROR(H2698/A2698,0)</x:f>
        <x:v>37678.181038181036</x:v>
      </x:c>
      <x:c r="J2698" s="67" t="str">
        <x:v>Modeled from live base + Sep-2026 quality ratio</x:v>
      </x:c>
      <x:c r="K2698" s="67" t="str">
        <x:v>https://www.stonealgo.com/diamond-prices/</x:v>
      </x:c>
      <x:c r="L2698" s="67" t="str">
        <x:v>https://www.pricescope.com/blog/natural-diamond-prices-september-2026</x:v>
      </x:c>
    </x:row>
    <x:row r="2699">
      <x:c r="A2699" t="n">
        <x:v>5</x:v>
      </x:c>
      <x:c r="B2699" t="str">
        <x:v>Princess</x:v>
      </x:c>
      <x:c r="C2699" t="str">
        <x:v>E</x:v>
      </x:c>
      <x:c r="D2699" t="str">
        <x:v>IF</x:v>
      </x:c>
      <x:c r="E2699" s="36" t="n">
        <x:v>87200</x:v>
      </x:c>
      <x:c r="F2699" s="36" t="n">
        <x:v>8672</x:v>
      </x:c>
      <x:c r="G2699" s="42" t="n">
        <x:v>1.8601458601458603</x:v>
      </x:c>
      <x:c r="H2699" s="36" t="n">
        <x:f>E2699*G2699</x:f>
        <x:v>162204.71900471902</x:v>
      </x:c>
      <x:c r="I2699" s="36" t="n">
        <x:f>IFERROR(H2699/A2699,0)</x:f>
        <x:v>32440.943800943805</x:v>
      </x:c>
      <x:c r="J2699" s="67" t="str">
        <x:v>Modeled from live base + Sep-2026 quality ratio</x:v>
      </x:c>
      <x:c r="K2699" s="67" t="str">
        <x:v>https://www.stonealgo.com/diamond-prices/</x:v>
      </x:c>
      <x:c r="L2699" s="67" t="str">
        <x:v>https://www.pricescope.com/blog/natural-diamond-prices-september-2026</x:v>
      </x:c>
    </x:row>
    <x:row r="2700">
      <x:c r="A2700" t="n">
        <x:v>5</x:v>
      </x:c>
      <x:c r="B2700" t="str">
        <x:v>Princess</x:v>
      </x:c>
      <x:c r="C2700" t="str">
        <x:v>E</x:v>
      </x:c>
      <x:c r="D2700" t="str">
        <x:v>VVS1</x:v>
      </x:c>
      <x:c r="E2700" s="36" t="n">
        <x:v>87200</x:v>
      </x:c>
      <x:c r="F2700" s="36" t="n">
        <x:v>7842</x:v>
      </x:c>
      <x:c r="G2700" s="42" t="n">
        <x:v>1.6821106821106822</x:v>
      </x:c>
      <x:c r="H2700" s="36" t="n">
        <x:f>E2700*G2700</x:f>
        <x:v>146680.05148005148</x:v>
      </x:c>
      <x:c r="I2700" s="36" t="n">
        <x:f>IFERROR(H2700/A2700,0)</x:f>
        <x:v>29336.010296010296</x:v>
      </x:c>
      <x:c r="J2700" s="67" t="str">
        <x:v>Modeled from live base + Sep-2026 quality ratio</x:v>
      </x:c>
      <x:c r="K2700" s="67" t="str">
        <x:v>https://www.stonealgo.com/diamond-prices/</x:v>
      </x:c>
      <x:c r="L2700" s="67" t="str">
        <x:v>https://www.pricescope.com/blog/natural-diamond-prices-september-2026</x:v>
      </x:c>
    </x:row>
    <x:row r="2701">
      <x:c r="A2701" t="n">
        <x:v>5</x:v>
      </x:c>
      <x:c r="B2701" t="str">
        <x:v>Princess</x:v>
      </x:c>
      <x:c r="C2701" t="str">
        <x:v>E</x:v>
      </x:c>
      <x:c r="D2701" t="str">
        <x:v>VVS2</x:v>
      </x:c>
      <x:c r="E2701" s="36" t="n">
        <x:v>87200</x:v>
      </x:c>
      <x:c r="F2701" s="36" t="n">
        <x:v>6880</x:v>
      </x:c>
      <x:c r="G2701" s="42" t="n">
        <x:v>1.4757614757614759</x:v>
      </x:c>
      <x:c r="H2701" s="36" t="n">
        <x:f>E2701*G2701</x:f>
        <x:v>128686.4006864007</x:v>
      </x:c>
      <x:c r="I2701" s="36" t="n">
        <x:f>IFERROR(H2701/A2701,0)</x:f>
        <x:v>25737.28013728014</x:v>
      </x:c>
      <x:c r="J2701" s="67" t="str">
        <x:v>Modeled from live base + Sep-2026 quality ratio</x:v>
      </x:c>
      <x:c r="K2701" s="67" t="str">
        <x:v>https://www.stonealgo.com/diamond-prices/</x:v>
      </x:c>
      <x:c r="L2701" s="67" t="str">
        <x:v>https://www.pricescope.com/blog/natural-diamond-prices-september-2026</x:v>
      </x:c>
    </x:row>
    <x:row r="2702">
      <x:c r="A2702" t="n">
        <x:v>5</x:v>
      </x:c>
      <x:c r="B2702" t="str">
        <x:v>Princess</x:v>
      </x:c>
      <x:c r="C2702" t="str">
        <x:v>E</x:v>
      </x:c>
      <x:c r="D2702" t="str">
        <x:v>VS1</x:v>
      </x:c>
      <x:c r="E2702" s="36" t="n">
        <x:v>87200</x:v>
      </x:c>
      <x:c r="F2702" s="36" t="n">
        <x:v>6307</x:v>
      </x:c>
      <x:c r="G2702" s="42" t="n">
        <x:v>1.352852852852853</x:v>
      </x:c>
      <x:c r="H2702" s="36" t="n">
        <x:f>E2702*G2702</x:f>
        <x:v>117968.76876876877</x:v>
      </x:c>
      <x:c r="I2702" s="36" t="n">
        <x:f>IFERROR(H2702/A2702,0)</x:f>
        <x:v>23593.753753753754</x:v>
      </x:c>
      <x:c r="J2702" s="67" t="str">
        <x:v>Modeled from live base + Sep-2026 quality ratio</x:v>
      </x:c>
      <x:c r="K2702" s="67" t="str">
        <x:v>https://www.stonealgo.com/diamond-prices/</x:v>
      </x:c>
      <x:c r="L2702" s="67" t="str">
        <x:v>https://www.pricescope.com/blog/natural-diamond-prices-september-2026</x:v>
      </x:c>
    </x:row>
    <x:row r="2703">
      <x:c r="A2703" t="n">
        <x:v>5</x:v>
      </x:c>
      <x:c r="B2703" t="str">
        <x:v>Princess</x:v>
      </x:c>
      <x:c r="C2703" t="str">
        <x:v>E</x:v>
      </x:c>
      <x:c r="D2703" t="str">
        <x:v>VS2</x:v>
      </x:c>
      <x:c r="E2703" s="36" t="n">
        <x:v>87200</x:v>
      </x:c>
      <x:c r="F2703" s="36" t="n">
        <x:v>5249</x:v>
      </x:c>
      <x:c r="G2703" s="42" t="n">
        <x:v>1.125911625911626</x:v>
      </x:c>
      <x:c r="H2703" s="36" t="n">
        <x:f>E2703*G2703</x:f>
        <x:v>98179.49377949379</x:v>
      </x:c>
      <x:c r="I2703" s="36" t="n">
        <x:f>IFERROR(H2703/A2703,0)</x:f>
        <x:v>19635.898755898757</x:v>
      </x:c>
      <x:c r="J2703" s="67" t="str">
        <x:v>Modeled from live base + Sep-2026 quality ratio</x:v>
      </x:c>
      <x:c r="K2703" s="67" t="str">
        <x:v>https://www.stonealgo.com/diamond-prices/</x:v>
      </x:c>
      <x:c r="L2703" s="67" t="str">
        <x:v>https://www.pricescope.com/blog/natural-diamond-prices-september-2026</x:v>
      </x:c>
    </x:row>
    <x:row r="2704">
      <x:c r="A2704" t="n">
        <x:v>5</x:v>
      </x:c>
      <x:c r="B2704" t="str">
        <x:v>Princess</x:v>
      </x:c>
      <x:c r="C2704" t="str">
        <x:v>E</x:v>
      </x:c>
      <x:c r="D2704" t="str">
        <x:v>SI1</x:v>
      </x:c>
      <x:c r="E2704" s="36" t="n">
        <x:v>87200</x:v>
      </x:c>
      <x:c r="F2704" s="36" t="n">
        <x:v>3551</x:v>
      </x:c>
      <x:c r="G2704" s="42" t="n">
        <x:v>0.7616902616902617</x:v>
      </x:c>
      <x:c r="H2704" s="36" t="n">
        <x:f>E2704*G2704</x:f>
        <x:v>66419.39081939081</x:v>
      </x:c>
      <x:c r="I2704" s="36" t="n">
        <x:f>IFERROR(H2704/A2704,0)</x:f>
        <x:v>13283.878163878162</x:v>
      </x:c>
      <x:c r="J2704" s="67" t="str">
        <x:v>Modeled from live base + Sep-2026 quality ratio</x:v>
      </x:c>
      <x:c r="K2704" s="67" t="str">
        <x:v>https://www.stonealgo.com/diamond-prices/</x:v>
      </x:c>
      <x:c r="L2704" s="67" t="str">
        <x:v>https://www.pricescope.com/blog/natural-diamond-prices-september-2026</x:v>
      </x:c>
    </x:row>
    <x:row r="2705">
      <x:c r="A2705" t="n">
        <x:v>5</x:v>
      </x:c>
      <x:c r="B2705" t="str">
        <x:v>Princess</x:v>
      </x:c>
      <x:c r="C2705" t="str">
        <x:v>E</x:v>
      </x:c>
      <x:c r="D2705" t="str">
        <x:v>SI2</x:v>
      </x:c>
      <x:c r="E2705" s="36" t="n">
        <x:v>87200</x:v>
      </x:c>
      <x:c r="F2705" s="36" t="n">
        <x:v>2993</x:v>
      </x:c>
      <x:c r="G2705" s="42" t="n">
        <x:v>0.641999141999142</x:v>
      </x:c>
      <x:c r="H2705" s="36" t="n">
        <x:f>E2705*G2705</x:f>
        <x:v>55982.325182325185</x:v>
      </x:c>
      <x:c r="I2705" s="36" t="n">
        <x:f>IFERROR(H2705/A2705,0)</x:f>
        <x:v>11196.465036465037</x:v>
      </x:c>
      <x:c r="J2705" s="67" t="str">
        <x:v>Modeled from live base + Sep-2026 quality ratio</x:v>
      </x:c>
      <x:c r="K2705" s="67" t="str">
        <x:v>https://www.stonealgo.com/diamond-prices/</x:v>
      </x:c>
      <x:c r="L2705" s="67" t="str">
        <x:v>https://www.pricescope.com/blog/natural-diamond-prices-september-2026</x:v>
      </x:c>
    </x:row>
    <x:row r="2706">
      <x:c r="A2706" t="n">
        <x:v>5</x:v>
      </x:c>
      <x:c r="B2706" t="str">
        <x:v>Princess</x:v>
      </x:c>
      <x:c r="C2706" t="str">
        <x:v>F</x:v>
      </x:c>
      <x:c r="D2706" t="str">
        <x:v>FL</x:v>
      </x:c>
      <x:c r="E2706" s="36" t="n">
        <x:v>87200</x:v>
      </x:c>
      <x:c r="F2706" s="36" t="n">
        <x:v>6830</x:v>
      </x:c>
      <x:c r="G2706" s="42" t="n">
        <x:v>1.4650364650364651</x:v>
      </x:c>
      <x:c r="H2706" s="36" t="n">
        <x:f>E2706*G2706</x:f>
        <x:v>127751.17975117976</x:v>
      </x:c>
      <x:c r="I2706" s="36" t="n">
        <x:f>IFERROR(H2706/A2706,0)</x:f>
        <x:v>25550.235950235954</x:v>
      </x:c>
      <x:c r="J2706" s="67" t="str">
        <x:v>Modeled from live base + Sep-2026 quality ratio</x:v>
      </x:c>
      <x:c r="K2706" s="67" t="str">
        <x:v>https://www.stonealgo.com/diamond-prices/</x:v>
      </x:c>
      <x:c r="L2706" s="67" t="str">
        <x:v>https://www.pricescope.com/blog/natural-diamond-prices-september-2026</x:v>
      </x:c>
    </x:row>
    <x:row r="2707">
      <x:c r="A2707" t="n">
        <x:v>5</x:v>
      </x:c>
      <x:c r="B2707" t="str">
        <x:v>Princess</x:v>
      </x:c>
      <x:c r="C2707" t="str">
        <x:v>F</x:v>
      </x:c>
      <x:c r="D2707" t="str">
        <x:v>IF</x:v>
      </x:c>
      <x:c r="E2707" s="36" t="n">
        <x:v>87200</x:v>
      </x:c>
      <x:c r="F2707" s="36" t="n">
        <x:v>7302</x:v>
      </x:c>
      <x:c r="G2707" s="42" t="n">
        <x:v>1.5662805662805663</x:v>
      </x:c>
      <x:c r="H2707" s="36" t="n">
        <x:f>E2707*G2707</x:f>
        <x:v>136579.66537966538</x:v>
      </x:c>
      <x:c r="I2707" s="36" t="n">
        <x:f>IFERROR(H2707/A2707,0)</x:f>
        <x:v>27315.933075933077</x:v>
      </x:c>
      <x:c r="J2707" s="67" t="str">
        <x:v>Modeled from live base + Sep-2026 quality ratio</x:v>
      </x:c>
      <x:c r="K2707" s="67" t="str">
        <x:v>https://www.stonealgo.com/diamond-prices/</x:v>
      </x:c>
      <x:c r="L2707" s="67" t="str">
        <x:v>https://www.pricescope.com/blog/natural-diamond-prices-september-2026</x:v>
      </x:c>
    </x:row>
    <x:row r="2708">
      <x:c r="A2708" t="n">
        <x:v>5</x:v>
      </x:c>
      <x:c r="B2708" t="str">
        <x:v>Princess</x:v>
      </x:c>
      <x:c r="C2708" t="str">
        <x:v>F</x:v>
      </x:c>
      <x:c r="D2708" t="str">
        <x:v>VVS1</x:v>
      </x:c>
      <x:c r="E2708" s="36" t="n">
        <x:v>87200</x:v>
      </x:c>
      <x:c r="F2708" s="36" t="n">
        <x:v>7542</x:v>
      </x:c>
      <x:c r="G2708" s="42" t="n">
        <x:v>1.6177606177606179</x:v>
      </x:c>
      <x:c r="H2708" s="36" t="n">
        <x:f>E2708*G2708</x:f>
        <x:v>141068.7258687259</x:v>
      </x:c>
      <x:c r="I2708" s="36" t="n">
        <x:f>IFERROR(H2708/A2708,0)</x:f>
        <x:v>28213.745173745177</x:v>
      </x:c>
      <x:c r="J2708" s="67" t="str">
        <x:v>Modeled from live base + Sep-2026 quality ratio</x:v>
      </x:c>
      <x:c r="K2708" s="67" t="str">
        <x:v>https://www.stonealgo.com/diamond-prices/</x:v>
      </x:c>
      <x:c r="L2708" s="67" t="str">
        <x:v>https://www.pricescope.com/blog/natural-diamond-prices-september-2026</x:v>
      </x:c>
    </x:row>
    <x:row r="2709">
      <x:c r="A2709" t="n">
        <x:v>5</x:v>
      </x:c>
      <x:c r="B2709" t="str">
        <x:v>Princess</x:v>
      </x:c>
      <x:c r="C2709" t="str">
        <x:v>F</x:v>
      </x:c>
      <x:c r="D2709" t="str">
        <x:v>VVS2</x:v>
      </x:c>
      <x:c r="E2709" s="36" t="n">
        <x:v>87200</x:v>
      </x:c>
      <x:c r="F2709" s="36" t="n">
        <x:v>6352</x:v>
      </x:c>
      <x:c r="G2709" s="42" t="n">
        <x:v>1.3625053625053625</x:v>
      </x:c>
      <x:c r="H2709" s="36" t="n">
        <x:f>E2709*G2709</x:f>
        <x:v>118810.4676104676</x:v>
      </x:c>
      <x:c r="I2709" s="36" t="n">
        <x:f>IFERROR(H2709/A2709,0)</x:f>
        <x:v>23762.09352209352</x:v>
      </x:c>
      <x:c r="J2709" s="67" t="str">
        <x:v>Modeled from live base + Sep-2026 quality ratio</x:v>
      </x:c>
      <x:c r="K2709" s="67" t="str">
        <x:v>https://www.stonealgo.com/diamond-prices/</x:v>
      </x:c>
      <x:c r="L2709" s="67" t="str">
        <x:v>https://www.pricescope.com/blog/natural-diamond-prices-september-2026</x:v>
      </x:c>
    </x:row>
    <x:row r="2710">
      <x:c r="A2710" t="n">
        <x:v>5</x:v>
      </x:c>
      <x:c r="B2710" t="str">
        <x:v>Princess</x:v>
      </x:c>
      <x:c r="C2710" t="str">
        <x:v>F</x:v>
      </x:c>
      <x:c r="D2710" t="str">
        <x:v>VS1</x:v>
      </x:c>
      <x:c r="E2710" s="36" t="n">
        <x:v>87200</x:v>
      </x:c>
      <x:c r="F2710" s="36" t="n">
        <x:v>5647</x:v>
      </x:c>
      <x:c r="G2710" s="42" t="n">
        <x:v>1.2112827112827114</x:v>
      </x:c>
      <x:c r="H2710" s="36" t="n">
        <x:f>E2710*G2710</x:f>
        <x:v>105623.85242385243</x:v>
      </x:c>
      <x:c r="I2710" s="36" t="n">
        <x:f>IFERROR(H2710/A2710,0)</x:f>
        <x:v>21124.770484770484</x:v>
      </x:c>
      <x:c r="J2710" s="67" t="str">
        <x:v>Modeled from live base + Sep-2026 quality ratio</x:v>
      </x:c>
      <x:c r="K2710" s="67" t="str">
        <x:v>https://www.stonealgo.com/diamond-prices/</x:v>
      </x:c>
      <x:c r="L2710" s="67" t="str">
        <x:v>https://www.pricescope.com/blog/natural-diamond-prices-september-2026</x:v>
      </x:c>
    </x:row>
    <x:row r="2711">
      <x:c r="A2711" t="n">
        <x:v>5</x:v>
      </x:c>
      <x:c r="B2711" t="str">
        <x:v>Princess</x:v>
      </x:c>
      <x:c r="C2711" t="str">
        <x:v>F</x:v>
      </x:c>
      <x:c r="D2711" t="str">
        <x:v>VS2</x:v>
      </x:c>
      <x:c r="E2711" s="36" t="n">
        <x:v>87200</x:v>
      </x:c>
      <x:c r="F2711" s="36" t="n">
        <x:v>4730</x:v>
      </x:c>
      <x:c r="G2711" s="42" t="n">
        <x:v>1.0145860145860146</x:v>
      </x:c>
      <x:c r="H2711" s="36" t="n">
        <x:f>E2711*G2711</x:f>
        <x:v>88471.90047190047</x:v>
      </x:c>
      <x:c r="I2711" s="36" t="n">
        <x:f>IFERROR(H2711/A2711,0)</x:f>
        <x:v>17694.380094380096</x:v>
      </x:c>
      <x:c r="J2711" s="67" t="str">
        <x:v>Modeled from live base + Sep-2026 quality ratio</x:v>
      </x:c>
      <x:c r="K2711" s="67" t="str">
        <x:v>https://www.stonealgo.com/diamond-prices/</x:v>
      </x:c>
      <x:c r="L2711" s="67" t="str">
        <x:v>https://www.pricescope.com/blog/natural-diamond-prices-september-2026</x:v>
      </x:c>
    </x:row>
    <x:row r="2712">
      <x:c r="A2712" t="n">
        <x:v>5</x:v>
      </x:c>
      <x:c r="B2712" t="str">
        <x:v>Princess</x:v>
      </x:c>
      <x:c r="C2712" t="str">
        <x:v>F</x:v>
      </x:c>
      <x:c r="D2712" t="str">
        <x:v>SI1</x:v>
      </x:c>
      <x:c r="E2712" s="36" t="n">
        <x:v>87200</x:v>
      </x:c>
      <x:c r="F2712" s="36" t="n">
        <x:v>3331</x:v>
      </x:c>
      <x:c r="G2712" s="42" t="n">
        <x:v>0.7145002145002145</x:v>
      </x:c>
      <x:c r="H2712" s="36" t="n">
        <x:f>E2712*G2712</x:f>
        <x:v>62304.418704418706</x:v>
      </x:c>
      <x:c r="I2712" s="36" t="n">
        <x:f>IFERROR(H2712/A2712,0)</x:f>
        <x:v>12460.88374088374</x:v>
      </x:c>
      <x:c r="J2712" s="67" t="str">
        <x:v>Modeled from live base + Sep-2026 quality ratio</x:v>
      </x:c>
      <x:c r="K2712" s="67" t="str">
        <x:v>https://www.stonealgo.com/diamond-prices/</x:v>
      </x:c>
      <x:c r="L2712" s="67" t="str">
        <x:v>https://www.pricescope.com/blog/natural-diamond-prices-september-2026</x:v>
      </x:c>
    </x:row>
    <x:row r="2713">
      <x:c r="A2713" t="n">
        <x:v>5</x:v>
      </x:c>
      <x:c r="B2713" t="str">
        <x:v>Princess</x:v>
      </x:c>
      <x:c r="C2713" t="str">
        <x:v>F</x:v>
      </x:c>
      <x:c r="D2713" t="str">
        <x:v>SI2</x:v>
      </x:c>
      <x:c r="E2713" s="36" t="n">
        <x:v>87200</x:v>
      </x:c>
      <x:c r="F2713" s="36" t="n">
        <x:v>2733</x:v>
      </x:c>
      <x:c r="G2713" s="42" t="n">
        <x:v>0.5862290862290862</x:v>
      </x:c>
      <x:c r="H2713" s="36" t="n">
        <x:f>E2713*G2713</x:f>
        <x:v>51119.17631917632</x:v>
      </x:c>
      <x:c r="I2713" s="36" t="n">
        <x:f>IFERROR(H2713/A2713,0)</x:f>
        <x:v>10223.835263835263</x:v>
      </x:c>
      <x:c r="J2713" s="67" t="str">
        <x:v>Modeled from live base + Sep-2026 quality ratio</x:v>
      </x:c>
      <x:c r="K2713" s="67" t="str">
        <x:v>https://www.stonealgo.com/diamond-prices/</x:v>
      </x:c>
      <x:c r="L2713" s="67" t="str">
        <x:v>https://www.pricescope.com/blog/natural-diamond-prices-september-2026</x:v>
      </x:c>
    </x:row>
    <x:row r="2714">
      <x:c r="A2714" t="n">
        <x:v>5</x:v>
      </x:c>
      <x:c r="B2714" t="str">
        <x:v>Princess</x:v>
      </x:c>
      <x:c r="C2714" t="str">
        <x:v>G</x:v>
      </x:c>
      <x:c r="D2714" t="str">
        <x:v>FL</x:v>
      </x:c>
      <x:c r="E2714" s="36" t="n">
        <x:v>87200</x:v>
      </x:c>
      <x:c r="F2714" s="36" t="n">
        <x:v>5905</x:v>
      </x:c>
      <x:c r="G2714" s="42" t="n">
        <x:v>1.2666237666237665</x:v>
      </x:c>
      <x:c r="H2714" s="36" t="n">
        <x:f>E2714*G2714</x:f>
        <x:v>110449.59244959244</x:v>
      </x:c>
      <x:c r="I2714" s="36" t="n">
        <x:f>IFERROR(H2714/A2714,0)</x:f>
        <x:v>22089.918489918487</x:v>
      </x:c>
      <x:c r="J2714" s="67" t="str">
        <x:v>Modeled from live base + Sep-2026 quality ratio</x:v>
      </x:c>
      <x:c r="K2714" s="67" t="str">
        <x:v>https://www.stonealgo.com/diamond-prices/</x:v>
      </x:c>
      <x:c r="L2714" s="67" t="str">
        <x:v>https://www.pricescope.com/blog/natural-diamond-prices-september-2026</x:v>
      </x:c>
    </x:row>
    <x:row r="2715">
      <x:c r="A2715" t="n">
        <x:v>5</x:v>
      </x:c>
      <x:c r="B2715" t="str">
        <x:v>Princess</x:v>
      </x:c>
      <x:c r="C2715" t="str">
        <x:v>G</x:v>
      </x:c>
      <x:c r="D2715" t="str">
        <x:v>IF</x:v>
      </x:c>
      <x:c r="E2715" s="36" t="n">
        <x:v>87200</x:v>
      </x:c>
      <x:c r="F2715" s="36" t="n">
        <x:v>5601</x:v>
      </x:c>
      <x:c r="G2715" s="42" t="n">
        <x:v>1.2014157014157014</x:v>
      </x:c>
      <x:c r="H2715" s="36" t="n">
        <x:f>E2715*G2715</x:f>
        <x:v>104763.44916344916</x:v>
      </x:c>
      <x:c r="I2715" s="36" t="n">
        <x:f>IFERROR(H2715/A2715,0)</x:f>
        <x:v>20952.68983268983</x:v>
      </x:c>
      <x:c r="J2715" s="67" t="str">
        <x:v>Modeled from live base + Sep-2026 quality ratio</x:v>
      </x:c>
      <x:c r="K2715" s="67" t="str">
        <x:v>https://www.stonealgo.com/diamond-prices/</x:v>
      </x:c>
      <x:c r="L2715" s="67" t="str">
        <x:v>https://www.pricescope.com/blog/natural-diamond-prices-september-2026</x:v>
      </x:c>
    </x:row>
    <x:row r="2716">
      <x:c r="A2716" t="n">
        <x:v>5</x:v>
      </x:c>
      <x:c r="B2716" t="str">
        <x:v>Princess</x:v>
      </x:c>
      <x:c r="C2716" t="str">
        <x:v>G</x:v>
      </x:c>
      <x:c r="D2716" t="str">
        <x:v>VVS1</x:v>
      </x:c>
      <x:c r="E2716" s="36" t="n">
        <x:v>87200</x:v>
      </x:c>
      <x:c r="F2716" s="36" t="n">
        <x:v>5124</x:v>
      </x:c>
      <x:c r="G2716" s="42" t="n">
        <x:v>1.0990990990990992</x:v>
      </x:c>
      <x:c r="H2716" s="36" t="n">
        <x:f>E2716*G2716</x:f>
        <x:v>95841.44144144145</x:v>
      </x:c>
      <x:c r="I2716" s="36" t="n">
        <x:f>IFERROR(H2716/A2716,0)</x:f>
        <x:v>19168.28828828829</x:v>
      </x:c>
      <x:c r="J2716" s="67" t="str">
        <x:v>Modeled from live base + Sep-2026 quality ratio</x:v>
      </x:c>
      <x:c r="K2716" s="67" t="str">
        <x:v>https://www.stonealgo.com/diamond-prices/</x:v>
      </x:c>
      <x:c r="L2716" s="67" t="str">
        <x:v>https://www.pricescope.com/blog/natural-diamond-prices-september-2026</x:v>
      </x:c>
    </x:row>
    <x:row r="2717">
      <x:c r="A2717" t="n">
        <x:v>5</x:v>
      </x:c>
      <x:c r="B2717" t="str">
        <x:v>Princess</x:v>
      </x:c>
      <x:c r="C2717" t="str">
        <x:v>G</x:v>
      </x:c>
      <x:c r="D2717" t="str">
        <x:v>VVS2</x:v>
      </x:c>
      <x:c r="E2717" s="36" t="n">
        <x:v>87200</x:v>
      </x:c>
      <x:c r="F2717" s="36" t="n">
        <x:v>4962</x:v>
      </x:c>
      <x:c r="G2717" s="42" t="n">
        <x:v>1.0643500643500643</x:v>
      </x:c>
      <x:c r="H2717" s="36" t="n">
        <x:f>E2717*G2717</x:f>
        <x:v>92811.3256113256</x:v>
      </x:c>
      <x:c r="I2717" s="36" t="n">
        <x:f>IFERROR(H2717/A2717,0)</x:f>
        <x:v>18562.265122265122</x:v>
      </x:c>
      <x:c r="J2717" s="67" t="str">
        <x:v>Modeled from live base + Sep-2026 quality ratio</x:v>
      </x:c>
      <x:c r="K2717" s="67" t="str">
        <x:v>https://www.stonealgo.com/diamond-prices/</x:v>
      </x:c>
      <x:c r="L2717" s="67" t="str">
        <x:v>https://www.pricescope.com/blog/natural-diamond-prices-september-2026</x:v>
      </x:c>
    </x:row>
    <x:row r="2718">
      <x:c r="A2718" t="n">
        <x:v>5</x:v>
      </x:c>
      <x:c r="B2718" t="str">
        <x:v>Princess</x:v>
      </x:c>
      <x:c r="C2718" t="str">
        <x:v>G</x:v>
      </x:c>
      <x:c r="D2718" t="str">
        <x:v>VS1</x:v>
      </x:c>
      <x:c r="E2718" s="36" t="n">
        <x:v>87200</x:v>
      </x:c>
      <x:c r="F2718" s="36" t="n">
        <x:v>4615</x:v>
      </x:c>
      <x:c r="G2718" s="42" t="n">
        <x:v>0.98991848991849</x:v>
      </x:c>
      <x:c r="H2718" s="36" t="n">
        <x:f>E2718*G2718</x:f>
        <x:v>86320.89232089232</x:v>
      </x:c>
      <x:c r="I2718" s="36" t="n">
        <x:f>IFERROR(H2718/A2718,0)</x:f>
        <x:v>17264.178464178465</x:v>
      </x:c>
      <x:c r="J2718" s="67" t="str">
        <x:v>Modeled from live base + Sep-2026 quality ratio</x:v>
      </x:c>
      <x:c r="K2718" s="67" t="str">
        <x:v>https://www.stonealgo.com/diamond-prices/</x:v>
      </x:c>
      <x:c r="L2718" s="67" t="str">
        <x:v>https://www.pricescope.com/blog/natural-diamond-prices-september-2026</x:v>
      </x:c>
    </x:row>
    <x:row r="2719">
      <x:c r="A2719" t="n">
        <x:v>5</x:v>
      </x:c>
      <x:c r="B2719" t="str">
        <x:v>Princess</x:v>
      </x:c>
      <x:c r="C2719" t="str">
        <x:v>G</x:v>
      </x:c>
      <x:c r="D2719" t="str">
        <x:v>VS2</x:v>
      </x:c>
      <x:c r="E2719" s="36" t="n">
        <x:v>87200</x:v>
      </x:c>
      <x:c r="F2719" s="36" t="n">
        <x:v>4585</x:v>
      </x:c>
      <x:c r="G2719" s="42" t="n">
        <x:v>0.9834834834834835</x:v>
      </x:c>
      <x:c r="H2719" s="36" t="n">
        <x:f>E2719*G2719</x:f>
        <x:v>85759.75975975976</x:v>
      </x:c>
      <x:c r="I2719" s="36" t="n">
        <x:f>IFERROR(H2719/A2719,0)</x:f>
        <x:v>17151.951951951953</x:v>
      </x:c>
      <x:c r="J2719" s="67" t="str">
        <x:v>Modeled from live base + Sep-2026 quality ratio</x:v>
      </x:c>
      <x:c r="K2719" s="67" t="str">
        <x:v>https://www.stonealgo.com/diamond-prices/</x:v>
      </x:c>
      <x:c r="L2719" s="67" t="str">
        <x:v>https://www.pricescope.com/blog/natural-diamond-prices-september-2026</x:v>
      </x:c>
    </x:row>
    <x:row r="2720">
      <x:c r="A2720" t="n">
        <x:v>5</x:v>
      </x:c>
      <x:c r="B2720" t="str">
        <x:v>Princess</x:v>
      </x:c>
      <x:c r="C2720" t="str">
        <x:v>G</x:v>
      </x:c>
      <x:c r="D2720" t="str">
        <x:v>SI1</x:v>
      </x:c>
      <x:c r="E2720" s="36" t="n">
        <x:v>87200</x:v>
      </x:c>
      <x:c r="F2720" s="36" t="n">
        <x:v>3664</x:v>
      </x:c>
      <x:c r="G2720" s="42" t="n">
        <x:v>0.7859287859287859</x:v>
      </x:c>
      <x:c r="H2720" s="36" t="n">
        <x:f>E2720*G2720</x:f>
        <x:v>68532.99013299013</x:v>
      </x:c>
      <x:c r="I2720" s="36" t="n">
        <x:f>IFERROR(H2720/A2720,0)</x:f>
        <x:v>13706.598026598027</x:v>
      </x:c>
      <x:c r="J2720" s="67" t="str">
        <x:v>Modeled from live base + Sep-2026 quality ratio</x:v>
      </x:c>
      <x:c r="K2720" s="67" t="str">
        <x:v>https://www.stonealgo.com/diamond-prices/</x:v>
      </x:c>
      <x:c r="L2720" s="67" t="str">
        <x:v>https://www.pricescope.com/blog/natural-diamond-prices-september-2026</x:v>
      </x:c>
    </x:row>
    <x:row r="2721">
      <x:c r="A2721" t="n">
        <x:v>5</x:v>
      </x:c>
      <x:c r="B2721" t="str">
        <x:v>Princess</x:v>
      </x:c>
      <x:c r="C2721" t="str">
        <x:v>G</x:v>
      </x:c>
      <x:c r="D2721" t="str">
        <x:v>SI2</x:v>
      </x:c>
      <x:c r="E2721" s="36" t="n">
        <x:v>87200</x:v>
      </x:c>
      <x:c r="F2721" s="36" t="n">
        <x:v>2537</x:v>
      </x:c>
      <x:c r="G2721" s="42" t="n">
        <x:v>0.5441870441870442</x:v>
      </x:c>
      <x:c r="H2721" s="36" t="n">
        <x:f>E2721*G2721</x:f>
        <x:v>47453.11025311026</x:v>
      </x:c>
      <x:c r="I2721" s="36" t="n">
        <x:f>IFERROR(H2721/A2721,0)</x:f>
        <x:v>9490.622050622052</x:v>
      </x:c>
      <x:c r="J2721" s="67" t="str">
        <x:v>Modeled from live base + Sep-2026 quality ratio</x:v>
      </x:c>
      <x:c r="K2721" s="67" t="str">
        <x:v>https://www.stonealgo.com/diamond-prices/</x:v>
      </x:c>
      <x:c r="L2721" s="67" t="str">
        <x:v>https://www.pricescope.com/blog/natural-diamond-prices-september-2026</x:v>
      </x:c>
    </x:row>
    <x:row r="2722">
      <x:c r="A2722" t="n">
        <x:v>5</x:v>
      </x:c>
      <x:c r="B2722" t="str">
        <x:v>Princess</x:v>
      </x:c>
      <x:c r="C2722" t="str">
        <x:v>H</x:v>
      </x:c>
      <x:c r="D2722" t="str">
        <x:v>FL</x:v>
      </x:c>
      <x:c r="E2722" s="36" t="n">
        <x:v>87200</x:v>
      </x:c>
      <x:c r="F2722" s="36" t="n">
        <x:v>4563</x:v>
      </x:c>
      <x:c r="G2722" s="42" t="n">
        <x:v>0.9787644787644788</x:v>
      </x:c>
      <x:c r="H2722" s="36" t="n">
        <x:f>E2722*G2722</x:f>
        <x:v>85348.26254826256</x:v>
      </x:c>
      <x:c r="I2722" s="36" t="n">
        <x:f>IFERROR(H2722/A2722,0)</x:f>
        <x:v>17069.65250965251</x:v>
      </x:c>
      <x:c r="J2722" s="67" t="str">
        <x:v>Modeled from live base + Sep-2026 quality ratio</x:v>
      </x:c>
      <x:c r="K2722" s="67" t="str">
        <x:v>https://www.stonealgo.com/diamond-prices/</x:v>
      </x:c>
      <x:c r="L2722" s="67" t="str">
        <x:v>https://www.pricescope.com/blog/natural-diamond-prices-september-2026</x:v>
      </x:c>
    </x:row>
    <x:row r="2723">
      <x:c r="A2723" t="n">
        <x:v>5</x:v>
      </x:c>
      <x:c r="B2723" t="str">
        <x:v>Princess</x:v>
      </x:c>
      <x:c r="C2723" t="str">
        <x:v>H</x:v>
      </x:c>
      <x:c r="D2723" t="str">
        <x:v>IF</x:v>
      </x:c>
      <x:c r="E2723" s="36" t="n">
        <x:v>87200</x:v>
      </x:c>
      <x:c r="F2723" s="36" t="n">
        <x:v>4809</x:v>
      </x:c>
      <x:c r="G2723" s="42" t="n">
        <x:v>1.0315315315315314</x:v>
      </x:c>
      <x:c r="H2723" s="36" t="n">
        <x:f>E2723*G2723</x:f>
        <x:v>89949.54954954954</x:v>
      </x:c>
      <x:c r="I2723" s="36" t="n">
        <x:f>IFERROR(H2723/A2723,0)</x:f>
        <x:v>17989.909909909908</x:v>
      </x:c>
      <x:c r="J2723" s="67" t="str">
        <x:v>Modeled from live base + Sep-2026 quality ratio</x:v>
      </x:c>
      <x:c r="K2723" s="67" t="str">
        <x:v>https://www.stonealgo.com/diamond-prices/</x:v>
      </x:c>
      <x:c r="L2723" s="67" t="str">
        <x:v>https://www.pricescope.com/blog/natural-diamond-prices-september-2026</x:v>
      </x:c>
    </x:row>
    <x:row r="2724">
      <x:c r="A2724" t="n">
        <x:v>5</x:v>
      </x:c>
      <x:c r="B2724" t="str">
        <x:v>Princess</x:v>
      </x:c>
      <x:c r="C2724" t="str">
        <x:v>H</x:v>
      </x:c>
      <x:c r="D2724" t="str">
        <x:v>VVS1</x:v>
      </x:c>
      <x:c r="E2724" s="36" t="n">
        <x:v>87200</x:v>
      </x:c>
      <x:c r="F2724" s="36" t="n">
        <x:v>4911</x:v>
      </x:c>
      <x:c r="G2724" s="42" t="n">
        <x:v>1.0534105534105533</x:v>
      </x:c>
      <x:c r="H2724" s="36" t="n">
        <x:f>E2724*G2724</x:f>
        <x:v>91857.40025740025</x:v>
      </x:c>
      <x:c r="I2724" s="36" t="n">
        <x:f>IFERROR(H2724/A2724,0)</x:f>
        <x:v>18371.48005148005</x:v>
      </x:c>
      <x:c r="J2724" s="67" t="str">
        <x:v>Modeled from live base + Sep-2026 quality ratio</x:v>
      </x:c>
      <x:c r="K2724" s="67" t="str">
        <x:v>https://www.stonealgo.com/diamond-prices/</x:v>
      </x:c>
      <x:c r="L2724" s="67" t="str">
        <x:v>https://www.pricescope.com/blog/natural-diamond-prices-september-2026</x:v>
      </x:c>
    </x:row>
    <x:row r="2725">
      <x:c r="A2725" t="n">
        <x:v>5</x:v>
      </x:c>
      <x:c r="B2725" t="str">
        <x:v>Princess</x:v>
      </x:c>
      <x:c r="C2725" t="str">
        <x:v>H</x:v>
      </x:c>
      <x:c r="D2725" t="str">
        <x:v>VVS2</x:v>
      </x:c>
      <x:c r="E2725" s="36" t="n">
        <x:v>87200</x:v>
      </x:c>
      <x:c r="F2725" s="36" t="n">
        <x:v>4046</x:v>
      </x:c>
      <x:c r="G2725" s="42" t="n">
        <x:v>0.8678678678678678</x:v>
      </x:c>
      <x:c r="H2725" s="36" t="n">
        <x:f>E2725*G2725</x:f>
        <x:v>75678.07807807808</x:v>
      </x:c>
      <x:c r="I2725" s="36" t="n">
        <x:f>IFERROR(H2725/A2725,0)</x:f>
        <x:v>15135.615615615616</x:v>
      </x:c>
      <x:c r="J2725" s="67" t="str">
        <x:v>Modeled from live base + Sep-2026 quality ratio</x:v>
      </x:c>
      <x:c r="K2725" s="67" t="str">
        <x:v>https://www.stonealgo.com/diamond-prices/</x:v>
      </x:c>
      <x:c r="L2725" s="67" t="str">
        <x:v>https://www.pricescope.com/blog/natural-diamond-prices-september-2026</x:v>
      </x:c>
    </x:row>
    <x:row r="2726">
      <x:c r="A2726" t="n">
        <x:v>5</x:v>
      </x:c>
      <x:c r="B2726" t="str">
        <x:v>Princess</x:v>
      </x:c>
      <x:c r="C2726" t="str">
        <x:v>H</x:v>
      </x:c>
      <x:c r="D2726" t="str">
        <x:v>VS1</x:v>
      </x:c>
      <x:c r="E2726" s="36" t="n">
        <x:v>87200</x:v>
      </x:c>
      <x:c r="F2726" s="36" t="n">
        <x:v>3893</x:v>
      </x:c>
      <x:c r="G2726" s="42" t="n">
        <x:v>0.8350493350493351</x:v>
      </x:c>
      <x:c r="H2726" s="36" t="n">
        <x:f>E2726*G2726</x:f>
        <x:v>72816.30201630203</x:v>
      </x:c>
      <x:c r="I2726" s="36" t="n">
        <x:f>IFERROR(H2726/A2726,0)</x:f>
        <x:v>14563.260403260405</x:v>
      </x:c>
      <x:c r="J2726" s="67" t="str">
        <x:v>Modeled from live base + Sep-2026 quality ratio</x:v>
      </x:c>
      <x:c r="K2726" s="67" t="str">
        <x:v>https://www.stonealgo.com/diamond-prices/</x:v>
      </x:c>
      <x:c r="L2726" s="67" t="str">
        <x:v>https://www.pricescope.com/blog/natural-diamond-prices-september-2026</x:v>
      </x:c>
    </x:row>
    <x:row r="2727">
      <x:c r="A2727" t="n">
        <x:v>5</x:v>
      </x:c>
      <x:c r="B2727" t="str">
        <x:v>Princess</x:v>
      </x:c>
      <x:c r="C2727" t="str">
        <x:v>H</x:v>
      </x:c>
      <x:c r="D2727" t="str">
        <x:v>VS2</x:v>
      </x:c>
      <x:c r="E2727" s="36" t="n">
        <x:v>87200</x:v>
      </x:c>
      <x:c r="F2727" s="36" t="n">
        <x:v>3989</x:v>
      </x:c>
      <x:c r="G2727" s="42" t="n">
        <x:v>0.8556413556413557</x:v>
      </x:c>
      <x:c r="H2727" s="36" t="n">
        <x:f>E2727*G2727</x:f>
        <x:v>74611.92621192621</x:v>
      </x:c>
      <x:c r="I2727" s="36" t="n">
        <x:f>IFERROR(H2727/A2727,0)</x:f>
        <x:v>14922.385242385242</x:v>
      </x:c>
      <x:c r="J2727" s="67" t="str">
        <x:v>Modeled from live base + Sep-2026 quality ratio</x:v>
      </x:c>
      <x:c r="K2727" s="67" t="str">
        <x:v>https://www.stonealgo.com/diamond-prices/</x:v>
      </x:c>
      <x:c r="L2727" s="67" t="str">
        <x:v>https://www.pricescope.com/blog/natural-diamond-prices-september-2026</x:v>
      </x:c>
    </x:row>
    <x:row r="2728">
      <x:c r="A2728" t="n">
        <x:v>5</x:v>
      </x:c>
      <x:c r="B2728" t="str">
        <x:v>Princess</x:v>
      </x:c>
      <x:c r="C2728" t="str">
        <x:v>H</x:v>
      </x:c>
      <x:c r="D2728" t="str">
        <x:v>SI1</x:v>
      </x:c>
      <x:c r="E2728" s="36" t="n">
        <x:v>87200</x:v>
      </x:c>
      <x:c r="F2728" s="36" t="n">
        <x:v>2828</x:v>
      </x:c>
      <x:c r="G2728" s="42" t="n">
        <x:v>0.6066066066066066</x:v>
      </x:c>
      <x:c r="H2728" s="36" t="n">
        <x:f>E2728*G2728</x:f>
        <x:v>52896.096096096095</x:v>
      </x:c>
      <x:c r="I2728" s="36" t="n">
        <x:f>IFERROR(H2728/A2728,0)</x:f>
        <x:v>10579.21921921922</x:v>
      </x:c>
      <x:c r="J2728" s="67" t="str">
        <x:v>Modeled from live base + Sep-2026 quality ratio</x:v>
      </x:c>
      <x:c r="K2728" s="67" t="str">
        <x:v>https://www.stonealgo.com/diamond-prices/</x:v>
      </x:c>
      <x:c r="L2728" s="67" t="str">
        <x:v>https://www.pricescope.com/blog/natural-diamond-prices-september-2026</x:v>
      </x:c>
    </x:row>
    <x:row r="2729">
      <x:c r="A2729" t="n">
        <x:v>5</x:v>
      </x:c>
      <x:c r="B2729" t="str">
        <x:v>Princess</x:v>
      </x:c>
      <x:c r="C2729" t="str">
        <x:v>H</x:v>
      </x:c>
      <x:c r="D2729" t="str">
        <x:v>SI2</x:v>
      </x:c>
      <x:c r="E2729" s="36" t="n">
        <x:v>87200</x:v>
      </x:c>
      <x:c r="F2729" s="36" t="n">
        <x:v>2328</x:v>
      </x:c>
      <x:c r="G2729" s="42" t="n">
        <x:v>0.49935649935649934</x:v>
      </x:c>
      <x:c r="H2729" s="36" t="n">
        <x:f>E2729*G2729</x:f>
        <x:v>43543.886743886746</x:v>
      </x:c>
      <x:c r="I2729" s="36" t="n">
        <x:f>IFERROR(H2729/A2729,0)</x:f>
        <x:v>8708.777348777348</x:v>
      </x:c>
      <x:c r="J2729" s="67" t="str">
        <x:v>Modeled from live base + Sep-2026 quality ratio</x:v>
      </x:c>
      <x:c r="K2729" s="67" t="str">
        <x:v>https://www.stonealgo.com/diamond-prices/</x:v>
      </x:c>
      <x:c r="L2729" s="67" t="str">
        <x:v>https://www.pricescope.com/blog/natural-diamond-prices-september-2026</x:v>
      </x:c>
    </x:row>
    <x:row r="2730">
      <x:c r="A2730" t="n">
        <x:v>5</x:v>
      </x:c>
      <x:c r="B2730" t="str">
        <x:v>Princess</x:v>
      </x:c>
      <x:c r="C2730" t="str">
        <x:v>I</x:v>
      </x:c>
      <x:c r="D2730" t="str">
        <x:v>FL</x:v>
      </x:c>
      <x:c r="E2730" s="36" t="n">
        <x:v>87200</x:v>
      </x:c>
      <x:c r="F2730" s="36" t="n">
        <x:v>4623</x:v>
      </x:c>
      <x:c r="G2730" s="42" t="n">
        <x:v>0.9916344916344917</x:v>
      </x:c>
      <x:c r="H2730" s="36" t="n">
        <x:f>E2730*G2730</x:f>
        <x:v>86470.52767052768</x:v>
      </x:c>
      <x:c r="I2730" s="36" t="n">
        <x:f>IFERROR(H2730/A2730,0)</x:f>
        <x:v>17294.105534105536</x:v>
      </x:c>
      <x:c r="J2730" s="67" t="str">
        <x:v>Modeled from live base + Sep-2026 quality ratio</x:v>
      </x:c>
      <x:c r="K2730" s="67" t="str">
        <x:v>https://www.stonealgo.com/diamond-prices/</x:v>
      </x:c>
      <x:c r="L2730" s="67" t="str">
        <x:v>https://www.pricescope.com/blog/natural-diamond-prices-september-2026</x:v>
      </x:c>
    </x:row>
    <x:row r="2731">
      <x:c r="A2731" t="n">
        <x:v>5</x:v>
      </x:c>
      <x:c r="B2731" t="str">
        <x:v>Princess</x:v>
      </x:c>
      <x:c r="C2731" t="str">
        <x:v>I</x:v>
      </x:c>
      <x:c r="D2731" t="str">
        <x:v>IF</x:v>
      </x:c>
      <x:c r="E2731" s="36" t="n">
        <x:v>87200</x:v>
      </x:c>
      <x:c r="F2731" s="36" t="n">
        <x:v>4005</x:v>
      </x:c>
      <x:c r="G2731" s="42" t="n">
        <x:v>0.859073359073359</x:v>
      </x:c>
      <x:c r="H2731" s="36" t="n">
        <x:f>E2731*G2731</x:f>
        <x:v>74911.19691119691</x:v>
      </x:c>
      <x:c r="I2731" s="36" t="n">
        <x:f>IFERROR(H2731/A2731,0)</x:f>
        <x:v>14982.239382239382</x:v>
      </x:c>
      <x:c r="J2731" s="67" t="str">
        <x:v>Modeled from live base + Sep-2026 quality ratio</x:v>
      </x:c>
      <x:c r="K2731" s="67" t="str">
        <x:v>https://www.stonealgo.com/diamond-prices/</x:v>
      </x:c>
      <x:c r="L2731" s="67" t="str">
        <x:v>https://www.pricescope.com/blog/natural-diamond-prices-september-2026</x:v>
      </x:c>
    </x:row>
    <x:row r="2732">
      <x:c r="A2732" t="n">
        <x:v>5</x:v>
      </x:c>
      <x:c r="B2732" t="str">
        <x:v>Princess</x:v>
      </x:c>
      <x:c r="C2732" t="str">
        <x:v>I</x:v>
      </x:c>
      <x:c r="D2732" t="str">
        <x:v>VVS1</x:v>
      </x:c>
      <x:c r="E2732" s="36" t="n">
        <x:v>87200</x:v>
      </x:c>
      <x:c r="F2732" s="36" t="n">
        <x:v>3670</x:v>
      </x:c>
      <x:c r="G2732" s="42" t="n">
        <x:v>0.7872157872157872</x:v>
      </x:c>
      <x:c r="H2732" s="36" t="n">
        <x:f>E2732*G2732</x:f>
        <x:v>68645.21664521664</x:v>
      </x:c>
      <x:c r="I2732" s="36" t="n">
        <x:f>IFERROR(H2732/A2732,0)</x:f>
        <x:v>13729.043329043328</x:v>
      </x:c>
      <x:c r="J2732" s="67" t="str">
        <x:v>Modeled from live base + Sep-2026 quality ratio</x:v>
      </x:c>
      <x:c r="K2732" s="67" t="str">
        <x:v>https://www.stonealgo.com/diamond-prices/</x:v>
      </x:c>
      <x:c r="L2732" s="67" t="str">
        <x:v>https://www.pricescope.com/blog/natural-diamond-prices-september-2026</x:v>
      </x:c>
    </x:row>
    <x:row r="2733">
      <x:c r="A2733" t="n">
        <x:v>5</x:v>
      </x:c>
      <x:c r="B2733" t="str">
        <x:v>Princess</x:v>
      </x:c>
      <x:c r="C2733" t="str">
        <x:v>I</x:v>
      </x:c>
      <x:c r="D2733" t="str">
        <x:v>VVS2</x:v>
      </x:c>
      <x:c r="E2733" s="36" t="n">
        <x:v>87200</x:v>
      </x:c>
      <x:c r="F2733" s="36" t="n">
        <x:v>3447</x:v>
      </x:c>
      <x:c r="G2733" s="42" t="n">
        <x:v>0.7393822393822393</x:v>
      </x:c>
      <x:c r="H2733" s="36" t="n">
        <x:f>E2733*G2733</x:f>
        <x:v>64474.13127413127</x:v>
      </x:c>
      <x:c r="I2733" s="36" t="n">
        <x:f>IFERROR(H2733/A2733,0)</x:f>
        <x:v>12894.826254826254</x:v>
      </x:c>
      <x:c r="J2733" s="67" t="str">
        <x:v>Modeled from live base + Sep-2026 quality ratio</x:v>
      </x:c>
      <x:c r="K2733" s="67" t="str">
        <x:v>https://www.stonealgo.com/diamond-prices/</x:v>
      </x:c>
      <x:c r="L2733" s="67" t="str">
        <x:v>https://www.pricescope.com/blog/natural-diamond-prices-september-2026</x:v>
      </x:c>
    </x:row>
    <x:row r="2734">
      <x:c r="A2734" t="n">
        <x:v>5</x:v>
      </x:c>
      <x:c r="B2734" t="str">
        <x:v>Princess</x:v>
      </x:c>
      <x:c r="C2734" t="str">
        <x:v>I</x:v>
      </x:c>
      <x:c r="D2734" t="str">
        <x:v>VS1</x:v>
      </x:c>
      <x:c r="E2734" s="36" t="n">
        <x:v>87200</x:v>
      </x:c>
      <x:c r="F2734" s="36" t="n">
        <x:v>3313</x:v>
      </x:c>
      <x:c r="G2734" s="42" t="n">
        <x:v>0.7106392106392107</x:v>
      </x:c>
      <x:c r="H2734" s="36" t="n">
        <x:f>E2734*G2734</x:f>
        <x:v>61967.73916773917</x:v>
      </x:c>
      <x:c r="I2734" s="36" t="n">
        <x:f>IFERROR(H2734/A2734,0)</x:f>
        <x:v>12393.547833547835</x:v>
      </x:c>
      <x:c r="J2734" s="67" t="str">
        <x:v>Modeled from live base + Sep-2026 quality ratio</x:v>
      </x:c>
      <x:c r="K2734" s="67" t="str">
        <x:v>https://www.stonealgo.com/diamond-prices/</x:v>
      </x:c>
      <x:c r="L2734" s="67" t="str">
        <x:v>https://www.pricescope.com/blog/natural-diamond-prices-september-2026</x:v>
      </x:c>
    </x:row>
    <x:row r="2735">
      <x:c r="A2735" t="n">
        <x:v>5</x:v>
      </x:c>
      <x:c r="B2735" t="str">
        <x:v>Princess</x:v>
      </x:c>
      <x:c r="C2735" t="str">
        <x:v>I</x:v>
      </x:c>
      <x:c r="D2735" t="str">
        <x:v>VS2</x:v>
      </x:c>
      <x:c r="E2735" s="36" t="n">
        <x:v>87200</x:v>
      </x:c>
      <x:c r="F2735" s="36" t="n">
        <x:v>3240</x:v>
      </x:c>
      <x:c r="G2735" s="42" t="n">
        <x:v>0.694980694980695</x:v>
      </x:c>
      <x:c r="H2735" s="36" t="n">
        <x:f>E2735*G2735</x:f>
        <x:v>60602.316602316605</x:v>
      </x:c>
      <x:c r="I2735" s="36" t="n">
        <x:f>IFERROR(H2735/A2735,0)</x:f>
        <x:v>12120.463320463321</x:v>
      </x:c>
      <x:c r="J2735" s="67" t="str">
        <x:v>Modeled from live base + Sep-2026 quality ratio</x:v>
      </x:c>
      <x:c r="K2735" s="67" t="str">
        <x:v>https://www.stonealgo.com/diamond-prices/</x:v>
      </x:c>
      <x:c r="L2735" s="67" t="str">
        <x:v>https://www.pricescope.com/blog/natural-diamond-prices-september-2026</x:v>
      </x:c>
    </x:row>
    <x:row r="2736">
      <x:c r="A2736" t="n">
        <x:v>5</x:v>
      </x:c>
      <x:c r="B2736" t="str">
        <x:v>Princess</x:v>
      </x:c>
      <x:c r="C2736" t="str">
        <x:v>I</x:v>
      </x:c>
      <x:c r="D2736" t="str">
        <x:v>SI1</x:v>
      </x:c>
      <x:c r="E2736" s="36" t="n">
        <x:v>87200</x:v>
      </x:c>
      <x:c r="F2736" s="36" t="n">
        <x:v>3199</x:v>
      </x:c>
      <x:c r="G2736" s="42" t="n">
        <x:v>0.6861861861861862</x:v>
      </x:c>
      <x:c r="H2736" s="36" t="n">
        <x:f>E2736*G2736</x:f>
        <x:v>59835.43543543544</x:v>
      </x:c>
      <x:c r="I2736" s="36" t="n">
        <x:f>IFERROR(H2736/A2736,0)</x:f>
        <x:v>11967.087087087088</x:v>
      </x:c>
      <x:c r="J2736" s="67" t="str">
        <x:v>Modeled from live base + Sep-2026 quality ratio</x:v>
      </x:c>
      <x:c r="K2736" s="67" t="str">
        <x:v>https://www.stonealgo.com/diamond-prices/</x:v>
      </x:c>
      <x:c r="L2736" s="67" t="str">
        <x:v>https://www.pricescope.com/blog/natural-diamond-prices-september-2026</x:v>
      </x:c>
    </x:row>
    <x:row r="2737">
      <x:c r="A2737" t="n">
        <x:v>5</x:v>
      </x:c>
      <x:c r="B2737" t="str">
        <x:v>Princess</x:v>
      </x:c>
      <x:c r="C2737" t="str">
        <x:v>I</x:v>
      </x:c>
      <x:c r="D2737" t="str">
        <x:v>SI2</x:v>
      </x:c>
      <x:c r="E2737" s="36" t="n">
        <x:v>87200</x:v>
      </x:c>
      <x:c r="F2737" s="36" t="n">
        <x:v>2874</x:v>
      </x:c>
      <x:c r="G2737" s="42" t="n">
        <x:v>0.6164736164736164</x:v>
      </x:c>
      <x:c r="H2737" s="36" t="n">
        <x:f>E2737*G2737</x:f>
        <x:v>53756.49935649935</x:v>
      </x:c>
      <x:c r="I2737" s="36" t="n">
        <x:f>IFERROR(H2737/A2737,0)</x:f>
        <x:v>10751.29987129987</x:v>
      </x:c>
      <x:c r="J2737" s="67" t="str">
        <x:v>Modeled from live base + Sep-2026 quality ratio</x:v>
      </x:c>
      <x:c r="K2737" s="67" t="str">
        <x:v>https://www.stonealgo.com/diamond-prices/</x:v>
      </x:c>
      <x:c r="L2737" s="67" t="str">
        <x:v>https://www.pricescope.com/blog/natural-diamond-prices-september-2026</x:v>
      </x:c>
    </x:row>
    <x:row r="2738">
      <x:c r="A2738" t="n">
        <x:v>5</x:v>
      </x:c>
      <x:c r="B2738" t="str">
        <x:v>Princess</x:v>
      </x:c>
      <x:c r="C2738" t="str">
        <x:v>J</x:v>
      </x:c>
      <x:c r="D2738" t="str">
        <x:v>FL</x:v>
      </x:c>
      <x:c r="E2738" s="36" t="n">
        <x:v>87200</x:v>
      </x:c>
      <x:c r="F2738" s="36" t="n">
        <x:v>3646</x:v>
      </x:c>
      <x:c r="G2738" s="42" t="n">
        <x:v>0.782067782067782</x:v>
      </x:c>
      <x:c r="H2738" s="36" t="n">
        <x:f>E2738*G2738</x:f>
        <x:v>68196.31059631059</x:v>
      </x:c>
      <x:c r="I2738" s="36" t="n">
        <x:f>IFERROR(H2738/A2738,0)</x:f>
        <x:v>13639.262119262119</x:v>
      </x:c>
      <x:c r="J2738" s="67" t="str">
        <x:v>Modeled from live base + Sep-2026 quality ratio</x:v>
      </x:c>
      <x:c r="K2738" s="67" t="str">
        <x:v>https://www.stonealgo.com/diamond-prices/</x:v>
      </x:c>
      <x:c r="L2738" s="67" t="str">
        <x:v>https://www.pricescope.com/blog/natural-diamond-prices-september-2026</x:v>
      </x:c>
    </x:row>
    <x:row r="2739">
      <x:c r="A2739" t="n">
        <x:v>5</x:v>
      </x:c>
      <x:c r="B2739" t="str">
        <x:v>Princess</x:v>
      </x:c>
      <x:c r="C2739" t="str">
        <x:v>J</x:v>
      </x:c>
      <x:c r="D2739" t="str">
        <x:v>IF</x:v>
      </x:c>
      <x:c r="E2739" s="36" t="n">
        <x:v>87200</x:v>
      </x:c>
      <x:c r="F2739" s="36" t="n">
        <x:v>3368</x:v>
      </x:c>
      <x:c r="G2739" s="42" t="n">
        <x:v>0.7224367224367224</x:v>
      </x:c>
      <x:c r="H2739" s="36" t="n">
        <x:f>E2739*G2739</x:f>
        <x:v>62996.4821964822</x:v>
      </x:c>
      <x:c r="I2739" s="36" t="n">
        <x:f>IFERROR(H2739/A2739,0)</x:f>
        <x:v>12599.296439296439</x:v>
      </x:c>
      <x:c r="J2739" s="67" t="str">
        <x:v>Modeled from live base + Sep-2026 quality ratio</x:v>
      </x:c>
      <x:c r="K2739" s="67" t="str">
        <x:v>https://www.stonealgo.com/diamond-prices/</x:v>
      </x:c>
      <x:c r="L2739" s="67" t="str">
        <x:v>https://www.pricescope.com/blog/natural-diamond-prices-september-2026</x:v>
      </x:c>
    </x:row>
    <x:row r="2740">
      <x:c r="A2740" t="n">
        <x:v>5</x:v>
      </x:c>
      <x:c r="B2740" t="str">
        <x:v>Princess</x:v>
      </x:c>
      <x:c r="C2740" t="str">
        <x:v>J</x:v>
      </x:c>
      <x:c r="D2740" t="str">
        <x:v>VVS1</x:v>
      </x:c>
      <x:c r="E2740" s="36" t="n">
        <x:v>87200</x:v>
      </x:c>
      <x:c r="F2740" s="36" t="n">
        <x:v>2956</x:v>
      </x:c>
      <x:c r="G2740" s="42" t="n">
        <x:v>0.6340626340626341</x:v>
      </x:c>
      <x:c r="H2740" s="36" t="n">
        <x:f>E2740*G2740</x:f>
        <x:v>55290.261690261694</x:v>
      </x:c>
      <x:c r="I2740" s="36" t="n">
        <x:f>IFERROR(H2740/A2740,0)</x:f>
        <x:v>11058.05233805234</x:v>
      </x:c>
      <x:c r="J2740" s="67" t="str">
        <x:v>Modeled from live base + Sep-2026 quality ratio</x:v>
      </x:c>
      <x:c r="K2740" s="67" t="str">
        <x:v>https://www.stonealgo.com/diamond-prices/</x:v>
      </x:c>
      <x:c r="L2740" s="67" t="str">
        <x:v>https://www.pricescope.com/blog/natural-diamond-prices-september-2026</x:v>
      </x:c>
    </x:row>
    <x:row r="2741">
      <x:c r="A2741" t="n">
        <x:v>5</x:v>
      </x:c>
      <x:c r="B2741" t="str">
        <x:v>Princess</x:v>
      </x:c>
      <x:c r="C2741" t="str">
        <x:v>J</x:v>
      </x:c>
      <x:c r="D2741" t="str">
        <x:v>VVS2</x:v>
      </x:c>
      <x:c r="E2741" s="36" t="n">
        <x:v>87200</x:v>
      </x:c>
      <x:c r="F2741" s="36" t="n">
        <x:v>2612</x:v>
      </x:c>
      <x:c r="G2741" s="42" t="n">
        <x:v>0.5602745602745602</x:v>
      </x:c>
      <x:c r="H2741" s="36" t="n">
        <x:f>E2741*G2741</x:f>
        <x:v>48855.94165594165</x:v>
      </x:c>
      <x:c r="I2741" s="36" t="n">
        <x:f>IFERROR(H2741/A2741,0)</x:f>
        <x:v>9771.18833118833</x:v>
      </x:c>
      <x:c r="J2741" s="67" t="str">
        <x:v>Modeled from live base + Sep-2026 quality ratio</x:v>
      </x:c>
      <x:c r="K2741" s="67" t="str">
        <x:v>https://www.stonealgo.com/diamond-prices/</x:v>
      </x:c>
      <x:c r="L2741" s="67" t="str">
        <x:v>https://www.pricescope.com/blog/natural-diamond-prices-september-2026</x:v>
      </x:c>
    </x:row>
    <x:row r="2742">
      <x:c r="A2742" t="n">
        <x:v>5</x:v>
      </x:c>
      <x:c r="B2742" t="str">
        <x:v>Princess</x:v>
      </x:c>
      <x:c r="C2742" t="str">
        <x:v>J</x:v>
      </x:c>
      <x:c r="D2742" t="str">
        <x:v>VS1</x:v>
      </x:c>
      <x:c r="E2742" s="36" t="n">
        <x:v>87200</x:v>
      </x:c>
      <x:c r="F2742" s="36" t="n">
        <x:v>3002</x:v>
      </x:c>
      <x:c r="G2742" s="42" t="n">
        <x:v>0.6439296439296439</x:v>
      </x:c>
      <x:c r="H2742" s="36" t="n">
        <x:f>E2742*G2742</x:f>
        <x:v>56150.66495066495</x:v>
      </x:c>
      <x:c r="I2742" s="36" t="n">
        <x:f>IFERROR(H2742/A2742,0)</x:f>
        <x:v>11230.13299013299</x:v>
      </x:c>
      <x:c r="J2742" s="67" t="str">
        <x:v>Modeled from live base + Sep-2026 quality ratio</x:v>
      </x:c>
      <x:c r="K2742" s="67" t="str">
        <x:v>https://www.stonealgo.com/diamond-prices/</x:v>
      </x:c>
      <x:c r="L2742" s="67" t="str">
        <x:v>https://www.pricescope.com/blog/natural-diamond-prices-september-2026</x:v>
      </x:c>
    </x:row>
    <x:row r="2743">
      <x:c r="A2743" t="n">
        <x:v>5</x:v>
      </x:c>
      <x:c r="B2743" t="str">
        <x:v>Princess</x:v>
      </x:c>
      <x:c r="C2743" t="str">
        <x:v>J</x:v>
      </x:c>
      <x:c r="D2743" t="str">
        <x:v>VS2</x:v>
      </x:c>
      <x:c r="E2743" s="36" t="n">
        <x:v>87200</x:v>
      </x:c>
      <x:c r="F2743" s="36" t="n">
        <x:v>2559</x:v>
      </x:c>
      <x:c r="G2743" s="42" t="n">
        <x:v>0.5489060489060489</x:v>
      </x:c>
      <x:c r="H2743" s="36" t="n">
        <x:f>E2743*G2743</x:f>
        <x:v>47864.60746460746</x:v>
      </x:c>
      <x:c r="I2743" s="36" t="n">
        <x:f>IFERROR(H2743/A2743,0)</x:f>
        <x:v>9572.921492921492</x:v>
      </x:c>
      <x:c r="J2743" s="67" t="str">
        <x:v>Modeled from live base + Sep-2026 quality ratio</x:v>
      </x:c>
      <x:c r="K2743" s="67" t="str">
        <x:v>https://www.stonealgo.com/diamond-prices/</x:v>
      </x:c>
      <x:c r="L2743" s="67" t="str">
        <x:v>https://www.pricescope.com/blog/natural-diamond-prices-september-2026</x:v>
      </x:c>
    </x:row>
    <x:row r="2744">
      <x:c r="A2744" t="n">
        <x:v>5</x:v>
      </x:c>
      <x:c r="B2744" t="str">
        <x:v>Princess</x:v>
      </x:c>
      <x:c r="C2744" t="str">
        <x:v>J</x:v>
      </x:c>
      <x:c r="D2744" t="str">
        <x:v>SI1</x:v>
      </x:c>
      <x:c r="E2744" s="36" t="n">
        <x:v>87200</x:v>
      </x:c>
      <x:c r="F2744" s="36" t="n">
        <x:v>2195</x:v>
      </x:c>
      <x:c r="G2744" s="42" t="n">
        <x:v>0.47082797082797084</x:v>
      </x:c>
      <x:c r="H2744" s="36" t="n">
        <x:f>E2744*G2744</x:f>
        <x:v>41056.19905619906</x:v>
      </x:c>
      <x:c r="I2744" s="36" t="n">
        <x:f>IFERROR(H2744/A2744,0)</x:f>
        <x:v>8211.239811239811</x:v>
      </x:c>
      <x:c r="J2744" s="67" t="str">
        <x:v>Modeled from live base + Sep-2026 quality ratio</x:v>
      </x:c>
      <x:c r="K2744" s="67" t="str">
        <x:v>https://www.stonealgo.com/diamond-prices/</x:v>
      </x:c>
      <x:c r="L2744" s="67" t="str">
        <x:v>https://www.pricescope.com/blog/natural-diamond-prices-september-2026</x:v>
      </x:c>
    </x:row>
    <x:row r="2745">
      <x:c r="A2745" t="n">
        <x:v>5</x:v>
      </x:c>
      <x:c r="B2745" t="str">
        <x:v>Princess</x:v>
      </x:c>
      <x:c r="C2745" t="str">
        <x:v>J</x:v>
      </x:c>
      <x:c r="D2745" t="str">
        <x:v>SI2</x:v>
      </x:c>
      <x:c r="E2745" s="36" t="n">
        <x:v>87200</x:v>
      </x:c>
      <x:c r="F2745" s="36" t="n">
        <x:v>2079</x:v>
      </x:c>
      <x:c r="G2745" s="42" t="n">
        <x:v>0.44594594594594594</x:v>
      </x:c>
      <x:c r="H2745" s="36" t="n">
        <x:f>E2745*G2745</x:f>
        <x:v>38886.48648648649</x:v>
      </x:c>
      <x:c r="I2745" s="36" t="n">
        <x:f>IFERROR(H2745/A2745,0)</x:f>
        <x:v>7777.2972972972975</x:v>
      </x:c>
      <x:c r="J2745" s="67" t="str">
        <x:v>Modeled from live base + Sep-2026 quality ratio</x:v>
      </x:c>
      <x:c r="K2745" s="67" t="str">
        <x:v>https://www.stonealgo.com/diamond-prices/</x:v>
      </x:c>
      <x:c r="L2745" s="67" t="str">
        <x:v>https://www.pricescope.com/blog/natural-diamond-prices-september-2026</x:v>
      </x:c>
    </x:row>
    <x:row r="2746">
      <x:c r="A2746" t="n">
        <x:v>5</x:v>
      </x:c>
      <x:c r="B2746" t="str">
        <x:v>Princess</x:v>
      </x:c>
      <x:c r="C2746" t="str">
        <x:v>K</x:v>
      </x:c>
      <x:c r="D2746" t="str">
        <x:v>FL</x:v>
      </x:c>
      <x:c r="E2746" s="36" t="n">
        <x:v>87200</x:v>
      </x:c>
      <x:c r="F2746" s="36" t="n">
        <x:v>2858</x:v>
      </x:c>
      <x:c r="G2746" s="42" t="n">
        <x:v>0.6130416130416131</x:v>
      </x:c>
      <x:c r="H2746" s="36" t="n">
        <x:f>E2746*G2746</x:f>
        <x:v>53457.22865722866</x:v>
      </x:c>
      <x:c r="I2746" s="36" t="n">
        <x:f>IFERROR(H2746/A2746,0)</x:f>
        <x:v>10691.445731445732</x:v>
      </x:c>
      <x:c r="J2746" s="67" t="str">
        <x:v>Modeled from live base + Sep-2026 quality ratio; K/FL quality cell modeled</x:v>
      </x:c>
      <x:c r="K2746" s="67" t="str">
        <x:v>https://www.stonealgo.com/diamond-prices/</x:v>
      </x:c>
      <x:c r="L2746" s="67" t="str">
        <x:v>https://www.pricescope.com/blog/natural-diamond-prices-september-2026</x:v>
      </x:c>
    </x:row>
    <x:row r="2747">
      <x:c r="A2747" t="n">
        <x:v>5</x:v>
      </x:c>
      <x:c r="B2747" t="str">
        <x:v>Princess</x:v>
      </x:c>
      <x:c r="C2747" t="str">
        <x:v>K</x:v>
      </x:c>
      <x:c r="D2747" t="str">
        <x:v>IF</x:v>
      </x:c>
      <x:c r="E2747" s="36" t="n">
        <x:v>87200</x:v>
      </x:c>
      <x:c r="F2747" s="36" t="n">
        <x:v>2743</x:v>
      </x:c>
      <x:c r="G2747" s="42" t="n">
        <x:v>0.5883740883740883</x:v>
      </x:c>
      <x:c r="H2747" s="36" t="n">
        <x:f>E2747*G2747</x:f>
        <x:v>51306.2205062205</x:v>
      </x:c>
      <x:c r="I2747" s="36" t="n">
        <x:f>IFERROR(H2747/A2747,0)</x:f>
        <x:v>10261.244101244101</x:v>
      </x:c>
      <x:c r="J2747" s="67" t="str">
        <x:v>Modeled from live base + Sep-2026 quality ratio</x:v>
      </x:c>
      <x:c r="K2747" s="67" t="str">
        <x:v>https://www.stonealgo.com/diamond-prices/</x:v>
      </x:c>
      <x:c r="L2747" s="67" t="str">
        <x:v>https://www.pricescope.com/blog/natural-diamond-prices-september-2026</x:v>
      </x:c>
    </x:row>
    <x:row r="2748">
      <x:c r="A2748" t="n">
        <x:v>5</x:v>
      </x:c>
      <x:c r="B2748" t="str">
        <x:v>Princess</x:v>
      </x:c>
      <x:c r="C2748" t="str">
        <x:v>K</x:v>
      </x:c>
      <x:c r="D2748" t="str">
        <x:v>VVS1</x:v>
      </x:c>
      <x:c r="E2748" s="36" t="n">
        <x:v>87200</x:v>
      </x:c>
      <x:c r="F2748" s="36" t="n">
        <x:v>2529</x:v>
      </x:c>
      <x:c r="G2748" s="42" t="n">
        <x:v>0.5424710424710425</x:v>
      </x:c>
      <x:c r="H2748" s="36" t="n">
        <x:f>E2748*G2748</x:f>
        <x:v>47303.474903474904</x:v>
      </x:c>
      <x:c r="I2748" s="36" t="n">
        <x:f>IFERROR(H2748/A2748,0)</x:f>
        <x:v>9460.694980694981</x:v>
      </x:c>
      <x:c r="J2748" s="67" t="str">
        <x:v>Modeled from live base + Sep-2026 quality ratio</x:v>
      </x:c>
      <x:c r="K2748" s="67" t="str">
        <x:v>https://www.stonealgo.com/diamond-prices/</x:v>
      </x:c>
      <x:c r="L2748" s="67" t="str">
        <x:v>https://www.pricescope.com/blog/natural-diamond-prices-september-2026</x:v>
      </x:c>
    </x:row>
    <x:row r="2749">
      <x:c r="A2749" t="n">
        <x:v>5</x:v>
      </x:c>
      <x:c r="B2749" t="str">
        <x:v>Princess</x:v>
      </x:c>
      <x:c r="C2749" t="str">
        <x:v>K</x:v>
      </x:c>
      <x:c r="D2749" t="str">
        <x:v>VVS2</x:v>
      </x:c>
      <x:c r="E2749" s="36" t="n">
        <x:v>87200</x:v>
      </x:c>
      <x:c r="F2749" s="36" t="n">
        <x:v>2374</x:v>
      </x:c>
      <x:c r="G2749" s="42" t="n">
        <x:v>0.5092235092235092</x:v>
      </x:c>
      <x:c r="H2749" s="36" t="n">
        <x:f>E2749*G2749</x:f>
        <x:v>44404.29000429001</x:v>
      </x:c>
      <x:c r="I2749" s="36" t="n">
        <x:f>IFERROR(H2749/A2749,0)</x:f>
        <x:v>8880.858000858001</x:v>
      </x:c>
      <x:c r="J2749" s="67" t="str">
        <x:v>Modeled from live base + Sep-2026 quality ratio</x:v>
      </x:c>
      <x:c r="K2749" s="67" t="str">
        <x:v>https://www.stonealgo.com/diamond-prices/</x:v>
      </x:c>
      <x:c r="L2749" s="67" t="str">
        <x:v>https://www.pricescope.com/blog/natural-diamond-prices-september-2026</x:v>
      </x:c>
    </x:row>
    <x:row r="2750">
      <x:c r="A2750" t="n">
        <x:v>5</x:v>
      </x:c>
      <x:c r="B2750" t="str">
        <x:v>Princess</x:v>
      </x:c>
      <x:c r="C2750" t="str">
        <x:v>K</x:v>
      </x:c>
      <x:c r="D2750" t="str">
        <x:v>VS1</x:v>
      </x:c>
      <x:c r="E2750" s="36" t="n">
        <x:v>87200</x:v>
      </x:c>
      <x:c r="F2750" s="36" t="n">
        <x:v>2223</x:v>
      </x:c>
      <x:c r="G2750" s="42" t="n">
        <x:v>0.4768339768339768</x:v>
      </x:c>
      <x:c r="H2750" s="36" t="n">
        <x:f>E2750*G2750</x:f>
        <x:v>41579.92277992278</x:v>
      </x:c>
      <x:c r="I2750" s="36" t="n">
        <x:f>IFERROR(H2750/A2750,0)</x:f>
        <x:v>8315.984555984556</x:v>
      </x:c>
      <x:c r="J2750" s="67" t="str">
        <x:v>Modeled from live base + Sep-2026 quality ratio</x:v>
      </x:c>
      <x:c r="K2750" s="67" t="str">
        <x:v>https://www.stonealgo.com/diamond-prices/</x:v>
      </x:c>
      <x:c r="L2750" s="67" t="str">
        <x:v>https://www.pricescope.com/blog/natural-diamond-prices-september-2026</x:v>
      </x:c>
    </x:row>
    <x:row r="2751">
      <x:c r="A2751" t="n">
        <x:v>5</x:v>
      </x:c>
      <x:c r="B2751" t="str">
        <x:v>Princess</x:v>
      </x:c>
      <x:c r="C2751" t="str">
        <x:v>K</x:v>
      </x:c>
      <x:c r="D2751" t="str">
        <x:v>VS2</x:v>
      </x:c>
      <x:c r="E2751" s="36" t="n">
        <x:v>87200</x:v>
      </x:c>
      <x:c r="F2751" s="36" t="n">
        <x:v>2098</x:v>
      </x:c>
      <x:c r="G2751" s="42" t="n">
        <x:v>0.45002145002145</x:v>
      </x:c>
      <x:c r="H2751" s="36" t="n">
        <x:f>E2751*G2751</x:f>
        <x:v>39241.87044187044</x:v>
      </x:c>
      <x:c r="I2751" s="36" t="n">
        <x:f>IFERROR(H2751/A2751,0)</x:f>
        <x:v>7848.3740883740875</x:v>
      </x:c>
      <x:c r="J2751" s="67" t="str">
        <x:v>Modeled from live base + Sep-2026 quality ratio</x:v>
      </x:c>
      <x:c r="K2751" s="67" t="str">
        <x:v>https://www.stonealgo.com/diamond-prices/</x:v>
      </x:c>
      <x:c r="L2751" s="67" t="str">
        <x:v>https://www.pricescope.com/blog/natural-diamond-prices-september-2026</x:v>
      </x:c>
    </x:row>
    <x:row r="2752">
      <x:c r="A2752" t="n">
        <x:v>5</x:v>
      </x:c>
      <x:c r="B2752" t="str">
        <x:v>Princess</x:v>
      </x:c>
      <x:c r="C2752" t="str">
        <x:v>K</x:v>
      </x:c>
      <x:c r="D2752" t="str">
        <x:v>SI1</x:v>
      </x:c>
      <x:c r="E2752" s="36" t="n">
        <x:v>87200</x:v>
      </x:c>
      <x:c r="F2752" s="36" t="n">
        <x:v>1922</x:v>
      </x:c>
      <x:c r="G2752" s="42" t="n">
        <x:v>0.41226941226941227</x:v>
      </x:c>
      <x:c r="H2752" s="36" t="n">
        <x:f>E2752*G2752</x:f>
        <x:v>35949.89274989275</x:v>
      </x:c>
      <x:c r="I2752" s="36" t="n">
        <x:f>IFERROR(H2752/A2752,0)</x:f>
        <x:v>7189.97854997855</x:v>
      </x:c>
      <x:c r="J2752" s="67" t="str">
        <x:v>Modeled from live base + Sep-2026 quality ratio</x:v>
      </x:c>
      <x:c r="K2752" s="67" t="str">
        <x:v>https://www.stonealgo.com/diamond-prices/</x:v>
      </x:c>
      <x:c r="L2752" s="67" t="str">
        <x:v>https://www.pricescope.com/blog/natural-diamond-prices-september-2026</x:v>
      </x:c>
    </x:row>
    <x:row r="2753">
      <x:c r="A2753" t="n">
        <x:v>5</x:v>
      </x:c>
      <x:c r="B2753" t="str">
        <x:v>Princess</x:v>
      </x:c>
      <x:c r="C2753" t="str">
        <x:v>K</x:v>
      </x:c>
      <x:c r="D2753" t="str">
        <x:v>SI2</x:v>
      </x:c>
      <x:c r="E2753" s="36" t="n">
        <x:v>87200</x:v>
      </x:c>
      <x:c r="F2753" s="36" t="n">
        <x:v>1764</x:v>
      </x:c>
      <x:c r="G2753" s="42" t="n">
        <x:v>0.3783783783783784</x:v>
      </x:c>
      <x:c r="H2753" s="36" t="n">
        <x:f>E2753*G2753</x:f>
        <x:v>32994.59459459459</x:v>
      </x:c>
      <x:c r="I2753" s="36" t="n">
        <x:f>IFERROR(H2753/A2753,0)</x:f>
        <x:v>6598.918918918918</x:v>
      </x:c>
      <x:c r="J2753" s="67" t="str">
        <x:v>Modeled from live base + Sep-2026 quality ratio</x:v>
      </x:c>
      <x:c r="K2753" s="67" t="str">
        <x:v>https://www.stonealgo.com/diamond-prices/</x:v>
      </x:c>
      <x:c r="L2753" s="67" t="str">
        <x:v>https://www.pricescope.com/blog/natural-diamond-prices-september-2026</x:v>
      </x:c>
    </x:row>
    <x:row r="2754">
      <x:c r="A2754" t="n">
        <x:v>5</x:v>
      </x:c>
      <x:c r="B2754" t="str">
        <x:v>Emerald</x:v>
      </x:c>
      <x:c r="C2754" t="str">
        <x:v>D</x:v>
      </x:c>
      <x:c r="D2754" t="str">
        <x:v>FL</x:v>
      </x:c>
      <x:c r="E2754" s="36" t="n">
        <x:v>114000</x:v>
      </x:c>
      <x:c r="F2754" s="36" t="n">
        <x:v>12665</x:v>
      </x:c>
      <x:c r="G2754" s="42" t="n">
        <x:v>2.7166452166452166</x:v>
      </x:c>
      <x:c r="H2754" s="36" t="n">
        <x:f>E2754*G2754</x:f>
        <x:v>309697.5546975547</x:v>
      </x:c>
      <x:c r="I2754" s="36" t="n">
        <x:f>IFERROR(H2754/A2754,0)</x:f>
        <x:v>61939.51093951093</x:v>
      </x:c>
      <x:c r="J2754" s="67" t="str">
        <x:v>Modeled from live base + Sep-2026 quality ratio</x:v>
      </x:c>
      <x:c r="K2754" s="67" t="str">
        <x:v>https://www.stonealgo.com/diamond-prices/</x:v>
      </x:c>
      <x:c r="L2754" s="67" t="str">
        <x:v>https://www.pricescope.com/blog/natural-diamond-prices-september-2026</x:v>
      </x:c>
    </x:row>
    <x:row r="2755">
      <x:c r="A2755" t="n">
        <x:v>5</x:v>
      </x:c>
      <x:c r="B2755" t="str">
        <x:v>Emerald</x:v>
      </x:c>
      <x:c r="C2755" t="str">
        <x:v>D</x:v>
      </x:c>
      <x:c r="D2755" t="str">
        <x:v>IF</x:v>
      </x:c>
      <x:c r="E2755" s="36" t="n">
        <x:v>114000</x:v>
      </x:c>
      <x:c r="F2755" s="36" t="n">
        <x:v>13240</x:v>
      </x:c>
      <x:c r="G2755" s="42" t="n">
        <x:v>2.83998283998284</x:v>
      </x:c>
      <x:c r="H2755" s="36" t="n">
        <x:f>E2755*G2755</x:f>
        <x:v>323758.0437580438</x:v>
      </x:c>
      <x:c r="I2755" s="36" t="n">
        <x:f>IFERROR(H2755/A2755,0)</x:f>
        <x:v>64751.60875160876</x:v>
      </x:c>
      <x:c r="J2755" s="67" t="str">
        <x:v>Modeled from live base + Sep-2026 quality ratio</x:v>
      </x:c>
      <x:c r="K2755" s="67" t="str">
        <x:v>https://www.stonealgo.com/diamond-prices/</x:v>
      </x:c>
      <x:c r="L2755" s="67" t="str">
        <x:v>https://www.pricescope.com/blog/natural-diamond-prices-september-2026</x:v>
      </x:c>
    </x:row>
    <x:row r="2756">
      <x:c r="A2756" t="n">
        <x:v>5</x:v>
      </x:c>
      <x:c r="B2756" t="str">
        <x:v>Emerald</x:v>
      </x:c>
      <x:c r="C2756" t="str">
        <x:v>D</x:v>
      </x:c>
      <x:c r="D2756" t="str">
        <x:v>VVS1</x:v>
      </x:c>
      <x:c r="E2756" s="36" t="n">
        <x:v>114000</x:v>
      </x:c>
      <x:c r="F2756" s="36" t="n">
        <x:v>9555</x:v>
      </x:c>
      <x:c r="G2756" s="42" t="n">
        <x:v>2.0495495495495497</x:v>
      </x:c>
      <x:c r="H2756" s="36" t="n">
        <x:f>E2756*G2756</x:f>
        <x:v>233648.64864864867</x:v>
      </x:c>
      <x:c r="I2756" s="36" t="n">
        <x:f>IFERROR(H2756/A2756,0)</x:f>
        <x:v>46729.729729729734</x:v>
      </x:c>
      <x:c r="J2756" s="67" t="str">
        <x:v>Modeled from live base + Sep-2026 quality ratio</x:v>
      </x:c>
      <x:c r="K2756" s="67" t="str">
        <x:v>https://www.stonealgo.com/diamond-prices/</x:v>
      </x:c>
      <x:c r="L2756" s="67" t="str">
        <x:v>https://www.pricescope.com/blog/natural-diamond-prices-september-2026</x:v>
      </x:c>
    </x:row>
    <x:row r="2757">
      <x:c r="A2757" t="n">
        <x:v>5</x:v>
      </x:c>
      <x:c r="B2757" t="str">
        <x:v>Emerald</x:v>
      </x:c>
      <x:c r="C2757" t="str">
        <x:v>D</x:v>
      </x:c>
      <x:c r="D2757" t="str">
        <x:v>VVS2</x:v>
      </x:c>
      <x:c r="E2757" s="36" t="n">
        <x:v>114000</x:v>
      </x:c>
      <x:c r="F2757" s="36" t="n">
        <x:v>6660</x:v>
      </x:c>
      <x:c r="G2757" s="42" t="n">
        <x:v>1.4285714285714286</x:v>
      </x:c>
      <x:c r="H2757" s="36" t="n">
        <x:f>E2757*G2757</x:f>
        <x:v>162857.14285714287</x:v>
      </x:c>
      <x:c r="I2757" s="36" t="n">
        <x:f>IFERROR(H2757/A2757,0)</x:f>
        <x:v>32571.428571428572</x:v>
      </x:c>
      <x:c r="J2757" s="67" t="str">
        <x:v>Modeled from live base + Sep-2026 quality ratio</x:v>
      </x:c>
      <x:c r="K2757" s="67" t="str">
        <x:v>https://www.stonealgo.com/diamond-prices/</x:v>
      </x:c>
      <x:c r="L2757" s="67" t="str">
        <x:v>https://www.pricescope.com/blog/natural-diamond-prices-september-2026</x:v>
      </x:c>
    </x:row>
    <x:row r="2758">
      <x:c r="A2758" t="n">
        <x:v>5</x:v>
      </x:c>
      <x:c r="B2758" t="str">
        <x:v>Emerald</x:v>
      </x:c>
      <x:c r="C2758" t="str">
        <x:v>D</x:v>
      </x:c>
      <x:c r="D2758" t="str">
        <x:v>VS1</x:v>
      </x:c>
      <x:c r="E2758" s="36" t="n">
        <x:v>114000</x:v>
      </x:c>
      <x:c r="F2758" s="36" t="n">
        <x:v>6247</x:v>
      </x:c>
      <x:c r="G2758" s="42" t="n">
        <x:v>1.33998283998284</x:v>
      </x:c>
      <x:c r="H2758" s="36" t="n">
        <x:f>E2758*G2758</x:f>
        <x:v>152758.04375804376</x:v>
      </x:c>
      <x:c r="I2758" s="36" t="n">
        <x:f>IFERROR(H2758/A2758,0)</x:f>
        <x:v>30551.60875160875</x:v>
      </x:c>
      <x:c r="J2758" s="67" t="str">
        <x:v>Modeled from live base + Sep-2026 quality ratio</x:v>
      </x:c>
      <x:c r="K2758" s="67" t="str">
        <x:v>https://www.stonealgo.com/diamond-prices/</x:v>
      </x:c>
      <x:c r="L2758" s="67" t="str">
        <x:v>https://www.pricescope.com/blog/natural-diamond-prices-september-2026</x:v>
      </x:c>
    </x:row>
    <x:row r="2759">
      <x:c r="A2759" t="n">
        <x:v>5</x:v>
      </x:c>
      <x:c r="B2759" t="str">
        <x:v>Emerald</x:v>
      </x:c>
      <x:c r="C2759" t="str">
        <x:v>D</x:v>
      </x:c>
      <x:c r="D2759" t="str">
        <x:v>VS2</x:v>
      </x:c>
      <x:c r="E2759" s="36" t="n">
        <x:v>114000</x:v>
      </x:c>
      <x:c r="F2759" s="36" t="n">
        <x:v>5841</x:v>
      </x:c>
      <x:c r="G2759" s="42" t="n">
        <x:v>1.252895752895753</x:v>
      </x:c>
      <x:c r="H2759" s="36" t="n">
        <x:f>E2759*G2759</x:f>
        <x:v>142830.11583011583</x:v>
      </x:c>
      <x:c r="I2759" s="36" t="n">
        <x:f>IFERROR(H2759/A2759,0)</x:f>
        <x:v>28566.023166023166</x:v>
      </x:c>
      <x:c r="J2759" s="67" t="str">
        <x:v>Modeled from live base + Sep-2026 quality ratio</x:v>
      </x:c>
      <x:c r="K2759" s="67" t="str">
        <x:v>https://www.stonealgo.com/diamond-prices/</x:v>
      </x:c>
      <x:c r="L2759" s="67" t="str">
        <x:v>https://www.pricescope.com/blog/natural-diamond-prices-september-2026</x:v>
      </x:c>
    </x:row>
    <x:row r="2760">
      <x:c r="A2760" t="n">
        <x:v>5</x:v>
      </x:c>
      <x:c r="B2760" t="str">
        <x:v>Emerald</x:v>
      </x:c>
      <x:c r="C2760" t="str">
        <x:v>D</x:v>
      </x:c>
      <x:c r="D2760" t="str">
        <x:v>SI1</x:v>
      </x:c>
      <x:c r="E2760" s="36" t="n">
        <x:v>114000</x:v>
      </x:c>
      <x:c r="F2760" s="36" t="n">
        <x:v>3762</x:v>
      </x:c>
      <x:c r="G2760" s="42" t="n">
        <x:v>0.806949806949807</x:v>
      </x:c>
      <x:c r="H2760" s="36" t="n">
        <x:f>E2760*G2760</x:f>
        <x:v>91992.277992278</x:v>
      </x:c>
      <x:c r="I2760" s="36" t="n">
        <x:f>IFERROR(H2760/A2760,0)</x:f>
        <x:v>18398.4555984556</x:v>
      </x:c>
      <x:c r="J2760" s="67" t="str">
        <x:v>Modeled from live base + Sep-2026 quality ratio</x:v>
      </x:c>
      <x:c r="K2760" s="67" t="str">
        <x:v>https://www.stonealgo.com/diamond-prices/</x:v>
      </x:c>
      <x:c r="L2760" s="67" t="str">
        <x:v>https://www.pricescope.com/blog/natural-diamond-prices-september-2026</x:v>
      </x:c>
    </x:row>
    <x:row r="2761">
      <x:c r="A2761" t="n">
        <x:v>5</x:v>
      </x:c>
      <x:c r="B2761" t="str">
        <x:v>Emerald</x:v>
      </x:c>
      <x:c r="C2761" t="str">
        <x:v>D</x:v>
      </x:c>
      <x:c r="D2761" t="str">
        <x:v>SI2</x:v>
      </x:c>
      <x:c r="E2761" s="36" t="n">
        <x:v>114000</x:v>
      </x:c>
      <x:c r="F2761" s="36" t="n">
        <x:v>3026</x:v>
      </x:c>
      <x:c r="G2761" s="42" t="n">
        <x:v>0.6490776490776491</x:v>
      </x:c>
      <x:c r="H2761" s="36" t="n">
        <x:f>E2761*G2761</x:f>
        <x:v>73994.851994852</x:v>
      </x:c>
      <x:c r="I2761" s="36" t="n">
        <x:f>IFERROR(H2761/A2761,0)</x:f>
        <x:v>14798.9703989704</x:v>
      </x:c>
      <x:c r="J2761" s="67" t="str">
        <x:v>Modeled from live base + Sep-2026 quality ratio</x:v>
      </x:c>
      <x:c r="K2761" s="67" t="str">
        <x:v>https://www.stonealgo.com/diamond-prices/</x:v>
      </x:c>
      <x:c r="L2761" s="67" t="str">
        <x:v>https://www.pricescope.com/blog/natural-diamond-prices-september-2026</x:v>
      </x:c>
    </x:row>
    <x:row r="2762">
      <x:c r="A2762" t="n">
        <x:v>5</x:v>
      </x:c>
      <x:c r="B2762" t="str">
        <x:v>Emerald</x:v>
      </x:c>
      <x:c r="C2762" t="str">
        <x:v>E</x:v>
      </x:c>
      <x:c r="D2762" t="str">
        <x:v>FL</x:v>
      </x:c>
      <x:c r="E2762" s="36" t="n">
        <x:v>114000</x:v>
      </x:c>
      <x:c r="F2762" s="36" t="n">
        <x:v>10072</x:v>
      </x:c>
      <x:c r="G2762" s="42" t="n">
        <x:v>2.1604461604461602</x:v>
      </x:c>
      <x:c r="H2762" s="36" t="n">
        <x:f>E2762*G2762</x:f>
        <x:v>246290.86229086228</x:v>
      </x:c>
      <x:c r="I2762" s="36" t="n">
        <x:f>IFERROR(H2762/A2762,0)</x:f>
        <x:v>49258.172458172456</x:v>
      </x:c>
      <x:c r="J2762" s="67" t="str">
        <x:v>Modeled from live base + Sep-2026 quality ratio</x:v>
      </x:c>
      <x:c r="K2762" s="67" t="str">
        <x:v>https://www.stonealgo.com/diamond-prices/</x:v>
      </x:c>
      <x:c r="L2762" s="67" t="str">
        <x:v>https://www.pricescope.com/blog/natural-diamond-prices-september-2026</x:v>
      </x:c>
    </x:row>
    <x:row r="2763">
      <x:c r="A2763" t="n">
        <x:v>5</x:v>
      </x:c>
      <x:c r="B2763" t="str">
        <x:v>Emerald</x:v>
      </x:c>
      <x:c r="C2763" t="str">
        <x:v>E</x:v>
      </x:c>
      <x:c r="D2763" t="str">
        <x:v>IF</x:v>
      </x:c>
      <x:c r="E2763" s="36" t="n">
        <x:v>114000</x:v>
      </x:c>
      <x:c r="F2763" s="36" t="n">
        <x:v>8672</x:v>
      </x:c>
      <x:c r="G2763" s="42" t="n">
        <x:v>1.8601458601458603</x:v>
      </x:c>
      <x:c r="H2763" s="36" t="n">
        <x:f>E2763*G2763</x:f>
        <x:v>212056.62805662808</x:v>
      </x:c>
      <x:c r="I2763" s="36" t="n">
        <x:f>IFERROR(H2763/A2763,0)</x:f>
        <x:v>42411.325611325614</x:v>
      </x:c>
      <x:c r="J2763" s="67" t="str">
        <x:v>Modeled from live base + Sep-2026 quality ratio</x:v>
      </x:c>
      <x:c r="K2763" s="67" t="str">
        <x:v>https://www.stonealgo.com/diamond-prices/</x:v>
      </x:c>
      <x:c r="L2763" s="67" t="str">
        <x:v>https://www.pricescope.com/blog/natural-diamond-prices-september-2026</x:v>
      </x:c>
    </x:row>
    <x:row r="2764">
      <x:c r="A2764" t="n">
        <x:v>5</x:v>
      </x:c>
      <x:c r="B2764" t="str">
        <x:v>Emerald</x:v>
      </x:c>
      <x:c r="C2764" t="str">
        <x:v>E</x:v>
      </x:c>
      <x:c r="D2764" t="str">
        <x:v>VVS1</x:v>
      </x:c>
      <x:c r="E2764" s="36" t="n">
        <x:v>114000</x:v>
      </x:c>
      <x:c r="F2764" s="36" t="n">
        <x:v>7842</x:v>
      </x:c>
      <x:c r="G2764" s="42" t="n">
        <x:v>1.6821106821106822</x:v>
      </x:c>
      <x:c r="H2764" s="36" t="n">
        <x:f>E2764*G2764</x:f>
        <x:v>191760.61776061775</x:v>
      </x:c>
      <x:c r="I2764" s="36" t="n">
        <x:f>IFERROR(H2764/A2764,0)</x:f>
        <x:v>38352.12355212355</x:v>
      </x:c>
      <x:c r="J2764" s="67" t="str">
        <x:v>Modeled from live base + Sep-2026 quality ratio</x:v>
      </x:c>
      <x:c r="K2764" s="67" t="str">
        <x:v>https://www.stonealgo.com/diamond-prices/</x:v>
      </x:c>
      <x:c r="L2764" s="67" t="str">
        <x:v>https://www.pricescope.com/blog/natural-diamond-prices-september-2026</x:v>
      </x:c>
    </x:row>
    <x:row r="2765">
      <x:c r="A2765" t="n">
        <x:v>5</x:v>
      </x:c>
      <x:c r="B2765" t="str">
        <x:v>Emerald</x:v>
      </x:c>
      <x:c r="C2765" t="str">
        <x:v>E</x:v>
      </x:c>
      <x:c r="D2765" t="str">
        <x:v>VVS2</x:v>
      </x:c>
      <x:c r="E2765" s="36" t="n">
        <x:v>114000</x:v>
      </x:c>
      <x:c r="F2765" s="36" t="n">
        <x:v>6880</x:v>
      </x:c>
      <x:c r="G2765" s="42" t="n">
        <x:v>1.4757614757614759</x:v>
      </x:c>
      <x:c r="H2765" s="36" t="n">
        <x:f>E2765*G2765</x:f>
        <x:v>168236.80823680825</x:v>
      </x:c>
      <x:c r="I2765" s="36" t="n">
        <x:f>IFERROR(H2765/A2765,0)</x:f>
        <x:v>33647.36164736165</x:v>
      </x:c>
      <x:c r="J2765" s="67" t="str">
        <x:v>Modeled from live base + Sep-2026 quality ratio</x:v>
      </x:c>
      <x:c r="K2765" s="67" t="str">
        <x:v>https://www.stonealgo.com/diamond-prices/</x:v>
      </x:c>
      <x:c r="L2765" s="67" t="str">
        <x:v>https://www.pricescope.com/blog/natural-diamond-prices-september-2026</x:v>
      </x:c>
    </x:row>
    <x:row r="2766">
      <x:c r="A2766" t="n">
        <x:v>5</x:v>
      </x:c>
      <x:c r="B2766" t="str">
        <x:v>Emerald</x:v>
      </x:c>
      <x:c r="C2766" t="str">
        <x:v>E</x:v>
      </x:c>
      <x:c r="D2766" t="str">
        <x:v>VS1</x:v>
      </x:c>
      <x:c r="E2766" s="36" t="n">
        <x:v>114000</x:v>
      </x:c>
      <x:c r="F2766" s="36" t="n">
        <x:v>6307</x:v>
      </x:c>
      <x:c r="G2766" s="42" t="n">
        <x:v>1.352852852852853</x:v>
      </x:c>
      <x:c r="H2766" s="36" t="n">
        <x:f>E2766*G2766</x:f>
        <x:v>154225.22522522524</x:v>
      </x:c>
      <x:c r="I2766" s="36" t="n">
        <x:f>IFERROR(H2766/A2766,0)</x:f>
        <x:v>30845.045045045048</x:v>
      </x:c>
      <x:c r="J2766" s="67" t="str">
        <x:v>Modeled from live base + Sep-2026 quality ratio</x:v>
      </x:c>
      <x:c r="K2766" s="67" t="str">
        <x:v>https://www.stonealgo.com/diamond-prices/</x:v>
      </x:c>
      <x:c r="L2766" s="67" t="str">
        <x:v>https://www.pricescope.com/blog/natural-diamond-prices-september-2026</x:v>
      </x:c>
    </x:row>
    <x:row r="2767">
      <x:c r="A2767" t="n">
        <x:v>5</x:v>
      </x:c>
      <x:c r="B2767" t="str">
        <x:v>Emerald</x:v>
      </x:c>
      <x:c r="C2767" t="str">
        <x:v>E</x:v>
      </x:c>
      <x:c r="D2767" t="str">
        <x:v>VS2</x:v>
      </x:c>
      <x:c r="E2767" s="36" t="n">
        <x:v>114000</x:v>
      </x:c>
      <x:c r="F2767" s="36" t="n">
        <x:v>5249</x:v>
      </x:c>
      <x:c r="G2767" s="42" t="n">
        <x:v>1.125911625911626</x:v>
      </x:c>
      <x:c r="H2767" s="36" t="n">
        <x:f>E2767*G2767</x:f>
        <x:v>128353.92535392536</x:v>
      </x:c>
      <x:c r="I2767" s="36" t="n">
        <x:f>IFERROR(H2767/A2767,0)</x:f>
        <x:v>25670.78507078507</x:v>
      </x:c>
      <x:c r="J2767" s="67" t="str">
        <x:v>Modeled from live base + Sep-2026 quality ratio</x:v>
      </x:c>
      <x:c r="K2767" s="67" t="str">
        <x:v>https://www.stonealgo.com/diamond-prices/</x:v>
      </x:c>
      <x:c r="L2767" s="67" t="str">
        <x:v>https://www.pricescope.com/blog/natural-diamond-prices-september-2026</x:v>
      </x:c>
    </x:row>
    <x:row r="2768">
      <x:c r="A2768" t="n">
        <x:v>5</x:v>
      </x:c>
      <x:c r="B2768" t="str">
        <x:v>Emerald</x:v>
      </x:c>
      <x:c r="C2768" t="str">
        <x:v>E</x:v>
      </x:c>
      <x:c r="D2768" t="str">
        <x:v>SI1</x:v>
      </x:c>
      <x:c r="E2768" s="36" t="n">
        <x:v>114000</x:v>
      </x:c>
      <x:c r="F2768" s="36" t="n">
        <x:v>3551</x:v>
      </x:c>
      <x:c r="G2768" s="42" t="n">
        <x:v>0.7616902616902617</x:v>
      </x:c>
      <x:c r="H2768" s="36" t="n">
        <x:f>E2768*G2768</x:f>
        <x:v>86832.68983268982</x:v>
      </x:c>
      <x:c r="I2768" s="36" t="n">
        <x:f>IFERROR(H2768/A2768,0)</x:f>
        <x:v>17366.537966537966</x:v>
      </x:c>
      <x:c r="J2768" s="67" t="str">
        <x:v>Modeled from live base + Sep-2026 quality ratio</x:v>
      </x:c>
      <x:c r="K2768" s="67" t="str">
        <x:v>https://www.stonealgo.com/diamond-prices/</x:v>
      </x:c>
      <x:c r="L2768" s="67" t="str">
        <x:v>https://www.pricescope.com/blog/natural-diamond-prices-september-2026</x:v>
      </x:c>
    </x:row>
    <x:row r="2769">
      <x:c r="A2769" t="n">
        <x:v>5</x:v>
      </x:c>
      <x:c r="B2769" t="str">
        <x:v>Emerald</x:v>
      </x:c>
      <x:c r="C2769" t="str">
        <x:v>E</x:v>
      </x:c>
      <x:c r="D2769" t="str">
        <x:v>SI2</x:v>
      </x:c>
      <x:c r="E2769" s="36" t="n">
        <x:v>114000</x:v>
      </x:c>
      <x:c r="F2769" s="36" t="n">
        <x:v>2993</x:v>
      </x:c>
      <x:c r="G2769" s="42" t="n">
        <x:v>0.641999141999142</x:v>
      </x:c>
      <x:c r="H2769" s="36" t="n">
        <x:f>E2769*G2769</x:f>
        <x:v>73187.90218790219</x:v>
      </x:c>
      <x:c r="I2769" s="36" t="n">
        <x:f>IFERROR(H2769/A2769,0)</x:f>
        <x:v>14637.580437580438</x:v>
      </x:c>
      <x:c r="J2769" s="67" t="str">
        <x:v>Modeled from live base + Sep-2026 quality ratio</x:v>
      </x:c>
      <x:c r="K2769" s="67" t="str">
        <x:v>https://www.stonealgo.com/diamond-prices/</x:v>
      </x:c>
      <x:c r="L2769" s="67" t="str">
        <x:v>https://www.pricescope.com/blog/natural-diamond-prices-september-2026</x:v>
      </x:c>
    </x:row>
    <x:row r="2770">
      <x:c r="A2770" t="n">
        <x:v>5</x:v>
      </x:c>
      <x:c r="B2770" t="str">
        <x:v>Emerald</x:v>
      </x:c>
      <x:c r="C2770" t="str">
        <x:v>F</x:v>
      </x:c>
      <x:c r="D2770" t="str">
        <x:v>FL</x:v>
      </x:c>
      <x:c r="E2770" s="36" t="n">
        <x:v>114000</x:v>
      </x:c>
      <x:c r="F2770" s="36" t="n">
        <x:v>6830</x:v>
      </x:c>
      <x:c r="G2770" s="42" t="n">
        <x:v>1.4650364650364651</x:v>
      </x:c>
      <x:c r="H2770" s="36" t="n">
        <x:f>E2770*G2770</x:f>
        <x:v>167014.157014157</x:v>
      </x:c>
      <x:c r="I2770" s="36" t="n">
        <x:f>IFERROR(H2770/A2770,0)</x:f>
        <x:v>33402.831402831405</x:v>
      </x:c>
      <x:c r="J2770" s="67" t="str">
        <x:v>Modeled from live base + Sep-2026 quality ratio</x:v>
      </x:c>
      <x:c r="K2770" s="67" t="str">
        <x:v>https://www.stonealgo.com/diamond-prices/</x:v>
      </x:c>
      <x:c r="L2770" s="67" t="str">
        <x:v>https://www.pricescope.com/blog/natural-diamond-prices-september-2026</x:v>
      </x:c>
    </x:row>
    <x:row r="2771">
      <x:c r="A2771" t="n">
        <x:v>5</x:v>
      </x:c>
      <x:c r="B2771" t="str">
        <x:v>Emerald</x:v>
      </x:c>
      <x:c r="C2771" t="str">
        <x:v>F</x:v>
      </x:c>
      <x:c r="D2771" t="str">
        <x:v>IF</x:v>
      </x:c>
      <x:c r="E2771" s="36" t="n">
        <x:v>114000</x:v>
      </x:c>
      <x:c r="F2771" s="36" t="n">
        <x:v>7302</x:v>
      </x:c>
      <x:c r="G2771" s="42" t="n">
        <x:v>1.5662805662805663</x:v>
      </x:c>
      <x:c r="H2771" s="36" t="n">
        <x:f>E2771*G2771</x:f>
        <x:v>178555.98455598456</x:v>
      </x:c>
      <x:c r="I2771" s="36" t="n">
        <x:f>IFERROR(H2771/A2771,0)</x:f>
        <x:v>35711.19691119691</x:v>
      </x:c>
      <x:c r="J2771" s="67" t="str">
        <x:v>Modeled from live base + Sep-2026 quality ratio</x:v>
      </x:c>
      <x:c r="K2771" s="67" t="str">
        <x:v>https://www.stonealgo.com/diamond-prices/</x:v>
      </x:c>
      <x:c r="L2771" s="67" t="str">
        <x:v>https://www.pricescope.com/blog/natural-diamond-prices-september-2026</x:v>
      </x:c>
    </x:row>
    <x:row r="2772">
      <x:c r="A2772" t="n">
        <x:v>5</x:v>
      </x:c>
      <x:c r="B2772" t="str">
        <x:v>Emerald</x:v>
      </x:c>
      <x:c r="C2772" t="str">
        <x:v>F</x:v>
      </x:c>
      <x:c r="D2772" t="str">
        <x:v>VVS1</x:v>
      </x:c>
      <x:c r="E2772" s="36" t="n">
        <x:v>114000</x:v>
      </x:c>
      <x:c r="F2772" s="36" t="n">
        <x:v>7542</x:v>
      </x:c>
      <x:c r="G2772" s="42" t="n">
        <x:v>1.6177606177606179</x:v>
      </x:c>
      <x:c r="H2772" s="36" t="n">
        <x:f>E2772*G2772</x:f>
        <x:v>184424.71042471044</x:v>
      </x:c>
      <x:c r="I2772" s="36" t="n">
        <x:f>IFERROR(H2772/A2772,0)</x:f>
        <x:v>36884.942084942086</x:v>
      </x:c>
      <x:c r="J2772" s="67" t="str">
        <x:v>Modeled from live base + Sep-2026 quality ratio</x:v>
      </x:c>
      <x:c r="K2772" s="67" t="str">
        <x:v>https://www.stonealgo.com/diamond-prices/</x:v>
      </x:c>
      <x:c r="L2772" s="67" t="str">
        <x:v>https://www.pricescope.com/blog/natural-diamond-prices-september-2026</x:v>
      </x:c>
    </x:row>
    <x:row r="2773">
      <x:c r="A2773" t="n">
        <x:v>5</x:v>
      </x:c>
      <x:c r="B2773" t="str">
        <x:v>Emerald</x:v>
      </x:c>
      <x:c r="C2773" t="str">
        <x:v>F</x:v>
      </x:c>
      <x:c r="D2773" t="str">
        <x:v>VVS2</x:v>
      </x:c>
      <x:c r="E2773" s="36" t="n">
        <x:v>114000</x:v>
      </x:c>
      <x:c r="F2773" s="36" t="n">
        <x:v>6352</x:v>
      </x:c>
      <x:c r="G2773" s="42" t="n">
        <x:v>1.3625053625053625</x:v>
      </x:c>
      <x:c r="H2773" s="36" t="n">
        <x:f>E2773*G2773</x:f>
        <x:v>155325.61132561133</x:v>
      </x:c>
      <x:c r="I2773" s="36" t="n">
        <x:f>IFERROR(H2773/A2773,0)</x:f>
        <x:v>31065.122265122267</x:v>
      </x:c>
      <x:c r="J2773" s="67" t="str">
        <x:v>Modeled from live base + Sep-2026 quality ratio</x:v>
      </x:c>
      <x:c r="K2773" s="67" t="str">
        <x:v>https://www.stonealgo.com/diamond-prices/</x:v>
      </x:c>
      <x:c r="L2773" s="67" t="str">
        <x:v>https://www.pricescope.com/blog/natural-diamond-prices-september-2026</x:v>
      </x:c>
    </x:row>
    <x:row r="2774">
      <x:c r="A2774" t="n">
        <x:v>5</x:v>
      </x:c>
      <x:c r="B2774" t="str">
        <x:v>Emerald</x:v>
      </x:c>
      <x:c r="C2774" t="str">
        <x:v>F</x:v>
      </x:c>
      <x:c r="D2774" t="str">
        <x:v>VS1</x:v>
      </x:c>
      <x:c r="E2774" s="36" t="n">
        <x:v>114000</x:v>
      </x:c>
      <x:c r="F2774" s="36" t="n">
        <x:v>5647</x:v>
      </x:c>
      <x:c r="G2774" s="42" t="n">
        <x:v>1.2112827112827114</x:v>
      </x:c>
      <x:c r="H2774" s="36" t="n">
        <x:f>E2774*G2774</x:f>
        <x:v>138086.22908622908</x:v>
      </x:c>
      <x:c r="I2774" s="36" t="n">
        <x:f>IFERROR(H2774/A2774,0)</x:f>
        <x:v>27617.245817245817</x:v>
      </x:c>
      <x:c r="J2774" s="67" t="str">
        <x:v>Modeled from live base + Sep-2026 quality ratio</x:v>
      </x:c>
      <x:c r="K2774" s="67" t="str">
        <x:v>https://www.stonealgo.com/diamond-prices/</x:v>
      </x:c>
      <x:c r="L2774" s="67" t="str">
        <x:v>https://www.pricescope.com/blog/natural-diamond-prices-september-2026</x:v>
      </x:c>
    </x:row>
    <x:row r="2775">
      <x:c r="A2775" t="n">
        <x:v>5</x:v>
      </x:c>
      <x:c r="B2775" t="str">
        <x:v>Emerald</x:v>
      </x:c>
      <x:c r="C2775" t="str">
        <x:v>F</x:v>
      </x:c>
      <x:c r="D2775" t="str">
        <x:v>VS2</x:v>
      </x:c>
      <x:c r="E2775" s="36" t="n">
        <x:v>114000</x:v>
      </x:c>
      <x:c r="F2775" s="36" t="n">
        <x:v>4730</x:v>
      </x:c>
      <x:c r="G2775" s="42" t="n">
        <x:v>1.0145860145860146</x:v>
      </x:c>
      <x:c r="H2775" s="36" t="n">
        <x:f>E2775*G2775</x:f>
        <x:v>115662.80566280567</x:v>
      </x:c>
      <x:c r="I2775" s="36" t="n">
        <x:f>IFERROR(H2775/A2775,0)</x:f>
        <x:v>23132.56113256113</x:v>
      </x:c>
      <x:c r="J2775" s="67" t="str">
        <x:v>Modeled from live base + Sep-2026 quality ratio</x:v>
      </x:c>
      <x:c r="K2775" s="67" t="str">
        <x:v>https://www.stonealgo.com/diamond-prices/</x:v>
      </x:c>
      <x:c r="L2775" s="67" t="str">
        <x:v>https://www.pricescope.com/blog/natural-diamond-prices-september-2026</x:v>
      </x:c>
    </x:row>
    <x:row r="2776">
      <x:c r="A2776" t="n">
        <x:v>5</x:v>
      </x:c>
      <x:c r="B2776" t="str">
        <x:v>Emerald</x:v>
      </x:c>
      <x:c r="C2776" t="str">
        <x:v>F</x:v>
      </x:c>
      <x:c r="D2776" t="str">
        <x:v>SI1</x:v>
      </x:c>
      <x:c r="E2776" s="36" t="n">
        <x:v>114000</x:v>
      </x:c>
      <x:c r="F2776" s="36" t="n">
        <x:v>3331</x:v>
      </x:c>
      <x:c r="G2776" s="42" t="n">
        <x:v>0.7145002145002145</x:v>
      </x:c>
      <x:c r="H2776" s="36" t="n">
        <x:f>E2776*G2776</x:f>
        <x:v>81453.02445302445</x:v>
      </x:c>
      <x:c r="I2776" s="36" t="n">
        <x:f>IFERROR(H2776/A2776,0)</x:f>
        <x:v>16290.60489060489</x:v>
      </x:c>
      <x:c r="J2776" s="67" t="str">
        <x:v>Modeled from live base + Sep-2026 quality ratio</x:v>
      </x:c>
      <x:c r="K2776" s="67" t="str">
        <x:v>https://www.stonealgo.com/diamond-prices/</x:v>
      </x:c>
      <x:c r="L2776" s="67" t="str">
        <x:v>https://www.pricescope.com/blog/natural-diamond-prices-september-2026</x:v>
      </x:c>
    </x:row>
    <x:row r="2777">
      <x:c r="A2777" t="n">
        <x:v>5</x:v>
      </x:c>
      <x:c r="B2777" t="str">
        <x:v>Emerald</x:v>
      </x:c>
      <x:c r="C2777" t="str">
        <x:v>F</x:v>
      </x:c>
      <x:c r="D2777" t="str">
        <x:v>SI2</x:v>
      </x:c>
      <x:c r="E2777" s="36" t="n">
        <x:v>114000</x:v>
      </x:c>
      <x:c r="F2777" s="36" t="n">
        <x:v>2733</x:v>
      </x:c>
      <x:c r="G2777" s="42" t="n">
        <x:v>0.5862290862290862</x:v>
      </x:c>
      <x:c r="H2777" s="36" t="n">
        <x:f>E2777*G2777</x:f>
        <x:v>66830.11583011583</x:v>
      </x:c>
      <x:c r="I2777" s="36" t="n">
        <x:f>IFERROR(H2777/A2777,0)</x:f>
        <x:v>13366.023166023166</x:v>
      </x:c>
      <x:c r="J2777" s="67" t="str">
        <x:v>Modeled from live base + Sep-2026 quality ratio</x:v>
      </x:c>
      <x:c r="K2777" s="67" t="str">
        <x:v>https://www.stonealgo.com/diamond-prices/</x:v>
      </x:c>
      <x:c r="L2777" s="67" t="str">
        <x:v>https://www.pricescope.com/blog/natural-diamond-prices-september-2026</x:v>
      </x:c>
    </x:row>
    <x:row r="2778">
      <x:c r="A2778" t="n">
        <x:v>5</x:v>
      </x:c>
      <x:c r="B2778" t="str">
        <x:v>Emerald</x:v>
      </x:c>
      <x:c r="C2778" t="str">
        <x:v>G</x:v>
      </x:c>
      <x:c r="D2778" t="str">
        <x:v>FL</x:v>
      </x:c>
      <x:c r="E2778" s="36" t="n">
        <x:v>114000</x:v>
      </x:c>
      <x:c r="F2778" s="36" t="n">
        <x:v>5905</x:v>
      </x:c>
      <x:c r="G2778" s="42" t="n">
        <x:v>1.2666237666237665</x:v>
      </x:c>
      <x:c r="H2778" s="36" t="n">
        <x:f>E2778*G2778</x:f>
        <x:v>144395.10939510938</x:v>
      </x:c>
      <x:c r="I2778" s="36" t="n">
        <x:f>IFERROR(H2778/A2778,0)</x:f>
        <x:v>28879.021879021875</x:v>
      </x:c>
      <x:c r="J2778" s="67" t="str">
        <x:v>Modeled from live base + Sep-2026 quality ratio</x:v>
      </x:c>
      <x:c r="K2778" s="67" t="str">
        <x:v>https://www.stonealgo.com/diamond-prices/</x:v>
      </x:c>
      <x:c r="L2778" s="67" t="str">
        <x:v>https://www.pricescope.com/blog/natural-diamond-prices-september-2026</x:v>
      </x:c>
    </x:row>
    <x:row r="2779">
      <x:c r="A2779" t="n">
        <x:v>5</x:v>
      </x:c>
      <x:c r="B2779" t="str">
        <x:v>Emerald</x:v>
      </x:c>
      <x:c r="C2779" t="str">
        <x:v>G</x:v>
      </x:c>
      <x:c r="D2779" t="str">
        <x:v>IF</x:v>
      </x:c>
      <x:c r="E2779" s="36" t="n">
        <x:v>114000</x:v>
      </x:c>
      <x:c r="F2779" s="36" t="n">
        <x:v>5601</x:v>
      </x:c>
      <x:c r="G2779" s="42" t="n">
        <x:v>1.2014157014157014</x:v>
      </x:c>
      <x:c r="H2779" s="36" t="n">
        <x:f>E2779*G2779</x:f>
        <x:v>136961.38996138997</x:v>
      </x:c>
      <x:c r="I2779" s="36" t="n">
        <x:f>IFERROR(H2779/A2779,0)</x:f>
        <x:v>27392.277992277996</x:v>
      </x:c>
      <x:c r="J2779" s="67" t="str">
        <x:v>Modeled from live base + Sep-2026 quality ratio</x:v>
      </x:c>
      <x:c r="K2779" s="67" t="str">
        <x:v>https://www.stonealgo.com/diamond-prices/</x:v>
      </x:c>
      <x:c r="L2779" s="67" t="str">
        <x:v>https://www.pricescope.com/blog/natural-diamond-prices-september-2026</x:v>
      </x:c>
    </x:row>
    <x:row r="2780">
      <x:c r="A2780" t="n">
        <x:v>5</x:v>
      </x:c>
      <x:c r="B2780" t="str">
        <x:v>Emerald</x:v>
      </x:c>
      <x:c r="C2780" t="str">
        <x:v>G</x:v>
      </x:c>
      <x:c r="D2780" t="str">
        <x:v>VVS1</x:v>
      </x:c>
      <x:c r="E2780" s="36" t="n">
        <x:v>114000</x:v>
      </x:c>
      <x:c r="F2780" s="36" t="n">
        <x:v>5124</x:v>
      </x:c>
      <x:c r="G2780" s="42" t="n">
        <x:v>1.0990990990990992</x:v>
      </x:c>
      <x:c r="H2780" s="36" t="n">
        <x:f>E2780*G2780</x:f>
        <x:v>125297.29729729731</x:v>
      </x:c>
      <x:c r="I2780" s="36" t="n">
        <x:f>IFERROR(H2780/A2780,0)</x:f>
        <x:v>25059.45945945946</x:v>
      </x:c>
      <x:c r="J2780" s="67" t="str">
        <x:v>Modeled from live base + Sep-2026 quality ratio</x:v>
      </x:c>
      <x:c r="K2780" s="67" t="str">
        <x:v>https://www.stonealgo.com/diamond-prices/</x:v>
      </x:c>
      <x:c r="L2780" s="67" t="str">
        <x:v>https://www.pricescope.com/blog/natural-diamond-prices-september-2026</x:v>
      </x:c>
    </x:row>
    <x:row r="2781">
      <x:c r="A2781" t="n">
        <x:v>5</x:v>
      </x:c>
      <x:c r="B2781" t="str">
        <x:v>Emerald</x:v>
      </x:c>
      <x:c r="C2781" t="str">
        <x:v>G</x:v>
      </x:c>
      <x:c r="D2781" t="str">
        <x:v>VVS2</x:v>
      </x:c>
      <x:c r="E2781" s="36" t="n">
        <x:v>114000</x:v>
      </x:c>
      <x:c r="F2781" s="36" t="n">
        <x:v>4962</x:v>
      </x:c>
      <x:c r="G2781" s="42" t="n">
        <x:v>1.0643500643500643</x:v>
      </x:c>
      <x:c r="H2781" s="36" t="n">
        <x:f>E2781*G2781</x:f>
        <x:v>121335.90733590732</x:v>
      </x:c>
      <x:c r="I2781" s="36" t="n">
        <x:f>IFERROR(H2781/A2781,0)</x:f>
        <x:v>24267.181467181465</x:v>
      </x:c>
      <x:c r="J2781" s="67" t="str">
        <x:v>Modeled from live base + Sep-2026 quality ratio</x:v>
      </x:c>
      <x:c r="K2781" s="67" t="str">
        <x:v>https://www.stonealgo.com/diamond-prices/</x:v>
      </x:c>
      <x:c r="L2781" s="67" t="str">
        <x:v>https://www.pricescope.com/blog/natural-diamond-prices-september-2026</x:v>
      </x:c>
    </x:row>
    <x:row r="2782">
      <x:c r="A2782" t="n">
        <x:v>5</x:v>
      </x:c>
      <x:c r="B2782" t="str">
        <x:v>Emerald</x:v>
      </x:c>
      <x:c r="C2782" t="str">
        <x:v>G</x:v>
      </x:c>
      <x:c r="D2782" t="str">
        <x:v>VS1</x:v>
      </x:c>
      <x:c r="E2782" s="36" t="n">
        <x:v>114000</x:v>
      </x:c>
      <x:c r="F2782" s="36" t="n">
        <x:v>4615</x:v>
      </x:c>
      <x:c r="G2782" s="42" t="n">
        <x:v>0.98991848991849</x:v>
      </x:c>
      <x:c r="H2782" s="36" t="n">
        <x:f>E2782*G2782</x:f>
        <x:v>112850.70785070785</x:v>
      </x:c>
      <x:c r="I2782" s="36" t="n">
        <x:f>IFERROR(H2782/A2782,0)</x:f>
        <x:v>22570.14157014157</x:v>
      </x:c>
      <x:c r="J2782" s="67" t="str">
        <x:v>Modeled from live base + Sep-2026 quality ratio</x:v>
      </x:c>
      <x:c r="K2782" s="67" t="str">
        <x:v>https://www.stonealgo.com/diamond-prices/</x:v>
      </x:c>
      <x:c r="L2782" s="67" t="str">
        <x:v>https://www.pricescope.com/blog/natural-diamond-prices-september-2026</x:v>
      </x:c>
    </x:row>
    <x:row r="2783">
      <x:c r="A2783" t="n">
        <x:v>5</x:v>
      </x:c>
      <x:c r="B2783" t="str">
        <x:v>Emerald</x:v>
      </x:c>
      <x:c r="C2783" t="str">
        <x:v>G</x:v>
      </x:c>
      <x:c r="D2783" t="str">
        <x:v>VS2</x:v>
      </x:c>
      <x:c r="E2783" s="36" t="n">
        <x:v>114000</x:v>
      </x:c>
      <x:c r="F2783" s="36" t="n">
        <x:v>4585</x:v>
      </x:c>
      <x:c r="G2783" s="42" t="n">
        <x:v>0.9834834834834835</x:v>
      </x:c>
      <x:c r="H2783" s="36" t="n">
        <x:f>E2783*G2783</x:f>
        <x:v>112117.11711711712</x:v>
      </x:c>
      <x:c r="I2783" s="36" t="n">
        <x:f>IFERROR(H2783/A2783,0)</x:f>
        <x:v>22423.423423423425</x:v>
      </x:c>
      <x:c r="J2783" s="67" t="str">
        <x:v>Modeled from live base + Sep-2026 quality ratio</x:v>
      </x:c>
      <x:c r="K2783" s="67" t="str">
        <x:v>https://www.stonealgo.com/diamond-prices/</x:v>
      </x:c>
      <x:c r="L2783" s="67" t="str">
        <x:v>https://www.pricescope.com/blog/natural-diamond-prices-september-2026</x:v>
      </x:c>
    </x:row>
    <x:row r="2784">
      <x:c r="A2784" t="n">
        <x:v>5</x:v>
      </x:c>
      <x:c r="B2784" t="str">
        <x:v>Emerald</x:v>
      </x:c>
      <x:c r="C2784" t="str">
        <x:v>G</x:v>
      </x:c>
      <x:c r="D2784" t="str">
        <x:v>SI1</x:v>
      </x:c>
      <x:c r="E2784" s="36" t="n">
        <x:v>114000</x:v>
      </x:c>
      <x:c r="F2784" s="36" t="n">
        <x:v>3664</x:v>
      </x:c>
      <x:c r="G2784" s="42" t="n">
        <x:v>0.7859287859287859</x:v>
      </x:c>
      <x:c r="H2784" s="36" t="n">
        <x:f>E2784*G2784</x:f>
        <x:v>89595.8815958816</x:v>
      </x:c>
      <x:c r="I2784" s="36" t="n">
        <x:f>IFERROR(H2784/A2784,0)</x:f>
        <x:v>17919.17631917632</x:v>
      </x:c>
      <x:c r="J2784" s="67" t="str">
        <x:v>Modeled from live base + Sep-2026 quality ratio</x:v>
      </x:c>
      <x:c r="K2784" s="67" t="str">
        <x:v>https://www.stonealgo.com/diamond-prices/</x:v>
      </x:c>
      <x:c r="L2784" s="67" t="str">
        <x:v>https://www.pricescope.com/blog/natural-diamond-prices-september-2026</x:v>
      </x:c>
    </x:row>
    <x:row r="2785">
      <x:c r="A2785" t="n">
        <x:v>5</x:v>
      </x:c>
      <x:c r="B2785" t="str">
        <x:v>Emerald</x:v>
      </x:c>
      <x:c r="C2785" t="str">
        <x:v>G</x:v>
      </x:c>
      <x:c r="D2785" t="str">
        <x:v>SI2</x:v>
      </x:c>
      <x:c r="E2785" s="36" t="n">
        <x:v>114000</x:v>
      </x:c>
      <x:c r="F2785" s="36" t="n">
        <x:v>2537</x:v>
      </x:c>
      <x:c r="G2785" s="42" t="n">
        <x:v>0.5441870441870442</x:v>
      </x:c>
      <x:c r="H2785" s="36" t="n">
        <x:f>E2785*G2785</x:f>
        <x:v>62037.32303732304</x:v>
      </x:c>
      <x:c r="I2785" s="36" t="n">
        <x:f>IFERROR(H2785/A2785,0)</x:f>
        <x:v>12407.464607464608</x:v>
      </x:c>
      <x:c r="J2785" s="67" t="str">
        <x:v>Modeled from live base + Sep-2026 quality ratio</x:v>
      </x:c>
      <x:c r="K2785" s="67" t="str">
        <x:v>https://www.stonealgo.com/diamond-prices/</x:v>
      </x:c>
      <x:c r="L2785" s="67" t="str">
        <x:v>https://www.pricescope.com/blog/natural-diamond-prices-september-2026</x:v>
      </x:c>
    </x:row>
    <x:row r="2786">
      <x:c r="A2786" t="n">
        <x:v>5</x:v>
      </x:c>
      <x:c r="B2786" t="str">
        <x:v>Emerald</x:v>
      </x:c>
      <x:c r="C2786" t="str">
        <x:v>H</x:v>
      </x:c>
      <x:c r="D2786" t="str">
        <x:v>FL</x:v>
      </x:c>
      <x:c r="E2786" s="36" t="n">
        <x:v>114000</x:v>
      </x:c>
      <x:c r="F2786" s="36" t="n">
        <x:v>4563</x:v>
      </x:c>
      <x:c r="G2786" s="42" t="n">
        <x:v>0.9787644787644788</x:v>
      </x:c>
      <x:c r="H2786" s="36" t="n">
        <x:f>E2786*G2786</x:f>
        <x:v>111579.15057915058</x:v>
      </x:c>
      <x:c r="I2786" s="36" t="n">
        <x:f>IFERROR(H2786/A2786,0)</x:f>
        <x:v>22315.830115830115</x:v>
      </x:c>
      <x:c r="J2786" s="67" t="str">
        <x:v>Modeled from live base + Sep-2026 quality ratio</x:v>
      </x:c>
      <x:c r="K2786" s="67" t="str">
        <x:v>https://www.stonealgo.com/diamond-prices/</x:v>
      </x:c>
      <x:c r="L2786" s="67" t="str">
        <x:v>https://www.pricescope.com/blog/natural-diamond-prices-september-2026</x:v>
      </x:c>
    </x:row>
    <x:row r="2787">
      <x:c r="A2787" t="n">
        <x:v>5</x:v>
      </x:c>
      <x:c r="B2787" t="str">
        <x:v>Emerald</x:v>
      </x:c>
      <x:c r="C2787" t="str">
        <x:v>H</x:v>
      </x:c>
      <x:c r="D2787" t="str">
        <x:v>IF</x:v>
      </x:c>
      <x:c r="E2787" s="36" t="n">
        <x:v>114000</x:v>
      </x:c>
      <x:c r="F2787" s="36" t="n">
        <x:v>4809</x:v>
      </x:c>
      <x:c r="G2787" s="42" t="n">
        <x:v>1.0315315315315314</x:v>
      </x:c>
      <x:c r="H2787" s="36" t="n">
        <x:f>E2787*G2787</x:f>
        <x:v>117594.59459459459</x:v>
      </x:c>
      <x:c r="I2787" s="36" t="n">
        <x:f>IFERROR(H2787/A2787,0)</x:f>
        <x:v>23518.918918918916</x:v>
      </x:c>
      <x:c r="J2787" s="67" t="str">
        <x:v>Modeled from live base + Sep-2026 quality ratio</x:v>
      </x:c>
      <x:c r="K2787" s="67" t="str">
        <x:v>https://www.stonealgo.com/diamond-prices/</x:v>
      </x:c>
      <x:c r="L2787" s="67" t="str">
        <x:v>https://www.pricescope.com/blog/natural-diamond-prices-september-2026</x:v>
      </x:c>
    </x:row>
    <x:row r="2788">
      <x:c r="A2788" t="n">
        <x:v>5</x:v>
      </x:c>
      <x:c r="B2788" t="str">
        <x:v>Emerald</x:v>
      </x:c>
      <x:c r="C2788" t="str">
        <x:v>H</x:v>
      </x:c>
      <x:c r="D2788" t="str">
        <x:v>VVS1</x:v>
      </x:c>
      <x:c r="E2788" s="36" t="n">
        <x:v>114000</x:v>
      </x:c>
      <x:c r="F2788" s="36" t="n">
        <x:v>4911</x:v>
      </x:c>
      <x:c r="G2788" s="42" t="n">
        <x:v>1.0534105534105533</x:v>
      </x:c>
      <x:c r="H2788" s="36" t="n">
        <x:f>E2788*G2788</x:f>
        <x:v>120088.80308880308</x:v>
      </x:c>
      <x:c r="I2788" s="36" t="n">
        <x:f>IFERROR(H2788/A2788,0)</x:f>
        <x:v>24017.760617760614</x:v>
      </x:c>
      <x:c r="J2788" s="67" t="str">
        <x:v>Modeled from live base + Sep-2026 quality ratio</x:v>
      </x:c>
      <x:c r="K2788" s="67" t="str">
        <x:v>https://www.stonealgo.com/diamond-prices/</x:v>
      </x:c>
      <x:c r="L2788" s="67" t="str">
        <x:v>https://www.pricescope.com/blog/natural-diamond-prices-september-2026</x:v>
      </x:c>
    </x:row>
    <x:row r="2789">
      <x:c r="A2789" t="n">
        <x:v>5</x:v>
      </x:c>
      <x:c r="B2789" t="str">
        <x:v>Emerald</x:v>
      </x:c>
      <x:c r="C2789" t="str">
        <x:v>H</x:v>
      </x:c>
      <x:c r="D2789" t="str">
        <x:v>VVS2</x:v>
      </x:c>
      <x:c r="E2789" s="36" t="n">
        <x:v>114000</x:v>
      </x:c>
      <x:c r="F2789" s="36" t="n">
        <x:v>4046</x:v>
      </x:c>
      <x:c r="G2789" s="42" t="n">
        <x:v>0.8678678678678678</x:v>
      </x:c>
      <x:c r="H2789" s="36" t="n">
        <x:f>E2789*G2789</x:f>
        <x:v>98936.93693693694</x:v>
      </x:c>
      <x:c r="I2789" s="36" t="n">
        <x:f>IFERROR(H2789/A2789,0)</x:f>
        <x:v>19787.38738738739</x:v>
      </x:c>
      <x:c r="J2789" s="67" t="str">
        <x:v>Modeled from live base + Sep-2026 quality ratio</x:v>
      </x:c>
      <x:c r="K2789" s="67" t="str">
        <x:v>https://www.stonealgo.com/diamond-prices/</x:v>
      </x:c>
      <x:c r="L2789" s="67" t="str">
        <x:v>https://www.pricescope.com/blog/natural-diamond-prices-september-2026</x:v>
      </x:c>
    </x:row>
    <x:row r="2790">
      <x:c r="A2790" t="n">
        <x:v>5</x:v>
      </x:c>
      <x:c r="B2790" t="str">
        <x:v>Emerald</x:v>
      </x:c>
      <x:c r="C2790" t="str">
        <x:v>H</x:v>
      </x:c>
      <x:c r="D2790" t="str">
        <x:v>VS1</x:v>
      </x:c>
      <x:c r="E2790" s="36" t="n">
        <x:v>114000</x:v>
      </x:c>
      <x:c r="F2790" s="36" t="n">
        <x:v>3893</x:v>
      </x:c>
      <x:c r="G2790" s="42" t="n">
        <x:v>0.8350493350493351</x:v>
      </x:c>
      <x:c r="H2790" s="36" t="n">
        <x:f>E2790*G2790</x:f>
        <x:v>95195.6241956242</x:v>
      </x:c>
      <x:c r="I2790" s="36" t="n">
        <x:f>IFERROR(H2790/A2790,0)</x:f>
        <x:v>19039.12483912484</x:v>
      </x:c>
      <x:c r="J2790" s="67" t="str">
        <x:v>Modeled from live base + Sep-2026 quality ratio</x:v>
      </x:c>
      <x:c r="K2790" s="67" t="str">
        <x:v>https://www.stonealgo.com/diamond-prices/</x:v>
      </x:c>
      <x:c r="L2790" s="67" t="str">
        <x:v>https://www.pricescope.com/blog/natural-diamond-prices-september-2026</x:v>
      </x:c>
    </x:row>
    <x:row r="2791">
      <x:c r="A2791" t="n">
        <x:v>5</x:v>
      </x:c>
      <x:c r="B2791" t="str">
        <x:v>Emerald</x:v>
      </x:c>
      <x:c r="C2791" t="str">
        <x:v>H</x:v>
      </x:c>
      <x:c r="D2791" t="str">
        <x:v>VS2</x:v>
      </x:c>
      <x:c r="E2791" s="36" t="n">
        <x:v>114000</x:v>
      </x:c>
      <x:c r="F2791" s="36" t="n">
        <x:v>3989</x:v>
      </x:c>
      <x:c r="G2791" s="42" t="n">
        <x:v>0.8556413556413557</x:v>
      </x:c>
      <x:c r="H2791" s="36" t="n">
        <x:f>E2791*G2791</x:f>
        <x:v>97543.11454311454</x:v>
      </x:c>
      <x:c r="I2791" s="36" t="n">
        <x:f>IFERROR(H2791/A2791,0)</x:f>
        <x:v>19508.622908622907</x:v>
      </x:c>
      <x:c r="J2791" s="67" t="str">
        <x:v>Modeled from live base + Sep-2026 quality ratio</x:v>
      </x:c>
      <x:c r="K2791" s="67" t="str">
        <x:v>https://www.stonealgo.com/diamond-prices/</x:v>
      </x:c>
      <x:c r="L2791" s="67" t="str">
        <x:v>https://www.pricescope.com/blog/natural-diamond-prices-september-2026</x:v>
      </x:c>
    </x:row>
    <x:row r="2792">
      <x:c r="A2792" t="n">
        <x:v>5</x:v>
      </x:c>
      <x:c r="B2792" t="str">
        <x:v>Emerald</x:v>
      </x:c>
      <x:c r="C2792" t="str">
        <x:v>H</x:v>
      </x:c>
      <x:c r="D2792" t="str">
        <x:v>SI1</x:v>
      </x:c>
      <x:c r="E2792" s="36" t="n">
        <x:v>114000</x:v>
      </x:c>
      <x:c r="F2792" s="36" t="n">
        <x:v>2828</x:v>
      </x:c>
      <x:c r="G2792" s="42" t="n">
        <x:v>0.6066066066066066</x:v>
      </x:c>
      <x:c r="H2792" s="36" t="n">
        <x:f>E2792*G2792</x:f>
        <x:v>69153.15315315315</x:v>
      </x:c>
      <x:c r="I2792" s="36" t="n">
        <x:f>IFERROR(H2792/A2792,0)</x:f>
        <x:v>13830.63063063063</x:v>
      </x:c>
      <x:c r="J2792" s="67" t="str">
        <x:v>Modeled from live base + Sep-2026 quality ratio</x:v>
      </x:c>
      <x:c r="K2792" s="67" t="str">
        <x:v>https://www.stonealgo.com/diamond-prices/</x:v>
      </x:c>
      <x:c r="L2792" s="67" t="str">
        <x:v>https://www.pricescope.com/blog/natural-diamond-prices-september-2026</x:v>
      </x:c>
    </x:row>
    <x:row r="2793">
      <x:c r="A2793" t="n">
        <x:v>5</x:v>
      </x:c>
      <x:c r="B2793" t="str">
        <x:v>Emerald</x:v>
      </x:c>
      <x:c r="C2793" t="str">
        <x:v>H</x:v>
      </x:c>
      <x:c r="D2793" t="str">
        <x:v>SI2</x:v>
      </x:c>
      <x:c r="E2793" s="36" t="n">
        <x:v>114000</x:v>
      </x:c>
      <x:c r="F2793" s="36" t="n">
        <x:v>2328</x:v>
      </x:c>
      <x:c r="G2793" s="42" t="n">
        <x:v>0.49935649935649934</x:v>
      </x:c>
      <x:c r="H2793" s="36" t="n">
        <x:f>E2793*G2793</x:f>
        <x:v>56926.640926640925</x:v>
      </x:c>
      <x:c r="I2793" s="36" t="n">
        <x:f>IFERROR(H2793/A2793,0)</x:f>
        <x:v>11385.328185328184</x:v>
      </x:c>
      <x:c r="J2793" s="67" t="str">
        <x:v>Modeled from live base + Sep-2026 quality ratio</x:v>
      </x:c>
      <x:c r="K2793" s="67" t="str">
        <x:v>https://www.stonealgo.com/diamond-prices/</x:v>
      </x:c>
      <x:c r="L2793" s="67" t="str">
        <x:v>https://www.pricescope.com/blog/natural-diamond-prices-september-2026</x:v>
      </x:c>
    </x:row>
    <x:row r="2794">
      <x:c r="A2794" t="n">
        <x:v>5</x:v>
      </x:c>
      <x:c r="B2794" t="str">
        <x:v>Emerald</x:v>
      </x:c>
      <x:c r="C2794" t="str">
        <x:v>I</x:v>
      </x:c>
      <x:c r="D2794" t="str">
        <x:v>FL</x:v>
      </x:c>
      <x:c r="E2794" s="36" t="n">
        <x:v>114000</x:v>
      </x:c>
      <x:c r="F2794" s="36" t="n">
        <x:v>4623</x:v>
      </x:c>
      <x:c r="G2794" s="42" t="n">
        <x:v>0.9916344916344917</x:v>
      </x:c>
      <x:c r="H2794" s="36" t="n">
        <x:f>E2794*G2794</x:f>
        <x:v>113046.33204633206</x:v>
      </x:c>
      <x:c r="I2794" s="36" t="n">
        <x:f>IFERROR(H2794/A2794,0)</x:f>
        <x:v>22609.266409266413</x:v>
      </x:c>
      <x:c r="J2794" s="67" t="str">
        <x:v>Modeled from live base + Sep-2026 quality ratio</x:v>
      </x:c>
      <x:c r="K2794" s="67" t="str">
        <x:v>https://www.stonealgo.com/diamond-prices/</x:v>
      </x:c>
      <x:c r="L2794" s="67" t="str">
        <x:v>https://www.pricescope.com/blog/natural-diamond-prices-september-2026</x:v>
      </x:c>
    </x:row>
    <x:row r="2795">
      <x:c r="A2795" t="n">
        <x:v>5</x:v>
      </x:c>
      <x:c r="B2795" t="str">
        <x:v>Emerald</x:v>
      </x:c>
      <x:c r="C2795" t="str">
        <x:v>I</x:v>
      </x:c>
      <x:c r="D2795" t="str">
        <x:v>IF</x:v>
      </x:c>
      <x:c r="E2795" s="36" t="n">
        <x:v>114000</x:v>
      </x:c>
      <x:c r="F2795" s="36" t="n">
        <x:v>4005</x:v>
      </x:c>
      <x:c r="G2795" s="42" t="n">
        <x:v>0.859073359073359</x:v>
      </x:c>
      <x:c r="H2795" s="36" t="n">
        <x:f>E2795*G2795</x:f>
        <x:v>97934.36293436293</x:v>
      </x:c>
      <x:c r="I2795" s="36" t="n">
        <x:f>IFERROR(H2795/A2795,0)</x:f>
        <x:v>19586.872586872585</x:v>
      </x:c>
      <x:c r="J2795" s="67" t="str">
        <x:v>Modeled from live base + Sep-2026 quality ratio</x:v>
      </x:c>
      <x:c r="K2795" s="67" t="str">
        <x:v>https://www.stonealgo.com/diamond-prices/</x:v>
      </x:c>
      <x:c r="L2795" s="67" t="str">
        <x:v>https://www.pricescope.com/blog/natural-diamond-prices-september-2026</x:v>
      </x:c>
    </x:row>
    <x:row r="2796">
      <x:c r="A2796" t="n">
        <x:v>5</x:v>
      </x:c>
      <x:c r="B2796" t="str">
        <x:v>Emerald</x:v>
      </x:c>
      <x:c r="C2796" t="str">
        <x:v>I</x:v>
      </x:c>
      <x:c r="D2796" t="str">
        <x:v>VVS1</x:v>
      </x:c>
      <x:c r="E2796" s="36" t="n">
        <x:v>114000</x:v>
      </x:c>
      <x:c r="F2796" s="36" t="n">
        <x:v>3670</x:v>
      </x:c>
      <x:c r="G2796" s="42" t="n">
        <x:v>0.7872157872157872</x:v>
      </x:c>
      <x:c r="H2796" s="36" t="n">
        <x:f>E2796*G2796</x:f>
        <x:v>89742.59974259975</x:v>
      </x:c>
      <x:c r="I2796" s="36" t="n">
        <x:f>IFERROR(H2796/A2796,0)</x:f>
        <x:v>17948.51994851995</x:v>
      </x:c>
      <x:c r="J2796" s="67" t="str">
        <x:v>Modeled from live base + Sep-2026 quality ratio</x:v>
      </x:c>
      <x:c r="K2796" s="67" t="str">
        <x:v>https://www.stonealgo.com/diamond-prices/</x:v>
      </x:c>
      <x:c r="L2796" s="67" t="str">
        <x:v>https://www.pricescope.com/blog/natural-diamond-prices-september-2026</x:v>
      </x:c>
    </x:row>
    <x:row r="2797">
      <x:c r="A2797" t="n">
        <x:v>5</x:v>
      </x:c>
      <x:c r="B2797" t="str">
        <x:v>Emerald</x:v>
      </x:c>
      <x:c r="C2797" t="str">
        <x:v>I</x:v>
      </x:c>
      <x:c r="D2797" t="str">
        <x:v>VVS2</x:v>
      </x:c>
      <x:c r="E2797" s="36" t="n">
        <x:v>114000</x:v>
      </x:c>
      <x:c r="F2797" s="36" t="n">
        <x:v>3447</x:v>
      </x:c>
      <x:c r="G2797" s="42" t="n">
        <x:v>0.7393822393822393</x:v>
      </x:c>
      <x:c r="H2797" s="36" t="n">
        <x:f>E2797*G2797</x:f>
        <x:v>84289.57528957528</x:v>
      </x:c>
      <x:c r="I2797" s="36" t="n">
        <x:f>IFERROR(H2797/A2797,0)</x:f>
        <x:v>16857.915057915056</x:v>
      </x:c>
      <x:c r="J2797" s="67" t="str">
        <x:v>Modeled from live base + Sep-2026 quality ratio</x:v>
      </x:c>
      <x:c r="K2797" s="67" t="str">
        <x:v>https://www.stonealgo.com/diamond-prices/</x:v>
      </x:c>
      <x:c r="L2797" s="67" t="str">
        <x:v>https://www.pricescope.com/blog/natural-diamond-prices-september-2026</x:v>
      </x:c>
    </x:row>
    <x:row r="2798">
      <x:c r="A2798" t="n">
        <x:v>5</x:v>
      </x:c>
      <x:c r="B2798" t="str">
        <x:v>Emerald</x:v>
      </x:c>
      <x:c r="C2798" t="str">
        <x:v>I</x:v>
      </x:c>
      <x:c r="D2798" t="str">
        <x:v>VS1</x:v>
      </x:c>
      <x:c r="E2798" s="36" t="n">
        <x:v>114000</x:v>
      </x:c>
      <x:c r="F2798" s="36" t="n">
        <x:v>3313</x:v>
      </x:c>
      <x:c r="G2798" s="42" t="n">
        <x:v>0.7106392106392107</x:v>
      </x:c>
      <x:c r="H2798" s="36" t="n">
        <x:f>E2798*G2798</x:f>
        <x:v>81012.87001287001</x:v>
      </x:c>
      <x:c r="I2798" s="36" t="n">
        <x:f>IFERROR(H2798/A2798,0)</x:f>
        <x:v>16202.574002574003</x:v>
      </x:c>
      <x:c r="J2798" s="67" t="str">
        <x:v>Modeled from live base + Sep-2026 quality ratio</x:v>
      </x:c>
      <x:c r="K2798" s="67" t="str">
        <x:v>https://www.stonealgo.com/diamond-prices/</x:v>
      </x:c>
      <x:c r="L2798" s="67" t="str">
        <x:v>https://www.pricescope.com/blog/natural-diamond-prices-september-2026</x:v>
      </x:c>
    </x:row>
    <x:row r="2799">
      <x:c r="A2799" t="n">
        <x:v>5</x:v>
      </x:c>
      <x:c r="B2799" t="str">
        <x:v>Emerald</x:v>
      </x:c>
      <x:c r="C2799" t="str">
        <x:v>I</x:v>
      </x:c>
      <x:c r="D2799" t="str">
        <x:v>VS2</x:v>
      </x:c>
      <x:c r="E2799" s="36" t="n">
        <x:v>114000</x:v>
      </x:c>
      <x:c r="F2799" s="36" t="n">
        <x:v>3240</x:v>
      </x:c>
      <x:c r="G2799" s="42" t="n">
        <x:v>0.694980694980695</x:v>
      </x:c>
      <x:c r="H2799" s="36" t="n">
        <x:f>E2799*G2799</x:f>
        <x:v>79227.79922779923</x:v>
      </x:c>
      <x:c r="I2799" s="36" t="n">
        <x:f>IFERROR(H2799/A2799,0)</x:f>
        <x:v>15845.559845559847</x:v>
      </x:c>
      <x:c r="J2799" s="67" t="str">
        <x:v>Modeled from live base + Sep-2026 quality ratio</x:v>
      </x:c>
      <x:c r="K2799" s="67" t="str">
        <x:v>https://www.stonealgo.com/diamond-prices/</x:v>
      </x:c>
      <x:c r="L2799" s="67" t="str">
        <x:v>https://www.pricescope.com/blog/natural-diamond-prices-september-2026</x:v>
      </x:c>
    </x:row>
    <x:row r="2800">
      <x:c r="A2800" t="n">
        <x:v>5</x:v>
      </x:c>
      <x:c r="B2800" t="str">
        <x:v>Emerald</x:v>
      </x:c>
      <x:c r="C2800" t="str">
        <x:v>I</x:v>
      </x:c>
      <x:c r="D2800" t="str">
        <x:v>SI1</x:v>
      </x:c>
      <x:c r="E2800" s="36" t="n">
        <x:v>114000</x:v>
      </x:c>
      <x:c r="F2800" s="36" t="n">
        <x:v>3199</x:v>
      </x:c>
      <x:c r="G2800" s="42" t="n">
        <x:v>0.6861861861861862</x:v>
      </x:c>
      <x:c r="H2800" s="36" t="n">
        <x:f>E2800*G2800</x:f>
        <x:v>78225.22522522522</x:v>
      </x:c>
      <x:c r="I2800" s="36" t="n">
        <x:f>IFERROR(H2800/A2800,0)</x:f>
        <x:v>15645.045045045044</x:v>
      </x:c>
      <x:c r="J2800" s="67" t="str">
        <x:v>Modeled from live base + Sep-2026 quality ratio</x:v>
      </x:c>
      <x:c r="K2800" s="67" t="str">
        <x:v>https://www.stonealgo.com/diamond-prices/</x:v>
      </x:c>
      <x:c r="L2800" s="67" t="str">
        <x:v>https://www.pricescope.com/blog/natural-diamond-prices-september-2026</x:v>
      </x:c>
    </x:row>
    <x:row r="2801">
      <x:c r="A2801" t="n">
        <x:v>5</x:v>
      </x:c>
      <x:c r="B2801" t="str">
        <x:v>Emerald</x:v>
      </x:c>
      <x:c r="C2801" t="str">
        <x:v>I</x:v>
      </x:c>
      <x:c r="D2801" t="str">
        <x:v>SI2</x:v>
      </x:c>
      <x:c r="E2801" s="36" t="n">
        <x:v>114000</x:v>
      </x:c>
      <x:c r="F2801" s="36" t="n">
        <x:v>2874</x:v>
      </x:c>
      <x:c r="G2801" s="42" t="n">
        <x:v>0.6164736164736164</x:v>
      </x:c>
      <x:c r="H2801" s="36" t="n">
        <x:f>E2801*G2801</x:f>
        <x:v>70277.99227799228</x:v>
      </x:c>
      <x:c r="I2801" s="36" t="n">
        <x:f>IFERROR(H2801/A2801,0)</x:f>
        <x:v>14055.598455598456</x:v>
      </x:c>
      <x:c r="J2801" s="67" t="str">
        <x:v>Modeled from live base + Sep-2026 quality ratio</x:v>
      </x:c>
      <x:c r="K2801" s="67" t="str">
        <x:v>https://www.stonealgo.com/diamond-prices/</x:v>
      </x:c>
      <x:c r="L2801" s="67" t="str">
        <x:v>https://www.pricescope.com/blog/natural-diamond-prices-september-2026</x:v>
      </x:c>
    </x:row>
    <x:row r="2802">
      <x:c r="A2802" t="n">
        <x:v>5</x:v>
      </x:c>
      <x:c r="B2802" t="str">
        <x:v>Emerald</x:v>
      </x:c>
      <x:c r="C2802" t="str">
        <x:v>J</x:v>
      </x:c>
      <x:c r="D2802" t="str">
        <x:v>FL</x:v>
      </x:c>
      <x:c r="E2802" s="36" t="n">
        <x:v>114000</x:v>
      </x:c>
      <x:c r="F2802" s="36" t="n">
        <x:v>3646</x:v>
      </x:c>
      <x:c r="G2802" s="42" t="n">
        <x:v>0.782067782067782</x:v>
      </x:c>
      <x:c r="H2802" s="36" t="n">
        <x:f>E2802*G2802</x:f>
        <x:v>89155.72715572716</x:v>
      </x:c>
      <x:c r="I2802" s="36" t="n">
        <x:f>IFERROR(H2802/A2802,0)</x:f>
        <x:v>17831.145431145433</x:v>
      </x:c>
      <x:c r="J2802" s="67" t="str">
        <x:v>Modeled from live base + Sep-2026 quality ratio</x:v>
      </x:c>
      <x:c r="K2802" s="67" t="str">
        <x:v>https://www.stonealgo.com/diamond-prices/</x:v>
      </x:c>
      <x:c r="L2802" s="67" t="str">
        <x:v>https://www.pricescope.com/blog/natural-diamond-prices-september-2026</x:v>
      </x:c>
    </x:row>
    <x:row r="2803">
      <x:c r="A2803" t="n">
        <x:v>5</x:v>
      </x:c>
      <x:c r="B2803" t="str">
        <x:v>Emerald</x:v>
      </x:c>
      <x:c r="C2803" t="str">
        <x:v>J</x:v>
      </x:c>
      <x:c r="D2803" t="str">
        <x:v>IF</x:v>
      </x:c>
      <x:c r="E2803" s="36" t="n">
        <x:v>114000</x:v>
      </x:c>
      <x:c r="F2803" s="36" t="n">
        <x:v>3368</x:v>
      </x:c>
      <x:c r="G2803" s="42" t="n">
        <x:v>0.7224367224367224</x:v>
      </x:c>
      <x:c r="H2803" s="36" t="n">
        <x:f>E2803*G2803</x:f>
        <x:v>82357.78635778636</x:v>
      </x:c>
      <x:c r="I2803" s="36" t="n">
        <x:f>IFERROR(H2803/A2803,0)</x:f>
        <x:v>16471.55727155727</x:v>
      </x:c>
      <x:c r="J2803" s="67" t="str">
        <x:v>Modeled from live base + Sep-2026 quality ratio</x:v>
      </x:c>
      <x:c r="K2803" s="67" t="str">
        <x:v>https://www.stonealgo.com/diamond-prices/</x:v>
      </x:c>
      <x:c r="L2803" s="67" t="str">
        <x:v>https://www.pricescope.com/blog/natural-diamond-prices-september-2026</x:v>
      </x:c>
    </x:row>
    <x:row r="2804">
      <x:c r="A2804" t="n">
        <x:v>5</x:v>
      </x:c>
      <x:c r="B2804" t="str">
        <x:v>Emerald</x:v>
      </x:c>
      <x:c r="C2804" t="str">
        <x:v>J</x:v>
      </x:c>
      <x:c r="D2804" t="str">
        <x:v>VVS1</x:v>
      </x:c>
      <x:c r="E2804" s="36" t="n">
        <x:v>114000</x:v>
      </x:c>
      <x:c r="F2804" s="36" t="n">
        <x:v>2956</x:v>
      </x:c>
      <x:c r="G2804" s="42" t="n">
        <x:v>0.6340626340626341</x:v>
      </x:c>
      <x:c r="H2804" s="36" t="n">
        <x:f>E2804*G2804</x:f>
        <x:v>72283.14028314028</x:v>
      </x:c>
      <x:c r="I2804" s="36" t="n">
        <x:f>IFERROR(H2804/A2804,0)</x:f>
        <x:v>14456.628056628057</x:v>
      </x:c>
      <x:c r="J2804" s="67" t="str">
        <x:v>Modeled from live base + Sep-2026 quality ratio</x:v>
      </x:c>
      <x:c r="K2804" s="67" t="str">
        <x:v>https://www.stonealgo.com/diamond-prices/</x:v>
      </x:c>
      <x:c r="L2804" s="67" t="str">
        <x:v>https://www.pricescope.com/blog/natural-diamond-prices-september-2026</x:v>
      </x:c>
    </x:row>
    <x:row r="2805">
      <x:c r="A2805" t="n">
        <x:v>5</x:v>
      </x:c>
      <x:c r="B2805" t="str">
        <x:v>Emerald</x:v>
      </x:c>
      <x:c r="C2805" t="str">
        <x:v>J</x:v>
      </x:c>
      <x:c r="D2805" t="str">
        <x:v>VVS2</x:v>
      </x:c>
      <x:c r="E2805" s="36" t="n">
        <x:v>114000</x:v>
      </x:c>
      <x:c r="F2805" s="36" t="n">
        <x:v>2612</x:v>
      </x:c>
      <x:c r="G2805" s="42" t="n">
        <x:v>0.5602745602745602</x:v>
      </x:c>
      <x:c r="H2805" s="36" t="n">
        <x:f>E2805*G2805</x:f>
        <x:v>63871.29987129987</x:v>
      </x:c>
      <x:c r="I2805" s="36" t="n">
        <x:f>IFERROR(H2805/A2805,0)</x:f>
        <x:v>12774.259974259974</x:v>
      </x:c>
      <x:c r="J2805" s="67" t="str">
        <x:v>Modeled from live base + Sep-2026 quality ratio</x:v>
      </x:c>
      <x:c r="K2805" s="67" t="str">
        <x:v>https://www.stonealgo.com/diamond-prices/</x:v>
      </x:c>
      <x:c r="L2805" s="67" t="str">
        <x:v>https://www.pricescope.com/blog/natural-diamond-prices-september-2026</x:v>
      </x:c>
    </x:row>
    <x:row r="2806">
      <x:c r="A2806" t="n">
        <x:v>5</x:v>
      </x:c>
      <x:c r="B2806" t="str">
        <x:v>Emerald</x:v>
      </x:c>
      <x:c r="C2806" t="str">
        <x:v>J</x:v>
      </x:c>
      <x:c r="D2806" t="str">
        <x:v>VS1</x:v>
      </x:c>
      <x:c r="E2806" s="36" t="n">
        <x:v>114000</x:v>
      </x:c>
      <x:c r="F2806" s="36" t="n">
        <x:v>3002</x:v>
      </x:c>
      <x:c r="G2806" s="42" t="n">
        <x:v>0.6439296439296439</x:v>
      </x:c>
      <x:c r="H2806" s="36" t="n">
        <x:f>E2806*G2806</x:f>
        <x:v>73407.97940797941</x:v>
      </x:c>
      <x:c r="I2806" s="36" t="n">
        <x:f>IFERROR(H2806/A2806,0)</x:f>
        <x:v>14681.595881595882</x:v>
      </x:c>
      <x:c r="J2806" s="67" t="str">
        <x:v>Modeled from live base + Sep-2026 quality ratio</x:v>
      </x:c>
      <x:c r="K2806" s="67" t="str">
        <x:v>https://www.stonealgo.com/diamond-prices/</x:v>
      </x:c>
      <x:c r="L2806" s="67" t="str">
        <x:v>https://www.pricescope.com/blog/natural-diamond-prices-september-2026</x:v>
      </x:c>
    </x:row>
    <x:row r="2807">
      <x:c r="A2807" t="n">
        <x:v>5</x:v>
      </x:c>
      <x:c r="B2807" t="str">
        <x:v>Emerald</x:v>
      </x:c>
      <x:c r="C2807" t="str">
        <x:v>J</x:v>
      </x:c>
      <x:c r="D2807" t="str">
        <x:v>VS2</x:v>
      </x:c>
      <x:c r="E2807" s="36" t="n">
        <x:v>114000</x:v>
      </x:c>
      <x:c r="F2807" s="36" t="n">
        <x:v>2559</x:v>
      </x:c>
      <x:c r="G2807" s="42" t="n">
        <x:v>0.5489060489060489</x:v>
      </x:c>
      <x:c r="H2807" s="36" t="n">
        <x:f>E2807*G2807</x:f>
        <x:v>62575.28957528957</x:v>
      </x:c>
      <x:c r="I2807" s="36" t="n">
        <x:f>IFERROR(H2807/A2807,0)</x:f>
        <x:v>12515.057915057914</x:v>
      </x:c>
      <x:c r="J2807" s="67" t="str">
        <x:v>Modeled from live base + Sep-2026 quality ratio</x:v>
      </x:c>
      <x:c r="K2807" s="67" t="str">
        <x:v>https://www.stonealgo.com/diamond-prices/</x:v>
      </x:c>
      <x:c r="L2807" s="67" t="str">
        <x:v>https://www.pricescope.com/blog/natural-diamond-prices-september-2026</x:v>
      </x:c>
    </x:row>
    <x:row r="2808">
      <x:c r="A2808" t="n">
        <x:v>5</x:v>
      </x:c>
      <x:c r="B2808" t="str">
        <x:v>Emerald</x:v>
      </x:c>
      <x:c r="C2808" t="str">
        <x:v>J</x:v>
      </x:c>
      <x:c r="D2808" t="str">
        <x:v>SI1</x:v>
      </x:c>
      <x:c r="E2808" s="36" t="n">
        <x:v>114000</x:v>
      </x:c>
      <x:c r="F2808" s="36" t="n">
        <x:v>2195</x:v>
      </x:c>
      <x:c r="G2808" s="42" t="n">
        <x:v>0.47082797082797084</x:v>
      </x:c>
      <x:c r="H2808" s="36" t="n">
        <x:f>E2808*G2808</x:f>
        <x:v>53674.388674388676</x:v>
      </x:c>
      <x:c r="I2808" s="36" t="n">
        <x:f>IFERROR(H2808/A2808,0)</x:f>
        <x:v>10734.877734877735</x:v>
      </x:c>
      <x:c r="J2808" s="67" t="str">
        <x:v>Modeled from live base + Sep-2026 quality ratio</x:v>
      </x:c>
      <x:c r="K2808" s="67" t="str">
        <x:v>https://www.stonealgo.com/diamond-prices/</x:v>
      </x:c>
      <x:c r="L2808" s="67" t="str">
        <x:v>https://www.pricescope.com/blog/natural-diamond-prices-september-2026</x:v>
      </x:c>
    </x:row>
    <x:row r="2809">
      <x:c r="A2809" t="n">
        <x:v>5</x:v>
      </x:c>
      <x:c r="B2809" t="str">
        <x:v>Emerald</x:v>
      </x:c>
      <x:c r="C2809" t="str">
        <x:v>J</x:v>
      </x:c>
      <x:c r="D2809" t="str">
        <x:v>SI2</x:v>
      </x:c>
      <x:c r="E2809" s="36" t="n">
        <x:v>114000</x:v>
      </x:c>
      <x:c r="F2809" s="36" t="n">
        <x:v>2079</x:v>
      </x:c>
      <x:c r="G2809" s="42" t="n">
        <x:v>0.44594594594594594</x:v>
      </x:c>
      <x:c r="H2809" s="36" t="n">
        <x:f>E2809*G2809</x:f>
        <x:v>50837.83783783784</x:v>
      </x:c>
      <x:c r="I2809" s="36" t="n">
        <x:f>IFERROR(H2809/A2809,0)</x:f>
        <x:v>10167.567567567568</x:v>
      </x:c>
      <x:c r="J2809" s="67" t="str">
        <x:v>Modeled from live base + Sep-2026 quality ratio</x:v>
      </x:c>
      <x:c r="K2809" s="67" t="str">
        <x:v>https://www.stonealgo.com/diamond-prices/</x:v>
      </x:c>
      <x:c r="L2809" s="67" t="str">
        <x:v>https://www.pricescope.com/blog/natural-diamond-prices-september-2026</x:v>
      </x:c>
    </x:row>
    <x:row r="2810">
      <x:c r="A2810" t="n">
        <x:v>5</x:v>
      </x:c>
      <x:c r="B2810" t="str">
        <x:v>Emerald</x:v>
      </x:c>
      <x:c r="C2810" t="str">
        <x:v>K</x:v>
      </x:c>
      <x:c r="D2810" t="str">
        <x:v>FL</x:v>
      </x:c>
      <x:c r="E2810" s="36" t="n">
        <x:v>114000</x:v>
      </x:c>
      <x:c r="F2810" s="36" t="n">
        <x:v>2858</x:v>
      </x:c>
      <x:c r="G2810" s="42" t="n">
        <x:v>0.6130416130416131</x:v>
      </x:c>
      <x:c r="H2810" s="36" t="n">
        <x:f>E2810*G2810</x:f>
        <x:v>69886.74388674389</x:v>
      </x:c>
      <x:c r="I2810" s="36" t="n">
        <x:f>IFERROR(H2810/A2810,0)</x:f>
        <x:v>13977.348777348778</x:v>
      </x:c>
      <x:c r="J2810" s="67" t="str">
        <x:v>Modeled from live base + Sep-2026 quality ratio; K/FL quality cell modeled</x:v>
      </x:c>
      <x:c r="K2810" s="67" t="str">
        <x:v>https://www.stonealgo.com/diamond-prices/</x:v>
      </x:c>
      <x:c r="L2810" s="67" t="str">
        <x:v>https://www.pricescope.com/blog/natural-diamond-prices-september-2026</x:v>
      </x:c>
    </x:row>
    <x:row r="2811">
      <x:c r="A2811" t="n">
        <x:v>5</x:v>
      </x:c>
      <x:c r="B2811" t="str">
        <x:v>Emerald</x:v>
      </x:c>
      <x:c r="C2811" t="str">
        <x:v>K</x:v>
      </x:c>
      <x:c r="D2811" t="str">
        <x:v>IF</x:v>
      </x:c>
      <x:c r="E2811" s="36" t="n">
        <x:v>114000</x:v>
      </x:c>
      <x:c r="F2811" s="36" t="n">
        <x:v>2743</x:v>
      </x:c>
      <x:c r="G2811" s="42" t="n">
        <x:v>0.5883740883740883</x:v>
      </x:c>
      <x:c r="H2811" s="36" t="n">
        <x:f>E2811*G2811</x:f>
        <x:v>67074.64607464607</x:v>
      </x:c>
      <x:c r="I2811" s="36" t="n">
        <x:f>IFERROR(H2811/A2811,0)</x:f>
        <x:v>13414.929214929212</x:v>
      </x:c>
      <x:c r="J2811" s="67" t="str">
        <x:v>Modeled from live base + Sep-2026 quality ratio</x:v>
      </x:c>
      <x:c r="K2811" s="67" t="str">
        <x:v>https://www.stonealgo.com/diamond-prices/</x:v>
      </x:c>
      <x:c r="L2811" s="67" t="str">
        <x:v>https://www.pricescope.com/blog/natural-diamond-prices-september-2026</x:v>
      </x:c>
    </x:row>
    <x:row r="2812">
      <x:c r="A2812" t="n">
        <x:v>5</x:v>
      </x:c>
      <x:c r="B2812" t="str">
        <x:v>Emerald</x:v>
      </x:c>
      <x:c r="C2812" t="str">
        <x:v>K</x:v>
      </x:c>
      <x:c r="D2812" t="str">
        <x:v>VVS1</x:v>
      </x:c>
      <x:c r="E2812" s="36" t="n">
        <x:v>114000</x:v>
      </x:c>
      <x:c r="F2812" s="36" t="n">
        <x:v>2529</x:v>
      </x:c>
      <x:c r="G2812" s="42" t="n">
        <x:v>0.5424710424710425</x:v>
      </x:c>
      <x:c r="H2812" s="36" t="n">
        <x:f>E2812*G2812</x:f>
        <x:v>61841.698841698846</x:v>
      </x:c>
      <x:c r="I2812" s="36" t="n">
        <x:f>IFERROR(H2812/A2812,0)</x:f>
        <x:v>12368.339768339769</x:v>
      </x:c>
      <x:c r="J2812" s="67" t="str">
        <x:v>Modeled from live base + Sep-2026 quality ratio</x:v>
      </x:c>
      <x:c r="K2812" s="67" t="str">
        <x:v>https://www.stonealgo.com/diamond-prices/</x:v>
      </x:c>
      <x:c r="L2812" s="67" t="str">
        <x:v>https://www.pricescope.com/blog/natural-diamond-prices-september-2026</x:v>
      </x:c>
    </x:row>
    <x:row r="2813">
      <x:c r="A2813" t="n">
        <x:v>5</x:v>
      </x:c>
      <x:c r="B2813" t="str">
        <x:v>Emerald</x:v>
      </x:c>
      <x:c r="C2813" t="str">
        <x:v>K</x:v>
      </x:c>
      <x:c r="D2813" t="str">
        <x:v>VVS2</x:v>
      </x:c>
      <x:c r="E2813" s="36" t="n">
        <x:v>114000</x:v>
      </x:c>
      <x:c r="F2813" s="36" t="n">
        <x:v>2374</x:v>
      </x:c>
      <x:c r="G2813" s="42" t="n">
        <x:v>0.5092235092235092</x:v>
      </x:c>
      <x:c r="H2813" s="36" t="n">
        <x:f>E2813*G2813</x:f>
        <x:v>58051.48005148005</x:v>
      </x:c>
      <x:c r="I2813" s="36" t="n">
        <x:f>IFERROR(H2813/A2813,0)</x:f>
        <x:v>11610.29601029601</x:v>
      </x:c>
      <x:c r="J2813" s="67" t="str">
        <x:v>Modeled from live base + Sep-2026 quality ratio</x:v>
      </x:c>
      <x:c r="K2813" s="67" t="str">
        <x:v>https://www.stonealgo.com/diamond-prices/</x:v>
      </x:c>
      <x:c r="L2813" s="67" t="str">
        <x:v>https://www.pricescope.com/blog/natural-diamond-prices-september-2026</x:v>
      </x:c>
    </x:row>
    <x:row r="2814">
      <x:c r="A2814" t="n">
        <x:v>5</x:v>
      </x:c>
      <x:c r="B2814" t="str">
        <x:v>Emerald</x:v>
      </x:c>
      <x:c r="C2814" t="str">
        <x:v>K</x:v>
      </x:c>
      <x:c r="D2814" t="str">
        <x:v>VS1</x:v>
      </x:c>
      <x:c r="E2814" s="36" t="n">
        <x:v>114000</x:v>
      </x:c>
      <x:c r="F2814" s="36" t="n">
        <x:v>2223</x:v>
      </x:c>
      <x:c r="G2814" s="42" t="n">
        <x:v>0.4768339768339768</x:v>
      </x:c>
      <x:c r="H2814" s="36" t="n">
        <x:f>E2814*G2814</x:f>
        <x:v>54359.07335907336</x:v>
      </x:c>
      <x:c r="I2814" s="36" t="n">
        <x:f>IFERROR(H2814/A2814,0)</x:f>
        <x:v>10871.81467181467</x:v>
      </x:c>
      <x:c r="J2814" s="67" t="str">
        <x:v>Modeled from live base + Sep-2026 quality ratio</x:v>
      </x:c>
      <x:c r="K2814" s="67" t="str">
        <x:v>https://www.stonealgo.com/diamond-prices/</x:v>
      </x:c>
      <x:c r="L2814" s="67" t="str">
        <x:v>https://www.pricescope.com/blog/natural-diamond-prices-september-2026</x:v>
      </x:c>
    </x:row>
    <x:row r="2815">
      <x:c r="A2815" t="n">
        <x:v>5</x:v>
      </x:c>
      <x:c r="B2815" t="str">
        <x:v>Emerald</x:v>
      </x:c>
      <x:c r="C2815" t="str">
        <x:v>K</x:v>
      </x:c>
      <x:c r="D2815" t="str">
        <x:v>VS2</x:v>
      </x:c>
      <x:c r="E2815" s="36" t="n">
        <x:v>114000</x:v>
      </x:c>
      <x:c r="F2815" s="36" t="n">
        <x:v>2098</x:v>
      </x:c>
      <x:c r="G2815" s="42" t="n">
        <x:v>0.45002145002145</x:v>
      </x:c>
      <x:c r="H2815" s="36" t="n">
        <x:f>E2815*G2815</x:f>
        <x:v>51302.4453024453</x:v>
      </x:c>
      <x:c r="I2815" s="36" t="n">
        <x:f>IFERROR(H2815/A2815,0)</x:f>
        <x:v>10260.48906048906</x:v>
      </x:c>
      <x:c r="J2815" s="67" t="str">
        <x:v>Modeled from live base + Sep-2026 quality ratio</x:v>
      </x:c>
      <x:c r="K2815" s="67" t="str">
        <x:v>https://www.stonealgo.com/diamond-prices/</x:v>
      </x:c>
      <x:c r="L2815" s="67" t="str">
        <x:v>https://www.pricescope.com/blog/natural-diamond-prices-september-2026</x:v>
      </x:c>
    </x:row>
    <x:row r="2816">
      <x:c r="A2816" t="n">
        <x:v>5</x:v>
      </x:c>
      <x:c r="B2816" t="str">
        <x:v>Emerald</x:v>
      </x:c>
      <x:c r="C2816" t="str">
        <x:v>K</x:v>
      </x:c>
      <x:c r="D2816" t="str">
        <x:v>SI1</x:v>
      </x:c>
      <x:c r="E2816" s="36" t="n">
        <x:v>114000</x:v>
      </x:c>
      <x:c r="F2816" s="36" t="n">
        <x:v>1922</x:v>
      </x:c>
      <x:c r="G2816" s="42" t="n">
        <x:v>0.41226941226941227</x:v>
      </x:c>
      <x:c r="H2816" s="36" t="n">
        <x:f>E2816*G2816</x:f>
        <x:v>46998.712998712996</x:v>
      </x:c>
      <x:c r="I2816" s="36" t="n">
        <x:f>IFERROR(H2816/A2816,0)</x:f>
        <x:v>9399.7425997426</x:v>
      </x:c>
      <x:c r="J2816" s="67" t="str">
        <x:v>Modeled from live base + Sep-2026 quality ratio</x:v>
      </x:c>
      <x:c r="K2816" s="67" t="str">
        <x:v>https://www.stonealgo.com/diamond-prices/</x:v>
      </x:c>
      <x:c r="L2816" s="67" t="str">
        <x:v>https://www.pricescope.com/blog/natural-diamond-prices-september-2026</x:v>
      </x:c>
    </x:row>
    <x:row r="2817">
      <x:c r="A2817" t="n">
        <x:v>5</x:v>
      </x:c>
      <x:c r="B2817" t="str">
        <x:v>Emerald</x:v>
      </x:c>
      <x:c r="C2817" t="str">
        <x:v>K</x:v>
      </x:c>
      <x:c r="D2817" t="str">
        <x:v>SI2</x:v>
      </x:c>
      <x:c r="E2817" s="36" t="n">
        <x:v>114000</x:v>
      </x:c>
      <x:c r="F2817" s="36" t="n">
        <x:v>1764</x:v>
      </x:c>
      <x:c r="G2817" s="42" t="n">
        <x:v>0.3783783783783784</x:v>
      </x:c>
      <x:c r="H2817" s="36" t="n">
        <x:f>E2817*G2817</x:f>
        <x:v>43135.13513513514</x:v>
      </x:c>
      <x:c r="I2817" s="36" t="n">
        <x:f>IFERROR(H2817/A2817,0)</x:f>
        <x:v>8627.027027027028</x:v>
      </x:c>
      <x:c r="J2817" s="67" t="str">
        <x:v>Modeled from live base + Sep-2026 quality ratio</x:v>
      </x:c>
      <x:c r="K2817" s="67" t="str">
        <x:v>https://www.stonealgo.com/diamond-prices/</x:v>
      </x:c>
      <x:c r="L2817" s="67" t="str">
        <x:v>https://www.pricescope.com/blog/natural-diamond-prices-september-2026</x:v>
      </x:c>
    </x:row>
    <x:row r="2818">
      <x:c r="A2818" t="n">
        <x:v>5</x:v>
      </x:c>
      <x:c r="B2818" t="str">
        <x:v>Cushion</x:v>
      </x:c>
      <x:c r="C2818" t="str">
        <x:v>D</x:v>
      </x:c>
      <x:c r="D2818" t="str">
        <x:v>FL</x:v>
      </x:c>
      <x:c r="E2818" s="36" t="n">
        <x:v>105000</x:v>
      </x:c>
      <x:c r="F2818" s="36" t="n">
        <x:v>12665</x:v>
      </x:c>
      <x:c r="G2818" s="42" t="n">
        <x:v>2.7166452166452166</x:v>
      </x:c>
      <x:c r="H2818" s="36" t="n">
        <x:f>E2818*G2818</x:f>
        <x:v>285247.74774774775</x:v>
      </x:c>
      <x:c r="I2818" s="36" t="n">
        <x:f>IFERROR(H2818/A2818,0)</x:f>
        <x:v>57049.54954954955</x:v>
      </x:c>
      <x:c r="J2818" s="67" t="str">
        <x:v>Modeled from live base + Sep-2026 quality ratio</x:v>
      </x:c>
      <x:c r="K2818" s="67" t="str">
        <x:v>https://www.stonealgo.com/diamond-prices/</x:v>
      </x:c>
      <x:c r="L2818" s="67" t="str">
        <x:v>https://www.pricescope.com/blog/natural-diamond-prices-september-2026</x:v>
      </x:c>
    </x:row>
    <x:row r="2819">
      <x:c r="A2819" t="n">
        <x:v>5</x:v>
      </x:c>
      <x:c r="B2819" t="str">
        <x:v>Cushion</x:v>
      </x:c>
      <x:c r="C2819" t="str">
        <x:v>D</x:v>
      </x:c>
      <x:c r="D2819" t="str">
        <x:v>IF</x:v>
      </x:c>
      <x:c r="E2819" s="36" t="n">
        <x:v>105000</x:v>
      </x:c>
      <x:c r="F2819" s="36" t="n">
        <x:v>13240</x:v>
      </x:c>
      <x:c r="G2819" s="42" t="n">
        <x:v>2.83998283998284</x:v>
      </x:c>
      <x:c r="H2819" s="36" t="n">
        <x:f>E2819*G2819</x:f>
        <x:v>298198.1981981982</x:v>
      </x:c>
      <x:c r="I2819" s="36" t="n">
        <x:f>IFERROR(H2819/A2819,0)</x:f>
        <x:v>59639.639639639645</x:v>
      </x:c>
      <x:c r="J2819" s="67" t="str">
        <x:v>Modeled from live base + Sep-2026 quality ratio</x:v>
      </x:c>
      <x:c r="K2819" s="67" t="str">
        <x:v>https://www.stonealgo.com/diamond-prices/</x:v>
      </x:c>
      <x:c r="L2819" s="67" t="str">
        <x:v>https://www.pricescope.com/blog/natural-diamond-prices-september-2026</x:v>
      </x:c>
    </x:row>
    <x:row r="2820">
      <x:c r="A2820" t="n">
        <x:v>5</x:v>
      </x:c>
      <x:c r="B2820" t="str">
        <x:v>Cushion</x:v>
      </x:c>
      <x:c r="C2820" t="str">
        <x:v>D</x:v>
      </x:c>
      <x:c r="D2820" t="str">
        <x:v>VVS1</x:v>
      </x:c>
      <x:c r="E2820" s="36" t="n">
        <x:v>105000</x:v>
      </x:c>
      <x:c r="F2820" s="36" t="n">
        <x:v>9555</x:v>
      </x:c>
      <x:c r="G2820" s="42" t="n">
        <x:v>2.0495495495495497</x:v>
      </x:c>
      <x:c r="H2820" s="36" t="n">
        <x:f>E2820*G2820</x:f>
        <x:v>215202.70270270272</x:v>
      </x:c>
      <x:c r="I2820" s="36" t="n">
        <x:f>IFERROR(H2820/A2820,0)</x:f>
        <x:v>43040.54054054055</x:v>
      </x:c>
      <x:c r="J2820" s="67" t="str">
        <x:v>Modeled from live base + Sep-2026 quality ratio</x:v>
      </x:c>
      <x:c r="K2820" s="67" t="str">
        <x:v>https://www.stonealgo.com/diamond-prices/</x:v>
      </x:c>
      <x:c r="L2820" s="67" t="str">
        <x:v>https://www.pricescope.com/blog/natural-diamond-prices-september-2026</x:v>
      </x:c>
    </x:row>
    <x:row r="2821">
      <x:c r="A2821" t="n">
        <x:v>5</x:v>
      </x:c>
      <x:c r="B2821" t="str">
        <x:v>Cushion</x:v>
      </x:c>
      <x:c r="C2821" t="str">
        <x:v>D</x:v>
      </x:c>
      <x:c r="D2821" t="str">
        <x:v>VVS2</x:v>
      </x:c>
      <x:c r="E2821" s="36" t="n">
        <x:v>105000</x:v>
      </x:c>
      <x:c r="F2821" s="36" t="n">
        <x:v>6660</x:v>
      </x:c>
      <x:c r="G2821" s="42" t="n">
        <x:v>1.4285714285714286</x:v>
      </x:c>
      <x:c r="H2821" s="36" t="n">
        <x:f>E2821*G2821</x:f>
        <x:v>150000</x:v>
      </x:c>
      <x:c r="I2821" s="36" t="n">
        <x:f>IFERROR(H2821/A2821,0)</x:f>
        <x:v>30000</x:v>
      </x:c>
      <x:c r="J2821" s="67" t="str">
        <x:v>Modeled from live base + Sep-2026 quality ratio</x:v>
      </x:c>
      <x:c r="K2821" s="67" t="str">
        <x:v>https://www.stonealgo.com/diamond-prices/</x:v>
      </x:c>
      <x:c r="L2821" s="67" t="str">
        <x:v>https://www.pricescope.com/blog/natural-diamond-prices-september-2026</x:v>
      </x:c>
    </x:row>
    <x:row r="2822">
      <x:c r="A2822" t="n">
        <x:v>5</x:v>
      </x:c>
      <x:c r="B2822" t="str">
        <x:v>Cushion</x:v>
      </x:c>
      <x:c r="C2822" t="str">
        <x:v>D</x:v>
      </x:c>
      <x:c r="D2822" t="str">
        <x:v>VS1</x:v>
      </x:c>
      <x:c r="E2822" s="36" t="n">
        <x:v>105000</x:v>
      </x:c>
      <x:c r="F2822" s="36" t="n">
        <x:v>6247</x:v>
      </x:c>
      <x:c r="G2822" s="42" t="n">
        <x:v>1.33998283998284</x:v>
      </x:c>
      <x:c r="H2822" s="36" t="n">
        <x:f>E2822*G2822</x:f>
        <x:v>140698.1981981982</x:v>
      </x:c>
      <x:c r="I2822" s="36" t="n">
        <x:f>IFERROR(H2822/A2822,0)</x:f>
        <x:v>28139.639639639638</x:v>
      </x:c>
      <x:c r="J2822" s="67" t="str">
        <x:v>Modeled from live base + Sep-2026 quality ratio</x:v>
      </x:c>
      <x:c r="K2822" s="67" t="str">
        <x:v>https://www.stonealgo.com/diamond-prices/</x:v>
      </x:c>
      <x:c r="L2822" s="67" t="str">
        <x:v>https://www.pricescope.com/blog/natural-diamond-prices-september-2026</x:v>
      </x:c>
    </x:row>
    <x:row r="2823">
      <x:c r="A2823" t="n">
        <x:v>5</x:v>
      </x:c>
      <x:c r="B2823" t="str">
        <x:v>Cushion</x:v>
      </x:c>
      <x:c r="C2823" t="str">
        <x:v>D</x:v>
      </x:c>
      <x:c r="D2823" t="str">
        <x:v>VS2</x:v>
      </x:c>
      <x:c r="E2823" s="36" t="n">
        <x:v>105000</x:v>
      </x:c>
      <x:c r="F2823" s="36" t="n">
        <x:v>5841</x:v>
      </x:c>
      <x:c r="G2823" s="42" t="n">
        <x:v>1.252895752895753</x:v>
      </x:c>
      <x:c r="H2823" s="36" t="n">
        <x:f>E2823*G2823</x:f>
        <x:v>131554.05405405405</x:v>
      </x:c>
      <x:c r="I2823" s="36" t="n">
        <x:f>IFERROR(H2823/A2823,0)</x:f>
        <x:v>26310.81081081081</x:v>
      </x:c>
      <x:c r="J2823" s="67" t="str">
        <x:v>Modeled from live base + Sep-2026 quality ratio</x:v>
      </x:c>
      <x:c r="K2823" s="67" t="str">
        <x:v>https://www.stonealgo.com/diamond-prices/</x:v>
      </x:c>
      <x:c r="L2823" s="67" t="str">
        <x:v>https://www.pricescope.com/blog/natural-diamond-prices-september-2026</x:v>
      </x:c>
    </x:row>
    <x:row r="2824">
      <x:c r="A2824" t="n">
        <x:v>5</x:v>
      </x:c>
      <x:c r="B2824" t="str">
        <x:v>Cushion</x:v>
      </x:c>
      <x:c r="C2824" t="str">
        <x:v>D</x:v>
      </x:c>
      <x:c r="D2824" t="str">
        <x:v>SI1</x:v>
      </x:c>
      <x:c r="E2824" s="36" t="n">
        <x:v>105000</x:v>
      </x:c>
      <x:c r="F2824" s="36" t="n">
        <x:v>3762</x:v>
      </x:c>
      <x:c r="G2824" s="42" t="n">
        <x:v>0.806949806949807</x:v>
      </x:c>
      <x:c r="H2824" s="36" t="n">
        <x:f>E2824*G2824</x:f>
        <x:v>84729.72972972973</x:v>
      </x:c>
      <x:c r="I2824" s="36" t="n">
        <x:f>IFERROR(H2824/A2824,0)</x:f>
        <x:v>16945.945945945947</x:v>
      </x:c>
      <x:c r="J2824" s="67" t="str">
        <x:v>Modeled from live base + Sep-2026 quality ratio</x:v>
      </x:c>
      <x:c r="K2824" s="67" t="str">
        <x:v>https://www.stonealgo.com/diamond-prices/</x:v>
      </x:c>
      <x:c r="L2824" s="67" t="str">
        <x:v>https://www.pricescope.com/blog/natural-diamond-prices-september-2026</x:v>
      </x:c>
    </x:row>
    <x:row r="2825">
      <x:c r="A2825" t="n">
        <x:v>5</x:v>
      </x:c>
      <x:c r="B2825" t="str">
        <x:v>Cushion</x:v>
      </x:c>
      <x:c r="C2825" t="str">
        <x:v>D</x:v>
      </x:c>
      <x:c r="D2825" t="str">
        <x:v>SI2</x:v>
      </x:c>
      <x:c r="E2825" s="36" t="n">
        <x:v>105000</x:v>
      </x:c>
      <x:c r="F2825" s="36" t="n">
        <x:v>3026</x:v>
      </x:c>
      <x:c r="G2825" s="42" t="n">
        <x:v>0.6490776490776491</x:v>
      </x:c>
      <x:c r="H2825" s="36" t="n">
        <x:f>E2825*G2825</x:f>
        <x:v>68153.15315315315</x:v>
      </x:c>
      <x:c r="I2825" s="36" t="n">
        <x:f>IFERROR(H2825/A2825,0)</x:f>
        <x:v>13630.63063063063</x:v>
      </x:c>
      <x:c r="J2825" s="67" t="str">
        <x:v>Modeled from live base + Sep-2026 quality ratio</x:v>
      </x:c>
      <x:c r="K2825" s="67" t="str">
        <x:v>https://www.stonealgo.com/diamond-prices/</x:v>
      </x:c>
      <x:c r="L2825" s="67" t="str">
        <x:v>https://www.pricescope.com/blog/natural-diamond-prices-september-2026</x:v>
      </x:c>
    </x:row>
    <x:row r="2826">
      <x:c r="A2826" t="n">
        <x:v>5</x:v>
      </x:c>
      <x:c r="B2826" t="str">
        <x:v>Cushion</x:v>
      </x:c>
      <x:c r="C2826" t="str">
        <x:v>E</x:v>
      </x:c>
      <x:c r="D2826" t="str">
        <x:v>FL</x:v>
      </x:c>
      <x:c r="E2826" s="36" t="n">
        <x:v>105000</x:v>
      </x:c>
      <x:c r="F2826" s="36" t="n">
        <x:v>10072</x:v>
      </x:c>
      <x:c r="G2826" s="42" t="n">
        <x:v>2.1604461604461602</x:v>
      </x:c>
      <x:c r="H2826" s="36" t="n">
        <x:f>E2826*G2826</x:f>
        <x:v>226846.84684684683</x:v>
      </x:c>
      <x:c r="I2826" s="36" t="n">
        <x:f>IFERROR(H2826/A2826,0)</x:f>
        <x:v>45369.369369369364</x:v>
      </x:c>
      <x:c r="J2826" s="67" t="str">
        <x:v>Modeled from live base + Sep-2026 quality ratio</x:v>
      </x:c>
      <x:c r="K2826" s="67" t="str">
        <x:v>https://www.stonealgo.com/diamond-prices/</x:v>
      </x:c>
      <x:c r="L2826" s="67" t="str">
        <x:v>https://www.pricescope.com/blog/natural-diamond-prices-september-2026</x:v>
      </x:c>
    </x:row>
    <x:row r="2827">
      <x:c r="A2827" t="n">
        <x:v>5</x:v>
      </x:c>
      <x:c r="B2827" t="str">
        <x:v>Cushion</x:v>
      </x:c>
      <x:c r="C2827" t="str">
        <x:v>E</x:v>
      </x:c>
      <x:c r="D2827" t="str">
        <x:v>IF</x:v>
      </x:c>
      <x:c r="E2827" s="36" t="n">
        <x:v>105000</x:v>
      </x:c>
      <x:c r="F2827" s="36" t="n">
        <x:v>8672</x:v>
      </x:c>
      <x:c r="G2827" s="42" t="n">
        <x:v>1.8601458601458603</x:v>
      </x:c>
      <x:c r="H2827" s="36" t="n">
        <x:f>E2827*G2827</x:f>
        <x:v>195315.31531531533</x:v>
      </x:c>
      <x:c r="I2827" s="36" t="n">
        <x:f>IFERROR(H2827/A2827,0)</x:f>
        <x:v>39063.06306306306</x:v>
      </x:c>
      <x:c r="J2827" s="67" t="str">
        <x:v>Modeled from live base + Sep-2026 quality ratio</x:v>
      </x:c>
      <x:c r="K2827" s="67" t="str">
        <x:v>https://www.stonealgo.com/diamond-prices/</x:v>
      </x:c>
      <x:c r="L2827" s="67" t="str">
        <x:v>https://www.pricescope.com/blog/natural-diamond-prices-september-2026</x:v>
      </x:c>
    </x:row>
    <x:row r="2828">
      <x:c r="A2828" t="n">
        <x:v>5</x:v>
      </x:c>
      <x:c r="B2828" t="str">
        <x:v>Cushion</x:v>
      </x:c>
      <x:c r="C2828" t="str">
        <x:v>E</x:v>
      </x:c>
      <x:c r="D2828" t="str">
        <x:v>VVS1</x:v>
      </x:c>
      <x:c r="E2828" s="36" t="n">
        <x:v>105000</x:v>
      </x:c>
      <x:c r="F2828" s="36" t="n">
        <x:v>7842</x:v>
      </x:c>
      <x:c r="G2828" s="42" t="n">
        <x:v>1.6821106821106822</x:v>
      </x:c>
      <x:c r="H2828" s="36" t="n">
        <x:f>E2828*G2828</x:f>
        <x:v>176621.62162162163</x:v>
      </x:c>
      <x:c r="I2828" s="36" t="n">
        <x:f>IFERROR(H2828/A2828,0)</x:f>
        <x:v>35324.32432432433</x:v>
      </x:c>
      <x:c r="J2828" s="67" t="str">
        <x:v>Modeled from live base + Sep-2026 quality ratio</x:v>
      </x:c>
      <x:c r="K2828" s="67" t="str">
        <x:v>https://www.stonealgo.com/diamond-prices/</x:v>
      </x:c>
      <x:c r="L2828" s="67" t="str">
        <x:v>https://www.pricescope.com/blog/natural-diamond-prices-september-2026</x:v>
      </x:c>
    </x:row>
    <x:row r="2829">
      <x:c r="A2829" t="n">
        <x:v>5</x:v>
      </x:c>
      <x:c r="B2829" t="str">
        <x:v>Cushion</x:v>
      </x:c>
      <x:c r="C2829" t="str">
        <x:v>E</x:v>
      </x:c>
      <x:c r="D2829" t="str">
        <x:v>VVS2</x:v>
      </x:c>
      <x:c r="E2829" s="36" t="n">
        <x:v>105000</x:v>
      </x:c>
      <x:c r="F2829" s="36" t="n">
        <x:v>6880</x:v>
      </x:c>
      <x:c r="G2829" s="42" t="n">
        <x:v>1.4757614757614759</x:v>
      </x:c>
      <x:c r="H2829" s="36" t="n">
        <x:f>E2829*G2829</x:f>
        <x:v>154954.95495495497</x:v>
      </x:c>
      <x:c r="I2829" s="36" t="n">
        <x:f>IFERROR(H2829/A2829,0)</x:f>
        <x:v>30990.990990990995</x:v>
      </x:c>
      <x:c r="J2829" s="67" t="str">
        <x:v>Modeled from live base + Sep-2026 quality ratio</x:v>
      </x:c>
      <x:c r="K2829" s="67" t="str">
        <x:v>https://www.stonealgo.com/diamond-prices/</x:v>
      </x:c>
      <x:c r="L2829" s="67" t="str">
        <x:v>https://www.pricescope.com/blog/natural-diamond-prices-september-2026</x:v>
      </x:c>
    </x:row>
    <x:row r="2830">
      <x:c r="A2830" t="n">
        <x:v>5</x:v>
      </x:c>
      <x:c r="B2830" t="str">
        <x:v>Cushion</x:v>
      </x:c>
      <x:c r="C2830" t="str">
        <x:v>E</x:v>
      </x:c>
      <x:c r="D2830" t="str">
        <x:v>VS1</x:v>
      </x:c>
      <x:c r="E2830" s="36" t="n">
        <x:v>105000</x:v>
      </x:c>
      <x:c r="F2830" s="36" t="n">
        <x:v>6307</x:v>
      </x:c>
      <x:c r="G2830" s="42" t="n">
        <x:v>1.352852852852853</x:v>
      </x:c>
      <x:c r="H2830" s="36" t="n">
        <x:f>E2830*G2830</x:f>
        <x:v>142049.54954954956</x:v>
      </x:c>
      <x:c r="I2830" s="36" t="n">
        <x:f>IFERROR(H2830/A2830,0)</x:f>
        <x:v>28409.90990990991</x:v>
      </x:c>
      <x:c r="J2830" s="67" t="str">
        <x:v>Modeled from live base + Sep-2026 quality ratio</x:v>
      </x:c>
      <x:c r="K2830" s="67" t="str">
        <x:v>https://www.stonealgo.com/diamond-prices/</x:v>
      </x:c>
      <x:c r="L2830" s="67" t="str">
        <x:v>https://www.pricescope.com/blog/natural-diamond-prices-september-2026</x:v>
      </x:c>
    </x:row>
    <x:row r="2831">
      <x:c r="A2831" t="n">
        <x:v>5</x:v>
      </x:c>
      <x:c r="B2831" t="str">
        <x:v>Cushion</x:v>
      </x:c>
      <x:c r="C2831" t="str">
        <x:v>E</x:v>
      </x:c>
      <x:c r="D2831" t="str">
        <x:v>VS2</x:v>
      </x:c>
      <x:c r="E2831" s="36" t="n">
        <x:v>105000</x:v>
      </x:c>
      <x:c r="F2831" s="36" t="n">
        <x:v>5249</x:v>
      </x:c>
      <x:c r="G2831" s="42" t="n">
        <x:v>1.125911625911626</x:v>
      </x:c>
      <x:c r="H2831" s="36" t="n">
        <x:f>E2831*G2831</x:f>
        <x:v>118220.72072072072</x:v>
      </x:c>
      <x:c r="I2831" s="36" t="n">
        <x:f>IFERROR(H2831/A2831,0)</x:f>
        <x:v>23644.144144144146</x:v>
      </x:c>
      <x:c r="J2831" s="67" t="str">
        <x:v>Modeled from live base + Sep-2026 quality ratio</x:v>
      </x:c>
      <x:c r="K2831" s="67" t="str">
        <x:v>https://www.stonealgo.com/diamond-prices/</x:v>
      </x:c>
      <x:c r="L2831" s="67" t="str">
        <x:v>https://www.pricescope.com/blog/natural-diamond-prices-september-2026</x:v>
      </x:c>
    </x:row>
    <x:row r="2832">
      <x:c r="A2832" t="n">
        <x:v>5</x:v>
      </x:c>
      <x:c r="B2832" t="str">
        <x:v>Cushion</x:v>
      </x:c>
      <x:c r="C2832" t="str">
        <x:v>E</x:v>
      </x:c>
      <x:c r="D2832" t="str">
        <x:v>SI1</x:v>
      </x:c>
      <x:c r="E2832" s="36" t="n">
        <x:v>105000</x:v>
      </x:c>
      <x:c r="F2832" s="36" t="n">
        <x:v>3551</x:v>
      </x:c>
      <x:c r="G2832" s="42" t="n">
        <x:v>0.7616902616902617</x:v>
      </x:c>
      <x:c r="H2832" s="36" t="n">
        <x:f>E2832*G2832</x:f>
        <x:v>79977.47747747747</x:v>
      </x:c>
      <x:c r="I2832" s="36" t="n">
        <x:f>IFERROR(H2832/A2832,0)</x:f>
        <x:v>15995.495495495494</x:v>
      </x:c>
      <x:c r="J2832" s="67" t="str">
        <x:v>Modeled from live base + Sep-2026 quality ratio</x:v>
      </x:c>
      <x:c r="K2832" s="67" t="str">
        <x:v>https://www.stonealgo.com/diamond-prices/</x:v>
      </x:c>
      <x:c r="L2832" s="67" t="str">
        <x:v>https://www.pricescope.com/blog/natural-diamond-prices-september-2026</x:v>
      </x:c>
    </x:row>
    <x:row r="2833">
      <x:c r="A2833" t="n">
        <x:v>5</x:v>
      </x:c>
      <x:c r="B2833" t="str">
        <x:v>Cushion</x:v>
      </x:c>
      <x:c r="C2833" t="str">
        <x:v>E</x:v>
      </x:c>
      <x:c r="D2833" t="str">
        <x:v>SI2</x:v>
      </x:c>
      <x:c r="E2833" s="36" t="n">
        <x:v>105000</x:v>
      </x:c>
      <x:c r="F2833" s="36" t="n">
        <x:v>2993</x:v>
      </x:c>
      <x:c r="G2833" s="42" t="n">
        <x:v>0.641999141999142</x:v>
      </x:c>
      <x:c r="H2833" s="36" t="n">
        <x:f>E2833*G2833</x:f>
        <x:v>67409.90990990991</x:v>
      </x:c>
      <x:c r="I2833" s="36" t="n">
        <x:f>IFERROR(H2833/A2833,0)</x:f>
        <x:v>13481.981981981982</x:v>
      </x:c>
      <x:c r="J2833" s="67" t="str">
        <x:v>Modeled from live base + Sep-2026 quality ratio</x:v>
      </x:c>
      <x:c r="K2833" s="67" t="str">
        <x:v>https://www.stonealgo.com/diamond-prices/</x:v>
      </x:c>
      <x:c r="L2833" s="67" t="str">
        <x:v>https://www.pricescope.com/blog/natural-diamond-prices-september-2026</x:v>
      </x:c>
    </x:row>
    <x:row r="2834">
      <x:c r="A2834" t="n">
        <x:v>5</x:v>
      </x:c>
      <x:c r="B2834" t="str">
        <x:v>Cushion</x:v>
      </x:c>
      <x:c r="C2834" t="str">
        <x:v>F</x:v>
      </x:c>
      <x:c r="D2834" t="str">
        <x:v>FL</x:v>
      </x:c>
      <x:c r="E2834" s="36" t="n">
        <x:v>105000</x:v>
      </x:c>
      <x:c r="F2834" s="36" t="n">
        <x:v>6830</x:v>
      </x:c>
      <x:c r="G2834" s="42" t="n">
        <x:v>1.4650364650364651</x:v>
      </x:c>
      <x:c r="H2834" s="36" t="n">
        <x:f>E2834*G2834</x:f>
        <x:v>153828.82882882885</x:v>
      </x:c>
      <x:c r="I2834" s="36" t="n">
        <x:f>IFERROR(H2834/A2834,0)</x:f>
        <x:v>30765.76576576577</x:v>
      </x:c>
      <x:c r="J2834" s="67" t="str">
        <x:v>Modeled from live base + Sep-2026 quality ratio</x:v>
      </x:c>
      <x:c r="K2834" s="67" t="str">
        <x:v>https://www.stonealgo.com/diamond-prices/</x:v>
      </x:c>
      <x:c r="L2834" s="67" t="str">
        <x:v>https://www.pricescope.com/blog/natural-diamond-prices-september-2026</x:v>
      </x:c>
    </x:row>
    <x:row r="2835">
      <x:c r="A2835" t="n">
        <x:v>5</x:v>
      </x:c>
      <x:c r="B2835" t="str">
        <x:v>Cushion</x:v>
      </x:c>
      <x:c r="C2835" t="str">
        <x:v>F</x:v>
      </x:c>
      <x:c r="D2835" t="str">
        <x:v>IF</x:v>
      </x:c>
      <x:c r="E2835" s="36" t="n">
        <x:v>105000</x:v>
      </x:c>
      <x:c r="F2835" s="36" t="n">
        <x:v>7302</x:v>
      </x:c>
      <x:c r="G2835" s="42" t="n">
        <x:v>1.5662805662805663</x:v>
      </x:c>
      <x:c r="H2835" s="36" t="n">
        <x:f>E2835*G2835</x:f>
        <x:v>164459.45945945947</x:v>
      </x:c>
      <x:c r="I2835" s="36" t="n">
        <x:f>IFERROR(H2835/A2835,0)</x:f>
        <x:v>32891.89189189189</x:v>
      </x:c>
      <x:c r="J2835" s="67" t="str">
        <x:v>Modeled from live base + Sep-2026 quality ratio</x:v>
      </x:c>
      <x:c r="K2835" s="67" t="str">
        <x:v>https://www.stonealgo.com/diamond-prices/</x:v>
      </x:c>
      <x:c r="L2835" s="67" t="str">
        <x:v>https://www.pricescope.com/blog/natural-diamond-prices-september-2026</x:v>
      </x:c>
    </x:row>
    <x:row r="2836">
      <x:c r="A2836" t="n">
        <x:v>5</x:v>
      </x:c>
      <x:c r="B2836" t="str">
        <x:v>Cushion</x:v>
      </x:c>
      <x:c r="C2836" t="str">
        <x:v>F</x:v>
      </x:c>
      <x:c r="D2836" t="str">
        <x:v>VVS1</x:v>
      </x:c>
      <x:c r="E2836" s="36" t="n">
        <x:v>105000</x:v>
      </x:c>
      <x:c r="F2836" s="36" t="n">
        <x:v>7542</x:v>
      </x:c>
      <x:c r="G2836" s="42" t="n">
        <x:v>1.6177606177606179</x:v>
      </x:c>
      <x:c r="H2836" s="36" t="n">
        <x:f>E2836*G2836</x:f>
        <x:v>169864.86486486488</x:v>
      </x:c>
      <x:c r="I2836" s="36" t="n">
        <x:f>IFERROR(H2836/A2836,0)</x:f>
        <x:v>33972.97297297297</x:v>
      </x:c>
      <x:c r="J2836" s="67" t="str">
        <x:v>Modeled from live base + Sep-2026 quality ratio</x:v>
      </x:c>
      <x:c r="K2836" s="67" t="str">
        <x:v>https://www.stonealgo.com/diamond-prices/</x:v>
      </x:c>
      <x:c r="L2836" s="67" t="str">
        <x:v>https://www.pricescope.com/blog/natural-diamond-prices-september-2026</x:v>
      </x:c>
    </x:row>
    <x:row r="2837">
      <x:c r="A2837" t="n">
        <x:v>5</x:v>
      </x:c>
      <x:c r="B2837" t="str">
        <x:v>Cushion</x:v>
      </x:c>
      <x:c r="C2837" t="str">
        <x:v>F</x:v>
      </x:c>
      <x:c r="D2837" t="str">
        <x:v>VVS2</x:v>
      </x:c>
      <x:c r="E2837" s="36" t="n">
        <x:v>105000</x:v>
      </x:c>
      <x:c r="F2837" s="36" t="n">
        <x:v>6352</x:v>
      </x:c>
      <x:c r="G2837" s="42" t="n">
        <x:v>1.3625053625053625</x:v>
      </x:c>
      <x:c r="H2837" s="36" t="n">
        <x:f>E2837*G2837</x:f>
        <x:v>143063.06306306305</x:v>
      </x:c>
      <x:c r="I2837" s="36" t="n">
        <x:f>IFERROR(H2837/A2837,0)</x:f>
        <x:v>28612.61261261261</x:v>
      </x:c>
      <x:c r="J2837" s="67" t="str">
        <x:v>Modeled from live base + Sep-2026 quality ratio</x:v>
      </x:c>
      <x:c r="K2837" s="67" t="str">
        <x:v>https://www.stonealgo.com/diamond-prices/</x:v>
      </x:c>
      <x:c r="L2837" s="67" t="str">
        <x:v>https://www.pricescope.com/blog/natural-diamond-prices-september-2026</x:v>
      </x:c>
    </x:row>
    <x:row r="2838">
      <x:c r="A2838" t="n">
        <x:v>5</x:v>
      </x:c>
      <x:c r="B2838" t="str">
        <x:v>Cushion</x:v>
      </x:c>
      <x:c r="C2838" t="str">
        <x:v>F</x:v>
      </x:c>
      <x:c r="D2838" t="str">
        <x:v>VS1</x:v>
      </x:c>
      <x:c r="E2838" s="36" t="n">
        <x:v>105000</x:v>
      </x:c>
      <x:c r="F2838" s="36" t="n">
        <x:v>5647</x:v>
      </x:c>
      <x:c r="G2838" s="42" t="n">
        <x:v>1.2112827112827114</x:v>
      </x:c>
      <x:c r="H2838" s="36" t="n">
        <x:f>E2838*G2838</x:f>
        <x:v>127184.68468468469</x:v>
      </x:c>
      <x:c r="I2838" s="36" t="n">
        <x:f>IFERROR(H2838/A2838,0)</x:f>
        <x:v>25436.936936936938</x:v>
      </x:c>
      <x:c r="J2838" s="67" t="str">
        <x:v>Modeled from live base + Sep-2026 quality ratio</x:v>
      </x:c>
      <x:c r="K2838" s="67" t="str">
        <x:v>https://www.stonealgo.com/diamond-prices/</x:v>
      </x:c>
      <x:c r="L2838" s="67" t="str">
        <x:v>https://www.pricescope.com/blog/natural-diamond-prices-september-2026</x:v>
      </x:c>
    </x:row>
    <x:row r="2839">
      <x:c r="A2839" t="n">
        <x:v>5</x:v>
      </x:c>
      <x:c r="B2839" t="str">
        <x:v>Cushion</x:v>
      </x:c>
      <x:c r="C2839" t="str">
        <x:v>F</x:v>
      </x:c>
      <x:c r="D2839" t="str">
        <x:v>VS2</x:v>
      </x:c>
      <x:c r="E2839" s="36" t="n">
        <x:v>105000</x:v>
      </x:c>
      <x:c r="F2839" s="36" t="n">
        <x:v>4730</x:v>
      </x:c>
      <x:c r="G2839" s="42" t="n">
        <x:v>1.0145860145860146</x:v>
      </x:c>
      <x:c r="H2839" s="36" t="n">
        <x:f>E2839*G2839</x:f>
        <x:v>106531.53153153154</x:v>
      </x:c>
      <x:c r="I2839" s="36" t="n">
        <x:f>IFERROR(H2839/A2839,0)</x:f>
        <x:v>21306.30630630631</x:v>
      </x:c>
      <x:c r="J2839" s="67" t="str">
        <x:v>Modeled from live base + Sep-2026 quality ratio</x:v>
      </x:c>
      <x:c r="K2839" s="67" t="str">
        <x:v>https://www.stonealgo.com/diamond-prices/</x:v>
      </x:c>
      <x:c r="L2839" s="67" t="str">
        <x:v>https://www.pricescope.com/blog/natural-diamond-prices-september-2026</x:v>
      </x:c>
    </x:row>
    <x:row r="2840">
      <x:c r="A2840" t="n">
        <x:v>5</x:v>
      </x:c>
      <x:c r="B2840" t="str">
        <x:v>Cushion</x:v>
      </x:c>
      <x:c r="C2840" t="str">
        <x:v>F</x:v>
      </x:c>
      <x:c r="D2840" t="str">
        <x:v>SI1</x:v>
      </x:c>
      <x:c r="E2840" s="36" t="n">
        <x:v>105000</x:v>
      </x:c>
      <x:c r="F2840" s="36" t="n">
        <x:v>3331</x:v>
      </x:c>
      <x:c r="G2840" s="42" t="n">
        <x:v>0.7145002145002145</x:v>
      </x:c>
      <x:c r="H2840" s="36" t="n">
        <x:f>E2840*G2840</x:f>
        <x:v>75022.52252252253</x:v>
      </x:c>
      <x:c r="I2840" s="36" t="n">
        <x:f>IFERROR(H2840/A2840,0)</x:f>
        <x:v>15004.504504504506</x:v>
      </x:c>
      <x:c r="J2840" s="67" t="str">
        <x:v>Modeled from live base + Sep-2026 quality ratio</x:v>
      </x:c>
      <x:c r="K2840" s="67" t="str">
        <x:v>https://www.stonealgo.com/diamond-prices/</x:v>
      </x:c>
      <x:c r="L2840" s="67" t="str">
        <x:v>https://www.pricescope.com/blog/natural-diamond-prices-september-2026</x:v>
      </x:c>
    </x:row>
    <x:row r="2841">
      <x:c r="A2841" t="n">
        <x:v>5</x:v>
      </x:c>
      <x:c r="B2841" t="str">
        <x:v>Cushion</x:v>
      </x:c>
      <x:c r="C2841" t="str">
        <x:v>F</x:v>
      </x:c>
      <x:c r="D2841" t="str">
        <x:v>SI2</x:v>
      </x:c>
      <x:c r="E2841" s="36" t="n">
        <x:v>105000</x:v>
      </x:c>
      <x:c r="F2841" s="36" t="n">
        <x:v>2733</x:v>
      </x:c>
      <x:c r="G2841" s="42" t="n">
        <x:v>0.5862290862290862</x:v>
      </x:c>
      <x:c r="H2841" s="36" t="n">
        <x:f>E2841*G2841</x:f>
        <x:v>61554.05405405405</x:v>
      </x:c>
      <x:c r="I2841" s="36" t="n">
        <x:f>IFERROR(H2841/A2841,0)</x:f>
        <x:v>12310.81081081081</x:v>
      </x:c>
      <x:c r="J2841" s="67" t="str">
        <x:v>Modeled from live base + Sep-2026 quality ratio</x:v>
      </x:c>
      <x:c r="K2841" s="67" t="str">
        <x:v>https://www.stonealgo.com/diamond-prices/</x:v>
      </x:c>
      <x:c r="L2841" s="67" t="str">
        <x:v>https://www.pricescope.com/blog/natural-diamond-prices-september-2026</x:v>
      </x:c>
    </x:row>
    <x:row r="2842">
      <x:c r="A2842" t="n">
        <x:v>5</x:v>
      </x:c>
      <x:c r="B2842" t="str">
        <x:v>Cushion</x:v>
      </x:c>
      <x:c r="C2842" t="str">
        <x:v>G</x:v>
      </x:c>
      <x:c r="D2842" t="str">
        <x:v>FL</x:v>
      </x:c>
      <x:c r="E2842" s="36" t="n">
        <x:v>105000</x:v>
      </x:c>
      <x:c r="F2842" s="36" t="n">
        <x:v>5905</x:v>
      </x:c>
      <x:c r="G2842" s="42" t="n">
        <x:v>1.2666237666237665</x:v>
      </x:c>
      <x:c r="H2842" s="36" t="n">
        <x:f>E2842*G2842</x:f>
        <x:v>132995.49549549547</x:v>
      </x:c>
      <x:c r="I2842" s="36" t="n">
        <x:f>IFERROR(H2842/A2842,0)</x:f>
        <x:v>26599.099099099094</x:v>
      </x:c>
      <x:c r="J2842" s="67" t="str">
        <x:v>Modeled from live base + Sep-2026 quality ratio</x:v>
      </x:c>
      <x:c r="K2842" s="67" t="str">
        <x:v>https://www.stonealgo.com/diamond-prices/</x:v>
      </x:c>
      <x:c r="L2842" s="67" t="str">
        <x:v>https://www.pricescope.com/blog/natural-diamond-prices-september-2026</x:v>
      </x:c>
    </x:row>
    <x:row r="2843">
      <x:c r="A2843" t="n">
        <x:v>5</x:v>
      </x:c>
      <x:c r="B2843" t="str">
        <x:v>Cushion</x:v>
      </x:c>
      <x:c r="C2843" t="str">
        <x:v>G</x:v>
      </x:c>
      <x:c r="D2843" t="str">
        <x:v>IF</x:v>
      </x:c>
      <x:c r="E2843" s="36" t="n">
        <x:v>105000</x:v>
      </x:c>
      <x:c r="F2843" s="36" t="n">
        <x:v>5601</x:v>
      </x:c>
      <x:c r="G2843" s="42" t="n">
        <x:v>1.2014157014157014</x:v>
      </x:c>
      <x:c r="H2843" s="36" t="n">
        <x:f>E2843*G2843</x:f>
        <x:v>126148.64864864865</x:v>
      </x:c>
      <x:c r="I2843" s="36" t="n">
        <x:f>IFERROR(H2843/A2843,0)</x:f>
        <x:v>25229.72972972973</x:v>
      </x:c>
      <x:c r="J2843" s="67" t="str">
        <x:v>Modeled from live base + Sep-2026 quality ratio</x:v>
      </x:c>
      <x:c r="K2843" s="67" t="str">
        <x:v>https://www.stonealgo.com/diamond-prices/</x:v>
      </x:c>
      <x:c r="L2843" s="67" t="str">
        <x:v>https://www.pricescope.com/blog/natural-diamond-prices-september-2026</x:v>
      </x:c>
    </x:row>
    <x:row r="2844">
      <x:c r="A2844" t="n">
        <x:v>5</x:v>
      </x:c>
      <x:c r="B2844" t="str">
        <x:v>Cushion</x:v>
      </x:c>
      <x:c r="C2844" t="str">
        <x:v>G</x:v>
      </x:c>
      <x:c r="D2844" t="str">
        <x:v>VVS1</x:v>
      </x:c>
      <x:c r="E2844" s="36" t="n">
        <x:v>105000</x:v>
      </x:c>
      <x:c r="F2844" s="36" t="n">
        <x:v>5124</x:v>
      </x:c>
      <x:c r="G2844" s="42" t="n">
        <x:v>1.0990990990990992</x:v>
      </x:c>
      <x:c r="H2844" s="36" t="n">
        <x:f>E2844*G2844</x:f>
        <x:v>115405.40540540541</x:v>
      </x:c>
      <x:c r="I2844" s="36" t="n">
        <x:f>IFERROR(H2844/A2844,0)</x:f>
        <x:v>23081.081081081084</x:v>
      </x:c>
      <x:c r="J2844" s="67" t="str">
        <x:v>Modeled from live base + Sep-2026 quality ratio</x:v>
      </x:c>
      <x:c r="K2844" s="67" t="str">
        <x:v>https://www.stonealgo.com/diamond-prices/</x:v>
      </x:c>
      <x:c r="L2844" s="67" t="str">
        <x:v>https://www.pricescope.com/blog/natural-diamond-prices-september-2026</x:v>
      </x:c>
    </x:row>
    <x:row r="2845">
      <x:c r="A2845" t="n">
        <x:v>5</x:v>
      </x:c>
      <x:c r="B2845" t="str">
        <x:v>Cushion</x:v>
      </x:c>
      <x:c r="C2845" t="str">
        <x:v>G</x:v>
      </x:c>
      <x:c r="D2845" t="str">
        <x:v>VVS2</x:v>
      </x:c>
      <x:c r="E2845" s="36" t="n">
        <x:v>105000</x:v>
      </x:c>
      <x:c r="F2845" s="36" t="n">
        <x:v>4962</x:v>
      </x:c>
      <x:c r="G2845" s="42" t="n">
        <x:v>1.0643500643500643</x:v>
      </x:c>
      <x:c r="H2845" s="36" t="n">
        <x:f>E2845*G2845</x:f>
        <x:v>111756.75675675675</x:v>
      </x:c>
      <x:c r="I2845" s="36" t="n">
        <x:f>IFERROR(H2845/A2845,0)</x:f>
        <x:v>22351.35135135135</x:v>
      </x:c>
      <x:c r="J2845" s="67" t="str">
        <x:v>Modeled from live base + Sep-2026 quality ratio</x:v>
      </x:c>
      <x:c r="K2845" s="67" t="str">
        <x:v>https://www.stonealgo.com/diamond-prices/</x:v>
      </x:c>
      <x:c r="L2845" s="67" t="str">
        <x:v>https://www.pricescope.com/blog/natural-diamond-prices-september-2026</x:v>
      </x:c>
    </x:row>
    <x:row r="2846">
      <x:c r="A2846" t="n">
        <x:v>5</x:v>
      </x:c>
      <x:c r="B2846" t="str">
        <x:v>Cushion</x:v>
      </x:c>
      <x:c r="C2846" t="str">
        <x:v>G</x:v>
      </x:c>
      <x:c r="D2846" t="str">
        <x:v>VS1</x:v>
      </x:c>
      <x:c r="E2846" s="36" t="n">
        <x:v>105000</x:v>
      </x:c>
      <x:c r="F2846" s="36" t="n">
        <x:v>4615</x:v>
      </x:c>
      <x:c r="G2846" s="42" t="n">
        <x:v>0.98991848991849</x:v>
      </x:c>
      <x:c r="H2846" s="36" t="n">
        <x:f>E2846*G2846</x:f>
        <x:v>103941.44144144145</x:v>
      </x:c>
      <x:c r="I2846" s="36" t="n">
        <x:f>IFERROR(H2846/A2846,0)</x:f>
        <x:v>20788.28828828829</x:v>
      </x:c>
      <x:c r="J2846" s="67" t="str">
        <x:v>Modeled from live base + Sep-2026 quality ratio</x:v>
      </x:c>
      <x:c r="K2846" s="67" t="str">
        <x:v>https://www.stonealgo.com/diamond-prices/</x:v>
      </x:c>
      <x:c r="L2846" s="67" t="str">
        <x:v>https://www.pricescope.com/blog/natural-diamond-prices-september-2026</x:v>
      </x:c>
    </x:row>
    <x:row r="2847">
      <x:c r="A2847" t="n">
        <x:v>5</x:v>
      </x:c>
      <x:c r="B2847" t="str">
        <x:v>Cushion</x:v>
      </x:c>
      <x:c r="C2847" t="str">
        <x:v>G</x:v>
      </x:c>
      <x:c r="D2847" t="str">
        <x:v>VS2</x:v>
      </x:c>
      <x:c r="E2847" s="36" t="n">
        <x:v>105000</x:v>
      </x:c>
      <x:c r="F2847" s="36" t="n">
        <x:v>4585</x:v>
      </x:c>
      <x:c r="G2847" s="42" t="n">
        <x:v>0.9834834834834835</x:v>
      </x:c>
      <x:c r="H2847" s="36" t="n">
        <x:f>E2847*G2847</x:f>
        <x:v>103265.76576576577</x:v>
      </x:c>
      <x:c r="I2847" s="36" t="n">
        <x:f>IFERROR(H2847/A2847,0)</x:f>
        <x:v>20653.153153153155</x:v>
      </x:c>
      <x:c r="J2847" s="67" t="str">
        <x:v>Modeled from live base + Sep-2026 quality ratio</x:v>
      </x:c>
      <x:c r="K2847" s="67" t="str">
        <x:v>https://www.stonealgo.com/diamond-prices/</x:v>
      </x:c>
      <x:c r="L2847" s="67" t="str">
        <x:v>https://www.pricescope.com/blog/natural-diamond-prices-september-2026</x:v>
      </x:c>
    </x:row>
    <x:row r="2848">
      <x:c r="A2848" t="n">
        <x:v>5</x:v>
      </x:c>
      <x:c r="B2848" t="str">
        <x:v>Cushion</x:v>
      </x:c>
      <x:c r="C2848" t="str">
        <x:v>G</x:v>
      </x:c>
      <x:c r="D2848" t="str">
        <x:v>SI1</x:v>
      </x:c>
      <x:c r="E2848" s="36" t="n">
        <x:v>105000</x:v>
      </x:c>
      <x:c r="F2848" s="36" t="n">
        <x:v>3664</x:v>
      </x:c>
      <x:c r="G2848" s="42" t="n">
        <x:v>0.7859287859287859</x:v>
      </x:c>
      <x:c r="H2848" s="36" t="n">
        <x:f>E2848*G2848</x:f>
        <x:v>82522.52252252251</x:v>
      </x:c>
      <x:c r="I2848" s="36" t="n">
        <x:f>IFERROR(H2848/A2848,0)</x:f>
        <x:v>16504.504504504504</x:v>
      </x:c>
      <x:c r="J2848" s="67" t="str">
        <x:v>Modeled from live base + Sep-2026 quality ratio</x:v>
      </x:c>
      <x:c r="K2848" s="67" t="str">
        <x:v>https://www.stonealgo.com/diamond-prices/</x:v>
      </x:c>
      <x:c r="L2848" s="67" t="str">
        <x:v>https://www.pricescope.com/blog/natural-diamond-prices-september-2026</x:v>
      </x:c>
    </x:row>
    <x:row r="2849">
      <x:c r="A2849" t="n">
        <x:v>5</x:v>
      </x:c>
      <x:c r="B2849" t="str">
        <x:v>Cushion</x:v>
      </x:c>
      <x:c r="C2849" t="str">
        <x:v>G</x:v>
      </x:c>
      <x:c r="D2849" t="str">
        <x:v>SI2</x:v>
      </x:c>
      <x:c r="E2849" s="36" t="n">
        <x:v>105000</x:v>
      </x:c>
      <x:c r="F2849" s="36" t="n">
        <x:v>2537</x:v>
      </x:c>
      <x:c r="G2849" s="42" t="n">
        <x:v>0.5441870441870442</x:v>
      </x:c>
      <x:c r="H2849" s="36" t="n">
        <x:f>E2849*G2849</x:f>
        <x:v>57139.639639639645</x:v>
      </x:c>
      <x:c r="I2849" s="36" t="n">
        <x:f>IFERROR(H2849/A2849,0)</x:f>
        <x:v>11427.927927927929</x:v>
      </x:c>
      <x:c r="J2849" s="67" t="str">
        <x:v>Modeled from live base + Sep-2026 quality ratio</x:v>
      </x:c>
      <x:c r="K2849" s="67" t="str">
        <x:v>https://www.stonealgo.com/diamond-prices/</x:v>
      </x:c>
      <x:c r="L2849" s="67" t="str">
        <x:v>https://www.pricescope.com/blog/natural-diamond-prices-september-2026</x:v>
      </x:c>
    </x:row>
    <x:row r="2850">
      <x:c r="A2850" t="n">
        <x:v>5</x:v>
      </x:c>
      <x:c r="B2850" t="str">
        <x:v>Cushion</x:v>
      </x:c>
      <x:c r="C2850" t="str">
        <x:v>H</x:v>
      </x:c>
      <x:c r="D2850" t="str">
        <x:v>FL</x:v>
      </x:c>
      <x:c r="E2850" s="36" t="n">
        <x:v>105000</x:v>
      </x:c>
      <x:c r="F2850" s="36" t="n">
        <x:v>4563</x:v>
      </x:c>
      <x:c r="G2850" s="42" t="n">
        <x:v>0.9787644787644788</x:v>
      </x:c>
      <x:c r="H2850" s="36" t="n">
        <x:f>E2850*G2850</x:f>
        <x:v>102770.27027027028</x:v>
      </x:c>
      <x:c r="I2850" s="36" t="n">
        <x:f>IFERROR(H2850/A2850,0)</x:f>
        <x:v>20554.054054054057</x:v>
      </x:c>
      <x:c r="J2850" s="67" t="str">
        <x:v>Modeled from live base + Sep-2026 quality ratio</x:v>
      </x:c>
      <x:c r="K2850" s="67" t="str">
        <x:v>https://www.stonealgo.com/diamond-prices/</x:v>
      </x:c>
      <x:c r="L2850" s="67" t="str">
        <x:v>https://www.pricescope.com/blog/natural-diamond-prices-september-2026</x:v>
      </x:c>
    </x:row>
    <x:row r="2851">
      <x:c r="A2851" t="n">
        <x:v>5</x:v>
      </x:c>
      <x:c r="B2851" t="str">
        <x:v>Cushion</x:v>
      </x:c>
      <x:c r="C2851" t="str">
        <x:v>H</x:v>
      </x:c>
      <x:c r="D2851" t="str">
        <x:v>IF</x:v>
      </x:c>
      <x:c r="E2851" s="36" t="n">
        <x:v>105000</x:v>
      </x:c>
      <x:c r="F2851" s="36" t="n">
        <x:v>4809</x:v>
      </x:c>
      <x:c r="G2851" s="42" t="n">
        <x:v>1.0315315315315314</x:v>
      </x:c>
      <x:c r="H2851" s="36" t="n">
        <x:f>E2851*G2851</x:f>
        <x:v>108310.8108108108</x:v>
      </x:c>
      <x:c r="I2851" s="36" t="n">
        <x:f>IFERROR(H2851/A2851,0)</x:f>
        <x:v>21662.16216216216</x:v>
      </x:c>
      <x:c r="J2851" s="67" t="str">
        <x:v>Modeled from live base + Sep-2026 quality ratio</x:v>
      </x:c>
      <x:c r="K2851" s="67" t="str">
        <x:v>https://www.stonealgo.com/diamond-prices/</x:v>
      </x:c>
      <x:c r="L2851" s="67" t="str">
        <x:v>https://www.pricescope.com/blog/natural-diamond-prices-september-2026</x:v>
      </x:c>
    </x:row>
    <x:row r="2852">
      <x:c r="A2852" t="n">
        <x:v>5</x:v>
      </x:c>
      <x:c r="B2852" t="str">
        <x:v>Cushion</x:v>
      </x:c>
      <x:c r="C2852" t="str">
        <x:v>H</x:v>
      </x:c>
      <x:c r="D2852" t="str">
        <x:v>VVS1</x:v>
      </x:c>
      <x:c r="E2852" s="36" t="n">
        <x:v>105000</x:v>
      </x:c>
      <x:c r="F2852" s="36" t="n">
        <x:v>4911</x:v>
      </x:c>
      <x:c r="G2852" s="42" t="n">
        <x:v>1.0534105534105533</x:v>
      </x:c>
      <x:c r="H2852" s="36" t="n">
        <x:f>E2852*G2852</x:f>
        <x:v>110608.1081081081</x:v>
      </x:c>
      <x:c r="I2852" s="36" t="n">
        <x:f>IFERROR(H2852/A2852,0)</x:f>
        <x:v>22121.62162162162</x:v>
      </x:c>
      <x:c r="J2852" s="67" t="str">
        <x:v>Modeled from live base + Sep-2026 quality ratio</x:v>
      </x:c>
      <x:c r="K2852" s="67" t="str">
        <x:v>https://www.stonealgo.com/diamond-prices/</x:v>
      </x:c>
      <x:c r="L2852" s="67" t="str">
        <x:v>https://www.pricescope.com/blog/natural-diamond-prices-september-2026</x:v>
      </x:c>
    </x:row>
    <x:row r="2853">
      <x:c r="A2853" t="n">
        <x:v>5</x:v>
      </x:c>
      <x:c r="B2853" t="str">
        <x:v>Cushion</x:v>
      </x:c>
      <x:c r="C2853" t="str">
        <x:v>H</x:v>
      </x:c>
      <x:c r="D2853" t="str">
        <x:v>VVS2</x:v>
      </x:c>
      <x:c r="E2853" s="36" t="n">
        <x:v>105000</x:v>
      </x:c>
      <x:c r="F2853" s="36" t="n">
        <x:v>4046</x:v>
      </x:c>
      <x:c r="G2853" s="42" t="n">
        <x:v>0.8678678678678678</x:v>
      </x:c>
      <x:c r="H2853" s="36" t="n">
        <x:f>E2853*G2853</x:f>
        <x:v>91126.12612612612</x:v>
      </x:c>
      <x:c r="I2853" s="36" t="n">
        <x:f>IFERROR(H2853/A2853,0)</x:f>
        <x:v>18225.225225225226</x:v>
      </x:c>
      <x:c r="J2853" s="67" t="str">
        <x:v>Modeled from live base + Sep-2026 quality ratio</x:v>
      </x:c>
      <x:c r="K2853" s="67" t="str">
        <x:v>https://www.stonealgo.com/diamond-prices/</x:v>
      </x:c>
      <x:c r="L2853" s="67" t="str">
        <x:v>https://www.pricescope.com/blog/natural-diamond-prices-september-2026</x:v>
      </x:c>
    </x:row>
    <x:row r="2854">
      <x:c r="A2854" t="n">
        <x:v>5</x:v>
      </x:c>
      <x:c r="B2854" t="str">
        <x:v>Cushion</x:v>
      </x:c>
      <x:c r="C2854" t="str">
        <x:v>H</x:v>
      </x:c>
      <x:c r="D2854" t="str">
        <x:v>VS1</x:v>
      </x:c>
      <x:c r="E2854" s="36" t="n">
        <x:v>105000</x:v>
      </x:c>
      <x:c r="F2854" s="36" t="n">
        <x:v>3893</x:v>
      </x:c>
      <x:c r="G2854" s="42" t="n">
        <x:v>0.8350493350493351</x:v>
      </x:c>
      <x:c r="H2854" s="36" t="n">
        <x:f>E2854*G2854</x:f>
        <x:v>87680.18018018019</x:v>
      </x:c>
      <x:c r="I2854" s="36" t="n">
        <x:f>IFERROR(H2854/A2854,0)</x:f>
        <x:v>17536.03603603604</x:v>
      </x:c>
      <x:c r="J2854" s="67" t="str">
        <x:v>Modeled from live base + Sep-2026 quality ratio</x:v>
      </x:c>
      <x:c r="K2854" s="67" t="str">
        <x:v>https://www.stonealgo.com/diamond-prices/</x:v>
      </x:c>
      <x:c r="L2854" s="67" t="str">
        <x:v>https://www.pricescope.com/blog/natural-diamond-prices-september-2026</x:v>
      </x:c>
    </x:row>
    <x:row r="2855">
      <x:c r="A2855" t="n">
        <x:v>5</x:v>
      </x:c>
      <x:c r="B2855" t="str">
        <x:v>Cushion</x:v>
      </x:c>
      <x:c r="C2855" t="str">
        <x:v>H</x:v>
      </x:c>
      <x:c r="D2855" t="str">
        <x:v>VS2</x:v>
      </x:c>
      <x:c r="E2855" s="36" t="n">
        <x:v>105000</x:v>
      </x:c>
      <x:c r="F2855" s="36" t="n">
        <x:v>3989</x:v>
      </x:c>
      <x:c r="G2855" s="42" t="n">
        <x:v>0.8556413556413557</x:v>
      </x:c>
      <x:c r="H2855" s="36" t="n">
        <x:f>E2855*G2855</x:f>
        <x:v>89842.34234234235</x:v>
      </x:c>
      <x:c r="I2855" s="36" t="n">
        <x:f>IFERROR(H2855/A2855,0)</x:f>
        <x:v>17968.46846846847</x:v>
      </x:c>
      <x:c r="J2855" s="67" t="str">
        <x:v>Modeled from live base + Sep-2026 quality ratio</x:v>
      </x:c>
      <x:c r="K2855" s="67" t="str">
        <x:v>https://www.stonealgo.com/diamond-prices/</x:v>
      </x:c>
      <x:c r="L2855" s="67" t="str">
        <x:v>https://www.pricescope.com/blog/natural-diamond-prices-september-2026</x:v>
      </x:c>
    </x:row>
    <x:row r="2856">
      <x:c r="A2856" t="n">
        <x:v>5</x:v>
      </x:c>
      <x:c r="B2856" t="str">
        <x:v>Cushion</x:v>
      </x:c>
      <x:c r="C2856" t="str">
        <x:v>H</x:v>
      </x:c>
      <x:c r="D2856" t="str">
        <x:v>SI1</x:v>
      </x:c>
      <x:c r="E2856" s="36" t="n">
        <x:v>105000</x:v>
      </x:c>
      <x:c r="F2856" s="36" t="n">
        <x:v>2828</x:v>
      </x:c>
      <x:c r="G2856" s="42" t="n">
        <x:v>0.6066066066066066</x:v>
      </x:c>
      <x:c r="H2856" s="36" t="n">
        <x:f>E2856*G2856</x:f>
        <x:v>63693.69369369369</x:v>
      </x:c>
      <x:c r="I2856" s="36" t="n">
        <x:f>IFERROR(H2856/A2856,0)</x:f>
        <x:v>12738.738738738739</x:v>
      </x:c>
      <x:c r="J2856" s="67" t="str">
        <x:v>Modeled from live base + Sep-2026 quality ratio</x:v>
      </x:c>
      <x:c r="K2856" s="67" t="str">
        <x:v>https://www.stonealgo.com/diamond-prices/</x:v>
      </x:c>
      <x:c r="L2856" s="67" t="str">
        <x:v>https://www.pricescope.com/blog/natural-diamond-prices-september-2026</x:v>
      </x:c>
    </x:row>
    <x:row r="2857">
      <x:c r="A2857" t="n">
        <x:v>5</x:v>
      </x:c>
      <x:c r="B2857" t="str">
        <x:v>Cushion</x:v>
      </x:c>
      <x:c r="C2857" t="str">
        <x:v>H</x:v>
      </x:c>
      <x:c r="D2857" t="str">
        <x:v>SI2</x:v>
      </x:c>
      <x:c r="E2857" s="36" t="n">
        <x:v>105000</x:v>
      </x:c>
      <x:c r="F2857" s="36" t="n">
        <x:v>2328</x:v>
      </x:c>
      <x:c r="G2857" s="42" t="n">
        <x:v>0.49935649935649934</x:v>
      </x:c>
      <x:c r="H2857" s="36" t="n">
        <x:f>E2857*G2857</x:f>
        <x:v>52432.43243243243</x:v>
      </x:c>
      <x:c r="I2857" s="36" t="n">
        <x:f>IFERROR(H2857/A2857,0)</x:f>
        <x:v>10486.486486486487</x:v>
      </x:c>
      <x:c r="J2857" s="67" t="str">
        <x:v>Modeled from live base + Sep-2026 quality ratio</x:v>
      </x:c>
      <x:c r="K2857" s="67" t="str">
        <x:v>https://www.stonealgo.com/diamond-prices/</x:v>
      </x:c>
      <x:c r="L2857" s="67" t="str">
        <x:v>https://www.pricescope.com/blog/natural-diamond-prices-september-2026</x:v>
      </x:c>
    </x:row>
    <x:row r="2858">
      <x:c r="A2858" t="n">
        <x:v>5</x:v>
      </x:c>
      <x:c r="B2858" t="str">
        <x:v>Cushion</x:v>
      </x:c>
      <x:c r="C2858" t="str">
        <x:v>I</x:v>
      </x:c>
      <x:c r="D2858" t="str">
        <x:v>FL</x:v>
      </x:c>
      <x:c r="E2858" s="36" t="n">
        <x:v>105000</x:v>
      </x:c>
      <x:c r="F2858" s="36" t="n">
        <x:v>4623</x:v>
      </x:c>
      <x:c r="G2858" s="42" t="n">
        <x:v>0.9916344916344917</x:v>
      </x:c>
      <x:c r="H2858" s="36" t="n">
        <x:f>E2858*G2858</x:f>
        <x:v>104121.62162162163</x:v>
      </x:c>
      <x:c r="I2858" s="36" t="n">
        <x:f>IFERROR(H2858/A2858,0)</x:f>
        <x:v>20824.324324324327</x:v>
      </x:c>
      <x:c r="J2858" s="67" t="str">
        <x:v>Modeled from live base + Sep-2026 quality ratio</x:v>
      </x:c>
      <x:c r="K2858" s="67" t="str">
        <x:v>https://www.stonealgo.com/diamond-prices/</x:v>
      </x:c>
      <x:c r="L2858" s="67" t="str">
        <x:v>https://www.pricescope.com/blog/natural-diamond-prices-september-2026</x:v>
      </x:c>
    </x:row>
    <x:row r="2859">
      <x:c r="A2859" t="n">
        <x:v>5</x:v>
      </x:c>
      <x:c r="B2859" t="str">
        <x:v>Cushion</x:v>
      </x:c>
      <x:c r="C2859" t="str">
        <x:v>I</x:v>
      </x:c>
      <x:c r="D2859" t="str">
        <x:v>IF</x:v>
      </x:c>
      <x:c r="E2859" s="36" t="n">
        <x:v>105000</x:v>
      </x:c>
      <x:c r="F2859" s="36" t="n">
        <x:v>4005</x:v>
      </x:c>
      <x:c r="G2859" s="42" t="n">
        <x:v>0.859073359073359</x:v>
      </x:c>
      <x:c r="H2859" s="36" t="n">
        <x:f>E2859*G2859</x:f>
        <x:v>90202.70270270269</x:v>
      </x:c>
      <x:c r="I2859" s="36" t="n">
        <x:f>IFERROR(H2859/A2859,0)</x:f>
        <x:v>18040.54054054054</x:v>
      </x:c>
      <x:c r="J2859" s="67" t="str">
        <x:v>Modeled from live base + Sep-2026 quality ratio</x:v>
      </x:c>
      <x:c r="K2859" s="67" t="str">
        <x:v>https://www.stonealgo.com/diamond-prices/</x:v>
      </x:c>
      <x:c r="L2859" s="67" t="str">
        <x:v>https://www.pricescope.com/blog/natural-diamond-prices-september-2026</x:v>
      </x:c>
    </x:row>
    <x:row r="2860">
      <x:c r="A2860" t="n">
        <x:v>5</x:v>
      </x:c>
      <x:c r="B2860" t="str">
        <x:v>Cushion</x:v>
      </x:c>
      <x:c r="C2860" t="str">
        <x:v>I</x:v>
      </x:c>
      <x:c r="D2860" t="str">
        <x:v>VVS1</x:v>
      </x:c>
      <x:c r="E2860" s="36" t="n">
        <x:v>105000</x:v>
      </x:c>
      <x:c r="F2860" s="36" t="n">
        <x:v>3670</x:v>
      </x:c>
      <x:c r="G2860" s="42" t="n">
        <x:v>0.7872157872157872</x:v>
      </x:c>
      <x:c r="H2860" s="36" t="n">
        <x:f>E2860*G2860</x:f>
        <x:v>82657.65765765766</x:v>
      </x:c>
      <x:c r="I2860" s="36" t="n">
        <x:f>IFERROR(H2860/A2860,0)</x:f>
        <x:v>16531.53153153153</x:v>
      </x:c>
      <x:c r="J2860" s="67" t="str">
        <x:v>Modeled from live base + Sep-2026 quality ratio</x:v>
      </x:c>
      <x:c r="K2860" s="67" t="str">
        <x:v>https://www.stonealgo.com/diamond-prices/</x:v>
      </x:c>
      <x:c r="L2860" s="67" t="str">
        <x:v>https://www.pricescope.com/blog/natural-diamond-prices-september-2026</x:v>
      </x:c>
    </x:row>
    <x:row r="2861">
      <x:c r="A2861" t="n">
        <x:v>5</x:v>
      </x:c>
      <x:c r="B2861" t="str">
        <x:v>Cushion</x:v>
      </x:c>
      <x:c r="C2861" t="str">
        <x:v>I</x:v>
      </x:c>
      <x:c r="D2861" t="str">
        <x:v>VVS2</x:v>
      </x:c>
      <x:c r="E2861" s="36" t="n">
        <x:v>105000</x:v>
      </x:c>
      <x:c r="F2861" s="36" t="n">
        <x:v>3447</x:v>
      </x:c>
      <x:c r="G2861" s="42" t="n">
        <x:v>0.7393822393822393</x:v>
      </x:c>
      <x:c r="H2861" s="36" t="n">
        <x:f>E2861*G2861</x:f>
        <x:v>77635.13513513513</x:v>
      </x:c>
      <x:c r="I2861" s="36" t="n">
        <x:f>IFERROR(H2861/A2861,0)</x:f>
        <x:v>15527.027027027027</x:v>
      </x:c>
      <x:c r="J2861" s="67" t="str">
        <x:v>Modeled from live base + Sep-2026 quality ratio</x:v>
      </x:c>
      <x:c r="K2861" s="67" t="str">
        <x:v>https://www.stonealgo.com/diamond-prices/</x:v>
      </x:c>
      <x:c r="L2861" s="67" t="str">
        <x:v>https://www.pricescope.com/blog/natural-diamond-prices-september-2026</x:v>
      </x:c>
    </x:row>
    <x:row r="2862">
      <x:c r="A2862" t="n">
        <x:v>5</x:v>
      </x:c>
      <x:c r="B2862" t="str">
        <x:v>Cushion</x:v>
      </x:c>
      <x:c r="C2862" t="str">
        <x:v>I</x:v>
      </x:c>
      <x:c r="D2862" t="str">
        <x:v>VS1</x:v>
      </x:c>
      <x:c r="E2862" s="36" t="n">
        <x:v>105000</x:v>
      </x:c>
      <x:c r="F2862" s="36" t="n">
        <x:v>3313</x:v>
      </x:c>
      <x:c r="G2862" s="42" t="n">
        <x:v>0.7106392106392107</x:v>
      </x:c>
      <x:c r="H2862" s="36" t="n">
        <x:f>E2862*G2862</x:f>
        <x:v>74617.11711711712</x:v>
      </x:c>
      <x:c r="I2862" s="36" t="n">
        <x:f>IFERROR(H2862/A2862,0)</x:f>
        <x:v>14923.423423423423</x:v>
      </x:c>
      <x:c r="J2862" s="67" t="str">
        <x:v>Modeled from live base + Sep-2026 quality ratio</x:v>
      </x:c>
      <x:c r="K2862" s="67" t="str">
        <x:v>https://www.stonealgo.com/diamond-prices/</x:v>
      </x:c>
      <x:c r="L2862" s="67" t="str">
        <x:v>https://www.pricescope.com/blog/natural-diamond-prices-september-2026</x:v>
      </x:c>
    </x:row>
    <x:row r="2863">
      <x:c r="A2863" t="n">
        <x:v>5</x:v>
      </x:c>
      <x:c r="B2863" t="str">
        <x:v>Cushion</x:v>
      </x:c>
      <x:c r="C2863" t="str">
        <x:v>I</x:v>
      </x:c>
      <x:c r="D2863" t="str">
        <x:v>VS2</x:v>
      </x:c>
      <x:c r="E2863" s="36" t="n">
        <x:v>105000</x:v>
      </x:c>
      <x:c r="F2863" s="36" t="n">
        <x:v>3240</x:v>
      </x:c>
      <x:c r="G2863" s="42" t="n">
        <x:v>0.694980694980695</x:v>
      </x:c>
      <x:c r="H2863" s="36" t="n">
        <x:f>E2863*G2863</x:f>
        <x:v>72972.97297297297</x:v>
      </x:c>
      <x:c r="I2863" s="36" t="n">
        <x:f>IFERROR(H2863/A2863,0)</x:f>
        <x:v>14594.594594594595</x:v>
      </x:c>
      <x:c r="J2863" s="67" t="str">
        <x:v>Modeled from live base + Sep-2026 quality ratio</x:v>
      </x:c>
      <x:c r="K2863" s="67" t="str">
        <x:v>https://www.stonealgo.com/diamond-prices/</x:v>
      </x:c>
      <x:c r="L2863" s="67" t="str">
        <x:v>https://www.pricescope.com/blog/natural-diamond-prices-september-2026</x:v>
      </x:c>
    </x:row>
    <x:row r="2864">
      <x:c r="A2864" t="n">
        <x:v>5</x:v>
      </x:c>
      <x:c r="B2864" t="str">
        <x:v>Cushion</x:v>
      </x:c>
      <x:c r="C2864" t="str">
        <x:v>I</x:v>
      </x:c>
      <x:c r="D2864" t="str">
        <x:v>SI1</x:v>
      </x:c>
      <x:c r="E2864" s="36" t="n">
        <x:v>105000</x:v>
      </x:c>
      <x:c r="F2864" s="36" t="n">
        <x:v>3199</x:v>
      </x:c>
      <x:c r="G2864" s="42" t="n">
        <x:v>0.6861861861861862</x:v>
      </x:c>
      <x:c r="H2864" s="36" t="n">
        <x:f>E2864*G2864</x:f>
        <x:v>72049.54954954956</x:v>
      </x:c>
      <x:c r="I2864" s="36" t="n">
        <x:f>IFERROR(H2864/A2864,0)</x:f>
        <x:v>14409.909909909911</x:v>
      </x:c>
      <x:c r="J2864" s="67" t="str">
        <x:v>Modeled from live base + Sep-2026 quality ratio</x:v>
      </x:c>
      <x:c r="K2864" s="67" t="str">
        <x:v>https://www.stonealgo.com/diamond-prices/</x:v>
      </x:c>
      <x:c r="L2864" s="67" t="str">
        <x:v>https://www.pricescope.com/blog/natural-diamond-prices-september-2026</x:v>
      </x:c>
    </x:row>
    <x:row r="2865">
      <x:c r="A2865" t="n">
        <x:v>5</x:v>
      </x:c>
      <x:c r="B2865" t="str">
        <x:v>Cushion</x:v>
      </x:c>
      <x:c r="C2865" t="str">
        <x:v>I</x:v>
      </x:c>
      <x:c r="D2865" t="str">
        <x:v>SI2</x:v>
      </x:c>
      <x:c r="E2865" s="36" t="n">
        <x:v>105000</x:v>
      </x:c>
      <x:c r="F2865" s="36" t="n">
        <x:v>2874</x:v>
      </x:c>
      <x:c r="G2865" s="42" t="n">
        <x:v>0.6164736164736164</x:v>
      </x:c>
      <x:c r="H2865" s="36" t="n">
        <x:f>E2865*G2865</x:f>
        <x:v>64729.72972972973</x:v>
      </x:c>
      <x:c r="I2865" s="36" t="n">
        <x:f>IFERROR(H2865/A2865,0)</x:f>
        <x:v>12945.945945945945</x:v>
      </x:c>
      <x:c r="J2865" s="67" t="str">
        <x:v>Modeled from live base + Sep-2026 quality ratio</x:v>
      </x:c>
      <x:c r="K2865" s="67" t="str">
        <x:v>https://www.stonealgo.com/diamond-prices/</x:v>
      </x:c>
      <x:c r="L2865" s="67" t="str">
        <x:v>https://www.pricescope.com/blog/natural-diamond-prices-september-2026</x:v>
      </x:c>
    </x:row>
    <x:row r="2866">
      <x:c r="A2866" t="n">
        <x:v>5</x:v>
      </x:c>
      <x:c r="B2866" t="str">
        <x:v>Cushion</x:v>
      </x:c>
      <x:c r="C2866" t="str">
        <x:v>J</x:v>
      </x:c>
      <x:c r="D2866" t="str">
        <x:v>FL</x:v>
      </x:c>
      <x:c r="E2866" s="36" t="n">
        <x:v>105000</x:v>
      </x:c>
      <x:c r="F2866" s="36" t="n">
        <x:v>3646</x:v>
      </x:c>
      <x:c r="G2866" s="42" t="n">
        <x:v>0.782067782067782</x:v>
      </x:c>
      <x:c r="H2866" s="36" t="n">
        <x:f>E2866*G2866</x:f>
        <x:v>82117.11711711712</x:v>
      </x:c>
      <x:c r="I2866" s="36" t="n">
        <x:f>IFERROR(H2866/A2866,0)</x:f>
        <x:v>16423.423423423425</x:v>
      </x:c>
      <x:c r="J2866" s="67" t="str">
        <x:v>Modeled from live base + Sep-2026 quality ratio</x:v>
      </x:c>
      <x:c r="K2866" s="67" t="str">
        <x:v>https://www.stonealgo.com/diamond-prices/</x:v>
      </x:c>
      <x:c r="L2866" s="67" t="str">
        <x:v>https://www.pricescope.com/blog/natural-diamond-prices-september-2026</x:v>
      </x:c>
    </x:row>
    <x:row r="2867">
      <x:c r="A2867" t="n">
        <x:v>5</x:v>
      </x:c>
      <x:c r="B2867" t="str">
        <x:v>Cushion</x:v>
      </x:c>
      <x:c r="C2867" t="str">
        <x:v>J</x:v>
      </x:c>
      <x:c r="D2867" t="str">
        <x:v>IF</x:v>
      </x:c>
      <x:c r="E2867" s="36" t="n">
        <x:v>105000</x:v>
      </x:c>
      <x:c r="F2867" s="36" t="n">
        <x:v>3368</x:v>
      </x:c>
      <x:c r="G2867" s="42" t="n">
        <x:v>0.7224367224367224</x:v>
      </x:c>
      <x:c r="H2867" s="36" t="n">
        <x:f>E2867*G2867</x:f>
        <x:v>75855.85585585586</x:v>
      </x:c>
      <x:c r="I2867" s="36" t="n">
        <x:f>IFERROR(H2867/A2867,0)</x:f>
        <x:v>15171.171171171172</x:v>
      </x:c>
      <x:c r="J2867" s="67" t="str">
        <x:v>Modeled from live base + Sep-2026 quality ratio</x:v>
      </x:c>
      <x:c r="K2867" s="67" t="str">
        <x:v>https://www.stonealgo.com/diamond-prices/</x:v>
      </x:c>
      <x:c r="L2867" s="67" t="str">
        <x:v>https://www.pricescope.com/blog/natural-diamond-prices-september-2026</x:v>
      </x:c>
    </x:row>
    <x:row r="2868">
      <x:c r="A2868" t="n">
        <x:v>5</x:v>
      </x:c>
      <x:c r="B2868" t="str">
        <x:v>Cushion</x:v>
      </x:c>
      <x:c r="C2868" t="str">
        <x:v>J</x:v>
      </x:c>
      <x:c r="D2868" t="str">
        <x:v>VVS1</x:v>
      </x:c>
      <x:c r="E2868" s="36" t="n">
        <x:v>105000</x:v>
      </x:c>
      <x:c r="F2868" s="36" t="n">
        <x:v>2956</x:v>
      </x:c>
      <x:c r="G2868" s="42" t="n">
        <x:v>0.6340626340626341</x:v>
      </x:c>
      <x:c r="H2868" s="36" t="n">
        <x:f>E2868*G2868</x:f>
        <x:v>66576.57657657658</x:v>
      </x:c>
      <x:c r="I2868" s="36" t="n">
        <x:f>IFERROR(H2868/A2868,0)</x:f>
        <x:v>13315.315315315316</x:v>
      </x:c>
      <x:c r="J2868" s="67" t="str">
        <x:v>Modeled from live base + Sep-2026 quality ratio</x:v>
      </x:c>
      <x:c r="K2868" s="67" t="str">
        <x:v>https://www.stonealgo.com/diamond-prices/</x:v>
      </x:c>
      <x:c r="L2868" s="67" t="str">
        <x:v>https://www.pricescope.com/blog/natural-diamond-prices-september-2026</x:v>
      </x:c>
    </x:row>
    <x:row r="2869">
      <x:c r="A2869" t="n">
        <x:v>5</x:v>
      </x:c>
      <x:c r="B2869" t="str">
        <x:v>Cushion</x:v>
      </x:c>
      <x:c r="C2869" t="str">
        <x:v>J</x:v>
      </x:c>
      <x:c r="D2869" t="str">
        <x:v>VVS2</x:v>
      </x:c>
      <x:c r="E2869" s="36" t="n">
        <x:v>105000</x:v>
      </x:c>
      <x:c r="F2869" s="36" t="n">
        <x:v>2612</x:v>
      </x:c>
      <x:c r="G2869" s="42" t="n">
        <x:v>0.5602745602745602</x:v>
      </x:c>
      <x:c r="H2869" s="36" t="n">
        <x:f>E2869*G2869</x:f>
        <x:v>58828.828828828824</x:v>
      </x:c>
      <x:c r="I2869" s="36" t="n">
        <x:f>IFERROR(H2869/A2869,0)</x:f>
        <x:v>11765.765765765766</x:v>
      </x:c>
      <x:c r="J2869" s="67" t="str">
        <x:v>Modeled from live base + Sep-2026 quality ratio</x:v>
      </x:c>
      <x:c r="K2869" s="67" t="str">
        <x:v>https://www.stonealgo.com/diamond-prices/</x:v>
      </x:c>
      <x:c r="L2869" s="67" t="str">
        <x:v>https://www.pricescope.com/blog/natural-diamond-prices-september-2026</x:v>
      </x:c>
    </x:row>
    <x:row r="2870">
      <x:c r="A2870" t="n">
        <x:v>5</x:v>
      </x:c>
      <x:c r="B2870" t="str">
        <x:v>Cushion</x:v>
      </x:c>
      <x:c r="C2870" t="str">
        <x:v>J</x:v>
      </x:c>
      <x:c r="D2870" t="str">
        <x:v>VS1</x:v>
      </x:c>
      <x:c r="E2870" s="36" t="n">
        <x:v>105000</x:v>
      </x:c>
      <x:c r="F2870" s="36" t="n">
        <x:v>3002</x:v>
      </x:c>
      <x:c r="G2870" s="42" t="n">
        <x:v>0.6439296439296439</x:v>
      </x:c>
      <x:c r="H2870" s="36" t="n">
        <x:f>E2870*G2870</x:f>
        <x:v>67612.6126126126</x:v>
      </x:c>
      <x:c r="I2870" s="36" t="n">
        <x:f>IFERROR(H2870/A2870,0)</x:f>
        <x:v>13522.52252252252</x:v>
      </x:c>
      <x:c r="J2870" s="67" t="str">
        <x:v>Modeled from live base + Sep-2026 quality ratio</x:v>
      </x:c>
      <x:c r="K2870" s="67" t="str">
        <x:v>https://www.stonealgo.com/diamond-prices/</x:v>
      </x:c>
      <x:c r="L2870" s="67" t="str">
        <x:v>https://www.pricescope.com/blog/natural-diamond-prices-september-2026</x:v>
      </x:c>
    </x:row>
    <x:row r="2871">
      <x:c r="A2871" t="n">
        <x:v>5</x:v>
      </x:c>
      <x:c r="B2871" t="str">
        <x:v>Cushion</x:v>
      </x:c>
      <x:c r="C2871" t="str">
        <x:v>J</x:v>
      </x:c>
      <x:c r="D2871" t="str">
        <x:v>VS2</x:v>
      </x:c>
      <x:c r="E2871" s="36" t="n">
        <x:v>105000</x:v>
      </x:c>
      <x:c r="F2871" s="36" t="n">
        <x:v>2559</x:v>
      </x:c>
      <x:c r="G2871" s="42" t="n">
        <x:v>0.5489060489060489</x:v>
      </x:c>
      <x:c r="H2871" s="36" t="n">
        <x:f>E2871*G2871</x:f>
        <x:v>57635.13513513513</x:v>
      </x:c>
      <x:c r="I2871" s="36" t="n">
        <x:f>IFERROR(H2871/A2871,0)</x:f>
        <x:v>11527.027027027027</x:v>
      </x:c>
      <x:c r="J2871" s="67" t="str">
        <x:v>Modeled from live base + Sep-2026 quality ratio</x:v>
      </x:c>
      <x:c r="K2871" s="67" t="str">
        <x:v>https://www.stonealgo.com/diamond-prices/</x:v>
      </x:c>
      <x:c r="L2871" s="67" t="str">
        <x:v>https://www.pricescope.com/blog/natural-diamond-prices-september-2026</x:v>
      </x:c>
    </x:row>
    <x:row r="2872">
      <x:c r="A2872" t="n">
        <x:v>5</x:v>
      </x:c>
      <x:c r="B2872" t="str">
        <x:v>Cushion</x:v>
      </x:c>
      <x:c r="C2872" t="str">
        <x:v>J</x:v>
      </x:c>
      <x:c r="D2872" t="str">
        <x:v>SI1</x:v>
      </x:c>
      <x:c r="E2872" s="36" t="n">
        <x:v>105000</x:v>
      </x:c>
      <x:c r="F2872" s="36" t="n">
        <x:v>2195</x:v>
      </x:c>
      <x:c r="G2872" s="42" t="n">
        <x:v>0.47082797082797084</x:v>
      </x:c>
      <x:c r="H2872" s="36" t="n">
        <x:f>E2872*G2872</x:f>
        <x:v>49436.93693693694</x:v>
      </x:c>
      <x:c r="I2872" s="36" t="n">
        <x:f>IFERROR(H2872/A2872,0)</x:f>
        <x:v>9887.387387387387</x:v>
      </x:c>
      <x:c r="J2872" s="67" t="str">
        <x:v>Modeled from live base + Sep-2026 quality ratio</x:v>
      </x:c>
      <x:c r="K2872" s="67" t="str">
        <x:v>https://www.stonealgo.com/diamond-prices/</x:v>
      </x:c>
      <x:c r="L2872" s="67" t="str">
        <x:v>https://www.pricescope.com/blog/natural-diamond-prices-september-2026</x:v>
      </x:c>
    </x:row>
    <x:row r="2873">
      <x:c r="A2873" t="n">
        <x:v>5</x:v>
      </x:c>
      <x:c r="B2873" t="str">
        <x:v>Cushion</x:v>
      </x:c>
      <x:c r="C2873" t="str">
        <x:v>J</x:v>
      </x:c>
      <x:c r="D2873" t="str">
        <x:v>SI2</x:v>
      </x:c>
      <x:c r="E2873" s="36" t="n">
        <x:v>105000</x:v>
      </x:c>
      <x:c r="F2873" s="36" t="n">
        <x:v>2079</x:v>
      </x:c>
      <x:c r="G2873" s="42" t="n">
        <x:v>0.44594594594594594</x:v>
      </x:c>
      <x:c r="H2873" s="36" t="n">
        <x:f>E2873*G2873</x:f>
        <x:v>46824.32432432433</x:v>
      </x:c>
      <x:c r="I2873" s="36" t="n">
        <x:f>IFERROR(H2873/A2873,0)</x:f>
        <x:v>9364.864864864865</x:v>
      </x:c>
      <x:c r="J2873" s="67" t="str">
        <x:v>Modeled from live base + Sep-2026 quality ratio</x:v>
      </x:c>
      <x:c r="K2873" s="67" t="str">
        <x:v>https://www.stonealgo.com/diamond-prices/</x:v>
      </x:c>
      <x:c r="L2873" s="67" t="str">
        <x:v>https://www.pricescope.com/blog/natural-diamond-prices-september-2026</x:v>
      </x:c>
    </x:row>
    <x:row r="2874">
      <x:c r="A2874" t="n">
        <x:v>5</x:v>
      </x:c>
      <x:c r="B2874" t="str">
        <x:v>Cushion</x:v>
      </x:c>
      <x:c r="C2874" t="str">
        <x:v>K</x:v>
      </x:c>
      <x:c r="D2874" t="str">
        <x:v>FL</x:v>
      </x:c>
      <x:c r="E2874" s="36" t="n">
        <x:v>105000</x:v>
      </x:c>
      <x:c r="F2874" s="36" t="n">
        <x:v>2858</x:v>
      </x:c>
      <x:c r="G2874" s="42" t="n">
        <x:v>0.6130416130416131</x:v>
      </x:c>
      <x:c r="H2874" s="36" t="n">
        <x:f>E2874*G2874</x:f>
        <x:v>64369.36936936937</x:v>
      </x:c>
      <x:c r="I2874" s="36" t="n">
        <x:f>IFERROR(H2874/A2874,0)</x:f>
        <x:v>12873.873873873874</x:v>
      </x:c>
      <x:c r="J2874" s="67" t="str">
        <x:v>Modeled from live base + Sep-2026 quality ratio; K/FL quality cell modeled</x:v>
      </x:c>
      <x:c r="K2874" s="67" t="str">
        <x:v>https://www.stonealgo.com/diamond-prices/</x:v>
      </x:c>
      <x:c r="L2874" s="67" t="str">
        <x:v>https://www.pricescope.com/blog/natural-diamond-prices-september-2026</x:v>
      </x:c>
    </x:row>
    <x:row r="2875">
      <x:c r="A2875" t="n">
        <x:v>5</x:v>
      </x:c>
      <x:c r="B2875" t="str">
        <x:v>Cushion</x:v>
      </x:c>
      <x:c r="C2875" t="str">
        <x:v>K</x:v>
      </x:c>
      <x:c r="D2875" t="str">
        <x:v>IF</x:v>
      </x:c>
      <x:c r="E2875" s="36" t="n">
        <x:v>105000</x:v>
      </x:c>
      <x:c r="F2875" s="36" t="n">
        <x:v>2743</x:v>
      </x:c>
      <x:c r="G2875" s="42" t="n">
        <x:v>0.5883740883740883</x:v>
      </x:c>
      <x:c r="H2875" s="36" t="n">
        <x:f>E2875*G2875</x:f>
        <x:v>61779.279279279275</x:v>
      </x:c>
      <x:c r="I2875" s="36" t="n">
        <x:f>IFERROR(H2875/A2875,0)</x:f>
        <x:v>12355.855855855854</x:v>
      </x:c>
      <x:c r="J2875" s="67" t="str">
        <x:v>Modeled from live base + Sep-2026 quality ratio</x:v>
      </x:c>
      <x:c r="K2875" s="67" t="str">
        <x:v>https://www.stonealgo.com/diamond-prices/</x:v>
      </x:c>
      <x:c r="L2875" s="67" t="str">
        <x:v>https://www.pricescope.com/blog/natural-diamond-prices-september-2026</x:v>
      </x:c>
    </x:row>
    <x:row r="2876">
      <x:c r="A2876" t="n">
        <x:v>5</x:v>
      </x:c>
      <x:c r="B2876" t="str">
        <x:v>Cushion</x:v>
      </x:c>
      <x:c r="C2876" t="str">
        <x:v>K</x:v>
      </x:c>
      <x:c r="D2876" t="str">
        <x:v>VVS1</x:v>
      </x:c>
      <x:c r="E2876" s="36" t="n">
        <x:v>105000</x:v>
      </x:c>
      <x:c r="F2876" s="36" t="n">
        <x:v>2529</x:v>
      </x:c>
      <x:c r="G2876" s="42" t="n">
        <x:v>0.5424710424710425</x:v>
      </x:c>
      <x:c r="H2876" s="36" t="n">
        <x:f>E2876*G2876</x:f>
        <x:v>56959.45945945946</x:v>
      </x:c>
      <x:c r="I2876" s="36" t="n">
        <x:f>IFERROR(H2876/A2876,0)</x:f>
        <x:v>11391.891891891892</x:v>
      </x:c>
      <x:c r="J2876" s="67" t="str">
        <x:v>Modeled from live base + Sep-2026 quality ratio</x:v>
      </x:c>
      <x:c r="K2876" s="67" t="str">
        <x:v>https://www.stonealgo.com/diamond-prices/</x:v>
      </x:c>
      <x:c r="L2876" s="67" t="str">
        <x:v>https://www.pricescope.com/blog/natural-diamond-prices-september-2026</x:v>
      </x:c>
    </x:row>
    <x:row r="2877">
      <x:c r="A2877" t="n">
        <x:v>5</x:v>
      </x:c>
      <x:c r="B2877" t="str">
        <x:v>Cushion</x:v>
      </x:c>
      <x:c r="C2877" t="str">
        <x:v>K</x:v>
      </x:c>
      <x:c r="D2877" t="str">
        <x:v>VVS2</x:v>
      </x:c>
      <x:c r="E2877" s="36" t="n">
        <x:v>105000</x:v>
      </x:c>
      <x:c r="F2877" s="36" t="n">
        <x:v>2374</x:v>
      </x:c>
      <x:c r="G2877" s="42" t="n">
        <x:v>0.5092235092235092</x:v>
      </x:c>
      <x:c r="H2877" s="36" t="n">
        <x:f>E2877*G2877</x:f>
        <x:v>53468.46846846847</x:v>
      </x:c>
      <x:c r="I2877" s="36" t="n">
        <x:f>IFERROR(H2877/A2877,0)</x:f>
        <x:v>10693.693693693695</x:v>
      </x:c>
      <x:c r="J2877" s="67" t="str">
        <x:v>Modeled from live base + Sep-2026 quality ratio</x:v>
      </x:c>
      <x:c r="K2877" s="67" t="str">
        <x:v>https://www.stonealgo.com/diamond-prices/</x:v>
      </x:c>
      <x:c r="L2877" s="67" t="str">
        <x:v>https://www.pricescope.com/blog/natural-diamond-prices-september-2026</x:v>
      </x:c>
    </x:row>
    <x:row r="2878">
      <x:c r="A2878" t="n">
        <x:v>5</x:v>
      </x:c>
      <x:c r="B2878" t="str">
        <x:v>Cushion</x:v>
      </x:c>
      <x:c r="C2878" t="str">
        <x:v>K</x:v>
      </x:c>
      <x:c r="D2878" t="str">
        <x:v>VS1</x:v>
      </x:c>
      <x:c r="E2878" s="36" t="n">
        <x:v>105000</x:v>
      </x:c>
      <x:c r="F2878" s="36" t="n">
        <x:v>2223</x:v>
      </x:c>
      <x:c r="G2878" s="42" t="n">
        <x:v>0.4768339768339768</x:v>
      </x:c>
      <x:c r="H2878" s="36" t="n">
        <x:f>E2878*G2878</x:f>
        <x:v>50067.56756756757</x:v>
      </x:c>
      <x:c r="I2878" s="36" t="n">
        <x:f>IFERROR(H2878/A2878,0)</x:f>
        <x:v>10013.513513513513</x:v>
      </x:c>
      <x:c r="J2878" s="67" t="str">
        <x:v>Modeled from live base + Sep-2026 quality ratio</x:v>
      </x:c>
      <x:c r="K2878" s="67" t="str">
        <x:v>https://www.stonealgo.com/diamond-prices/</x:v>
      </x:c>
      <x:c r="L2878" s="67" t="str">
        <x:v>https://www.pricescope.com/blog/natural-diamond-prices-september-2026</x:v>
      </x:c>
    </x:row>
    <x:row r="2879">
      <x:c r="A2879" t="n">
        <x:v>5</x:v>
      </x:c>
      <x:c r="B2879" t="str">
        <x:v>Cushion</x:v>
      </x:c>
      <x:c r="C2879" t="str">
        <x:v>K</x:v>
      </x:c>
      <x:c r="D2879" t="str">
        <x:v>VS2</x:v>
      </x:c>
      <x:c r="E2879" s="36" t="n">
        <x:v>105000</x:v>
      </x:c>
      <x:c r="F2879" s="36" t="n">
        <x:v>2098</x:v>
      </x:c>
      <x:c r="G2879" s="42" t="n">
        <x:v>0.45002145002145</x:v>
      </x:c>
      <x:c r="H2879" s="36" t="n">
        <x:f>E2879*G2879</x:f>
        <x:v>47252.25225225225</x:v>
      </x:c>
      <x:c r="I2879" s="36" t="n">
        <x:f>IFERROR(H2879/A2879,0)</x:f>
        <x:v>9450.45045045045</x:v>
      </x:c>
      <x:c r="J2879" s="67" t="str">
        <x:v>Modeled from live base + Sep-2026 quality ratio</x:v>
      </x:c>
      <x:c r="K2879" s="67" t="str">
        <x:v>https://www.stonealgo.com/diamond-prices/</x:v>
      </x:c>
      <x:c r="L2879" s="67" t="str">
        <x:v>https://www.pricescope.com/blog/natural-diamond-prices-september-2026</x:v>
      </x:c>
    </x:row>
    <x:row r="2880">
      <x:c r="A2880" t="n">
        <x:v>5</x:v>
      </x:c>
      <x:c r="B2880" t="str">
        <x:v>Cushion</x:v>
      </x:c>
      <x:c r="C2880" t="str">
        <x:v>K</x:v>
      </x:c>
      <x:c r="D2880" t="str">
        <x:v>SI1</x:v>
      </x:c>
      <x:c r="E2880" s="36" t="n">
        <x:v>105000</x:v>
      </x:c>
      <x:c r="F2880" s="36" t="n">
        <x:v>1922</x:v>
      </x:c>
      <x:c r="G2880" s="42" t="n">
        <x:v>0.41226941226941227</x:v>
      </x:c>
      <x:c r="H2880" s="36" t="n">
        <x:f>E2880*G2880</x:f>
        <x:v>43288.28828828829</x:v>
      </x:c>
      <x:c r="I2880" s="36" t="n">
        <x:f>IFERROR(H2880/A2880,0)</x:f>
        <x:v>8657.657657657659</x:v>
      </x:c>
      <x:c r="J2880" s="67" t="str">
        <x:v>Modeled from live base + Sep-2026 quality ratio</x:v>
      </x:c>
      <x:c r="K2880" s="67" t="str">
        <x:v>https://www.stonealgo.com/diamond-prices/</x:v>
      </x:c>
      <x:c r="L2880" s="67" t="str">
        <x:v>https://www.pricescope.com/blog/natural-diamond-prices-september-2026</x:v>
      </x:c>
    </x:row>
    <x:row r="2881">
      <x:c r="A2881" t="n">
        <x:v>5</x:v>
      </x:c>
      <x:c r="B2881" t="str">
        <x:v>Cushion</x:v>
      </x:c>
      <x:c r="C2881" t="str">
        <x:v>K</x:v>
      </x:c>
      <x:c r="D2881" t="str">
        <x:v>SI2</x:v>
      </x:c>
      <x:c r="E2881" s="36" t="n">
        <x:v>105000</x:v>
      </x:c>
      <x:c r="F2881" s="36" t="n">
        <x:v>1764</x:v>
      </x:c>
      <x:c r="G2881" s="42" t="n">
        <x:v>0.3783783783783784</x:v>
      </x:c>
      <x:c r="H2881" s="36" t="n">
        <x:f>E2881*G2881</x:f>
        <x:v>39729.729729729734</x:v>
      </x:c>
      <x:c r="I2881" s="36" t="n">
        <x:f>IFERROR(H2881/A2881,0)</x:f>
        <x:v>7945.945945945947</x:v>
      </x:c>
      <x:c r="J2881" s="67" t="str">
        <x:v>Modeled from live base + Sep-2026 quality ratio</x:v>
      </x:c>
      <x:c r="K2881" s="67" t="str">
        <x:v>https://www.stonealgo.com/diamond-prices/</x:v>
      </x:c>
      <x:c r="L2881" s="67" t="str">
        <x:v>https://www.pricescope.com/blog/natural-diamond-prices-september-2026</x:v>
      </x:c>
    </x:row>
    <x:row r="2882">
      <x:c r="A2882" t="n">
        <x:v>5</x:v>
      </x:c>
      <x:c r="B2882" t="str">
        <x:v>Radiant</x:v>
      </x:c>
      <x:c r="C2882" t="str">
        <x:v>D</x:v>
      </x:c>
      <x:c r="D2882" t="str">
        <x:v>FL</x:v>
      </x:c>
      <x:c r="E2882" s="36" t="n">
        <x:v>90900</x:v>
      </x:c>
      <x:c r="F2882" s="36" t="n">
        <x:v>12665</x:v>
      </x:c>
      <x:c r="G2882" s="42" t="n">
        <x:v>2.7166452166452166</x:v>
      </x:c>
      <x:c r="H2882" s="36" t="n">
        <x:f>E2882*G2882</x:f>
        <x:v>246943.05019305018</x:v>
      </x:c>
      <x:c r="I2882" s="36" t="n">
        <x:f>IFERROR(H2882/A2882,0)</x:f>
        <x:v>49388.61003861004</x:v>
      </x:c>
      <x:c r="J2882" s="67" t="str">
        <x:v>Modeled from live base + Sep-2026 quality ratio</x:v>
      </x:c>
      <x:c r="K2882" s="67" t="str">
        <x:v>https://www.stonealgo.com/diamond-prices/</x:v>
      </x:c>
      <x:c r="L2882" s="67" t="str">
        <x:v>https://www.pricescope.com/blog/natural-diamond-prices-september-2026</x:v>
      </x:c>
    </x:row>
    <x:row r="2883">
      <x:c r="A2883" t="n">
        <x:v>5</x:v>
      </x:c>
      <x:c r="B2883" t="str">
        <x:v>Radiant</x:v>
      </x:c>
      <x:c r="C2883" t="str">
        <x:v>D</x:v>
      </x:c>
      <x:c r="D2883" t="str">
        <x:v>IF</x:v>
      </x:c>
      <x:c r="E2883" s="36" t="n">
        <x:v>90900</x:v>
      </x:c>
      <x:c r="F2883" s="36" t="n">
        <x:v>13240</x:v>
      </x:c>
      <x:c r="G2883" s="42" t="n">
        <x:v>2.83998283998284</x:v>
      </x:c>
      <x:c r="H2883" s="36" t="n">
        <x:f>E2883*G2883</x:f>
        <x:v>258154.44015444018</x:v>
      </x:c>
      <x:c r="I2883" s="36" t="n">
        <x:f>IFERROR(H2883/A2883,0)</x:f>
        <x:v>51630.88803088803</x:v>
      </x:c>
      <x:c r="J2883" s="67" t="str">
        <x:v>Modeled from live base + Sep-2026 quality ratio</x:v>
      </x:c>
      <x:c r="K2883" s="67" t="str">
        <x:v>https://www.stonealgo.com/diamond-prices/</x:v>
      </x:c>
      <x:c r="L2883" s="67" t="str">
        <x:v>https://www.pricescope.com/blog/natural-diamond-prices-september-2026</x:v>
      </x:c>
    </x:row>
    <x:row r="2884">
      <x:c r="A2884" t="n">
        <x:v>5</x:v>
      </x:c>
      <x:c r="B2884" t="str">
        <x:v>Radiant</x:v>
      </x:c>
      <x:c r="C2884" t="str">
        <x:v>D</x:v>
      </x:c>
      <x:c r="D2884" t="str">
        <x:v>VVS1</x:v>
      </x:c>
      <x:c r="E2884" s="36" t="n">
        <x:v>90900</x:v>
      </x:c>
      <x:c r="F2884" s="36" t="n">
        <x:v>9555</x:v>
      </x:c>
      <x:c r="G2884" s="42" t="n">
        <x:v>2.0495495495495497</x:v>
      </x:c>
      <x:c r="H2884" s="36" t="n">
        <x:f>E2884*G2884</x:f>
        <x:v>186304.05405405408</x:v>
      </x:c>
      <x:c r="I2884" s="36" t="n">
        <x:f>IFERROR(H2884/A2884,0)</x:f>
        <x:v>37260.81081081081</x:v>
      </x:c>
      <x:c r="J2884" s="67" t="str">
        <x:v>Modeled from live base + Sep-2026 quality ratio</x:v>
      </x:c>
      <x:c r="K2884" s="67" t="str">
        <x:v>https://www.stonealgo.com/diamond-prices/</x:v>
      </x:c>
      <x:c r="L2884" s="67" t="str">
        <x:v>https://www.pricescope.com/blog/natural-diamond-prices-september-2026</x:v>
      </x:c>
    </x:row>
    <x:row r="2885">
      <x:c r="A2885" t="n">
        <x:v>5</x:v>
      </x:c>
      <x:c r="B2885" t="str">
        <x:v>Radiant</x:v>
      </x:c>
      <x:c r="C2885" t="str">
        <x:v>D</x:v>
      </x:c>
      <x:c r="D2885" t="str">
        <x:v>VVS2</x:v>
      </x:c>
      <x:c r="E2885" s="36" t="n">
        <x:v>90900</x:v>
      </x:c>
      <x:c r="F2885" s="36" t="n">
        <x:v>6660</x:v>
      </x:c>
      <x:c r="G2885" s="42" t="n">
        <x:v>1.4285714285714286</x:v>
      </x:c>
      <x:c r="H2885" s="36" t="n">
        <x:f>E2885*G2885</x:f>
        <x:v>129857.14285714286</x:v>
      </x:c>
      <x:c r="I2885" s="36" t="n">
        <x:f>IFERROR(H2885/A2885,0)</x:f>
        <x:v>25971.428571428572</x:v>
      </x:c>
      <x:c r="J2885" s="67" t="str">
        <x:v>Modeled from live base + Sep-2026 quality ratio</x:v>
      </x:c>
      <x:c r="K2885" s="67" t="str">
        <x:v>https://www.stonealgo.com/diamond-prices/</x:v>
      </x:c>
      <x:c r="L2885" s="67" t="str">
        <x:v>https://www.pricescope.com/blog/natural-diamond-prices-september-2026</x:v>
      </x:c>
    </x:row>
    <x:row r="2886">
      <x:c r="A2886" t="n">
        <x:v>5</x:v>
      </x:c>
      <x:c r="B2886" t="str">
        <x:v>Radiant</x:v>
      </x:c>
      <x:c r="C2886" t="str">
        <x:v>D</x:v>
      </x:c>
      <x:c r="D2886" t="str">
        <x:v>VS1</x:v>
      </x:c>
      <x:c r="E2886" s="36" t="n">
        <x:v>90900</x:v>
      </x:c>
      <x:c r="F2886" s="36" t="n">
        <x:v>6247</x:v>
      </x:c>
      <x:c r="G2886" s="42" t="n">
        <x:v>1.33998283998284</x:v>
      </x:c>
      <x:c r="H2886" s="36" t="n">
        <x:f>E2886*G2886</x:f>
        <x:v>121804.44015444015</x:v>
      </x:c>
      <x:c r="I2886" s="36" t="n">
        <x:f>IFERROR(H2886/A2886,0)</x:f>
        <x:v>24360.88803088803</x:v>
      </x:c>
      <x:c r="J2886" s="67" t="str">
        <x:v>Modeled from live base + Sep-2026 quality ratio</x:v>
      </x:c>
      <x:c r="K2886" s="67" t="str">
        <x:v>https://www.stonealgo.com/diamond-prices/</x:v>
      </x:c>
      <x:c r="L2886" s="67" t="str">
        <x:v>https://www.pricescope.com/blog/natural-diamond-prices-september-2026</x:v>
      </x:c>
    </x:row>
    <x:row r="2887">
      <x:c r="A2887" t="n">
        <x:v>5</x:v>
      </x:c>
      <x:c r="B2887" t="str">
        <x:v>Radiant</x:v>
      </x:c>
      <x:c r="C2887" t="str">
        <x:v>D</x:v>
      </x:c>
      <x:c r="D2887" t="str">
        <x:v>VS2</x:v>
      </x:c>
      <x:c r="E2887" s="36" t="n">
        <x:v>90900</x:v>
      </x:c>
      <x:c r="F2887" s="36" t="n">
        <x:v>5841</x:v>
      </x:c>
      <x:c r="G2887" s="42" t="n">
        <x:v>1.252895752895753</x:v>
      </x:c>
      <x:c r="H2887" s="36" t="n">
        <x:f>E2887*G2887</x:f>
        <x:v>113888.22393822395</x:v>
      </x:c>
      <x:c r="I2887" s="36" t="n">
        <x:f>IFERROR(H2887/A2887,0)</x:f>
        <x:v>22777.64478764479</x:v>
      </x:c>
      <x:c r="J2887" s="67" t="str">
        <x:v>Modeled from live base + Sep-2026 quality ratio</x:v>
      </x:c>
      <x:c r="K2887" s="67" t="str">
        <x:v>https://www.stonealgo.com/diamond-prices/</x:v>
      </x:c>
      <x:c r="L2887" s="67" t="str">
        <x:v>https://www.pricescope.com/blog/natural-diamond-prices-september-2026</x:v>
      </x:c>
    </x:row>
    <x:row r="2888">
      <x:c r="A2888" t="n">
        <x:v>5</x:v>
      </x:c>
      <x:c r="B2888" t="str">
        <x:v>Radiant</x:v>
      </x:c>
      <x:c r="C2888" t="str">
        <x:v>D</x:v>
      </x:c>
      <x:c r="D2888" t="str">
        <x:v>SI1</x:v>
      </x:c>
      <x:c r="E2888" s="36" t="n">
        <x:v>90900</x:v>
      </x:c>
      <x:c r="F2888" s="36" t="n">
        <x:v>3762</x:v>
      </x:c>
      <x:c r="G2888" s="42" t="n">
        <x:v>0.806949806949807</x:v>
      </x:c>
      <x:c r="H2888" s="36" t="n">
        <x:f>E2888*G2888</x:f>
        <x:v>73351.73745173746</x:v>
      </x:c>
      <x:c r="I2888" s="36" t="n">
        <x:f>IFERROR(H2888/A2888,0)</x:f>
        <x:v>14670.34749034749</x:v>
      </x:c>
      <x:c r="J2888" s="67" t="str">
        <x:v>Modeled from live base + Sep-2026 quality ratio</x:v>
      </x:c>
      <x:c r="K2888" s="67" t="str">
        <x:v>https://www.stonealgo.com/diamond-prices/</x:v>
      </x:c>
      <x:c r="L2888" s="67" t="str">
        <x:v>https://www.pricescope.com/blog/natural-diamond-prices-september-2026</x:v>
      </x:c>
    </x:row>
    <x:row r="2889">
      <x:c r="A2889" t="n">
        <x:v>5</x:v>
      </x:c>
      <x:c r="B2889" t="str">
        <x:v>Radiant</x:v>
      </x:c>
      <x:c r="C2889" t="str">
        <x:v>D</x:v>
      </x:c>
      <x:c r="D2889" t="str">
        <x:v>SI2</x:v>
      </x:c>
      <x:c r="E2889" s="36" t="n">
        <x:v>90900</x:v>
      </x:c>
      <x:c r="F2889" s="36" t="n">
        <x:v>3026</x:v>
      </x:c>
      <x:c r="G2889" s="42" t="n">
        <x:v>0.6490776490776491</x:v>
      </x:c>
      <x:c r="H2889" s="36" t="n">
        <x:f>E2889*G2889</x:f>
        <x:v>59001.1583011583</x:v>
      </x:c>
      <x:c r="I2889" s="36" t="n">
        <x:f>IFERROR(H2889/A2889,0)</x:f>
        <x:v>11800.23166023166</x:v>
      </x:c>
      <x:c r="J2889" s="67" t="str">
        <x:v>Modeled from live base + Sep-2026 quality ratio</x:v>
      </x:c>
      <x:c r="K2889" s="67" t="str">
        <x:v>https://www.stonealgo.com/diamond-prices/</x:v>
      </x:c>
      <x:c r="L2889" s="67" t="str">
        <x:v>https://www.pricescope.com/blog/natural-diamond-prices-september-2026</x:v>
      </x:c>
    </x:row>
    <x:row r="2890">
      <x:c r="A2890" t="n">
        <x:v>5</x:v>
      </x:c>
      <x:c r="B2890" t="str">
        <x:v>Radiant</x:v>
      </x:c>
      <x:c r="C2890" t="str">
        <x:v>E</x:v>
      </x:c>
      <x:c r="D2890" t="str">
        <x:v>FL</x:v>
      </x:c>
      <x:c r="E2890" s="36" t="n">
        <x:v>90900</x:v>
      </x:c>
      <x:c r="F2890" s="36" t="n">
        <x:v>10072</x:v>
      </x:c>
      <x:c r="G2890" s="42" t="n">
        <x:v>2.1604461604461602</x:v>
      </x:c>
      <x:c r="H2890" s="36" t="n">
        <x:f>E2890*G2890</x:f>
        <x:v>196384.55598455598</x:v>
      </x:c>
      <x:c r="I2890" s="36" t="n">
        <x:f>IFERROR(H2890/A2890,0)</x:f>
        <x:v>39276.9111969112</x:v>
      </x:c>
      <x:c r="J2890" s="67" t="str">
        <x:v>Modeled from live base + Sep-2026 quality ratio</x:v>
      </x:c>
      <x:c r="K2890" s="67" t="str">
        <x:v>https://www.stonealgo.com/diamond-prices/</x:v>
      </x:c>
      <x:c r="L2890" s="67" t="str">
        <x:v>https://www.pricescope.com/blog/natural-diamond-prices-september-2026</x:v>
      </x:c>
    </x:row>
    <x:row r="2891">
      <x:c r="A2891" t="n">
        <x:v>5</x:v>
      </x:c>
      <x:c r="B2891" t="str">
        <x:v>Radiant</x:v>
      </x:c>
      <x:c r="C2891" t="str">
        <x:v>E</x:v>
      </x:c>
      <x:c r="D2891" t="str">
        <x:v>IF</x:v>
      </x:c>
      <x:c r="E2891" s="36" t="n">
        <x:v>90900</x:v>
      </x:c>
      <x:c r="F2891" s="36" t="n">
        <x:v>8672</x:v>
      </x:c>
      <x:c r="G2891" s="42" t="n">
        <x:v>1.8601458601458603</x:v>
      </x:c>
      <x:c r="H2891" s="36" t="n">
        <x:f>E2891*G2891</x:f>
        <x:v>169087.2586872587</x:v>
      </x:c>
      <x:c r="I2891" s="36" t="n">
        <x:f>IFERROR(H2891/A2891,0)</x:f>
        <x:v>33817.45173745174</x:v>
      </x:c>
      <x:c r="J2891" s="67" t="str">
        <x:v>Modeled from live base + Sep-2026 quality ratio</x:v>
      </x:c>
      <x:c r="K2891" s="67" t="str">
        <x:v>https://www.stonealgo.com/diamond-prices/</x:v>
      </x:c>
      <x:c r="L2891" s="67" t="str">
        <x:v>https://www.pricescope.com/blog/natural-diamond-prices-september-2026</x:v>
      </x:c>
    </x:row>
    <x:row r="2892">
      <x:c r="A2892" t="n">
        <x:v>5</x:v>
      </x:c>
      <x:c r="B2892" t="str">
        <x:v>Radiant</x:v>
      </x:c>
      <x:c r="C2892" t="str">
        <x:v>E</x:v>
      </x:c>
      <x:c r="D2892" t="str">
        <x:v>VVS1</x:v>
      </x:c>
      <x:c r="E2892" s="36" t="n">
        <x:v>90900</x:v>
      </x:c>
      <x:c r="F2892" s="36" t="n">
        <x:v>7842</x:v>
      </x:c>
      <x:c r="G2892" s="42" t="n">
        <x:v>1.6821106821106822</x:v>
      </x:c>
      <x:c r="H2892" s="36" t="n">
        <x:f>E2892*G2892</x:f>
        <x:v>152903.861003861</x:v>
      </x:c>
      <x:c r="I2892" s="36" t="n">
        <x:f>IFERROR(H2892/A2892,0)</x:f>
        <x:v>30580.7722007722</x:v>
      </x:c>
      <x:c r="J2892" s="67" t="str">
        <x:v>Modeled from live base + Sep-2026 quality ratio</x:v>
      </x:c>
      <x:c r="K2892" s="67" t="str">
        <x:v>https://www.stonealgo.com/diamond-prices/</x:v>
      </x:c>
      <x:c r="L2892" s="67" t="str">
        <x:v>https://www.pricescope.com/blog/natural-diamond-prices-september-2026</x:v>
      </x:c>
    </x:row>
    <x:row r="2893">
      <x:c r="A2893" t="n">
        <x:v>5</x:v>
      </x:c>
      <x:c r="B2893" t="str">
        <x:v>Radiant</x:v>
      </x:c>
      <x:c r="C2893" t="str">
        <x:v>E</x:v>
      </x:c>
      <x:c r="D2893" t="str">
        <x:v>VVS2</x:v>
      </x:c>
      <x:c r="E2893" s="36" t="n">
        <x:v>90900</x:v>
      </x:c>
      <x:c r="F2893" s="36" t="n">
        <x:v>6880</x:v>
      </x:c>
      <x:c r="G2893" s="42" t="n">
        <x:v>1.4757614757614759</x:v>
      </x:c>
      <x:c r="H2893" s="36" t="n">
        <x:f>E2893*G2893</x:f>
        <x:v>134146.71814671817</x:v>
      </x:c>
      <x:c r="I2893" s="36" t="n">
        <x:f>IFERROR(H2893/A2893,0)</x:f>
        <x:v>26829.34362934363</x:v>
      </x:c>
      <x:c r="J2893" s="67" t="str">
        <x:v>Modeled from live base + Sep-2026 quality ratio</x:v>
      </x:c>
      <x:c r="K2893" s="67" t="str">
        <x:v>https://www.stonealgo.com/diamond-prices/</x:v>
      </x:c>
      <x:c r="L2893" s="67" t="str">
        <x:v>https://www.pricescope.com/blog/natural-diamond-prices-september-2026</x:v>
      </x:c>
    </x:row>
    <x:row r="2894">
      <x:c r="A2894" t="n">
        <x:v>5</x:v>
      </x:c>
      <x:c r="B2894" t="str">
        <x:v>Radiant</x:v>
      </x:c>
      <x:c r="C2894" t="str">
        <x:v>E</x:v>
      </x:c>
      <x:c r="D2894" t="str">
        <x:v>VS1</x:v>
      </x:c>
      <x:c r="E2894" s="36" t="n">
        <x:v>90900</x:v>
      </x:c>
      <x:c r="F2894" s="36" t="n">
        <x:v>6307</x:v>
      </x:c>
      <x:c r="G2894" s="42" t="n">
        <x:v>1.352852852852853</x:v>
      </x:c>
      <x:c r="H2894" s="36" t="n">
        <x:f>E2894*G2894</x:f>
        <x:v>122974.32432432433</x:v>
      </x:c>
      <x:c r="I2894" s="36" t="n">
        <x:f>IFERROR(H2894/A2894,0)</x:f>
        <x:v>24594.864864864867</x:v>
      </x:c>
      <x:c r="J2894" s="67" t="str">
        <x:v>Modeled from live base + Sep-2026 quality ratio</x:v>
      </x:c>
      <x:c r="K2894" s="67" t="str">
        <x:v>https://www.stonealgo.com/diamond-prices/</x:v>
      </x:c>
      <x:c r="L2894" s="67" t="str">
        <x:v>https://www.pricescope.com/blog/natural-diamond-prices-september-2026</x:v>
      </x:c>
    </x:row>
    <x:row r="2895">
      <x:c r="A2895" t="n">
        <x:v>5</x:v>
      </x:c>
      <x:c r="B2895" t="str">
        <x:v>Radiant</x:v>
      </x:c>
      <x:c r="C2895" t="str">
        <x:v>E</x:v>
      </x:c>
      <x:c r="D2895" t="str">
        <x:v>VS2</x:v>
      </x:c>
      <x:c r="E2895" s="36" t="n">
        <x:v>90900</x:v>
      </x:c>
      <x:c r="F2895" s="36" t="n">
        <x:v>5249</x:v>
      </x:c>
      <x:c r="G2895" s="42" t="n">
        <x:v>1.125911625911626</x:v>
      </x:c>
      <x:c r="H2895" s="36" t="n">
        <x:f>E2895*G2895</x:f>
        <x:v>102345.3667953668</x:v>
      </x:c>
      <x:c r="I2895" s="36" t="n">
        <x:f>IFERROR(H2895/A2895,0)</x:f>
        <x:v>20469.07335907336</x:v>
      </x:c>
      <x:c r="J2895" s="67" t="str">
        <x:v>Modeled from live base + Sep-2026 quality ratio</x:v>
      </x:c>
      <x:c r="K2895" s="67" t="str">
        <x:v>https://www.stonealgo.com/diamond-prices/</x:v>
      </x:c>
      <x:c r="L2895" s="67" t="str">
        <x:v>https://www.pricescope.com/blog/natural-diamond-prices-september-2026</x:v>
      </x:c>
    </x:row>
    <x:row r="2896">
      <x:c r="A2896" t="n">
        <x:v>5</x:v>
      </x:c>
      <x:c r="B2896" t="str">
        <x:v>Radiant</x:v>
      </x:c>
      <x:c r="C2896" t="str">
        <x:v>E</x:v>
      </x:c>
      <x:c r="D2896" t="str">
        <x:v>SI1</x:v>
      </x:c>
      <x:c r="E2896" s="36" t="n">
        <x:v>90900</x:v>
      </x:c>
      <x:c r="F2896" s="36" t="n">
        <x:v>3551</x:v>
      </x:c>
      <x:c r="G2896" s="42" t="n">
        <x:v>0.7616902616902617</x:v>
      </x:c>
      <x:c r="H2896" s="36" t="n">
        <x:f>E2896*G2896</x:f>
        <x:v>69237.64478764478</x:v>
      </x:c>
      <x:c r="I2896" s="36" t="n">
        <x:f>IFERROR(H2896/A2896,0)</x:f>
        <x:v>13847.528957528955</x:v>
      </x:c>
      <x:c r="J2896" s="67" t="str">
        <x:v>Modeled from live base + Sep-2026 quality ratio</x:v>
      </x:c>
      <x:c r="K2896" s="67" t="str">
        <x:v>https://www.stonealgo.com/diamond-prices/</x:v>
      </x:c>
      <x:c r="L2896" s="67" t="str">
        <x:v>https://www.pricescope.com/blog/natural-diamond-prices-september-2026</x:v>
      </x:c>
    </x:row>
    <x:row r="2897">
      <x:c r="A2897" t="n">
        <x:v>5</x:v>
      </x:c>
      <x:c r="B2897" t="str">
        <x:v>Radiant</x:v>
      </x:c>
      <x:c r="C2897" t="str">
        <x:v>E</x:v>
      </x:c>
      <x:c r="D2897" t="str">
        <x:v>SI2</x:v>
      </x:c>
      <x:c r="E2897" s="36" t="n">
        <x:v>90900</x:v>
      </x:c>
      <x:c r="F2897" s="36" t="n">
        <x:v>2993</x:v>
      </x:c>
      <x:c r="G2897" s="42" t="n">
        <x:v>0.641999141999142</x:v>
      </x:c>
      <x:c r="H2897" s="36" t="n">
        <x:f>E2897*G2897</x:f>
        <x:v>58357.722007722004</x:v>
      </x:c>
      <x:c r="I2897" s="36" t="n">
        <x:f>IFERROR(H2897/A2897,0)</x:f>
        <x:v>11671.5444015444</x:v>
      </x:c>
      <x:c r="J2897" s="67" t="str">
        <x:v>Modeled from live base + Sep-2026 quality ratio</x:v>
      </x:c>
      <x:c r="K2897" s="67" t="str">
        <x:v>https://www.stonealgo.com/diamond-prices/</x:v>
      </x:c>
      <x:c r="L2897" s="67" t="str">
        <x:v>https://www.pricescope.com/blog/natural-diamond-prices-september-2026</x:v>
      </x:c>
    </x:row>
    <x:row r="2898">
      <x:c r="A2898" t="n">
        <x:v>5</x:v>
      </x:c>
      <x:c r="B2898" t="str">
        <x:v>Radiant</x:v>
      </x:c>
      <x:c r="C2898" t="str">
        <x:v>F</x:v>
      </x:c>
      <x:c r="D2898" t="str">
        <x:v>FL</x:v>
      </x:c>
      <x:c r="E2898" s="36" t="n">
        <x:v>90900</x:v>
      </x:c>
      <x:c r="F2898" s="36" t="n">
        <x:v>6830</x:v>
      </x:c>
      <x:c r="G2898" s="42" t="n">
        <x:v>1.4650364650364651</x:v>
      </x:c>
      <x:c r="H2898" s="36" t="n">
        <x:f>E2898*G2898</x:f>
        <x:v>133171.81467181467</x:v>
      </x:c>
      <x:c r="I2898" s="36" t="n">
        <x:f>IFERROR(H2898/A2898,0)</x:f>
        <x:v>26634.362934362936</x:v>
      </x:c>
      <x:c r="J2898" s="67" t="str">
        <x:v>Modeled from live base + Sep-2026 quality ratio</x:v>
      </x:c>
      <x:c r="K2898" s="67" t="str">
        <x:v>https://www.stonealgo.com/diamond-prices/</x:v>
      </x:c>
      <x:c r="L2898" s="67" t="str">
        <x:v>https://www.pricescope.com/blog/natural-diamond-prices-september-2026</x:v>
      </x:c>
    </x:row>
    <x:row r="2899">
      <x:c r="A2899" t="n">
        <x:v>5</x:v>
      </x:c>
      <x:c r="B2899" t="str">
        <x:v>Radiant</x:v>
      </x:c>
      <x:c r="C2899" t="str">
        <x:v>F</x:v>
      </x:c>
      <x:c r="D2899" t="str">
        <x:v>IF</x:v>
      </x:c>
      <x:c r="E2899" s="36" t="n">
        <x:v>90900</x:v>
      </x:c>
      <x:c r="F2899" s="36" t="n">
        <x:v>7302</x:v>
      </x:c>
      <x:c r="G2899" s="42" t="n">
        <x:v>1.5662805662805663</x:v>
      </x:c>
      <x:c r="H2899" s="36" t="n">
        <x:f>E2899*G2899</x:f>
        <x:v>142374.9034749035</x:v>
      </x:c>
      <x:c r="I2899" s="36" t="n">
        <x:f>IFERROR(H2899/A2899,0)</x:f>
        <x:v>28474.9806949807</x:v>
      </x:c>
      <x:c r="J2899" s="67" t="str">
        <x:v>Modeled from live base + Sep-2026 quality ratio</x:v>
      </x:c>
      <x:c r="K2899" s="67" t="str">
        <x:v>https://www.stonealgo.com/diamond-prices/</x:v>
      </x:c>
      <x:c r="L2899" s="67" t="str">
        <x:v>https://www.pricescope.com/blog/natural-diamond-prices-september-2026</x:v>
      </x:c>
    </x:row>
    <x:row r="2900">
      <x:c r="A2900" t="n">
        <x:v>5</x:v>
      </x:c>
      <x:c r="B2900" t="str">
        <x:v>Radiant</x:v>
      </x:c>
      <x:c r="C2900" t="str">
        <x:v>F</x:v>
      </x:c>
      <x:c r="D2900" t="str">
        <x:v>VVS1</x:v>
      </x:c>
      <x:c r="E2900" s="36" t="n">
        <x:v>90900</x:v>
      </x:c>
      <x:c r="F2900" s="36" t="n">
        <x:v>7542</x:v>
      </x:c>
      <x:c r="G2900" s="42" t="n">
        <x:v>1.6177606177606179</x:v>
      </x:c>
      <x:c r="H2900" s="36" t="n">
        <x:f>E2900*G2900</x:f>
        <x:v>147054.44015444018</x:v>
      </x:c>
      <x:c r="I2900" s="36" t="n">
        <x:f>IFERROR(H2900/A2900,0)</x:f>
        <x:v>29410.888030888036</x:v>
      </x:c>
      <x:c r="J2900" s="67" t="str">
        <x:v>Modeled from live base + Sep-2026 quality ratio</x:v>
      </x:c>
      <x:c r="K2900" s="67" t="str">
        <x:v>https://www.stonealgo.com/diamond-prices/</x:v>
      </x:c>
      <x:c r="L2900" s="67" t="str">
        <x:v>https://www.pricescope.com/blog/natural-diamond-prices-september-2026</x:v>
      </x:c>
    </x:row>
    <x:row r="2901">
      <x:c r="A2901" t="n">
        <x:v>5</x:v>
      </x:c>
      <x:c r="B2901" t="str">
        <x:v>Radiant</x:v>
      </x:c>
      <x:c r="C2901" t="str">
        <x:v>F</x:v>
      </x:c>
      <x:c r="D2901" t="str">
        <x:v>VVS2</x:v>
      </x:c>
      <x:c r="E2901" s="36" t="n">
        <x:v>90900</x:v>
      </x:c>
      <x:c r="F2901" s="36" t="n">
        <x:v>6352</x:v>
      </x:c>
      <x:c r="G2901" s="42" t="n">
        <x:v>1.3625053625053625</x:v>
      </x:c>
      <x:c r="H2901" s="36" t="n">
        <x:f>E2901*G2901</x:f>
        <x:v>123851.73745173746</x:v>
      </x:c>
      <x:c r="I2901" s="36" t="n">
        <x:f>IFERROR(H2901/A2901,0)</x:f>
        <x:v>24770.347490347493</x:v>
      </x:c>
      <x:c r="J2901" s="67" t="str">
        <x:v>Modeled from live base + Sep-2026 quality ratio</x:v>
      </x:c>
      <x:c r="K2901" s="67" t="str">
        <x:v>https://www.stonealgo.com/diamond-prices/</x:v>
      </x:c>
      <x:c r="L2901" s="67" t="str">
        <x:v>https://www.pricescope.com/blog/natural-diamond-prices-september-2026</x:v>
      </x:c>
    </x:row>
    <x:row r="2902">
      <x:c r="A2902" t="n">
        <x:v>5</x:v>
      </x:c>
      <x:c r="B2902" t="str">
        <x:v>Radiant</x:v>
      </x:c>
      <x:c r="C2902" t="str">
        <x:v>F</x:v>
      </x:c>
      <x:c r="D2902" t="str">
        <x:v>VS1</x:v>
      </x:c>
      <x:c r="E2902" s="36" t="n">
        <x:v>90900</x:v>
      </x:c>
      <x:c r="F2902" s="36" t="n">
        <x:v>5647</x:v>
      </x:c>
      <x:c r="G2902" s="42" t="n">
        <x:v>1.2112827112827114</x:v>
      </x:c>
      <x:c r="H2902" s="36" t="n">
        <x:f>E2902*G2902</x:f>
        <x:v>110105.59845559846</x:v>
      </x:c>
      <x:c r="I2902" s="36" t="n">
        <x:f>IFERROR(H2902/A2902,0)</x:f>
        <x:v>22021.119691119693</x:v>
      </x:c>
      <x:c r="J2902" s="67" t="str">
        <x:v>Modeled from live base + Sep-2026 quality ratio</x:v>
      </x:c>
      <x:c r="K2902" s="67" t="str">
        <x:v>https://www.stonealgo.com/diamond-prices/</x:v>
      </x:c>
      <x:c r="L2902" s="67" t="str">
        <x:v>https://www.pricescope.com/blog/natural-diamond-prices-september-2026</x:v>
      </x:c>
    </x:row>
    <x:row r="2903">
      <x:c r="A2903" t="n">
        <x:v>5</x:v>
      </x:c>
      <x:c r="B2903" t="str">
        <x:v>Radiant</x:v>
      </x:c>
      <x:c r="C2903" t="str">
        <x:v>F</x:v>
      </x:c>
      <x:c r="D2903" t="str">
        <x:v>VS2</x:v>
      </x:c>
      <x:c r="E2903" s="36" t="n">
        <x:v>90900</x:v>
      </x:c>
      <x:c r="F2903" s="36" t="n">
        <x:v>4730</x:v>
      </x:c>
      <x:c r="G2903" s="42" t="n">
        <x:v>1.0145860145860146</x:v>
      </x:c>
      <x:c r="H2903" s="36" t="n">
        <x:f>E2903*G2903</x:f>
        <x:v>92225.86872586873</x:v>
      </x:c>
      <x:c r="I2903" s="36" t="n">
        <x:f>IFERROR(H2903/A2903,0)</x:f>
        <x:v>18445.173745173746</x:v>
      </x:c>
      <x:c r="J2903" s="67" t="str">
        <x:v>Modeled from live base + Sep-2026 quality ratio</x:v>
      </x:c>
      <x:c r="K2903" s="67" t="str">
        <x:v>https://www.stonealgo.com/diamond-prices/</x:v>
      </x:c>
      <x:c r="L2903" s="67" t="str">
        <x:v>https://www.pricescope.com/blog/natural-diamond-prices-september-2026</x:v>
      </x:c>
    </x:row>
    <x:row r="2904">
      <x:c r="A2904" t="n">
        <x:v>5</x:v>
      </x:c>
      <x:c r="B2904" t="str">
        <x:v>Radiant</x:v>
      </x:c>
      <x:c r="C2904" t="str">
        <x:v>F</x:v>
      </x:c>
      <x:c r="D2904" t="str">
        <x:v>SI1</x:v>
      </x:c>
      <x:c r="E2904" s="36" t="n">
        <x:v>90900</x:v>
      </x:c>
      <x:c r="F2904" s="36" t="n">
        <x:v>3331</x:v>
      </x:c>
      <x:c r="G2904" s="42" t="n">
        <x:v>0.7145002145002145</x:v>
      </x:c>
      <x:c r="H2904" s="36" t="n">
        <x:f>E2904*G2904</x:f>
        <x:v>64948.0694980695</x:v>
      </x:c>
      <x:c r="I2904" s="36" t="n">
        <x:f>IFERROR(H2904/A2904,0)</x:f>
        <x:v>12989.6138996139</x:v>
      </x:c>
      <x:c r="J2904" s="67" t="str">
        <x:v>Modeled from live base + Sep-2026 quality ratio</x:v>
      </x:c>
      <x:c r="K2904" s="67" t="str">
        <x:v>https://www.stonealgo.com/diamond-prices/</x:v>
      </x:c>
      <x:c r="L2904" s="67" t="str">
        <x:v>https://www.pricescope.com/blog/natural-diamond-prices-september-2026</x:v>
      </x:c>
    </x:row>
    <x:row r="2905">
      <x:c r="A2905" t="n">
        <x:v>5</x:v>
      </x:c>
      <x:c r="B2905" t="str">
        <x:v>Radiant</x:v>
      </x:c>
      <x:c r="C2905" t="str">
        <x:v>F</x:v>
      </x:c>
      <x:c r="D2905" t="str">
        <x:v>SI2</x:v>
      </x:c>
      <x:c r="E2905" s="36" t="n">
        <x:v>90900</x:v>
      </x:c>
      <x:c r="F2905" s="36" t="n">
        <x:v>2733</x:v>
      </x:c>
      <x:c r="G2905" s="42" t="n">
        <x:v>0.5862290862290862</x:v>
      </x:c>
      <x:c r="H2905" s="36" t="n">
        <x:f>E2905*G2905</x:f>
        <x:v>53288.223938223935</x:v>
      </x:c>
      <x:c r="I2905" s="36" t="n">
        <x:f>IFERROR(H2905/A2905,0)</x:f>
        <x:v>10657.644787644787</x:v>
      </x:c>
      <x:c r="J2905" s="67" t="str">
        <x:v>Modeled from live base + Sep-2026 quality ratio</x:v>
      </x:c>
      <x:c r="K2905" s="67" t="str">
        <x:v>https://www.stonealgo.com/diamond-prices/</x:v>
      </x:c>
      <x:c r="L2905" s="67" t="str">
        <x:v>https://www.pricescope.com/blog/natural-diamond-prices-september-2026</x:v>
      </x:c>
    </x:row>
    <x:row r="2906">
      <x:c r="A2906" t="n">
        <x:v>5</x:v>
      </x:c>
      <x:c r="B2906" t="str">
        <x:v>Radiant</x:v>
      </x:c>
      <x:c r="C2906" t="str">
        <x:v>G</x:v>
      </x:c>
      <x:c r="D2906" t="str">
        <x:v>FL</x:v>
      </x:c>
      <x:c r="E2906" s="36" t="n">
        <x:v>90900</x:v>
      </x:c>
      <x:c r="F2906" s="36" t="n">
        <x:v>5905</x:v>
      </x:c>
      <x:c r="G2906" s="42" t="n">
        <x:v>1.2666237666237665</x:v>
      </x:c>
      <x:c r="H2906" s="36" t="n">
        <x:f>E2906*G2906</x:f>
        <x:v>115136.10038610037</x:v>
      </x:c>
      <x:c r="I2906" s="36" t="n">
        <x:f>IFERROR(H2906/A2906,0)</x:f>
        <x:v>23027.220077220074</x:v>
      </x:c>
      <x:c r="J2906" s="67" t="str">
        <x:v>Modeled from live base + Sep-2026 quality ratio</x:v>
      </x:c>
      <x:c r="K2906" s="67" t="str">
        <x:v>https://www.stonealgo.com/diamond-prices/</x:v>
      </x:c>
      <x:c r="L2906" s="67" t="str">
        <x:v>https://www.pricescope.com/blog/natural-diamond-prices-september-2026</x:v>
      </x:c>
    </x:row>
    <x:row r="2907">
      <x:c r="A2907" t="n">
        <x:v>5</x:v>
      </x:c>
      <x:c r="B2907" t="str">
        <x:v>Radiant</x:v>
      </x:c>
      <x:c r="C2907" t="str">
        <x:v>G</x:v>
      </x:c>
      <x:c r="D2907" t="str">
        <x:v>IF</x:v>
      </x:c>
      <x:c r="E2907" s="36" t="n">
        <x:v>90900</x:v>
      </x:c>
      <x:c r="F2907" s="36" t="n">
        <x:v>5601</x:v>
      </x:c>
      <x:c r="G2907" s="42" t="n">
        <x:v>1.2014157014157014</x:v>
      </x:c>
      <x:c r="H2907" s="36" t="n">
        <x:f>E2907*G2907</x:f>
        <x:v>109208.68725868726</x:v>
      </x:c>
      <x:c r="I2907" s="36" t="n">
        <x:f>IFERROR(H2907/A2907,0)</x:f>
        <x:v>21841.737451737452</x:v>
      </x:c>
      <x:c r="J2907" s="67" t="str">
        <x:v>Modeled from live base + Sep-2026 quality ratio</x:v>
      </x:c>
      <x:c r="K2907" s="67" t="str">
        <x:v>https://www.stonealgo.com/diamond-prices/</x:v>
      </x:c>
      <x:c r="L2907" s="67" t="str">
        <x:v>https://www.pricescope.com/blog/natural-diamond-prices-september-2026</x:v>
      </x:c>
    </x:row>
    <x:row r="2908">
      <x:c r="A2908" t="n">
        <x:v>5</x:v>
      </x:c>
      <x:c r="B2908" t="str">
        <x:v>Radiant</x:v>
      </x:c>
      <x:c r="C2908" t="str">
        <x:v>G</x:v>
      </x:c>
      <x:c r="D2908" t="str">
        <x:v>VVS1</x:v>
      </x:c>
      <x:c r="E2908" s="36" t="n">
        <x:v>90900</x:v>
      </x:c>
      <x:c r="F2908" s="36" t="n">
        <x:v>5124</x:v>
      </x:c>
      <x:c r="G2908" s="42" t="n">
        <x:v>1.0990990990990992</x:v>
      </x:c>
      <x:c r="H2908" s="36" t="n">
        <x:f>E2908*G2908</x:f>
        <x:v>99908.10810810812</x:v>
      </x:c>
      <x:c r="I2908" s="36" t="n">
        <x:f>IFERROR(H2908/A2908,0)</x:f>
        <x:v>19981.621621621623</x:v>
      </x:c>
      <x:c r="J2908" s="67" t="str">
        <x:v>Modeled from live base + Sep-2026 quality ratio</x:v>
      </x:c>
      <x:c r="K2908" s="67" t="str">
        <x:v>https://www.stonealgo.com/diamond-prices/</x:v>
      </x:c>
      <x:c r="L2908" s="67" t="str">
        <x:v>https://www.pricescope.com/blog/natural-diamond-prices-september-2026</x:v>
      </x:c>
    </x:row>
    <x:row r="2909">
      <x:c r="A2909" t="n">
        <x:v>5</x:v>
      </x:c>
      <x:c r="B2909" t="str">
        <x:v>Radiant</x:v>
      </x:c>
      <x:c r="C2909" t="str">
        <x:v>G</x:v>
      </x:c>
      <x:c r="D2909" t="str">
        <x:v>VVS2</x:v>
      </x:c>
      <x:c r="E2909" s="36" t="n">
        <x:v>90900</x:v>
      </x:c>
      <x:c r="F2909" s="36" t="n">
        <x:v>4962</x:v>
      </x:c>
      <x:c r="G2909" s="42" t="n">
        <x:v>1.0643500643500643</x:v>
      </x:c>
      <x:c r="H2909" s="36" t="n">
        <x:f>E2909*G2909</x:f>
        <x:v>96749.42084942084</x:v>
      </x:c>
      <x:c r="I2909" s="36" t="n">
        <x:f>IFERROR(H2909/A2909,0)</x:f>
        <x:v>19349.884169884168</x:v>
      </x:c>
      <x:c r="J2909" s="67" t="str">
        <x:v>Modeled from live base + Sep-2026 quality ratio</x:v>
      </x:c>
      <x:c r="K2909" s="67" t="str">
        <x:v>https://www.stonealgo.com/diamond-prices/</x:v>
      </x:c>
      <x:c r="L2909" s="67" t="str">
        <x:v>https://www.pricescope.com/blog/natural-diamond-prices-september-2026</x:v>
      </x:c>
    </x:row>
    <x:row r="2910">
      <x:c r="A2910" t="n">
        <x:v>5</x:v>
      </x:c>
      <x:c r="B2910" t="str">
        <x:v>Radiant</x:v>
      </x:c>
      <x:c r="C2910" t="str">
        <x:v>G</x:v>
      </x:c>
      <x:c r="D2910" t="str">
        <x:v>VS1</x:v>
      </x:c>
      <x:c r="E2910" s="36" t="n">
        <x:v>90900</x:v>
      </x:c>
      <x:c r="F2910" s="36" t="n">
        <x:v>4615</x:v>
      </x:c>
      <x:c r="G2910" s="42" t="n">
        <x:v>0.98991848991849</x:v>
      </x:c>
      <x:c r="H2910" s="36" t="n">
        <x:f>E2910*G2910</x:f>
        <x:v>89983.59073359074</x:v>
      </x:c>
      <x:c r="I2910" s="36" t="n">
        <x:f>IFERROR(H2910/A2910,0)</x:f>
        <x:v>17996.718146718147</x:v>
      </x:c>
      <x:c r="J2910" s="67" t="str">
        <x:v>Modeled from live base + Sep-2026 quality ratio</x:v>
      </x:c>
      <x:c r="K2910" s="67" t="str">
        <x:v>https://www.stonealgo.com/diamond-prices/</x:v>
      </x:c>
      <x:c r="L2910" s="67" t="str">
        <x:v>https://www.pricescope.com/blog/natural-diamond-prices-september-2026</x:v>
      </x:c>
    </x:row>
    <x:row r="2911">
      <x:c r="A2911" t="n">
        <x:v>5</x:v>
      </x:c>
      <x:c r="B2911" t="str">
        <x:v>Radiant</x:v>
      </x:c>
      <x:c r="C2911" t="str">
        <x:v>G</x:v>
      </x:c>
      <x:c r="D2911" t="str">
        <x:v>VS2</x:v>
      </x:c>
      <x:c r="E2911" s="36" t="n">
        <x:v>90900</x:v>
      </x:c>
      <x:c r="F2911" s="36" t="n">
        <x:v>4585</x:v>
      </x:c>
      <x:c r="G2911" s="42" t="n">
        <x:v>0.9834834834834835</x:v>
      </x:c>
      <x:c r="H2911" s="36" t="n">
        <x:f>E2911*G2911</x:f>
        <x:v>89398.64864864865</x:v>
      </x:c>
      <x:c r="I2911" s="36" t="n">
        <x:f>IFERROR(H2911/A2911,0)</x:f>
        <x:v>17879.72972972973</x:v>
      </x:c>
      <x:c r="J2911" s="67" t="str">
        <x:v>Modeled from live base + Sep-2026 quality ratio</x:v>
      </x:c>
      <x:c r="K2911" s="67" t="str">
        <x:v>https://www.stonealgo.com/diamond-prices/</x:v>
      </x:c>
      <x:c r="L2911" s="67" t="str">
        <x:v>https://www.pricescope.com/blog/natural-diamond-prices-september-2026</x:v>
      </x:c>
    </x:row>
    <x:row r="2912">
      <x:c r="A2912" t="n">
        <x:v>5</x:v>
      </x:c>
      <x:c r="B2912" t="str">
        <x:v>Radiant</x:v>
      </x:c>
      <x:c r="C2912" t="str">
        <x:v>G</x:v>
      </x:c>
      <x:c r="D2912" t="str">
        <x:v>SI1</x:v>
      </x:c>
      <x:c r="E2912" s="36" t="n">
        <x:v>90900</x:v>
      </x:c>
      <x:c r="F2912" s="36" t="n">
        <x:v>3664</x:v>
      </x:c>
      <x:c r="G2912" s="42" t="n">
        <x:v>0.7859287859287859</x:v>
      </x:c>
      <x:c r="H2912" s="36" t="n">
        <x:f>E2912*G2912</x:f>
        <x:v>71440.92664092664</x:v>
      </x:c>
      <x:c r="I2912" s="36" t="n">
        <x:f>IFERROR(H2912/A2912,0)</x:f>
        <x:v>14288.18532818533</x:v>
      </x:c>
      <x:c r="J2912" s="67" t="str">
        <x:v>Modeled from live base + Sep-2026 quality ratio</x:v>
      </x:c>
      <x:c r="K2912" s="67" t="str">
        <x:v>https://www.stonealgo.com/diamond-prices/</x:v>
      </x:c>
      <x:c r="L2912" s="67" t="str">
        <x:v>https://www.pricescope.com/blog/natural-diamond-prices-september-2026</x:v>
      </x:c>
    </x:row>
    <x:row r="2913">
      <x:c r="A2913" t="n">
        <x:v>5</x:v>
      </x:c>
      <x:c r="B2913" t="str">
        <x:v>Radiant</x:v>
      </x:c>
      <x:c r="C2913" t="str">
        <x:v>G</x:v>
      </x:c>
      <x:c r="D2913" t="str">
        <x:v>SI2</x:v>
      </x:c>
      <x:c r="E2913" s="36" t="n">
        <x:v>90900</x:v>
      </x:c>
      <x:c r="F2913" s="36" t="n">
        <x:v>2537</x:v>
      </x:c>
      <x:c r="G2913" s="42" t="n">
        <x:v>0.5441870441870442</x:v>
      </x:c>
      <x:c r="H2913" s="36" t="n">
        <x:f>E2913*G2913</x:f>
        <x:v>49466.60231660232</x:v>
      </x:c>
      <x:c r="I2913" s="36" t="n">
        <x:f>IFERROR(H2913/A2913,0)</x:f>
        <x:v>9893.320463320464</x:v>
      </x:c>
      <x:c r="J2913" s="67" t="str">
        <x:v>Modeled from live base + Sep-2026 quality ratio</x:v>
      </x:c>
      <x:c r="K2913" s="67" t="str">
        <x:v>https://www.stonealgo.com/diamond-prices/</x:v>
      </x:c>
      <x:c r="L2913" s="67" t="str">
        <x:v>https://www.pricescope.com/blog/natural-diamond-prices-september-2026</x:v>
      </x:c>
    </x:row>
    <x:row r="2914">
      <x:c r="A2914" t="n">
        <x:v>5</x:v>
      </x:c>
      <x:c r="B2914" t="str">
        <x:v>Radiant</x:v>
      </x:c>
      <x:c r="C2914" t="str">
        <x:v>H</x:v>
      </x:c>
      <x:c r="D2914" t="str">
        <x:v>FL</x:v>
      </x:c>
      <x:c r="E2914" s="36" t="n">
        <x:v>90900</x:v>
      </x:c>
      <x:c r="F2914" s="36" t="n">
        <x:v>4563</x:v>
      </x:c>
      <x:c r="G2914" s="42" t="n">
        <x:v>0.9787644787644788</x:v>
      </x:c>
      <x:c r="H2914" s="36" t="n">
        <x:f>E2914*G2914</x:f>
        <x:v>88969.69111969112</x:v>
      </x:c>
      <x:c r="I2914" s="36" t="n">
        <x:f>IFERROR(H2914/A2914,0)</x:f>
        <x:v>17793.938223938225</x:v>
      </x:c>
      <x:c r="J2914" s="67" t="str">
        <x:v>Modeled from live base + Sep-2026 quality ratio</x:v>
      </x:c>
      <x:c r="K2914" s="67" t="str">
        <x:v>https://www.stonealgo.com/diamond-prices/</x:v>
      </x:c>
      <x:c r="L2914" s="67" t="str">
        <x:v>https://www.pricescope.com/blog/natural-diamond-prices-september-2026</x:v>
      </x:c>
    </x:row>
    <x:row r="2915">
      <x:c r="A2915" t="n">
        <x:v>5</x:v>
      </x:c>
      <x:c r="B2915" t="str">
        <x:v>Radiant</x:v>
      </x:c>
      <x:c r="C2915" t="str">
        <x:v>H</x:v>
      </x:c>
      <x:c r="D2915" t="str">
        <x:v>IF</x:v>
      </x:c>
      <x:c r="E2915" s="36" t="n">
        <x:v>90900</x:v>
      </x:c>
      <x:c r="F2915" s="36" t="n">
        <x:v>4809</x:v>
      </x:c>
      <x:c r="G2915" s="42" t="n">
        <x:v>1.0315315315315314</x:v>
      </x:c>
      <x:c r="H2915" s="36" t="n">
        <x:f>E2915*G2915</x:f>
        <x:v>93766.21621621621</x:v>
      </x:c>
      <x:c r="I2915" s="36" t="n">
        <x:f>IFERROR(H2915/A2915,0)</x:f>
        <x:v>18753.243243243243</x:v>
      </x:c>
      <x:c r="J2915" s="67" t="str">
        <x:v>Modeled from live base + Sep-2026 quality ratio</x:v>
      </x:c>
      <x:c r="K2915" s="67" t="str">
        <x:v>https://www.stonealgo.com/diamond-prices/</x:v>
      </x:c>
      <x:c r="L2915" s="67" t="str">
        <x:v>https://www.pricescope.com/blog/natural-diamond-prices-september-2026</x:v>
      </x:c>
    </x:row>
    <x:row r="2916">
      <x:c r="A2916" t="n">
        <x:v>5</x:v>
      </x:c>
      <x:c r="B2916" t="str">
        <x:v>Radiant</x:v>
      </x:c>
      <x:c r="C2916" t="str">
        <x:v>H</x:v>
      </x:c>
      <x:c r="D2916" t="str">
        <x:v>VVS1</x:v>
      </x:c>
      <x:c r="E2916" s="36" t="n">
        <x:v>90900</x:v>
      </x:c>
      <x:c r="F2916" s="36" t="n">
        <x:v>4911</x:v>
      </x:c>
      <x:c r="G2916" s="42" t="n">
        <x:v>1.0534105534105533</x:v>
      </x:c>
      <x:c r="H2916" s="36" t="n">
        <x:f>E2916*G2916</x:f>
        <x:v>95755.0193050193</x:v>
      </x:c>
      <x:c r="I2916" s="36" t="n">
        <x:f>IFERROR(H2916/A2916,0)</x:f>
        <x:v>19151.00386100386</x:v>
      </x:c>
      <x:c r="J2916" s="67" t="str">
        <x:v>Modeled from live base + Sep-2026 quality ratio</x:v>
      </x:c>
      <x:c r="K2916" s="67" t="str">
        <x:v>https://www.stonealgo.com/diamond-prices/</x:v>
      </x:c>
      <x:c r="L2916" s="67" t="str">
        <x:v>https://www.pricescope.com/blog/natural-diamond-prices-september-2026</x:v>
      </x:c>
    </x:row>
    <x:row r="2917">
      <x:c r="A2917" t="n">
        <x:v>5</x:v>
      </x:c>
      <x:c r="B2917" t="str">
        <x:v>Radiant</x:v>
      </x:c>
      <x:c r="C2917" t="str">
        <x:v>H</x:v>
      </x:c>
      <x:c r="D2917" t="str">
        <x:v>VVS2</x:v>
      </x:c>
      <x:c r="E2917" s="36" t="n">
        <x:v>90900</x:v>
      </x:c>
      <x:c r="F2917" s="36" t="n">
        <x:v>4046</x:v>
      </x:c>
      <x:c r="G2917" s="42" t="n">
        <x:v>0.8678678678678678</x:v>
      </x:c>
      <x:c r="H2917" s="36" t="n">
        <x:f>E2917*G2917</x:f>
        <x:v>78889.18918918919</x:v>
      </x:c>
      <x:c r="I2917" s="36" t="n">
        <x:f>IFERROR(H2917/A2917,0)</x:f>
        <x:v>15777.837837837837</x:v>
      </x:c>
      <x:c r="J2917" s="67" t="str">
        <x:v>Modeled from live base + Sep-2026 quality ratio</x:v>
      </x:c>
      <x:c r="K2917" s="67" t="str">
        <x:v>https://www.stonealgo.com/diamond-prices/</x:v>
      </x:c>
      <x:c r="L2917" s="67" t="str">
        <x:v>https://www.pricescope.com/blog/natural-diamond-prices-september-2026</x:v>
      </x:c>
    </x:row>
    <x:row r="2918">
      <x:c r="A2918" t="n">
        <x:v>5</x:v>
      </x:c>
      <x:c r="B2918" t="str">
        <x:v>Radiant</x:v>
      </x:c>
      <x:c r="C2918" t="str">
        <x:v>H</x:v>
      </x:c>
      <x:c r="D2918" t="str">
        <x:v>VS1</x:v>
      </x:c>
      <x:c r="E2918" s="36" t="n">
        <x:v>90900</x:v>
      </x:c>
      <x:c r="F2918" s="36" t="n">
        <x:v>3893</x:v>
      </x:c>
      <x:c r="G2918" s="42" t="n">
        <x:v>0.8350493350493351</x:v>
      </x:c>
      <x:c r="H2918" s="36" t="n">
        <x:f>E2918*G2918</x:f>
        <x:v>75905.98455598456</x:v>
      </x:c>
      <x:c r="I2918" s="36" t="n">
        <x:f>IFERROR(H2918/A2918,0)</x:f>
        <x:v>15181.196911196912</x:v>
      </x:c>
      <x:c r="J2918" s="67" t="str">
        <x:v>Modeled from live base + Sep-2026 quality ratio</x:v>
      </x:c>
      <x:c r="K2918" s="67" t="str">
        <x:v>https://www.stonealgo.com/diamond-prices/</x:v>
      </x:c>
      <x:c r="L2918" s="67" t="str">
        <x:v>https://www.pricescope.com/blog/natural-diamond-prices-september-2026</x:v>
      </x:c>
    </x:row>
    <x:row r="2919">
      <x:c r="A2919" t="n">
        <x:v>5</x:v>
      </x:c>
      <x:c r="B2919" t="str">
        <x:v>Radiant</x:v>
      </x:c>
      <x:c r="C2919" t="str">
        <x:v>H</x:v>
      </x:c>
      <x:c r="D2919" t="str">
        <x:v>VS2</x:v>
      </x:c>
      <x:c r="E2919" s="36" t="n">
        <x:v>90900</x:v>
      </x:c>
      <x:c r="F2919" s="36" t="n">
        <x:v>3989</x:v>
      </x:c>
      <x:c r="G2919" s="42" t="n">
        <x:v>0.8556413556413557</x:v>
      </x:c>
      <x:c r="H2919" s="36" t="n">
        <x:f>E2919*G2919</x:f>
        <x:v>77777.79922779923</x:v>
      </x:c>
      <x:c r="I2919" s="36" t="n">
        <x:f>IFERROR(H2919/A2919,0)</x:f>
        <x:v>15555.559845559847</x:v>
      </x:c>
      <x:c r="J2919" s="67" t="str">
        <x:v>Modeled from live base + Sep-2026 quality ratio</x:v>
      </x:c>
      <x:c r="K2919" s="67" t="str">
        <x:v>https://www.stonealgo.com/diamond-prices/</x:v>
      </x:c>
      <x:c r="L2919" s="67" t="str">
        <x:v>https://www.pricescope.com/blog/natural-diamond-prices-september-2026</x:v>
      </x:c>
    </x:row>
    <x:row r="2920">
      <x:c r="A2920" t="n">
        <x:v>5</x:v>
      </x:c>
      <x:c r="B2920" t="str">
        <x:v>Radiant</x:v>
      </x:c>
      <x:c r="C2920" t="str">
        <x:v>H</x:v>
      </x:c>
      <x:c r="D2920" t="str">
        <x:v>SI1</x:v>
      </x:c>
      <x:c r="E2920" s="36" t="n">
        <x:v>90900</x:v>
      </x:c>
      <x:c r="F2920" s="36" t="n">
        <x:v>2828</x:v>
      </x:c>
      <x:c r="G2920" s="42" t="n">
        <x:v>0.6066066066066066</x:v>
      </x:c>
      <x:c r="H2920" s="36" t="n">
        <x:f>E2920*G2920</x:f>
        <x:v>55140.54054054054</x:v>
      </x:c>
      <x:c r="I2920" s="36" t="n">
        <x:f>IFERROR(H2920/A2920,0)</x:f>
        <x:v>11028.108108108108</x:v>
      </x:c>
      <x:c r="J2920" s="67" t="str">
        <x:v>Modeled from live base + Sep-2026 quality ratio</x:v>
      </x:c>
      <x:c r="K2920" s="67" t="str">
        <x:v>https://www.stonealgo.com/diamond-prices/</x:v>
      </x:c>
      <x:c r="L2920" s="67" t="str">
        <x:v>https://www.pricescope.com/blog/natural-diamond-prices-september-2026</x:v>
      </x:c>
    </x:row>
    <x:row r="2921">
      <x:c r="A2921" t="n">
        <x:v>5</x:v>
      </x:c>
      <x:c r="B2921" t="str">
        <x:v>Radiant</x:v>
      </x:c>
      <x:c r="C2921" t="str">
        <x:v>H</x:v>
      </x:c>
      <x:c r="D2921" t="str">
        <x:v>SI2</x:v>
      </x:c>
      <x:c r="E2921" s="36" t="n">
        <x:v>90900</x:v>
      </x:c>
      <x:c r="F2921" s="36" t="n">
        <x:v>2328</x:v>
      </x:c>
      <x:c r="G2921" s="42" t="n">
        <x:v>0.49935649935649934</x:v>
      </x:c>
      <x:c r="H2921" s="36" t="n">
        <x:f>E2921*G2921</x:f>
        <x:v>45391.50579150579</x:v>
      </x:c>
      <x:c r="I2921" s="36" t="n">
        <x:f>IFERROR(H2921/A2921,0)</x:f>
        <x:v>9078.301158301158</x:v>
      </x:c>
      <x:c r="J2921" s="67" t="str">
        <x:v>Modeled from live base + Sep-2026 quality ratio</x:v>
      </x:c>
      <x:c r="K2921" s="67" t="str">
        <x:v>https://www.stonealgo.com/diamond-prices/</x:v>
      </x:c>
      <x:c r="L2921" s="67" t="str">
        <x:v>https://www.pricescope.com/blog/natural-diamond-prices-september-2026</x:v>
      </x:c>
    </x:row>
    <x:row r="2922">
      <x:c r="A2922" t="n">
        <x:v>5</x:v>
      </x:c>
      <x:c r="B2922" t="str">
        <x:v>Radiant</x:v>
      </x:c>
      <x:c r="C2922" t="str">
        <x:v>I</x:v>
      </x:c>
      <x:c r="D2922" t="str">
        <x:v>FL</x:v>
      </x:c>
      <x:c r="E2922" s="36" t="n">
        <x:v>90900</x:v>
      </x:c>
      <x:c r="F2922" s="36" t="n">
        <x:v>4623</x:v>
      </x:c>
      <x:c r="G2922" s="42" t="n">
        <x:v>0.9916344916344917</x:v>
      </x:c>
      <x:c r="H2922" s="36" t="n">
        <x:f>E2922*G2922</x:f>
        <x:v>90139.5752895753</x:v>
      </x:c>
      <x:c r="I2922" s="36" t="n">
        <x:f>IFERROR(H2922/A2922,0)</x:f>
        <x:v>18027.91505791506</x:v>
      </x:c>
      <x:c r="J2922" s="67" t="str">
        <x:v>Modeled from live base + Sep-2026 quality ratio</x:v>
      </x:c>
      <x:c r="K2922" s="67" t="str">
        <x:v>https://www.stonealgo.com/diamond-prices/</x:v>
      </x:c>
      <x:c r="L2922" s="67" t="str">
        <x:v>https://www.pricescope.com/blog/natural-diamond-prices-september-2026</x:v>
      </x:c>
    </x:row>
    <x:row r="2923">
      <x:c r="A2923" t="n">
        <x:v>5</x:v>
      </x:c>
      <x:c r="B2923" t="str">
        <x:v>Radiant</x:v>
      </x:c>
      <x:c r="C2923" t="str">
        <x:v>I</x:v>
      </x:c>
      <x:c r="D2923" t="str">
        <x:v>IF</x:v>
      </x:c>
      <x:c r="E2923" s="36" t="n">
        <x:v>90900</x:v>
      </x:c>
      <x:c r="F2923" s="36" t="n">
        <x:v>4005</x:v>
      </x:c>
      <x:c r="G2923" s="42" t="n">
        <x:v>0.859073359073359</x:v>
      </x:c>
      <x:c r="H2923" s="36" t="n">
        <x:f>E2923*G2923</x:f>
        <x:v>78089.76833976833</x:v>
      </x:c>
      <x:c r="I2923" s="36" t="n">
        <x:f>IFERROR(H2923/A2923,0)</x:f>
        <x:v>15617.953667953665</x:v>
      </x:c>
      <x:c r="J2923" s="67" t="str">
        <x:v>Modeled from live base + Sep-2026 quality ratio</x:v>
      </x:c>
      <x:c r="K2923" s="67" t="str">
        <x:v>https://www.stonealgo.com/diamond-prices/</x:v>
      </x:c>
      <x:c r="L2923" s="67" t="str">
        <x:v>https://www.pricescope.com/blog/natural-diamond-prices-september-2026</x:v>
      </x:c>
    </x:row>
    <x:row r="2924">
      <x:c r="A2924" t="n">
        <x:v>5</x:v>
      </x:c>
      <x:c r="B2924" t="str">
        <x:v>Radiant</x:v>
      </x:c>
      <x:c r="C2924" t="str">
        <x:v>I</x:v>
      </x:c>
      <x:c r="D2924" t="str">
        <x:v>VVS1</x:v>
      </x:c>
      <x:c r="E2924" s="36" t="n">
        <x:v>90900</x:v>
      </x:c>
      <x:c r="F2924" s="36" t="n">
        <x:v>3670</x:v>
      </x:c>
      <x:c r="G2924" s="42" t="n">
        <x:v>0.7872157872157872</x:v>
      </x:c>
      <x:c r="H2924" s="36" t="n">
        <x:f>E2924*G2924</x:f>
        <x:v>71557.91505791506</x:v>
      </x:c>
      <x:c r="I2924" s="36" t="n">
        <x:f>IFERROR(H2924/A2924,0)</x:f>
        <x:v>14311.583011583012</x:v>
      </x:c>
      <x:c r="J2924" s="67" t="str">
        <x:v>Modeled from live base + Sep-2026 quality ratio</x:v>
      </x:c>
      <x:c r="K2924" s="67" t="str">
        <x:v>https://www.stonealgo.com/diamond-prices/</x:v>
      </x:c>
      <x:c r="L2924" s="67" t="str">
        <x:v>https://www.pricescope.com/blog/natural-diamond-prices-september-2026</x:v>
      </x:c>
    </x:row>
    <x:row r="2925">
      <x:c r="A2925" t="n">
        <x:v>5</x:v>
      </x:c>
      <x:c r="B2925" t="str">
        <x:v>Radiant</x:v>
      </x:c>
      <x:c r="C2925" t="str">
        <x:v>I</x:v>
      </x:c>
      <x:c r="D2925" t="str">
        <x:v>VVS2</x:v>
      </x:c>
      <x:c r="E2925" s="36" t="n">
        <x:v>90900</x:v>
      </x:c>
      <x:c r="F2925" s="36" t="n">
        <x:v>3447</x:v>
      </x:c>
      <x:c r="G2925" s="42" t="n">
        <x:v>0.7393822393822393</x:v>
      </x:c>
      <x:c r="H2925" s="36" t="n">
        <x:f>E2925*G2925</x:f>
        <x:v>67209.84555984556</x:v>
      </x:c>
      <x:c r="I2925" s="36" t="n">
        <x:f>IFERROR(H2925/A2925,0)</x:f>
        <x:v>13441.969111969112</x:v>
      </x:c>
      <x:c r="J2925" s="67" t="str">
        <x:v>Modeled from live base + Sep-2026 quality ratio</x:v>
      </x:c>
      <x:c r="K2925" s="67" t="str">
        <x:v>https://www.stonealgo.com/diamond-prices/</x:v>
      </x:c>
      <x:c r="L2925" s="67" t="str">
        <x:v>https://www.pricescope.com/blog/natural-diamond-prices-september-2026</x:v>
      </x:c>
    </x:row>
    <x:row r="2926">
      <x:c r="A2926" t="n">
        <x:v>5</x:v>
      </x:c>
      <x:c r="B2926" t="str">
        <x:v>Radiant</x:v>
      </x:c>
      <x:c r="C2926" t="str">
        <x:v>I</x:v>
      </x:c>
      <x:c r="D2926" t="str">
        <x:v>VS1</x:v>
      </x:c>
      <x:c r="E2926" s="36" t="n">
        <x:v>90900</x:v>
      </x:c>
      <x:c r="F2926" s="36" t="n">
        <x:v>3313</x:v>
      </x:c>
      <x:c r="G2926" s="42" t="n">
        <x:v>0.7106392106392107</x:v>
      </x:c>
      <x:c r="H2926" s="36" t="n">
        <x:f>E2926*G2926</x:f>
        <x:v>64597.104247104246</x:v>
      </x:c>
      <x:c r="I2926" s="36" t="n">
        <x:f>IFERROR(H2926/A2926,0)</x:f>
        <x:v>12919.420849420849</x:v>
      </x:c>
      <x:c r="J2926" s="67" t="str">
        <x:v>Modeled from live base + Sep-2026 quality ratio</x:v>
      </x:c>
      <x:c r="K2926" s="67" t="str">
        <x:v>https://www.stonealgo.com/diamond-prices/</x:v>
      </x:c>
      <x:c r="L2926" s="67" t="str">
        <x:v>https://www.pricescope.com/blog/natural-diamond-prices-september-2026</x:v>
      </x:c>
    </x:row>
    <x:row r="2927">
      <x:c r="A2927" t="n">
        <x:v>5</x:v>
      </x:c>
      <x:c r="B2927" t="str">
        <x:v>Radiant</x:v>
      </x:c>
      <x:c r="C2927" t="str">
        <x:v>I</x:v>
      </x:c>
      <x:c r="D2927" t="str">
        <x:v>VS2</x:v>
      </x:c>
      <x:c r="E2927" s="36" t="n">
        <x:v>90900</x:v>
      </x:c>
      <x:c r="F2927" s="36" t="n">
        <x:v>3240</x:v>
      </x:c>
      <x:c r="G2927" s="42" t="n">
        <x:v>0.694980694980695</x:v>
      </x:c>
      <x:c r="H2927" s="36" t="n">
        <x:f>E2927*G2927</x:f>
        <x:v>63173.74517374518</x:v>
      </x:c>
      <x:c r="I2927" s="36" t="n">
        <x:f>IFERROR(H2927/A2927,0)</x:f>
        <x:v>12634.749034749035</x:v>
      </x:c>
      <x:c r="J2927" s="67" t="str">
        <x:v>Modeled from live base + Sep-2026 quality ratio</x:v>
      </x:c>
      <x:c r="K2927" s="67" t="str">
        <x:v>https://www.stonealgo.com/diamond-prices/</x:v>
      </x:c>
      <x:c r="L2927" s="67" t="str">
        <x:v>https://www.pricescope.com/blog/natural-diamond-prices-september-2026</x:v>
      </x:c>
    </x:row>
    <x:row r="2928">
      <x:c r="A2928" t="n">
        <x:v>5</x:v>
      </x:c>
      <x:c r="B2928" t="str">
        <x:v>Radiant</x:v>
      </x:c>
      <x:c r="C2928" t="str">
        <x:v>I</x:v>
      </x:c>
      <x:c r="D2928" t="str">
        <x:v>SI1</x:v>
      </x:c>
      <x:c r="E2928" s="36" t="n">
        <x:v>90900</x:v>
      </x:c>
      <x:c r="F2928" s="36" t="n">
        <x:v>3199</x:v>
      </x:c>
      <x:c r="G2928" s="42" t="n">
        <x:v>0.6861861861861862</x:v>
      </x:c>
      <x:c r="H2928" s="36" t="n">
        <x:f>E2928*G2928</x:f>
        <x:v>62374.32432432433</x:v>
      </x:c>
      <x:c r="I2928" s="36" t="n">
        <x:f>IFERROR(H2928/A2928,0)</x:f>
        <x:v>12474.864864864865</x:v>
      </x:c>
      <x:c r="J2928" s="67" t="str">
        <x:v>Modeled from live base + Sep-2026 quality ratio</x:v>
      </x:c>
      <x:c r="K2928" s="67" t="str">
        <x:v>https://www.stonealgo.com/diamond-prices/</x:v>
      </x:c>
      <x:c r="L2928" s="67" t="str">
        <x:v>https://www.pricescope.com/blog/natural-diamond-prices-september-2026</x:v>
      </x:c>
    </x:row>
    <x:row r="2929">
      <x:c r="A2929" t="n">
        <x:v>5</x:v>
      </x:c>
      <x:c r="B2929" t="str">
        <x:v>Radiant</x:v>
      </x:c>
      <x:c r="C2929" t="str">
        <x:v>I</x:v>
      </x:c>
      <x:c r="D2929" t="str">
        <x:v>SI2</x:v>
      </x:c>
      <x:c r="E2929" s="36" t="n">
        <x:v>90900</x:v>
      </x:c>
      <x:c r="F2929" s="36" t="n">
        <x:v>2874</x:v>
      </x:c>
      <x:c r="G2929" s="42" t="n">
        <x:v>0.6164736164736164</x:v>
      </x:c>
      <x:c r="H2929" s="36" t="n">
        <x:f>E2929*G2929</x:f>
        <x:v>56037.45173745173</x:v>
      </x:c>
      <x:c r="I2929" s="36" t="n">
        <x:f>IFERROR(H2929/A2929,0)</x:f>
        <x:v>11207.490347490346</x:v>
      </x:c>
      <x:c r="J2929" s="67" t="str">
        <x:v>Modeled from live base + Sep-2026 quality ratio</x:v>
      </x:c>
      <x:c r="K2929" s="67" t="str">
        <x:v>https://www.stonealgo.com/diamond-prices/</x:v>
      </x:c>
      <x:c r="L2929" s="67" t="str">
        <x:v>https://www.pricescope.com/blog/natural-diamond-prices-september-2026</x:v>
      </x:c>
    </x:row>
    <x:row r="2930">
      <x:c r="A2930" t="n">
        <x:v>5</x:v>
      </x:c>
      <x:c r="B2930" t="str">
        <x:v>Radiant</x:v>
      </x:c>
      <x:c r="C2930" t="str">
        <x:v>J</x:v>
      </x:c>
      <x:c r="D2930" t="str">
        <x:v>FL</x:v>
      </x:c>
      <x:c r="E2930" s="36" t="n">
        <x:v>90900</x:v>
      </x:c>
      <x:c r="F2930" s="36" t="n">
        <x:v>3646</x:v>
      </x:c>
      <x:c r="G2930" s="42" t="n">
        <x:v>0.782067782067782</x:v>
      </x:c>
      <x:c r="H2930" s="36" t="n">
        <x:f>E2930*G2930</x:f>
        <x:v>71089.96138996139</x:v>
      </x:c>
      <x:c r="I2930" s="36" t="n">
        <x:f>IFERROR(H2930/A2930,0)</x:f>
        <x:v>14217.992277992278</x:v>
      </x:c>
      <x:c r="J2930" s="67" t="str">
        <x:v>Modeled from live base + Sep-2026 quality ratio</x:v>
      </x:c>
      <x:c r="K2930" s="67" t="str">
        <x:v>https://www.stonealgo.com/diamond-prices/</x:v>
      </x:c>
      <x:c r="L2930" s="67" t="str">
        <x:v>https://www.pricescope.com/blog/natural-diamond-prices-september-2026</x:v>
      </x:c>
    </x:row>
    <x:row r="2931">
      <x:c r="A2931" t="n">
        <x:v>5</x:v>
      </x:c>
      <x:c r="B2931" t="str">
        <x:v>Radiant</x:v>
      </x:c>
      <x:c r="C2931" t="str">
        <x:v>J</x:v>
      </x:c>
      <x:c r="D2931" t="str">
        <x:v>IF</x:v>
      </x:c>
      <x:c r="E2931" s="36" t="n">
        <x:v>90900</x:v>
      </x:c>
      <x:c r="F2931" s="36" t="n">
        <x:v>3368</x:v>
      </x:c>
      <x:c r="G2931" s="42" t="n">
        <x:v>0.7224367224367224</x:v>
      </x:c>
      <x:c r="H2931" s="36" t="n">
        <x:f>E2931*G2931</x:f>
        <x:v>65669.49806949806</x:v>
      </x:c>
      <x:c r="I2931" s="36" t="n">
        <x:f>IFERROR(H2931/A2931,0)</x:f>
        <x:v>13133.899613899612</x:v>
      </x:c>
      <x:c r="J2931" s="67" t="str">
        <x:v>Modeled from live base + Sep-2026 quality ratio</x:v>
      </x:c>
      <x:c r="K2931" s="67" t="str">
        <x:v>https://www.stonealgo.com/diamond-prices/</x:v>
      </x:c>
      <x:c r="L2931" s="67" t="str">
        <x:v>https://www.pricescope.com/blog/natural-diamond-prices-september-2026</x:v>
      </x:c>
    </x:row>
    <x:row r="2932">
      <x:c r="A2932" t="n">
        <x:v>5</x:v>
      </x:c>
      <x:c r="B2932" t="str">
        <x:v>Radiant</x:v>
      </x:c>
      <x:c r="C2932" t="str">
        <x:v>J</x:v>
      </x:c>
      <x:c r="D2932" t="str">
        <x:v>VVS1</x:v>
      </x:c>
      <x:c r="E2932" s="36" t="n">
        <x:v>90900</x:v>
      </x:c>
      <x:c r="F2932" s="36" t="n">
        <x:v>2956</x:v>
      </x:c>
      <x:c r="G2932" s="42" t="n">
        <x:v>0.6340626340626341</x:v>
      </x:c>
      <x:c r="H2932" s="36" t="n">
        <x:f>E2932*G2932</x:f>
        <x:v>57636.29343629344</x:v>
      </x:c>
      <x:c r="I2932" s="36" t="n">
        <x:f>IFERROR(H2932/A2932,0)</x:f>
        <x:v>11527.258687258687</x:v>
      </x:c>
      <x:c r="J2932" s="67" t="str">
        <x:v>Modeled from live base + Sep-2026 quality ratio</x:v>
      </x:c>
      <x:c r="K2932" s="67" t="str">
        <x:v>https://www.stonealgo.com/diamond-prices/</x:v>
      </x:c>
      <x:c r="L2932" s="67" t="str">
        <x:v>https://www.pricescope.com/blog/natural-diamond-prices-september-2026</x:v>
      </x:c>
    </x:row>
    <x:row r="2933">
      <x:c r="A2933" t="n">
        <x:v>5</x:v>
      </x:c>
      <x:c r="B2933" t="str">
        <x:v>Radiant</x:v>
      </x:c>
      <x:c r="C2933" t="str">
        <x:v>J</x:v>
      </x:c>
      <x:c r="D2933" t="str">
        <x:v>VVS2</x:v>
      </x:c>
      <x:c r="E2933" s="36" t="n">
        <x:v>90900</x:v>
      </x:c>
      <x:c r="F2933" s="36" t="n">
        <x:v>2612</x:v>
      </x:c>
      <x:c r="G2933" s="42" t="n">
        <x:v>0.5602745602745602</x:v>
      </x:c>
      <x:c r="H2933" s="36" t="n">
        <x:f>E2933*G2933</x:f>
        <x:v>50928.95752895752</x:v>
      </x:c>
      <x:c r="I2933" s="36" t="n">
        <x:f>IFERROR(H2933/A2933,0)</x:f>
        <x:v>10185.791505791505</x:v>
      </x:c>
      <x:c r="J2933" s="67" t="str">
        <x:v>Modeled from live base + Sep-2026 quality ratio</x:v>
      </x:c>
      <x:c r="K2933" s="67" t="str">
        <x:v>https://www.stonealgo.com/diamond-prices/</x:v>
      </x:c>
      <x:c r="L2933" s="67" t="str">
        <x:v>https://www.pricescope.com/blog/natural-diamond-prices-september-2026</x:v>
      </x:c>
    </x:row>
    <x:row r="2934">
      <x:c r="A2934" t="n">
        <x:v>5</x:v>
      </x:c>
      <x:c r="B2934" t="str">
        <x:v>Radiant</x:v>
      </x:c>
      <x:c r="C2934" t="str">
        <x:v>J</x:v>
      </x:c>
      <x:c r="D2934" t="str">
        <x:v>VS1</x:v>
      </x:c>
      <x:c r="E2934" s="36" t="n">
        <x:v>90900</x:v>
      </x:c>
      <x:c r="F2934" s="36" t="n">
        <x:v>3002</x:v>
      </x:c>
      <x:c r="G2934" s="42" t="n">
        <x:v>0.6439296439296439</x:v>
      </x:c>
      <x:c r="H2934" s="36" t="n">
        <x:f>E2934*G2934</x:f>
        <x:v>58533.20463320463</x:v>
      </x:c>
      <x:c r="I2934" s="36" t="n">
        <x:f>IFERROR(H2934/A2934,0)</x:f>
        <x:v>11706.640926640926</x:v>
      </x:c>
      <x:c r="J2934" s="67" t="str">
        <x:v>Modeled from live base + Sep-2026 quality ratio</x:v>
      </x:c>
      <x:c r="K2934" s="67" t="str">
        <x:v>https://www.stonealgo.com/diamond-prices/</x:v>
      </x:c>
      <x:c r="L2934" s="67" t="str">
        <x:v>https://www.pricescope.com/blog/natural-diamond-prices-september-2026</x:v>
      </x:c>
    </x:row>
    <x:row r="2935">
      <x:c r="A2935" t="n">
        <x:v>5</x:v>
      </x:c>
      <x:c r="B2935" t="str">
        <x:v>Radiant</x:v>
      </x:c>
      <x:c r="C2935" t="str">
        <x:v>J</x:v>
      </x:c>
      <x:c r="D2935" t="str">
        <x:v>VS2</x:v>
      </x:c>
      <x:c r="E2935" s="36" t="n">
        <x:v>90900</x:v>
      </x:c>
      <x:c r="F2935" s="36" t="n">
        <x:v>2559</x:v>
      </x:c>
      <x:c r="G2935" s="42" t="n">
        <x:v>0.5489060489060489</x:v>
      </x:c>
      <x:c r="H2935" s="36" t="n">
        <x:f>E2935*G2935</x:f>
        <x:v>49895.559845559845</x:v>
      </x:c>
      <x:c r="I2935" s="36" t="n">
        <x:f>IFERROR(H2935/A2935,0)</x:f>
        <x:v>9979.11196911197</x:v>
      </x:c>
      <x:c r="J2935" s="67" t="str">
        <x:v>Modeled from live base + Sep-2026 quality ratio</x:v>
      </x:c>
      <x:c r="K2935" s="67" t="str">
        <x:v>https://www.stonealgo.com/diamond-prices/</x:v>
      </x:c>
      <x:c r="L2935" s="67" t="str">
        <x:v>https://www.pricescope.com/blog/natural-diamond-prices-september-2026</x:v>
      </x:c>
    </x:row>
    <x:row r="2936">
      <x:c r="A2936" t="n">
        <x:v>5</x:v>
      </x:c>
      <x:c r="B2936" t="str">
        <x:v>Radiant</x:v>
      </x:c>
      <x:c r="C2936" t="str">
        <x:v>J</x:v>
      </x:c>
      <x:c r="D2936" t="str">
        <x:v>SI1</x:v>
      </x:c>
      <x:c r="E2936" s="36" t="n">
        <x:v>90900</x:v>
      </x:c>
      <x:c r="F2936" s="36" t="n">
        <x:v>2195</x:v>
      </x:c>
      <x:c r="G2936" s="42" t="n">
        <x:v>0.47082797082797084</x:v>
      </x:c>
      <x:c r="H2936" s="36" t="n">
        <x:f>E2936*G2936</x:f>
        <x:v>42798.26254826255</x:v>
      </x:c>
      <x:c r="I2936" s="36" t="n">
        <x:f>IFERROR(H2936/A2936,0)</x:f>
        <x:v>8559.652509652511</x:v>
      </x:c>
      <x:c r="J2936" s="67" t="str">
        <x:v>Modeled from live base + Sep-2026 quality ratio</x:v>
      </x:c>
      <x:c r="K2936" s="67" t="str">
        <x:v>https://www.stonealgo.com/diamond-prices/</x:v>
      </x:c>
      <x:c r="L2936" s="67" t="str">
        <x:v>https://www.pricescope.com/blog/natural-diamond-prices-september-2026</x:v>
      </x:c>
    </x:row>
    <x:row r="2937">
      <x:c r="A2937" t="n">
        <x:v>5</x:v>
      </x:c>
      <x:c r="B2937" t="str">
        <x:v>Radiant</x:v>
      </x:c>
      <x:c r="C2937" t="str">
        <x:v>J</x:v>
      </x:c>
      <x:c r="D2937" t="str">
        <x:v>SI2</x:v>
      </x:c>
      <x:c r="E2937" s="36" t="n">
        <x:v>90900</x:v>
      </x:c>
      <x:c r="F2937" s="36" t="n">
        <x:v>2079</x:v>
      </x:c>
      <x:c r="G2937" s="42" t="n">
        <x:v>0.44594594594594594</x:v>
      </x:c>
      <x:c r="H2937" s="36" t="n">
        <x:f>E2937*G2937</x:f>
        <x:v>40536.48648648649</x:v>
      </x:c>
      <x:c r="I2937" s="36" t="n">
        <x:f>IFERROR(H2937/A2937,0)</x:f>
        <x:v>8107.2972972972975</x:v>
      </x:c>
      <x:c r="J2937" s="67" t="str">
        <x:v>Modeled from live base + Sep-2026 quality ratio</x:v>
      </x:c>
      <x:c r="K2937" s="67" t="str">
        <x:v>https://www.stonealgo.com/diamond-prices/</x:v>
      </x:c>
      <x:c r="L2937" s="67" t="str">
        <x:v>https://www.pricescope.com/blog/natural-diamond-prices-september-2026</x:v>
      </x:c>
    </x:row>
    <x:row r="2938">
      <x:c r="A2938" t="n">
        <x:v>5</x:v>
      </x:c>
      <x:c r="B2938" t="str">
        <x:v>Radiant</x:v>
      </x:c>
      <x:c r="C2938" t="str">
        <x:v>K</x:v>
      </x:c>
      <x:c r="D2938" t="str">
        <x:v>FL</x:v>
      </x:c>
      <x:c r="E2938" s="36" t="n">
        <x:v>90900</x:v>
      </x:c>
      <x:c r="F2938" s="36" t="n">
        <x:v>2858</x:v>
      </x:c>
      <x:c r="G2938" s="42" t="n">
        <x:v>0.6130416130416131</x:v>
      </x:c>
      <x:c r="H2938" s="36" t="n">
        <x:f>E2938*G2938</x:f>
        <x:v>55725.48262548263</x:v>
      </x:c>
      <x:c r="I2938" s="36" t="n">
        <x:f>IFERROR(H2938/A2938,0)</x:f>
        <x:v>11145.096525096527</x:v>
      </x:c>
      <x:c r="J2938" s="67" t="str">
        <x:v>Modeled from live base + Sep-2026 quality ratio; K/FL quality cell modeled</x:v>
      </x:c>
      <x:c r="K2938" s="67" t="str">
        <x:v>https://www.stonealgo.com/diamond-prices/</x:v>
      </x:c>
      <x:c r="L2938" s="67" t="str">
        <x:v>https://www.pricescope.com/blog/natural-diamond-prices-september-2026</x:v>
      </x:c>
    </x:row>
    <x:row r="2939">
      <x:c r="A2939" t="n">
        <x:v>5</x:v>
      </x:c>
      <x:c r="B2939" t="str">
        <x:v>Radiant</x:v>
      </x:c>
      <x:c r="C2939" t="str">
        <x:v>K</x:v>
      </x:c>
      <x:c r="D2939" t="str">
        <x:v>IF</x:v>
      </x:c>
      <x:c r="E2939" s="36" t="n">
        <x:v>90900</x:v>
      </x:c>
      <x:c r="F2939" s="36" t="n">
        <x:v>2743</x:v>
      </x:c>
      <x:c r="G2939" s="42" t="n">
        <x:v>0.5883740883740883</x:v>
      </x:c>
      <x:c r="H2939" s="36" t="n">
        <x:f>E2939*G2939</x:f>
        <x:v>53483.20463320463</x:v>
      </x:c>
      <x:c r="I2939" s="36" t="n">
        <x:f>IFERROR(H2939/A2939,0)</x:f>
        <x:v>10696.640926640926</x:v>
      </x:c>
      <x:c r="J2939" s="67" t="str">
        <x:v>Modeled from live base + Sep-2026 quality ratio</x:v>
      </x:c>
      <x:c r="K2939" s="67" t="str">
        <x:v>https://www.stonealgo.com/diamond-prices/</x:v>
      </x:c>
      <x:c r="L2939" s="67" t="str">
        <x:v>https://www.pricescope.com/blog/natural-diamond-prices-september-2026</x:v>
      </x:c>
    </x:row>
    <x:row r="2940">
      <x:c r="A2940" t="n">
        <x:v>5</x:v>
      </x:c>
      <x:c r="B2940" t="str">
        <x:v>Radiant</x:v>
      </x:c>
      <x:c r="C2940" t="str">
        <x:v>K</x:v>
      </x:c>
      <x:c r="D2940" t="str">
        <x:v>VVS1</x:v>
      </x:c>
      <x:c r="E2940" s="36" t="n">
        <x:v>90900</x:v>
      </x:c>
      <x:c r="F2940" s="36" t="n">
        <x:v>2529</x:v>
      </x:c>
      <x:c r="G2940" s="42" t="n">
        <x:v>0.5424710424710425</x:v>
      </x:c>
      <x:c r="H2940" s="36" t="n">
        <x:f>E2940*G2940</x:f>
        <x:v>49310.617760617766</x:v>
      </x:c>
      <x:c r="I2940" s="36" t="n">
        <x:f>IFERROR(H2940/A2940,0)</x:f>
        <x:v>9862.123552123554</x:v>
      </x:c>
      <x:c r="J2940" s="67" t="str">
        <x:v>Modeled from live base + Sep-2026 quality ratio</x:v>
      </x:c>
      <x:c r="K2940" s="67" t="str">
        <x:v>https://www.stonealgo.com/diamond-prices/</x:v>
      </x:c>
      <x:c r="L2940" s="67" t="str">
        <x:v>https://www.pricescope.com/blog/natural-diamond-prices-september-2026</x:v>
      </x:c>
    </x:row>
    <x:row r="2941">
      <x:c r="A2941" t="n">
        <x:v>5</x:v>
      </x:c>
      <x:c r="B2941" t="str">
        <x:v>Radiant</x:v>
      </x:c>
      <x:c r="C2941" t="str">
        <x:v>K</x:v>
      </x:c>
      <x:c r="D2941" t="str">
        <x:v>VVS2</x:v>
      </x:c>
      <x:c r="E2941" s="36" t="n">
        <x:v>90900</x:v>
      </x:c>
      <x:c r="F2941" s="36" t="n">
        <x:v>2374</x:v>
      </x:c>
      <x:c r="G2941" s="42" t="n">
        <x:v>0.5092235092235092</x:v>
      </x:c>
      <x:c r="H2941" s="36" t="n">
        <x:f>E2941*G2941</x:f>
        <x:v>46288.41698841699</x:v>
      </x:c>
      <x:c r="I2941" s="36" t="n">
        <x:f>IFERROR(H2941/A2941,0)</x:f>
        <x:v>9257.683397683399</x:v>
      </x:c>
      <x:c r="J2941" s="67" t="str">
        <x:v>Modeled from live base + Sep-2026 quality ratio</x:v>
      </x:c>
      <x:c r="K2941" s="67" t="str">
        <x:v>https://www.stonealgo.com/diamond-prices/</x:v>
      </x:c>
      <x:c r="L2941" s="67" t="str">
        <x:v>https://www.pricescope.com/blog/natural-diamond-prices-september-2026</x:v>
      </x:c>
    </x:row>
    <x:row r="2942">
      <x:c r="A2942" t="n">
        <x:v>5</x:v>
      </x:c>
      <x:c r="B2942" t="str">
        <x:v>Radiant</x:v>
      </x:c>
      <x:c r="C2942" t="str">
        <x:v>K</x:v>
      </x:c>
      <x:c r="D2942" t="str">
        <x:v>VS1</x:v>
      </x:c>
      <x:c r="E2942" s="36" t="n">
        <x:v>90900</x:v>
      </x:c>
      <x:c r="F2942" s="36" t="n">
        <x:v>2223</x:v>
      </x:c>
      <x:c r="G2942" s="42" t="n">
        <x:v>0.4768339768339768</x:v>
      </x:c>
      <x:c r="H2942" s="36" t="n">
        <x:f>E2942*G2942</x:f>
        <x:v>43344.20849420849</x:v>
      </x:c>
      <x:c r="I2942" s="36" t="n">
        <x:f>IFERROR(H2942/A2942,0)</x:f>
        <x:v>8668.841698841698</x:v>
      </x:c>
      <x:c r="J2942" s="67" t="str">
        <x:v>Modeled from live base + Sep-2026 quality ratio</x:v>
      </x:c>
      <x:c r="K2942" s="67" t="str">
        <x:v>https://www.stonealgo.com/diamond-prices/</x:v>
      </x:c>
      <x:c r="L2942" s="67" t="str">
        <x:v>https://www.pricescope.com/blog/natural-diamond-prices-september-2026</x:v>
      </x:c>
    </x:row>
    <x:row r="2943">
      <x:c r="A2943" t="n">
        <x:v>5</x:v>
      </x:c>
      <x:c r="B2943" t="str">
        <x:v>Radiant</x:v>
      </x:c>
      <x:c r="C2943" t="str">
        <x:v>K</x:v>
      </x:c>
      <x:c r="D2943" t="str">
        <x:v>VS2</x:v>
      </x:c>
      <x:c r="E2943" s="36" t="n">
        <x:v>90900</x:v>
      </x:c>
      <x:c r="F2943" s="36" t="n">
        <x:v>2098</x:v>
      </x:c>
      <x:c r="G2943" s="42" t="n">
        <x:v>0.45002145002145</x:v>
      </x:c>
      <x:c r="H2943" s="36" t="n">
        <x:f>E2943*G2943</x:f>
        <x:v>40906.94980694981</x:v>
      </x:c>
      <x:c r="I2943" s="36" t="n">
        <x:f>IFERROR(H2943/A2943,0)</x:f>
        <x:v>8181.389961389961</x:v>
      </x:c>
      <x:c r="J2943" s="67" t="str">
        <x:v>Modeled from live base + Sep-2026 quality ratio</x:v>
      </x:c>
      <x:c r="K2943" s="67" t="str">
        <x:v>https://www.stonealgo.com/diamond-prices/</x:v>
      </x:c>
      <x:c r="L2943" s="67" t="str">
        <x:v>https://www.pricescope.com/blog/natural-diamond-prices-september-2026</x:v>
      </x:c>
    </x:row>
    <x:row r="2944">
      <x:c r="A2944" t="n">
        <x:v>5</x:v>
      </x:c>
      <x:c r="B2944" t="str">
        <x:v>Radiant</x:v>
      </x:c>
      <x:c r="C2944" t="str">
        <x:v>K</x:v>
      </x:c>
      <x:c r="D2944" t="str">
        <x:v>SI1</x:v>
      </x:c>
      <x:c r="E2944" s="36" t="n">
        <x:v>90900</x:v>
      </x:c>
      <x:c r="F2944" s="36" t="n">
        <x:v>1922</x:v>
      </x:c>
      <x:c r="G2944" s="42" t="n">
        <x:v>0.41226941226941227</x:v>
      </x:c>
      <x:c r="H2944" s="36" t="n">
        <x:f>E2944*G2944</x:f>
        <x:v>37475.28957528958</x:v>
      </x:c>
      <x:c r="I2944" s="36" t="n">
        <x:f>IFERROR(H2944/A2944,0)</x:f>
        <x:v>7495.057915057916</x:v>
      </x:c>
      <x:c r="J2944" s="67" t="str">
        <x:v>Modeled from live base + Sep-2026 quality ratio</x:v>
      </x:c>
      <x:c r="K2944" s="67" t="str">
        <x:v>https://www.stonealgo.com/diamond-prices/</x:v>
      </x:c>
      <x:c r="L2944" s="67" t="str">
        <x:v>https://www.pricescope.com/blog/natural-diamond-prices-september-2026</x:v>
      </x:c>
    </x:row>
    <x:row r="2945">
      <x:c r="A2945" t="n">
        <x:v>5</x:v>
      </x:c>
      <x:c r="B2945" t="str">
        <x:v>Radiant</x:v>
      </x:c>
      <x:c r="C2945" t="str">
        <x:v>K</x:v>
      </x:c>
      <x:c r="D2945" t="str">
        <x:v>SI2</x:v>
      </x:c>
      <x:c r="E2945" s="36" t="n">
        <x:v>90900</x:v>
      </x:c>
      <x:c r="F2945" s="36" t="n">
        <x:v>1764</x:v>
      </x:c>
      <x:c r="G2945" s="42" t="n">
        <x:v>0.3783783783783784</x:v>
      </x:c>
      <x:c r="H2945" s="36" t="n">
        <x:f>E2945*G2945</x:f>
        <x:v>34394.59459459459</x:v>
      </x:c>
      <x:c r="I2945" s="36" t="n">
        <x:f>IFERROR(H2945/A2945,0)</x:f>
        <x:v>6878.918918918918</x:v>
      </x:c>
      <x:c r="J2945" s="67" t="str">
        <x:v>Modeled from live base + Sep-2026 quality ratio</x:v>
      </x:c>
      <x:c r="K2945" s="67" t="str">
        <x:v>https://www.stonealgo.com/diamond-prices/</x:v>
      </x:c>
      <x:c r="L2945" s="67" t="str">
        <x:v>https://www.pricescope.com/blog/natural-diamond-prices-september-2026</x:v>
      </x:c>
    </x:row>
    <x:row r="2946">
      <x:c r="A2946" t="n">
        <x:v>5</x:v>
      </x:c>
      <x:c r="B2946" t="str">
        <x:v>Pear</x:v>
      </x:c>
      <x:c r="C2946" t="str">
        <x:v>D</x:v>
      </x:c>
      <x:c r="D2946" t="str">
        <x:v>FL</x:v>
      </x:c>
      <x:c r="E2946" s="36" t="n">
        <x:v>156636</x:v>
      </x:c>
      <x:c r="F2946" s="36" t="n">
        <x:v>12665</x:v>
      </x:c>
      <x:c r="G2946" s="42" t="n">
        <x:v>2.7166452166452166</x:v>
      </x:c>
      <x:c r="H2946" s="36" t="n">
        <x:f>E2946*G2946</x:f>
        <x:v>425524.4401544402</x:v>
      </x:c>
      <x:c r="I2946" s="36" t="n">
        <x:f>IFERROR(H2946/A2946,0)</x:f>
        <x:v>85104.88803088803</x:v>
      </x:c>
      <x:c r="J2946" s="67" t="str">
        <x:v>Modeled from live base + Sep-2026 quality ratio</x:v>
      </x:c>
      <x:c r="K2946" s="67" t="str">
        <x:v>https://www.stonealgo.com/diamond-prices/</x:v>
      </x:c>
      <x:c r="L2946" s="67" t="str">
        <x:v>https://www.pricescope.com/blog/natural-diamond-prices-september-2026</x:v>
      </x:c>
    </x:row>
    <x:row r="2947">
      <x:c r="A2947" t="n">
        <x:v>5</x:v>
      </x:c>
      <x:c r="B2947" t="str">
        <x:v>Pear</x:v>
      </x:c>
      <x:c r="C2947" t="str">
        <x:v>D</x:v>
      </x:c>
      <x:c r="D2947" t="str">
        <x:v>IF</x:v>
      </x:c>
      <x:c r="E2947" s="36" t="n">
        <x:v>156636</x:v>
      </x:c>
      <x:c r="F2947" s="36" t="n">
        <x:v>13240</x:v>
      </x:c>
      <x:c r="G2947" s="42" t="n">
        <x:v>2.83998283998284</x:v>
      </x:c>
      <x:c r="H2947" s="36" t="n">
        <x:f>E2947*G2947</x:f>
        <x:v>444843.55212355213</x:v>
      </x:c>
      <x:c r="I2947" s="36" t="n">
        <x:f>IFERROR(H2947/A2947,0)</x:f>
        <x:v>88968.71042471043</x:v>
      </x:c>
      <x:c r="J2947" s="67" t="str">
        <x:v>Modeled from live base + Sep-2026 quality ratio</x:v>
      </x:c>
      <x:c r="K2947" s="67" t="str">
        <x:v>https://www.stonealgo.com/diamond-prices/</x:v>
      </x:c>
      <x:c r="L2947" s="67" t="str">
        <x:v>https://www.pricescope.com/blog/natural-diamond-prices-september-2026</x:v>
      </x:c>
    </x:row>
    <x:row r="2948">
      <x:c r="A2948" t="n">
        <x:v>5</x:v>
      </x:c>
      <x:c r="B2948" t="str">
        <x:v>Pear</x:v>
      </x:c>
      <x:c r="C2948" t="str">
        <x:v>D</x:v>
      </x:c>
      <x:c r="D2948" t="str">
        <x:v>VVS1</x:v>
      </x:c>
      <x:c r="E2948" s="36" t="n">
        <x:v>156636</x:v>
      </x:c>
      <x:c r="F2948" s="36" t="n">
        <x:v>9555</x:v>
      </x:c>
      <x:c r="G2948" s="42" t="n">
        <x:v>2.0495495495495497</x:v>
      </x:c>
      <x:c r="H2948" s="36" t="n">
        <x:f>E2948*G2948</x:f>
        <x:v>321033.24324324325</x:v>
      </x:c>
      <x:c r="I2948" s="36" t="n">
        <x:f>IFERROR(H2948/A2948,0)</x:f>
        <x:v>64206.648648648654</x:v>
      </x:c>
      <x:c r="J2948" s="67" t="str">
        <x:v>Modeled from live base + Sep-2026 quality ratio</x:v>
      </x:c>
      <x:c r="K2948" s="67" t="str">
        <x:v>https://www.stonealgo.com/diamond-prices/</x:v>
      </x:c>
      <x:c r="L2948" s="67" t="str">
        <x:v>https://www.pricescope.com/blog/natural-diamond-prices-september-2026</x:v>
      </x:c>
    </x:row>
    <x:row r="2949">
      <x:c r="A2949" t="n">
        <x:v>5</x:v>
      </x:c>
      <x:c r="B2949" t="str">
        <x:v>Pear</x:v>
      </x:c>
      <x:c r="C2949" t="str">
        <x:v>D</x:v>
      </x:c>
      <x:c r="D2949" t="str">
        <x:v>VVS2</x:v>
      </x:c>
      <x:c r="E2949" s="36" t="n">
        <x:v>156636</x:v>
      </x:c>
      <x:c r="F2949" s="36" t="n">
        <x:v>6660</x:v>
      </x:c>
      <x:c r="G2949" s="42" t="n">
        <x:v>1.4285714285714286</x:v>
      </x:c>
      <x:c r="H2949" s="36" t="n">
        <x:f>E2949*G2949</x:f>
        <x:v>223765.7142857143</x:v>
      </x:c>
      <x:c r="I2949" s="36" t="n">
        <x:f>IFERROR(H2949/A2949,0)</x:f>
        <x:v>44753.142857142855</x:v>
      </x:c>
      <x:c r="J2949" s="67" t="str">
        <x:v>Modeled from live base + Sep-2026 quality ratio</x:v>
      </x:c>
      <x:c r="K2949" s="67" t="str">
        <x:v>https://www.stonealgo.com/diamond-prices/</x:v>
      </x:c>
      <x:c r="L2949" s="67" t="str">
        <x:v>https://www.pricescope.com/blog/natural-diamond-prices-september-2026</x:v>
      </x:c>
    </x:row>
    <x:row r="2950">
      <x:c r="A2950" t="n">
        <x:v>5</x:v>
      </x:c>
      <x:c r="B2950" t="str">
        <x:v>Pear</x:v>
      </x:c>
      <x:c r="C2950" t="str">
        <x:v>D</x:v>
      </x:c>
      <x:c r="D2950" t="str">
        <x:v>VS1</x:v>
      </x:c>
      <x:c r="E2950" s="36" t="n">
        <x:v>156636</x:v>
      </x:c>
      <x:c r="F2950" s="36" t="n">
        <x:v>6247</x:v>
      </x:c>
      <x:c r="G2950" s="42" t="n">
        <x:v>1.33998283998284</x:v>
      </x:c>
      <x:c r="H2950" s="36" t="n">
        <x:f>E2950*G2950</x:f>
        <x:v>209889.55212355213</x:v>
      </x:c>
      <x:c r="I2950" s="36" t="n">
        <x:f>IFERROR(H2950/A2950,0)</x:f>
        <x:v>41977.910424710426</x:v>
      </x:c>
      <x:c r="J2950" s="67" t="str">
        <x:v>Modeled from live base + Sep-2026 quality ratio</x:v>
      </x:c>
      <x:c r="K2950" s="67" t="str">
        <x:v>https://www.stonealgo.com/diamond-prices/</x:v>
      </x:c>
      <x:c r="L2950" s="67" t="str">
        <x:v>https://www.pricescope.com/blog/natural-diamond-prices-september-2026</x:v>
      </x:c>
    </x:row>
    <x:row r="2951">
      <x:c r="A2951" t="n">
        <x:v>5</x:v>
      </x:c>
      <x:c r="B2951" t="str">
        <x:v>Pear</x:v>
      </x:c>
      <x:c r="C2951" t="str">
        <x:v>D</x:v>
      </x:c>
      <x:c r="D2951" t="str">
        <x:v>VS2</x:v>
      </x:c>
      <x:c r="E2951" s="36" t="n">
        <x:v>156636</x:v>
      </x:c>
      <x:c r="F2951" s="36" t="n">
        <x:v>5841</x:v>
      </x:c>
      <x:c r="G2951" s="42" t="n">
        <x:v>1.252895752895753</x:v>
      </x:c>
      <x:c r="H2951" s="36" t="n">
        <x:f>E2951*G2951</x:f>
        <x:v>196248.57915057917</x:v>
      </x:c>
      <x:c r="I2951" s="36" t="n">
        <x:f>IFERROR(H2951/A2951,0)</x:f>
        <x:v>39249.715830115834</x:v>
      </x:c>
      <x:c r="J2951" s="67" t="str">
        <x:v>Modeled from live base + Sep-2026 quality ratio</x:v>
      </x:c>
      <x:c r="K2951" s="67" t="str">
        <x:v>https://www.stonealgo.com/diamond-prices/</x:v>
      </x:c>
      <x:c r="L2951" s="67" t="str">
        <x:v>https://www.pricescope.com/blog/natural-diamond-prices-september-2026</x:v>
      </x:c>
    </x:row>
    <x:row r="2952">
      <x:c r="A2952" t="n">
        <x:v>5</x:v>
      </x:c>
      <x:c r="B2952" t="str">
        <x:v>Pear</x:v>
      </x:c>
      <x:c r="C2952" t="str">
        <x:v>D</x:v>
      </x:c>
      <x:c r="D2952" t="str">
        <x:v>SI1</x:v>
      </x:c>
      <x:c r="E2952" s="36" t="n">
        <x:v>156636</x:v>
      </x:c>
      <x:c r="F2952" s="36" t="n">
        <x:v>3762</x:v>
      </x:c>
      <x:c r="G2952" s="42" t="n">
        <x:v>0.806949806949807</x:v>
      </x:c>
      <x:c r="H2952" s="36" t="n">
        <x:f>E2952*G2952</x:f>
        <x:v>126397.38996138997</x:v>
      </x:c>
      <x:c r="I2952" s="36" t="n">
        <x:f>IFERROR(H2952/A2952,0)</x:f>
        <x:v>25279.477992277993</x:v>
      </x:c>
      <x:c r="J2952" s="67" t="str">
        <x:v>Modeled from live base + Sep-2026 quality ratio</x:v>
      </x:c>
      <x:c r="K2952" s="67" t="str">
        <x:v>https://www.stonealgo.com/diamond-prices/</x:v>
      </x:c>
      <x:c r="L2952" s="67" t="str">
        <x:v>https://www.pricescope.com/blog/natural-diamond-prices-september-2026</x:v>
      </x:c>
    </x:row>
    <x:row r="2953">
      <x:c r="A2953" t="n">
        <x:v>5</x:v>
      </x:c>
      <x:c r="B2953" t="str">
        <x:v>Pear</x:v>
      </x:c>
      <x:c r="C2953" t="str">
        <x:v>D</x:v>
      </x:c>
      <x:c r="D2953" t="str">
        <x:v>SI2</x:v>
      </x:c>
      <x:c r="E2953" s="36" t="n">
        <x:v>156636</x:v>
      </x:c>
      <x:c r="F2953" s="36" t="n">
        <x:v>3026</x:v>
      </x:c>
      <x:c r="G2953" s="42" t="n">
        <x:v>0.6490776490776491</x:v>
      </x:c>
      <x:c r="H2953" s="36" t="n">
        <x:f>E2953*G2953</x:f>
        <x:v>101668.92664092664</x:v>
      </x:c>
      <x:c r="I2953" s="36" t="n">
        <x:f>IFERROR(H2953/A2953,0)</x:f>
        <x:v>20333.785328185328</x:v>
      </x:c>
      <x:c r="J2953" s="67" t="str">
        <x:v>Modeled from live base + Sep-2026 quality ratio</x:v>
      </x:c>
      <x:c r="K2953" s="67" t="str">
        <x:v>https://www.stonealgo.com/diamond-prices/</x:v>
      </x:c>
      <x:c r="L2953" s="67" t="str">
        <x:v>https://www.pricescope.com/blog/natural-diamond-prices-september-2026</x:v>
      </x:c>
    </x:row>
    <x:row r="2954">
      <x:c r="A2954" t="n">
        <x:v>5</x:v>
      </x:c>
      <x:c r="B2954" t="str">
        <x:v>Pear</x:v>
      </x:c>
      <x:c r="C2954" t="str">
        <x:v>E</x:v>
      </x:c>
      <x:c r="D2954" t="str">
        <x:v>FL</x:v>
      </x:c>
      <x:c r="E2954" s="36" t="n">
        <x:v>156636</x:v>
      </x:c>
      <x:c r="F2954" s="36" t="n">
        <x:v>10072</x:v>
      </x:c>
      <x:c r="G2954" s="42" t="n">
        <x:v>2.1604461604461602</x:v>
      </x:c>
      <x:c r="H2954" s="36" t="n">
        <x:f>E2954*G2954</x:f>
        <x:v>338403.64478764473</x:v>
      </x:c>
      <x:c r="I2954" s="36" t="n">
        <x:f>IFERROR(H2954/A2954,0)</x:f>
        <x:v>67680.72895752895</x:v>
      </x:c>
      <x:c r="J2954" s="67" t="str">
        <x:v>Modeled from live base + Sep-2026 quality ratio</x:v>
      </x:c>
      <x:c r="K2954" s="67" t="str">
        <x:v>https://www.stonealgo.com/diamond-prices/</x:v>
      </x:c>
      <x:c r="L2954" s="67" t="str">
        <x:v>https://www.pricescope.com/blog/natural-diamond-prices-september-2026</x:v>
      </x:c>
    </x:row>
    <x:row r="2955">
      <x:c r="A2955" t="n">
        <x:v>5</x:v>
      </x:c>
      <x:c r="B2955" t="str">
        <x:v>Pear</x:v>
      </x:c>
      <x:c r="C2955" t="str">
        <x:v>E</x:v>
      </x:c>
      <x:c r="D2955" t="str">
        <x:v>IF</x:v>
      </x:c>
      <x:c r="E2955" s="36" t="n">
        <x:v>156636</x:v>
      </x:c>
      <x:c r="F2955" s="36" t="n">
        <x:v>8672</x:v>
      </x:c>
      <x:c r="G2955" s="42" t="n">
        <x:v>1.8601458601458603</x:v>
      </x:c>
      <x:c r="H2955" s="36" t="n">
        <x:f>E2955*G2955</x:f>
        <x:v>291365.806949807</x:v>
      </x:c>
      <x:c r="I2955" s="36" t="n">
        <x:f>IFERROR(H2955/A2955,0)</x:f>
        <x:v>58273.161389961395</x:v>
      </x:c>
      <x:c r="J2955" s="67" t="str">
        <x:v>Modeled from live base + Sep-2026 quality ratio</x:v>
      </x:c>
      <x:c r="K2955" s="67" t="str">
        <x:v>https://www.stonealgo.com/diamond-prices/</x:v>
      </x:c>
      <x:c r="L2955" s="67" t="str">
        <x:v>https://www.pricescope.com/blog/natural-diamond-prices-september-2026</x:v>
      </x:c>
    </x:row>
    <x:row r="2956">
      <x:c r="A2956" t="n">
        <x:v>5</x:v>
      </x:c>
      <x:c r="B2956" t="str">
        <x:v>Pear</x:v>
      </x:c>
      <x:c r="C2956" t="str">
        <x:v>E</x:v>
      </x:c>
      <x:c r="D2956" t="str">
        <x:v>VVS1</x:v>
      </x:c>
      <x:c r="E2956" s="36" t="n">
        <x:v>156636</x:v>
      </x:c>
      <x:c r="F2956" s="36" t="n">
        <x:v>7842</x:v>
      </x:c>
      <x:c r="G2956" s="42" t="n">
        <x:v>1.6821106821106822</x:v>
      </x:c>
      <x:c r="H2956" s="36" t="n">
        <x:f>E2956*G2956</x:f>
        <x:v>263479.0888030888</x:v>
      </x:c>
      <x:c r="I2956" s="36" t="n">
        <x:f>IFERROR(H2956/A2956,0)</x:f>
        <x:v>52695.81776061776</x:v>
      </x:c>
      <x:c r="J2956" s="67" t="str">
        <x:v>Modeled from live base + Sep-2026 quality ratio</x:v>
      </x:c>
      <x:c r="K2956" s="67" t="str">
        <x:v>https://www.stonealgo.com/diamond-prices/</x:v>
      </x:c>
      <x:c r="L2956" s="67" t="str">
        <x:v>https://www.pricescope.com/blog/natural-diamond-prices-september-2026</x:v>
      </x:c>
    </x:row>
    <x:row r="2957">
      <x:c r="A2957" t="n">
        <x:v>5</x:v>
      </x:c>
      <x:c r="B2957" t="str">
        <x:v>Pear</x:v>
      </x:c>
      <x:c r="C2957" t="str">
        <x:v>E</x:v>
      </x:c>
      <x:c r="D2957" t="str">
        <x:v>VVS2</x:v>
      </x:c>
      <x:c r="E2957" s="36" t="n">
        <x:v>156636</x:v>
      </x:c>
      <x:c r="F2957" s="36" t="n">
        <x:v>6880</x:v>
      </x:c>
      <x:c r="G2957" s="42" t="n">
        <x:v>1.4757614757614759</x:v>
      </x:c>
      <x:c r="H2957" s="36" t="n">
        <x:f>E2957*G2957</x:f>
        <x:v>231157.37451737453</x:v>
      </x:c>
      <x:c r="I2957" s="36" t="n">
        <x:f>IFERROR(H2957/A2957,0)</x:f>
        <x:v>46231.474903474904</x:v>
      </x:c>
      <x:c r="J2957" s="67" t="str">
        <x:v>Modeled from live base + Sep-2026 quality ratio</x:v>
      </x:c>
      <x:c r="K2957" s="67" t="str">
        <x:v>https://www.stonealgo.com/diamond-prices/</x:v>
      </x:c>
      <x:c r="L2957" s="67" t="str">
        <x:v>https://www.pricescope.com/blog/natural-diamond-prices-september-2026</x:v>
      </x:c>
    </x:row>
    <x:row r="2958">
      <x:c r="A2958" t="n">
        <x:v>5</x:v>
      </x:c>
      <x:c r="B2958" t="str">
        <x:v>Pear</x:v>
      </x:c>
      <x:c r="C2958" t="str">
        <x:v>E</x:v>
      </x:c>
      <x:c r="D2958" t="str">
        <x:v>VS1</x:v>
      </x:c>
      <x:c r="E2958" s="36" t="n">
        <x:v>156636</x:v>
      </x:c>
      <x:c r="F2958" s="36" t="n">
        <x:v>6307</x:v>
      </x:c>
      <x:c r="G2958" s="42" t="n">
        <x:v>1.352852852852853</x:v>
      </x:c>
      <x:c r="H2958" s="36" t="n">
        <x:f>E2958*G2958</x:f>
        <x:v>211905.45945945947</x:v>
      </x:c>
      <x:c r="I2958" s="36" t="n">
        <x:f>IFERROR(H2958/A2958,0)</x:f>
        <x:v>42381.09189189189</x:v>
      </x:c>
      <x:c r="J2958" s="67" t="str">
        <x:v>Modeled from live base + Sep-2026 quality ratio</x:v>
      </x:c>
      <x:c r="K2958" s="67" t="str">
        <x:v>https://www.stonealgo.com/diamond-prices/</x:v>
      </x:c>
      <x:c r="L2958" s="67" t="str">
        <x:v>https://www.pricescope.com/blog/natural-diamond-prices-september-2026</x:v>
      </x:c>
    </x:row>
    <x:row r="2959">
      <x:c r="A2959" t="n">
        <x:v>5</x:v>
      </x:c>
      <x:c r="B2959" t="str">
        <x:v>Pear</x:v>
      </x:c>
      <x:c r="C2959" t="str">
        <x:v>E</x:v>
      </x:c>
      <x:c r="D2959" t="str">
        <x:v>VS2</x:v>
      </x:c>
      <x:c r="E2959" s="36" t="n">
        <x:v>156636</x:v>
      </x:c>
      <x:c r="F2959" s="36" t="n">
        <x:v>5249</x:v>
      </x:c>
      <x:c r="G2959" s="42" t="n">
        <x:v>1.125911625911626</x:v>
      </x:c>
      <x:c r="H2959" s="36" t="n">
        <x:f>E2959*G2959</x:f>
        <x:v>176358.29343629343</x:v>
      </x:c>
      <x:c r="I2959" s="36" t="n">
        <x:f>IFERROR(H2959/A2959,0)</x:f>
        <x:v>35271.658687258685</x:v>
      </x:c>
      <x:c r="J2959" s="67" t="str">
        <x:v>Modeled from live base + Sep-2026 quality ratio</x:v>
      </x:c>
      <x:c r="K2959" s="67" t="str">
        <x:v>https://www.stonealgo.com/diamond-prices/</x:v>
      </x:c>
      <x:c r="L2959" s="67" t="str">
        <x:v>https://www.pricescope.com/blog/natural-diamond-prices-september-2026</x:v>
      </x:c>
    </x:row>
    <x:row r="2960">
      <x:c r="A2960" t="n">
        <x:v>5</x:v>
      </x:c>
      <x:c r="B2960" t="str">
        <x:v>Pear</x:v>
      </x:c>
      <x:c r="C2960" t="str">
        <x:v>E</x:v>
      </x:c>
      <x:c r="D2960" t="str">
        <x:v>SI1</x:v>
      </x:c>
      <x:c r="E2960" s="36" t="n">
        <x:v>156636</x:v>
      </x:c>
      <x:c r="F2960" s="36" t="n">
        <x:v>3551</x:v>
      </x:c>
      <x:c r="G2960" s="42" t="n">
        <x:v>0.7616902616902617</x:v>
      </x:c>
      <x:c r="H2960" s="36" t="n">
        <x:f>E2960*G2960</x:f>
        <x:v>119308.11583011583</x:v>
      </x:c>
      <x:c r="I2960" s="36" t="n">
        <x:f>IFERROR(H2960/A2960,0)</x:f>
        <x:v>23861.623166023164</x:v>
      </x:c>
      <x:c r="J2960" s="67" t="str">
        <x:v>Modeled from live base + Sep-2026 quality ratio</x:v>
      </x:c>
      <x:c r="K2960" s="67" t="str">
        <x:v>https://www.stonealgo.com/diamond-prices/</x:v>
      </x:c>
      <x:c r="L2960" s="67" t="str">
        <x:v>https://www.pricescope.com/blog/natural-diamond-prices-september-2026</x:v>
      </x:c>
    </x:row>
    <x:row r="2961">
      <x:c r="A2961" t="n">
        <x:v>5</x:v>
      </x:c>
      <x:c r="B2961" t="str">
        <x:v>Pear</x:v>
      </x:c>
      <x:c r="C2961" t="str">
        <x:v>E</x:v>
      </x:c>
      <x:c r="D2961" t="str">
        <x:v>SI2</x:v>
      </x:c>
      <x:c r="E2961" s="36" t="n">
        <x:v>156636</x:v>
      </x:c>
      <x:c r="F2961" s="36" t="n">
        <x:v>2993</x:v>
      </x:c>
      <x:c r="G2961" s="42" t="n">
        <x:v>0.641999141999142</x:v>
      </x:c>
      <x:c r="H2961" s="36" t="n">
        <x:f>E2961*G2961</x:f>
        <x:v>100560.1776061776</x:v>
      </x:c>
      <x:c r="I2961" s="36" t="n">
        <x:f>IFERROR(H2961/A2961,0)</x:f>
        <x:v>20112.03552123552</x:v>
      </x:c>
      <x:c r="J2961" s="67" t="str">
        <x:v>Modeled from live base + Sep-2026 quality ratio</x:v>
      </x:c>
      <x:c r="K2961" s="67" t="str">
        <x:v>https://www.stonealgo.com/diamond-prices/</x:v>
      </x:c>
      <x:c r="L2961" s="67" t="str">
        <x:v>https://www.pricescope.com/blog/natural-diamond-prices-september-2026</x:v>
      </x:c>
    </x:row>
    <x:row r="2962">
      <x:c r="A2962" t="n">
        <x:v>5</x:v>
      </x:c>
      <x:c r="B2962" t="str">
        <x:v>Pear</x:v>
      </x:c>
      <x:c r="C2962" t="str">
        <x:v>F</x:v>
      </x:c>
      <x:c r="D2962" t="str">
        <x:v>FL</x:v>
      </x:c>
      <x:c r="E2962" s="36" t="n">
        <x:v>156636</x:v>
      </x:c>
      <x:c r="F2962" s="36" t="n">
        <x:v>6830</x:v>
      </x:c>
      <x:c r="G2962" s="42" t="n">
        <x:v>1.4650364650364651</x:v>
      </x:c>
      <x:c r="H2962" s="36" t="n">
        <x:f>E2962*G2962</x:f>
        <x:v>229477.45173745175</x:v>
      </x:c>
      <x:c r="I2962" s="36" t="n">
        <x:f>IFERROR(H2962/A2962,0)</x:f>
        <x:v>45895.49034749035</x:v>
      </x:c>
      <x:c r="J2962" s="67" t="str">
        <x:v>Modeled from live base + Sep-2026 quality ratio</x:v>
      </x:c>
      <x:c r="K2962" s="67" t="str">
        <x:v>https://www.stonealgo.com/diamond-prices/</x:v>
      </x:c>
      <x:c r="L2962" s="67" t="str">
        <x:v>https://www.pricescope.com/blog/natural-diamond-prices-september-2026</x:v>
      </x:c>
    </x:row>
    <x:row r="2963">
      <x:c r="A2963" t="n">
        <x:v>5</x:v>
      </x:c>
      <x:c r="B2963" t="str">
        <x:v>Pear</x:v>
      </x:c>
      <x:c r="C2963" t="str">
        <x:v>F</x:v>
      </x:c>
      <x:c r="D2963" t="str">
        <x:v>IF</x:v>
      </x:c>
      <x:c r="E2963" s="36" t="n">
        <x:v>156636</x:v>
      </x:c>
      <x:c r="F2963" s="36" t="n">
        <x:v>7302</x:v>
      </x:c>
      <x:c r="G2963" s="42" t="n">
        <x:v>1.5662805662805663</x:v>
      </x:c>
      <x:c r="H2963" s="36" t="n">
        <x:f>E2963*G2963</x:f>
        <x:v>245335.92277992278</x:v>
      </x:c>
      <x:c r="I2963" s="36" t="n">
        <x:f>IFERROR(H2963/A2963,0)</x:f>
        <x:v>49067.18455598455</x:v>
      </x:c>
      <x:c r="J2963" s="67" t="str">
        <x:v>Modeled from live base + Sep-2026 quality ratio</x:v>
      </x:c>
      <x:c r="K2963" s="67" t="str">
        <x:v>https://www.stonealgo.com/diamond-prices/</x:v>
      </x:c>
      <x:c r="L2963" s="67" t="str">
        <x:v>https://www.pricescope.com/blog/natural-diamond-prices-september-2026</x:v>
      </x:c>
    </x:row>
    <x:row r="2964">
      <x:c r="A2964" t="n">
        <x:v>5</x:v>
      </x:c>
      <x:c r="B2964" t="str">
        <x:v>Pear</x:v>
      </x:c>
      <x:c r="C2964" t="str">
        <x:v>F</x:v>
      </x:c>
      <x:c r="D2964" t="str">
        <x:v>VVS1</x:v>
      </x:c>
      <x:c r="E2964" s="36" t="n">
        <x:v>156636</x:v>
      </x:c>
      <x:c r="F2964" s="36" t="n">
        <x:v>7542</x:v>
      </x:c>
      <x:c r="G2964" s="42" t="n">
        <x:v>1.6177606177606179</x:v>
      </x:c>
      <x:c r="H2964" s="36" t="n">
        <x:f>E2964*G2964</x:f>
        <x:v>253399.55212355213</x:v>
      </x:c>
      <x:c r="I2964" s="36" t="n">
        <x:f>IFERROR(H2964/A2964,0)</x:f>
        <x:v>50679.910424710426</x:v>
      </x:c>
      <x:c r="J2964" s="67" t="str">
        <x:v>Modeled from live base + Sep-2026 quality ratio</x:v>
      </x:c>
      <x:c r="K2964" s="67" t="str">
        <x:v>https://www.stonealgo.com/diamond-prices/</x:v>
      </x:c>
      <x:c r="L2964" s="67" t="str">
        <x:v>https://www.pricescope.com/blog/natural-diamond-prices-september-2026</x:v>
      </x:c>
    </x:row>
    <x:row r="2965">
      <x:c r="A2965" t="n">
        <x:v>5</x:v>
      </x:c>
      <x:c r="B2965" t="str">
        <x:v>Pear</x:v>
      </x:c>
      <x:c r="C2965" t="str">
        <x:v>F</x:v>
      </x:c>
      <x:c r="D2965" t="str">
        <x:v>VVS2</x:v>
      </x:c>
      <x:c r="E2965" s="36" t="n">
        <x:v>156636</x:v>
      </x:c>
      <x:c r="F2965" s="36" t="n">
        <x:v>6352</x:v>
      </x:c>
      <x:c r="G2965" s="42" t="n">
        <x:v>1.3625053625053625</x:v>
      </x:c>
      <x:c r="H2965" s="36" t="n">
        <x:f>E2965*G2965</x:f>
        <x:v>213417.38996138997</x:v>
      </x:c>
      <x:c r="I2965" s="36" t="n">
        <x:f>IFERROR(H2965/A2965,0)</x:f>
        <x:v>42683.47799227799</x:v>
      </x:c>
      <x:c r="J2965" s="67" t="str">
        <x:v>Modeled from live base + Sep-2026 quality ratio</x:v>
      </x:c>
      <x:c r="K2965" s="67" t="str">
        <x:v>https://www.stonealgo.com/diamond-prices/</x:v>
      </x:c>
      <x:c r="L2965" s="67" t="str">
        <x:v>https://www.pricescope.com/blog/natural-diamond-prices-september-2026</x:v>
      </x:c>
    </x:row>
    <x:row r="2966">
      <x:c r="A2966" t="n">
        <x:v>5</x:v>
      </x:c>
      <x:c r="B2966" t="str">
        <x:v>Pear</x:v>
      </x:c>
      <x:c r="C2966" t="str">
        <x:v>F</x:v>
      </x:c>
      <x:c r="D2966" t="str">
        <x:v>VS1</x:v>
      </x:c>
      <x:c r="E2966" s="36" t="n">
        <x:v>156636</x:v>
      </x:c>
      <x:c r="F2966" s="36" t="n">
        <x:v>5647</x:v>
      </x:c>
      <x:c r="G2966" s="42" t="n">
        <x:v>1.2112827112827114</x:v>
      </x:c>
      <x:c r="H2966" s="36" t="n">
        <x:f>E2966*G2966</x:f>
        <x:v>189730.4787644788</x:v>
      </x:c>
      <x:c r="I2966" s="36" t="n">
        <x:f>IFERROR(H2966/A2966,0)</x:f>
        <x:v>37946.09575289576</x:v>
      </x:c>
      <x:c r="J2966" s="67" t="str">
        <x:v>Modeled from live base + Sep-2026 quality ratio</x:v>
      </x:c>
      <x:c r="K2966" s="67" t="str">
        <x:v>https://www.stonealgo.com/diamond-prices/</x:v>
      </x:c>
      <x:c r="L2966" s="67" t="str">
        <x:v>https://www.pricescope.com/blog/natural-diamond-prices-september-2026</x:v>
      </x:c>
    </x:row>
    <x:row r="2967">
      <x:c r="A2967" t="n">
        <x:v>5</x:v>
      </x:c>
      <x:c r="B2967" t="str">
        <x:v>Pear</x:v>
      </x:c>
      <x:c r="C2967" t="str">
        <x:v>F</x:v>
      </x:c>
      <x:c r="D2967" t="str">
        <x:v>VS2</x:v>
      </x:c>
      <x:c r="E2967" s="36" t="n">
        <x:v>156636</x:v>
      </x:c>
      <x:c r="F2967" s="36" t="n">
        <x:v>4730</x:v>
      </x:c>
      <x:c r="G2967" s="42" t="n">
        <x:v>1.0145860145860146</x:v>
      </x:c>
      <x:c r="H2967" s="36" t="n">
        <x:f>E2967*G2967</x:f>
        <x:v>158920.69498069497</x:v>
      </x:c>
      <x:c r="I2967" s="36" t="n">
        <x:f>IFERROR(H2967/A2967,0)</x:f>
        <x:v>31784.138996138994</x:v>
      </x:c>
      <x:c r="J2967" s="67" t="str">
        <x:v>Modeled from live base + Sep-2026 quality ratio</x:v>
      </x:c>
      <x:c r="K2967" s="67" t="str">
        <x:v>https://www.stonealgo.com/diamond-prices/</x:v>
      </x:c>
      <x:c r="L2967" s="67" t="str">
        <x:v>https://www.pricescope.com/blog/natural-diamond-prices-september-2026</x:v>
      </x:c>
    </x:row>
    <x:row r="2968">
      <x:c r="A2968" t="n">
        <x:v>5</x:v>
      </x:c>
      <x:c r="B2968" t="str">
        <x:v>Pear</x:v>
      </x:c>
      <x:c r="C2968" t="str">
        <x:v>F</x:v>
      </x:c>
      <x:c r="D2968" t="str">
        <x:v>SI1</x:v>
      </x:c>
      <x:c r="E2968" s="36" t="n">
        <x:v>156636</x:v>
      </x:c>
      <x:c r="F2968" s="36" t="n">
        <x:v>3331</x:v>
      </x:c>
      <x:c r="G2968" s="42" t="n">
        <x:v>0.7145002145002145</x:v>
      </x:c>
      <x:c r="H2968" s="36" t="n">
        <x:f>E2968*G2968</x:f>
        <x:v>111916.45559845559</x:v>
      </x:c>
      <x:c r="I2968" s="36" t="n">
        <x:f>IFERROR(H2968/A2968,0)</x:f>
        <x:v>22383.29111969112</x:v>
      </x:c>
      <x:c r="J2968" s="67" t="str">
        <x:v>Modeled from live base + Sep-2026 quality ratio</x:v>
      </x:c>
      <x:c r="K2968" s="67" t="str">
        <x:v>https://www.stonealgo.com/diamond-prices/</x:v>
      </x:c>
      <x:c r="L2968" s="67" t="str">
        <x:v>https://www.pricescope.com/blog/natural-diamond-prices-september-2026</x:v>
      </x:c>
    </x:row>
    <x:row r="2969">
      <x:c r="A2969" t="n">
        <x:v>5</x:v>
      </x:c>
      <x:c r="B2969" t="str">
        <x:v>Pear</x:v>
      </x:c>
      <x:c r="C2969" t="str">
        <x:v>F</x:v>
      </x:c>
      <x:c r="D2969" t="str">
        <x:v>SI2</x:v>
      </x:c>
      <x:c r="E2969" s="36" t="n">
        <x:v>156636</x:v>
      </x:c>
      <x:c r="F2969" s="36" t="n">
        <x:v>2733</x:v>
      </x:c>
      <x:c r="G2969" s="42" t="n">
        <x:v>0.5862290862290862</x:v>
      </x:c>
      <x:c r="H2969" s="36" t="n">
        <x:f>E2969*G2969</x:f>
        <x:v>91824.57915057914</x:v>
      </x:c>
      <x:c r="I2969" s="36" t="n">
        <x:f>IFERROR(H2969/A2969,0)</x:f>
        <x:v>18364.915830115828</x:v>
      </x:c>
      <x:c r="J2969" s="67" t="str">
        <x:v>Modeled from live base + Sep-2026 quality ratio</x:v>
      </x:c>
      <x:c r="K2969" s="67" t="str">
        <x:v>https://www.stonealgo.com/diamond-prices/</x:v>
      </x:c>
      <x:c r="L2969" s="67" t="str">
        <x:v>https://www.pricescope.com/blog/natural-diamond-prices-september-2026</x:v>
      </x:c>
    </x:row>
    <x:row r="2970">
      <x:c r="A2970" t="n">
        <x:v>5</x:v>
      </x:c>
      <x:c r="B2970" t="str">
        <x:v>Pear</x:v>
      </x:c>
      <x:c r="C2970" t="str">
        <x:v>G</x:v>
      </x:c>
      <x:c r="D2970" t="str">
        <x:v>FL</x:v>
      </x:c>
      <x:c r="E2970" s="36" t="n">
        <x:v>156636</x:v>
      </x:c>
      <x:c r="F2970" s="36" t="n">
        <x:v>5905</x:v>
      </x:c>
      <x:c r="G2970" s="42" t="n">
        <x:v>1.2666237666237665</x:v>
      </x:c>
      <x:c r="H2970" s="36" t="n">
        <x:f>E2970*G2970</x:f>
        <x:v>198398.8803088803</x:v>
      </x:c>
      <x:c r="I2970" s="36" t="n">
        <x:f>IFERROR(H2970/A2970,0)</x:f>
        <x:v>39679.77606177606</x:v>
      </x:c>
      <x:c r="J2970" s="67" t="str">
        <x:v>Modeled from live base + Sep-2026 quality ratio</x:v>
      </x:c>
      <x:c r="K2970" s="67" t="str">
        <x:v>https://www.stonealgo.com/diamond-prices/</x:v>
      </x:c>
      <x:c r="L2970" s="67" t="str">
        <x:v>https://www.pricescope.com/blog/natural-diamond-prices-september-2026</x:v>
      </x:c>
    </x:row>
    <x:row r="2971">
      <x:c r="A2971" t="n">
        <x:v>5</x:v>
      </x:c>
      <x:c r="B2971" t="str">
        <x:v>Pear</x:v>
      </x:c>
      <x:c r="C2971" t="str">
        <x:v>G</x:v>
      </x:c>
      <x:c r="D2971" t="str">
        <x:v>IF</x:v>
      </x:c>
      <x:c r="E2971" s="36" t="n">
        <x:v>156636</x:v>
      </x:c>
      <x:c r="F2971" s="36" t="n">
        <x:v>5601</x:v>
      </x:c>
      <x:c r="G2971" s="42" t="n">
        <x:v>1.2014157014157014</x:v>
      </x:c>
      <x:c r="H2971" s="36" t="n">
        <x:f>E2971*G2971</x:f>
        <x:v>188184.9498069498</x:v>
      </x:c>
      <x:c r="I2971" s="36" t="n">
        <x:f>IFERROR(H2971/A2971,0)</x:f>
        <x:v>37636.98996138996</x:v>
      </x:c>
      <x:c r="J2971" s="67" t="str">
        <x:v>Modeled from live base + Sep-2026 quality ratio</x:v>
      </x:c>
      <x:c r="K2971" s="67" t="str">
        <x:v>https://www.stonealgo.com/diamond-prices/</x:v>
      </x:c>
      <x:c r="L2971" s="67" t="str">
        <x:v>https://www.pricescope.com/blog/natural-diamond-prices-september-2026</x:v>
      </x:c>
    </x:row>
    <x:row r="2972">
      <x:c r="A2972" t="n">
        <x:v>5</x:v>
      </x:c>
      <x:c r="B2972" t="str">
        <x:v>Pear</x:v>
      </x:c>
      <x:c r="C2972" t="str">
        <x:v>G</x:v>
      </x:c>
      <x:c r="D2972" t="str">
        <x:v>VVS1</x:v>
      </x:c>
      <x:c r="E2972" s="36" t="n">
        <x:v>156636</x:v>
      </x:c>
      <x:c r="F2972" s="36" t="n">
        <x:v>5124</x:v>
      </x:c>
      <x:c r="G2972" s="42" t="n">
        <x:v>1.0990990990990992</x:v>
      </x:c>
      <x:c r="H2972" s="36" t="n">
        <x:f>E2972*G2972</x:f>
        <x:v>172158.4864864865</x:v>
      </x:c>
      <x:c r="I2972" s="36" t="n">
        <x:f>IFERROR(H2972/A2972,0)</x:f>
        <x:v>34431.6972972973</x:v>
      </x:c>
      <x:c r="J2972" s="67" t="str">
        <x:v>Modeled from live base + Sep-2026 quality ratio</x:v>
      </x:c>
      <x:c r="K2972" s="67" t="str">
        <x:v>https://www.stonealgo.com/diamond-prices/</x:v>
      </x:c>
      <x:c r="L2972" s="67" t="str">
        <x:v>https://www.pricescope.com/blog/natural-diamond-prices-september-2026</x:v>
      </x:c>
    </x:row>
    <x:row r="2973">
      <x:c r="A2973" t="n">
        <x:v>5</x:v>
      </x:c>
      <x:c r="B2973" t="str">
        <x:v>Pear</x:v>
      </x:c>
      <x:c r="C2973" t="str">
        <x:v>G</x:v>
      </x:c>
      <x:c r="D2973" t="str">
        <x:v>VVS2</x:v>
      </x:c>
      <x:c r="E2973" s="36" t="n">
        <x:v>156636</x:v>
      </x:c>
      <x:c r="F2973" s="36" t="n">
        <x:v>4962</x:v>
      </x:c>
      <x:c r="G2973" s="42" t="n">
        <x:v>1.0643500643500643</x:v>
      </x:c>
      <x:c r="H2973" s="36" t="n">
        <x:f>E2973*G2973</x:f>
        <x:v>166715.53667953666</x:v>
      </x:c>
      <x:c r="I2973" s="36" t="n">
        <x:f>IFERROR(H2973/A2973,0)</x:f>
        <x:v>33343.107335907334</x:v>
      </x:c>
      <x:c r="J2973" s="67" t="str">
        <x:v>Modeled from live base + Sep-2026 quality ratio</x:v>
      </x:c>
      <x:c r="K2973" s="67" t="str">
        <x:v>https://www.stonealgo.com/diamond-prices/</x:v>
      </x:c>
      <x:c r="L2973" s="67" t="str">
        <x:v>https://www.pricescope.com/blog/natural-diamond-prices-september-2026</x:v>
      </x:c>
    </x:row>
    <x:row r="2974">
      <x:c r="A2974" t="n">
        <x:v>5</x:v>
      </x:c>
      <x:c r="B2974" t="str">
        <x:v>Pear</x:v>
      </x:c>
      <x:c r="C2974" t="str">
        <x:v>G</x:v>
      </x:c>
      <x:c r="D2974" t="str">
        <x:v>VS1</x:v>
      </x:c>
      <x:c r="E2974" s="36" t="n">
        <x:v>156636</x:v>
      </x:c>
      <x:c r="F2974" s="36" t="n">
        <x:v>4615</x:v>
      </x:c>
      <x:c r="G2974" s="42" t="n">
        <x:v>0.98991848991849</x:v>
      </x:c>
      <x:c r="H2974" s="36" t="n">
        <x:f>E2974*G2974</x:f>
        <x:v>155056.8725868726</x:v>
      </x:c>
      <x:c r="I2974" s="36" t="n">
        <x:f>IFERROR(H2974/A2974,0)</x:f>
        <x:v>31011.37451737452</x:v>
      </x:c>
      <x:c r="J2974" s="67" t="str">
        <x:v>Modeled from live base + Sep-2026 quality ratio</x:v>
      </x:c>
      <x:c r="K2974" s="67" t="str">
        <x:v>https://www.stonealgo.com/diamond-prices/</x:v>
      </x:c>
      <x:c r="L2974" s="67" t="str">
        <x:v>https://www.pricescope.com/blog/natural-diamond-prices-september-2026</x:v>
      </x:c>
    </x:row>
    <x:row r="2975">
      <x:c r="A2975" t="n">
        <x:v>5</x:v>
      </x:c>
      <x:c r="B2975" t="str">
        <x:v>Pear</x:v>
      </x:c>
      <x:c r="C2975" t="str">
        <x:v>G</x:v>
      </x:c>
      <x:c r="D2975" t="str">
        <x:v>VS2</x:v>
      </x:c>
      <x:c r="E2975" s="36" t="n">
        <x:v>156636</x:v>
      </x:c>
      <x:c r="F2975" s="36" t="n">
        <x:v>4585</x:v>
      </x:c>
      <x:c r="G2975" s="42" t="n">
        <x:v>0.9834834834834835</x:v>
      </x:c>
      <x:c r="H2975" s="36" t="n">
        <x:f>E2975*G2975</x:f>
        <x:v>154048.9189189189</x:v>
      </x:c>
      <x:c r="I2975" s="36" t="n">
        <x:f>IFERROR(H2975/A2975,0)</x:f>
        <x:v>30809.78378378378</x:v>
      </x:c>
      <x:c r="J2975" s="67" t="str">
        <x:v>Modeled from live base + Sep-2026 quality ratio</x:v>
      </x:c>
      <x:c r="K2975" s="67" t="str">
        <x:v>https://www.stonealgo.com/diamond-prices/</x:v>
      </x:c>
      <x:c r="L2975" s="67" t="str">
        <x:v>https://www.pricescope.com/blog/natural-diamond-prices-september-2026</x:v>
      </x:c>
    </x:row>
    <x:row r="2976">
      <x:c r="A2976" t="n">
        <x:v>5</x:v>
      </x:c>
      <x:c r="B2976" t="str">
        <x:v>Pear</x:v>
      </x:c>
      <x:c r="C2976" t="str">
        <x:v>G</x:v>
      </x:c>
      <x:c r="D2976" t="str">
        <x:v>SI1</x:v>
      </x:c>
      <x:c r="E2976" s="36" t="n">
        <x:v>156636</x:v>
      </x:c>
      <x:c r="F2976" s="36" t="n">
        <x:v>3664</x:v>
      </x:c>
      <x:c r="G2976" s="42" t="n">
        <x:v>0.7859287859287859</x:v>
      </x:c>
      <x:c r="H2976" s="36" t="n">
        <x:f>E2976*G2976</x:f>
        <x:v>123104.7413127413</x:v>
      </x:c>
      <x:c r="I2976" s="36" t="n">
        <x:f>IFERROR(H2976/A2976,0)</x:f>
        <x:v>24620.94826254826</x:v>
      </x:c>
      <x:c r="J2976" s="67" t="str">
        <x:v>Modeled from live base + Sep-2026 quality ratio</x:v>
      </x:c>
      <x:c r="K2976" s="67" t="str">
        <x:v>https://www.stonealgo.com/diamond-prices/</x:v>
      </x:c>
      <x:c r="L2976" s="67" t="str">
        <x:v>https://www.pricescope.com/blog/natural-diamond-prices-september-2026</x:v>
      </x:c>
    </x:row>
    <x:row r="2977">
      <x:c r="A2977" t="n">
        <x:v>5</x:v>
      </x:c>
      <x:c r="B2977" t="str">
        <x:v>Pear</x:v>
      </x:c>
      <x:c r="C2977" t="str">
        <x:v>G</x:v>
      </x:c>
      <x:c r="D2977" t="str">
        <x:v>SI2</x:v>
      </x:c>
      <x:c r="E2977" s="36" t="n">
        <x:v>156636</x:v>
      </x:c>
      <x:c r="F2977" s="36" t="n">
        <x:v>2537</x:v>
      </x:c>
      <x:c r="G2977" s="42" t="n">
        <x:v>0.5441870441870442</x:v>
      </x:c>
      <x:c r="H2977" s="36" t="n">
        <x:f>E2977*G2977</x:f>
        <x:v>85239.28185328186</x:v>
      </x:c>
      <x:c r="I2977" s="36" t="n">
        <x:f>IFERROR(H2977/A2977,0)</x:f>
        <x:v>17047.856370656373</x:v>
      </x:c>
      <x:c r="J2977" s="67" t="str">
        <x:v>Modeled from live base + Sep-2026 quality ratio</x:v>
      </x:c>
      <x:c r="K2977" s="67" t="str">
        <x:v>https://www.stonealgo.com/diamond-prices/</x:v>
      </x:c>
      <x:c r="L2977" s="67" t="str">
        <x:v>https://www.pricescope.com/blog/natural-diamond-prices-september-2026</x:v>
      </x:c>
    </x:row>
    <x:row r="2978">
      <x:c r="A2978" t="n">
        <x:v>5</x:v>
      </x:c>
      <x:c r="B2978" t="str">
        <x:v>Pear</x:v>
      </x:c>
      <x:c r="C2978" t="str">
        <x:v>H</x:v>
      </x:c>
      <x:c r="D2978" t="str">
        <x:v>FL</x:v>
      </x:c>
      <x:c r="E2978" s="36" t="n">
        <x:v>156636</x:v>
      </x:c>
      <x:c r="F2978" s="36" t="n">
        <x:v>4563</x:v>
      </x:c>
      <x:c r="G2978" s="42" t="n">
        <x:v>0.9787644787644788</x:v>
      </x:c>
      <x:c r="H2978" s="36" t="n">
        <x:f>E2978*G2978</x:f>
        <x:v>153309.7528957529</x:v>
      </x:c>
      <x:c r="I2978" s="36" t="n">
        <x:f>IFERROR(H2978/A2978,0)</x:f>
        <x:v>30661.95057915058</x:v>
      </x:c>
      <x:c r="J2978" s="67" t="str">
        <x:v>Modeled from live base + Sep-2026 quality ratio</x:v>
      </x:c>
      <x:c r="K2978" s="67" t="str">
        <x:v>https://www.stonealgo.com/diamond-prices/</x:v>
      </x:c>
      <x:c r="L2978" s="67" t="str">
        <x:v>https://www.pricescope.com/blog/natural-diamond-prices-september-2026</x:v>
      </x:c>
    </x:row>
    <x:row r="2979">
      <x:c r="A2979" t="n">
        <x:v>5</x:v>
      </x:c>
      <x:c r="B2979" t="str">
        <x:v>Pear</x:v>
      </x:c>
      <x:c r="C2979" t="str">
        <x:v>H</x:v>
      </x:c>
      <x:c r="D2979" t="str">
        <x:v>IF</x:v>
      </x:c>
      <x:c r="E2979" s="36" t="n">
        <x:v>156636</x:v>
      </x:c>
      <x:c r="F2979" s="36" t="n">
        <x:v>4809</x:v>
      </x:c>
      <x:c r="G2979" s="42" t="n">
        <x:v>1.0315315315315314</x:v>
      </x:c>
      <x:c r="H2979" s="36" t="n">
        <x:f>E2979*G2979</x:f>
        <x:v>161574.97297297296</x:v>
      </x:c>
      <x:c r="I2979" s="36" t="n">
        <x:f>IFERROR(H2979/A2979,0)</x:f>
        <x:v>32314.99459459459</x:v>
      </x:c>
      <x:c r="J2979" s="67" t="str">
        <x:v>Modeled from live base + Sep-2026 quality ratio</x:v>
      </x:c>
      <x:c r="K2979" s="67" t="str">
        <x:v>https://www.stonealgo.com/diamond-prices/</x:v>
      </x:c>
      <x:c r="L2979" s="67" t="str">
        <x:v>https://www.pricescope.com/blog/natural-diamond-prices-september-2026</x:v>
      </x:c>
    </x:row>
    <x:row r="2980">
      <x:c r="A2980" t="n">
        <x:v>5</x:v>
      </x:c>
      <x:c r="B2980" t="str">
        <x:v>Pear</x:v>
      </x:c>
      <x:c r="C2980" t="str">
        <x:v>H</x:v>
      </x:c>
      <x:c r="D2980" t="str">
        <x:v>VVS1</x:v>
      </x:c>
      <x:c r="E2980" s="36" t="n">
        <x:v>156636</x:v>
      </x:c>
      <x:c r="F2980" s="36" t="n">
        <x:v>4911</x:v>
      </x:c>
      <x:c r="G2980" s="42" t="n">
        <x:v>1.0534105534105533</x:v>
      </x:c>
      <x:c r="H2980" s="36" t="n">
        <x:f>E2980*G2980</x:f>
        <x:v>165002.01544401544</x:v>
      </x:c>
      <x:c r="I2980" s="36" t="n">
        <x:f>IFERROR(H2980/A2980,0)</x:f>
        <x:v>33000.40308880309</x:v>
      </x:c>
      <x:c r="J2980" s="67" t="str">
        <x:v>Modeled from live base + Sep-2026 quality ratio</x:v>
      </x:c>
      <x:c r="K2980" s="67" t="str">
        <x:v>https://www.stonealgo.com/diamond-prices/</x:v>
      </x:c>
      <x:c r="L2980" s="67" t="str">
        <x:v>https://www.pricescope.com/blog/natural-diamond-prices-september-2026</x:v>
      </x:c>
    </x:row>
    <x:row r="2981">
      <x:c r="A2981" t="n">
        <x:v>5</x:v>
      </x:c>
      <x:c r="B2981" t="str">
        <x:v>Pear</x:v>
      </x:c>
      <x:c r="C2981" t="str">
        <x:v>H</x:v>
      </x:c>
      <x:c r="D2981" t="str">
        <x:v>VVS2</x:v>
      </x:c>
      <x:c r="E2981" s="36" t="n">
        <x:v>156636</x:v>
      </x:c>
      <x:c r="F2981" s="36" t="n">
        <x:v>4046</x:v>
      </x:c>
      <x:c r="G2981" s="42" t="n">
        <x:v>0.8678678678678678</x:v>
      </x:c>
      <x:c r="H2981" s="36" t="n">
        <x:f>E2981*G2981</x:f>
        <x:v>135939.35135135136</x:v>
      </x:c>
      <x:c r="I2981" s="36" t="n">
        <x:f>IFERROR(H2981/A2981,0)</x:f>
        <x:v>27187.870270270272</x:v>
      </x:c>
      <x:c r="J2981" s="67" t="str">
        <x:v>Modeled from live base + Sep-2026 quality ratio</x:v>
      </x:c>
      <x:c r="K2981" s="67" t="str">
        <x:v>https://www.stonealgo.com/diamond-prices/</x:v>
      </x:c>
      <x:c r="L2981" s="67" t="str">
        <x:v>https://www.pricescope.com/blog/natural-diamond-prices-september-2026</x:v>
      </x:c>
    </x:row>
    <x:row r="2982">
      <x:c r="A2982" t="n">
        <x:v>5</x:v>
      </x:c>
      <x:c r="B2982" t="str">
        <x:v>Pear</x:v>
      </x:c>
      <x:c r="C2982" t="str">
        <x:v>H</x:v>
      </x:c>
      <x:c r="D2982" t="str">
        <x:v>VS1</x:v>
      </x:c>
      <x:c r="E2982" s="36" t="n">
        <x:v>156636</x:v>
      </x:c>
      <x:c r="F2982" s="36" t="n">
        <x:v>3893</x:v>
      </x:c>
      <x:c r="G2982" s="42" t="n">
        <x:v>0.8350493350493351</x:v>
      </x:c>
      <x:c r="H2982" s="36" t="n">
        <x:f>E2982*G2982</x:f>
        <x:v>130798.78764478765</x:v>
      </x:c>
      <x:c r="I2982" s="36" t="n">
        <x:f>IFERROR(H2982/A2982,0)</x:f>
        <x:v>26159.75752895753</x:v>
      </x:c>
      <x:c r="J2982" s="67" t="str">
        <x:v>Modeled from live base + Sep-2026 quality ratio</x:v>
      </x:c>
      <x:c r="K2982" s="67" t="str">
        <x:v>https://www.stonealgo.com/diamond-prices/</x:v>
      </x:c>
      <x:c r="L2982" s="67" t="str">
        <x:v>https://www.pricescope.com/blog/natural-diamond-prices-september-2026</x:v>
      </x:c>
    </x:row>
    <x:row r="2983">
      <x:c r="A2983" t="n">
        <x:v>5</x:v>
      </x:c>
      <x:c r="B2983" t="str">
        <x:v>Pear</x:v>
      </x:c>
      <x:c r="C2983" t="str">
        <x:v>H</x:v>
      </x:c>
      <x:c r="D2983" t="str">
        <x:v>VS2</x:v>
      </x:c>
      <x:c r="E2983" s="36" t="n">
        <x:v>156636</x:v>
      </x:c>
      <x:c r="F2983" s="36" t="n">
        <x:v>3989</x:v>
      </x:c>
      <x:c r="G2983" s="42" t="n">
        <x:v>0.8556413556413557</x:v>
      </x:c>
      <x:c r="H2983" s="36" t="n">
        <x:f>E2983*G2983</x:f>
        <x:v>134024.23938223938</x:v>
      </x:c>
      <x:c r="I2983" s="36" t="n">
        <x:f>IFERROR(H2983/A2983,0)</x:f>
        <x:v>26804.847876447875</x:v>
      </x:c>
      <x:c r="J2983" s="67" t="str">
        <x:v>Modeled from live base + Sep-2026 quality ratio</x:v>
      </x:c>
      <x:c r="K2983" s="67" t="str">
        <x:v>https://www.stonealgo.com/diamond-prices/</x:v>
      </x:c>
      <x:c r="L2983" s="67" t="str">
        <x:v>https://www.pricescope.com/blog/natural-diamond-prices-september-2026</x:v>
      </x:c>
    </x:row>
    <x:row r="2984">
      <x:c r="A2984" t="n">
        <x:v>5</x:v>
      </x:c>
      <x:c r="B2984" t="str">
        <x:v>Pear</x:v>
      </x:c>
      <x:c r="C2984" t="str">
        <x:v>H</x:v>
      </x:c>
      <x:c r="D2984" t="str">
        <x:v>SI1</x:v>
      </x:c>
      <x:c r="E2984" s="36" t="n">
        <x:v>156636</x:v>
      </x:c>
      <x:c r="F2984" s="36" t="n">
        <x:v>2828</x:v>
      </x:c>
      <x:c r="G2984" s="42" t="n">
        <x:v>0.6066066066066066</x:v>
      </x:c>
      <x:c r="H2984" s="36" t="n">
        <x:f>E2984*G2984</x:f>
        <x:v>95016.43243243243</x:v>
      </x:c>
      <x:c r="I2984" s="36" t="n">
        <x:f>IFERROR(H2984/A2984,0)</x:f>
        <x:v>19003.286486486486</x:v>
      </x:c>
      <x:c r="J2984" s="67" t="str">
        <x:v>Modeled from live base + Sep-2026 quality ratio</x:v>
      </x:c>
      <x:c r="K2984" s="67" t="str">
        <x:v>https://www.stonealgo.com/diamond-prices/</x:v>
      </x:c>
      <x:c r="L2984" s="67" t="str">
        <x:v>https://www.pricescope.com/blog/natural-diamond-prices-september-2026</x:v>
      </x:c>
    </x:row>
    <x:row r="2985">
      <x:c r="A2985" t="n">
        <x:v>5</x:v>
      </x:c>
      <x:c r="B2985" t="str">
        <x:v>Pear</x:v>
      </x:c>
      <x:c r="C2985" t="str">
        <x:v>H</x:v>
      </x:c>
      <x:c r="D2985" t="str">
        <x:v>SI2</x:v>
      </x:c>
      <x:c r="E2985" s="36" t="n">
        <x:v>156636</x:v>
      </x:c>
      <x:c r="F2985" s="36" t="n">
        <x:v>2328</x:v>
      </x:c>
      <x:c r="G2985" s="42" t="n">
        <x:v>0.49935649935649934</x:v>
      </x:c>
      <x:c r="H2985" s="36" t="n">
        <x:f>E2985*G2985</x:f>
        <x:v>78217.20463320463</x:v>
      </x:c>
      <x:c r="I2985" s="36" t="n">
        <x:f>IFERROR(H2985/A2985,0)</x:f>
        <x:v>15643.440926640926</x:v>
      </x:c>
      <x:c r="J2985" s="67" t="str">
        <x:v>Modeled from live base + Sep-2026 quality ratio</x:v>
      </x:c>
      <x:c r="K2985" s="67" t="str">
        <x:v>https://www.stonealgo.com/diamond-prices/</x:v>
      </x:c>
      <x:c r="L2985" s="67" t="str">
        <x:v>https://www.pricescope.com/blog/natural-diamond-prices-september-2026</x:v>
      </x:c>
    </x:row>
    <x:row r="2986">
      <x:c r="A2986" t="n">
        <x:v>5</x:v>
      </x:c>
      <x:c r="B2986" t="str">
        <x:v>Pear</x:v>
      </x:c>
      <x:c r="C2986" t="str">
        <x:v>I</x:v>
      </x:c>
      <x:c r="D2986" t="str">
        <x:v>FL</x:v>
      </x:c>
      <x:c r="E2986" s="36" t="n">
        <x:v>156636</x:v>
      </x:c>
      <x:c r="F2986" s="36" t="n">
        <x:v>4623</x:v>
      </x:c>
      <x:c r="G2986" s="42" t="n">
        <x:v>0.9916344916344917</x:v>
      </x:c>
      <x:c r="H2986" s="36" t="n">
        <x:f>E2986*G2986</x:f>
        <x:v>155325.66023166024</x:v>
      </x:c>
      <x:c r="I2986" s="36" t="n">
        <x:f>IFERROR(H2986/A2986,0)</x:f>
        <x:v>31065.132046332048</x:v>
      </x:c>
      <x:c r="J2986" s="67" t="str">
        <x:v>Modeled from live base + Sep-2026 quality ratio</x:v>
      </x:c>
      <x:c r="K2986" s="67" t="str">
        <x:v>https://www.stonealgo.com/diamond-prices/</x:v>
      </x:c>
      <x:c r="L2986" s="67" t="str">
        <x:v>https://www.pricescope.com/blog/natural-diamond-prices-september-2026</x:v>
      </x:c>
    </x:row>
    <x:row r="2987">
      <x:c r="A2987" t="n">
        <x:v>5</x:v>
      </x:c>
      <x:c r="B2987" t="str">
        <x:v>Pear</x:v>
      </x:c>
      <x:c r="C2987" t="str">
        <x:v>I</x:v>
      </x:c>
      <x:c r="D2987" t="str">
        <x:v>IF</x:v>
      </x:c>
      <x:c r="E2987" s="36" t="n">
        <x:v>156636</x:v>
      </x:c>
      <x:c r="F2987" s="36" t="n">
        <x:v>4005</x:v>
      </x:c>
      <x:c r="G2987" s="42" t="n">
        <x:v>0.859073359073359</x:v>
      </x:c>
      <x:c r="H2987" s="36" t="n">
        <x:f>E2987*G2987</x:f>
        <x:v>134561.81467181467</x:v>
      </x:c>
      <x:c r="I2987" s="36" t="n">
        <x:f>IFERROR(H2987/A2987,0)</x:f>
        <x:v>26912.362934362936</x:v>
      </x:c>
      <x:c r="J2987" s="67" t="str">
        <x:v>Modeled from live base + Sep-2026 quality ratio</x:v>
      </x:c>
      <x:c r="K2987" s="67" t="str">
        <x:v>https://www.stonealgo.com/diamond-prices/</x:v>
      </x:c>
      <x:c r="L2987" s="67" t="str">
        <x:v>https://www.pricescope.com/blog/natural-diamond-prices-september-2026</x:v>
      </x:c>
    </x:row>
    <x:row r="2988">
      <x:c r="A2988" t="n">
        <x:v>5</x:v>
      </x:c>
      <x:c r="B2988" t="str">
        <x:v>Pear</x:v>
      </x:c>
      <x:c r="C2988" t="str">
        <x:v>I</x:v>
      </x:c>
      <x:c r="D2988" t="str">
        <x:v>VVS1</x:v>
      </x:c>
      <x:c r="E2988" s="36" t="n">
        <x:v>156636</x:v>
      </x:c>
      <x:c r="F2988" s="36" t="n">
        <x:v>3670</x:v>
      </x:c>
      <x:c r="G2988" s="42" t="n">
        <x:v>0.7872157872157872</x:v>
      </x:c>
      <x:c r="H2988" s="36" t="n">
        <x:f>E2988*G2988</x:f>
        <x:v>123306.33204633204</x:v>
      </x:c>
      <x:c r="I2988" s="36" t="n">
        <x:f>IFERROR(H2988/A2988,0)</x:f>
        <x:v>24661.26640926641</x:v>
      </x:c>
      <x:c r="J2988" s="67" t="str">
        <x:v>Modeled from live base + Sep-2026 quality ratio</x:v>
      </x:c>
      <x:c r="K2988" s="67" t="str">
        <x:v>https://www.stonealgo.com/diamond-prices/</x:v>
      </x:c>
      <x:c r="L2988" s="67" t="str">
        <x:v>https://www.pricescope.com/blog/natural-diamond-prices-september-2026</x:v>
      </x:c>
    </x:row>
    <x:row r="2989">
      <x:c r="A2989" t="n">
        <x:v>5</x:v>
      </x:c>
      <x:c r="B2989" t="str">
        <x:v>Pear</x:v>
      </x:c>
      <x:c r="C2989" t="str">
        <x:v>I</x:v>
      </x:c>
      <x:c r="D2989" t="str">
        <x:v>VVS2</x:v>
      </x:c>
      <x:c r="E2989" s="36" t="n">
        <x:v>156636</x:v>
      </x:c>
      <x:c r="F2989" s="36" t="n">
        <x:v>3447</x:v>
      </x:c>
      <x:c r="G2989" s="42" t="n">
        <x:v>0.7393822393822393</x:v>
      </x:c>
      <x:c r="H2989" s="36" t="n">
        <x:f>E2989*G2989</x:f>
        <x:v>115813.87644787645</x:v>
      </x:c>
      <x:c r="I2989" s="36" t="n">
        <x:f>IFERROR(H2989/A2989,0)</x:f>
        <x:v>23162.77528957529</x:v>
      </x:c>
      <x:c r="J2989" s="67" t="str">
        <x:v>Modeled from live base + Sep-2026 quality ratio</x:v>
      </x:c>
      <x:c r="K2989" s="67" t="str">
        <x:v>https://www.stonealgo.com/diamond-prices/</x:v>
      </x:c>
      <x:c r="L2989" s="67" t="str">
        <x:v>https://www.pricescope.com/blog/natural-diamond-prices-september-2026</x:v>
      </x:c>
    </x:row>
    <x:row r="2990">
      <x:c r="A2990" t="n">
        <x:v>5</x:v>
      </x:c>
      <x:c r="B2990" t="str">
        <x:v>Pear</x:v>
      </x:c>
      <x:c r="C2990" t="str">
        <x:v>I</x:v>
      </x:c>
      <x:c r="D2990" t="str">
        <x:v>VS1</x:v>
      </x:c>
      <x:c r="E2990" s="36" t="n">
        <x:v>156636</x:v>
      </x:c>
      <x:c r="F2990" s="36" t="n">
        <x:v>3313</x:v>
      </x:c>
      <x:c r="G2990" s="42" t="n">
        <x:v>0.7106392106392107</x:v>
      </x:c>
      <x:c r="H2990" s="36" t="n">
        <x:f>E2990*G2990</x:f>
        <x:v>111311.6833976834</x:v>
      </x:c>
      <x:c r="I2990" s="36" t="n">
        <x:f>IFERROR(H2990/A2990,0)</x:f>
        <x:v>22262.336679536682</x:v>
      </x:c>
      <x:c r="J2990" s="67" t="str">
        <x:v>Modeled from live base + Sep-2026 quality ratio</x:v>
      </x:c>
      <x:c r="K2990" s="67" t="str">
        <x:v>https://www.stonealgo.com/diamond-prices/</x:v>
      </x:c>
      <x:c r="L2990" s="67" t="str">
        <x:v>https://www.pricescope.com/blog/natural-diamond-prices-september-2026</x:v>
      </x:c>
    </x:row>
    <x:row r="2991">
      <x:c r="A2991" t="n">
        <x:v>5</x:v>
      </x:c>
      <x:c r="B2991" t="str">
        <x:v>Pear</x:v>
      </x:c>
      <x:c r="C2991" t="str">
        <x:v>I</x:v>
      </x:c>
      <x:c r="D2991" t="str">
        <x:v>VS2</x:v>
      </x:c>
      <x:c r="E2991" s="36" t="n">
        <x:v>156636</x:v>
      </x:c>
      <x:c r="F2991" s="36" t="n">
        <x:v>3240</x:v>
      </x:c>
      <x:c r="G2991" s="42" t="n">
        <x:v>0.694980694980695</x:v>
      </x:c>
      <x:c r="H2991" s="36" t="n">
        <x:f>E2991*G2991</x:f>
        <x:v>108858.99613899615</x:v>
      </x:c>
      <x:c r="I2991" s="36" t="n">
        <x:f>IFERROR(H2991/A2991,0)</x:f>
        <x:v>21771.79922779923</x:v>
      </x:c>
      <x:c r="J2991" s="67" t="str">
        <x:v>Modeled from live base + Sep-2026 quality ratio</x:v>
      </x:c>
      <x:c r="K2991" s="67" t="str">
        <x:v>https://www.stonealgo.com/diamond-prices/</x:v>
      </x:c>
      <x:c r="L2991" s="67" t="str">
        <x:v>https://www.pricescope.com/blog/natural-diamond-prices-september-2026</x:v>
      </x:c>
    </x:row>
    <x:row r="2992">
      <x:c r="A2992" t="n">
        <x:v>5</x:v>
      </x:c>
      <x:c r="B2992" t="str">
        <x:v>Pear</x:v>
      </x:c>
      <x:c r="C2992" t="str">
        <x:v>I</x:v>
      </x:c>
      <x:c r="D2992" t="str">
        <x:v>SI1</x:v>
      </x:c>
      <x:c r="E2992" s="36" t="n">
        <x:v>156636</x:v>
      </x:c>
      <x:c r="F2992" s="36" t="n">
        <x:v>3199</x:v>
      </x:c>
      <x:c r="G2992" s="42" t="n">
        <x:v>0.6861861861861862</x:v>
      </x:c>
      <x:c r="H2992" s="36" t="n">
        <x:f>E2992*G2992</x:f>
        <x:v>107481.45945945947</x:v>
      </x:c>
      <x:c r="I2992" s="36" t="n">
        <x:f>IFERROR(H2992/A2992,0)</x:f>
        <x:v>21496.291891891895</x:v>
      </x:c>
      <x:c r="J2992" s="67" t="str">
        <x:v>Modeled from live base + Sep-2026 quality ratio</x:v>
      </x:c>
      <x:c r="K2992" s="67" t="str">
        <x:v>https://www.stonealgo.com/diamond-prices/</x:v>
      </x:c>
      <x:c r="L2992" s="67" t="str">
        <x:v>https://www.pricescope.com/blog/natural-diamond-prices-september-2026</x:v>
      </x:c>
    </x:row>
    <x:row r="2993">
      <x:c r="A2993" t="n">
        <x:v>5</x:v>
      </x:c>
      <x:c r="B2993" t="str">
        <x:v>Pear</x:v>
      </x:c>
      <x:c r="C2993" t="str">
        <x:v>I</x:v>
      </x:c>
      <x:c r="D2993" t="str">
        <x:v>SI2</x:v>
      </x:c>
      <x:c r="E2993" s="36" t="n">
        <x:v>156636</x:v>
      </x:c>
      <x:c r="F2993" s="36" t="n">
        <x:v>2874</x:v>
      </x:c>
      <x:c r="G2993" s="42" t="n">
        <x:v>0.6164736164736164</x:v>
      </x:c>
      <x:c r="H2993" s="36" t="n">
        <x:f>E2993*G2993</x:f>
        <x:v>96561.96138996138</x:v>
      </x:c>
      <x:c r="I2993" s="36" t="n">
        <x:f>IFERROR(H2993/A2993,0)</x:f>
        <x:v>19312.392277992276</x:v>
      </x:c>
      <x:c r="J2993" s="67" t="str">
        <x:v>Modeled from live base + Sep-2026 quality ratio</x:v>
      </x:c>
      <x:c r="K2993" s="67" t="str">
        <x:v>https://www.stonealgo.com/diamond-prices/</x:v>
      </x:c>
      <x:c r="L2993" s="67" t="str">
        <x:v>https://www.pricescope.com/blog/natural-diamond-prices-september-2026</x:v>
      </x:c>
    </x:row>
    <x:row r="2994">
      <x:c r="A2994" t="n">
        <x:v>5</x:v>
      </x:c>
      <x:c r="B2994" t="str">
        <x:v>Pear</x:v>
      </x:c>
      <x:c r="C2994" t="str">
        <x:v>J</x:v>
      </x:c>
      <x:c r="D2994" t="str">
        <x:v>FL</x:v>
      </x:c>
      <x:c r="E2994" s="36" t="n">
        <x:v>156636</x:v>
      </x:c>
      <x:c r="F2994" s="36" t="n">
        <x:v>3646</x:v>
      </x:c>
      <x:c r="G2994" s="42" t="n">
        <x:v>0.782067782067782</x:v>
      </x:c>
      <x:c r="H2994" s="36" t="n">
        <x:f>E2994*G2994</x:f>
        <x:v>122499.96911196911</x:v>
      </x:c>
      <x:c r="I2994" s="36" t="n">
        <x:f>IFERROR(H2994/A2994,0)</x:f>
        <x:v>24499.993822393822</x:v>
      </x:c>
      <x:c r="J2994" s="67" t="str">
        <x:v>Modeled from live base + Sep-2026 quality ratio</x:v>
      </x:c>
      <x:c r="K2994" s="67" t="str">
        <x:v>https://www.stonealgo.com/diamond-prices/</x:v>
      </x:c>
      <x:c r="L2994" s="67" t="str">
        <x:v>https://www.pricescope.com/blog/natural-diamond-prices-september-2026</x:v>
      </x:c>
    </x:row>
    <x:row r="2995">
      <x:c r="A2995" t="n">
        <x:v>5</x:v>
      </x:c>
      <x:c r="B2995" t="str">
        <x:v>Pear</x:v>
      </x:c>
      <x:c r="C2995" t="str">
        <x:v>J</x:v>
      </x:c>
      <x:c r="D2995" t="str">
        <x:v>IF</x:v>
      </x:c>
      <x:c r="E2995" s="36" t="n">
        <x:v>156636</x:v>
      </x:c>
      <x:c r="F2995" s="36" t="n">
        <x:v>3368</x:v>
      </x:c>
      <x:c r="G2995" s="42" t="n">
        <x:v>0.7224367224367224</x:v>
      </x:c>
      <x:c r="H2995" s="36" t="n">
        <x:f>E2995*G2995</x:f>
        <x:v>113159.59845559845</x:v>
      </x:c>
      <x:c r="I2995" s="36" t="n">
        <x:f>IFERROR(H2995/A2995,0)</x:f>
        <x:v>22631.91969111969</x:v>
      </x:c>
      <x:c r="J2995" s="67" t="str">
        <x:v>Modeled from live base + Sep-2026 quality ratio</x:v>
      </x:c>
      <x:c r="K2995" s="67" t="str">
        <x:v>https://www.stonealgo.com/diamond-prices/</x:v>
      </x:c>
      <x:c r="L2995" s="67" t="str">
        <x:v>https://www.pricescope.com/blog/natural-diamond-prices-september-2026</x:v>
      </x:c>
    </x:row>
    <x:row r="2996">
      <x:c r="A2996" t="n">
        <x:v>5</x:v>
      </x:c>
      <x:c r="B2996" t="str">
        <x:v>Pear</x:v>
      </x:c>
      <x:c r="C2996" t="str">
        <x:v>J</x:v>
      </x:c>
      <x:c r="D2996" t="str">
        <x:v>VVS1</x:v>
      </x:c>
      <x:c r="E2996" s="36" t="n">
        <x:v>156636</x:v>
      </x:c>
      <x:c r="F2996" s="36" t="n">
        <x:v>2956</x:v>
      </x:c>
      <x:c r="G2996" s="42" t="n">
        <x:v>0.6340626340626341</x:v>
      </x:c>
      <x:c r="H2996" s="36" t="n">
        <x:f>E2996*G2996</x:f>
        <x:v>99317.03474903475</x:v>
      </x:c>
      <x:c r="I2996" s="36" t="n">
        <x:f>IFERROR(H2996/A2996,0)</x:f>
        <x:v>19863.40694980695</x:v>
      </x:c>
      <x:c r="J2996" s="67" t="str">
        <x:v>Modeled from live base + Sep-2026 quality ratio</x:v>
      </x:c>
      <x:c r="K2996" s="67" t="str">
        <x:v>https://www.stonealgo.com/diamond-prices/</x:v>
      </x:c>
      <x:c r="L2996" s="67" t="str">
        <x:v>https://www.pricescope.com/blog/natural-diamond-prices-september-2026</x:v>
      </x:c>
    </x:row>
    <x:row r="2997">
      <x:c r="A2997" t="n">
        <x:v>5</x:v>
      </x:c>
      <x:c r="B2997" t="str">
        <x:v>Pear</x:v>
      </x:c>
      <x:c r="C2997" t="str">
        <x:v>J</x:v>
      </x:c>
      <x:c r="D2997" t="str">
        <x:v>VVS2</x:v>
      </x:c>
      <x:c r="E2997" s="36" t="n">
        <x:v>156636</x:v>
      </x:c>
      <x:c r="F2997" s="36" t="n">
        <x:v>2612</x:v>
      </x:c>
      <x:c r="G2997" s="42" t="n">
        <x:v>0.5602745602745602</x:v>
      </x:c>
      <x:c r="H2997" s="36" t="n">
        <x:f>E2997*G2997</x:f>
        <x:v>87759.16602316602</x:v>
      </x:c>
      <x:c r="I2997" s="36" t="n">
        <x:f>IFERROR(H2997/A2997,0)</x:f>
        <x:v>17551.833204633203</x:v>
      </x:c>
      <x:c r="J2997" s="67" t="str">
        <x:v>Modeled from live base + Sep-2026 quality ratio</x:v>
      </x:c>
      <x:c r="K2997" s="67" t="str">
        <x:v>https://www.stonealgo.com/diamond-prices/</x:v>
      </x:c>
      <x:c r="L2997" s="67" t="str">
        <x:v>https://www.pricescope.com/blog/natural-diamond-prices-september-2026</x:v>
      </x:c>
    </x:row>
    <x:row r="2998">
      <x:c r="A2998" t="n">
        <x:v>5</x:v>
      </x:c>
      <x:c r="B2998" t="str">
        <x:v>Pear</x:v>
      </x:c>
      <x:c r="C2998" t="str">
        <x:v>J</x:v>
      </x:c>
      <x:c r="D2998" t="str">
        <x:v>VS1</x:v>
      </x:c>
      <x:c r="E2998" s="36" t="n">
        <x:v>156636</x:v>
      </x:c>
      <x:c r="F2998" s="36" t="n">
        <x:v>3002</x:v>
      </x:c>
      <x:c r="G2998" s="42" t="n">
        <x:v>0.6439296439296439</x:v>
      </x:c>
      <x:c r="H2998" s="36" t="n">
        <x:f>E2998*G2998</x:f>
        <x:v>100862.5637065637</x:v>
      </x:c>
      <x:c r="I2998" s="36" t="n">
        <x:f>IFERROR(H2998/A2998,0)</x:f>
        <x:v>20172.51274131274</x:v>
      </x:c>
      <x:c r="J2998" s="67" t="str">
        <x:v>Modeled from live base + Sep-2026 quality ratio</x:v>
      </x:c>
      <x:c r="K2998" s="67" t="str">
        <x:v>https://www.stonealgo.com/diamond-prices/</x:v>
      </x:c>
      <x:c r="L2998" s="67" t="str">
        <x:v>https://www.pricescope.com/blog/natural-diamond-prices-september-2026</x:v>
      </x:c>
    </x:row>
    <x:row r="2999">
      <x:c r="A2999" t="n">
        <x:v>5</x:v>
      </x:c>
      <x:c r="B2999" t="str">
        <x:v>Pear</x:v>
      </x:c>
      <x:c r="C2999" t="str">
        <x:v>J</x:v>
      </x:c>
      <x:c r="D2999" t="str">
        <x:v>VS2</x:v>
      </x:c>
      <x:c r="E2999" s="36" t="n">
        <x:v>156636</x:v>
      </x:c>
      <x:c r="F2999" s="36" t="n">
        <x:v>2559</x:v>
      </x:c>
      <x:c r="G2999" s="42" t="n">
        <x:v>0.5489060489060489</x:v>
      </x:c>
      <x:c r="H2999" s="36" t="n">
        <x:f>E2999*G2999</x:f>
        <x:v>85978.44787644787</x:v>
      </x:c>
      <x:c r="I2999" s="36" t="n">
        <x:f>IFERROR(H2999/A2999,0)</x:f>
        <x:v>17195.689575289573</x:v>
      </x:c>
      <x:c r="J2999" s="67" t="str">
        <x:v>Modeled from live base + Sep-2026 quality ratio</x:v>
      </x:c>
      <x:c r="K2999" s="67" t="str">
        <x:v>https://www.stonealgo.com/diamond-prices/</x:v>
      </x:c>
      <x:c r="L2999" s="67" t="str">
        <x:v>https://www.pricescope.com/blog/natural-diamond-prices-september-2026</x:v>
      </x:c>
    </x:row>
    <x:row r="3000">
      <x:c r="A3000" t="n">
        <x:v>5</x:v>
      </x:c>
      <x:c r="B3000" t="str">
        <x:v>Pear</x:v>
      </x:c>
      <x:c r="C3000" t="str">
        <x:v>J</x:v>
      </x:c>
      <x:c r="D3000" t="str">
        <x:v>SI1</x:v>
      </x:c>
      <x:c r="E3000" s="36" t="n">
        <x:v>156636</x:v>
      </x:c>
      <x:c r="F3000" s="36" t="n">
        <x:v>2195</x:v>
      </x:c>
      <x:c r="G3000" s="42" t="n">
        <x:v>0.47082797082797084</x:v>
      </x:c>
      <x:c r="H3000" s="36" t="n">
        <x:f>E3000*G3000</x:f>
        <x:v>73748.61003861004</x:v>
      </x:c>
      <x:c r="I3000" s="36" t="n">
        <x:f>IFERROR(H3000/A3000,0)</x:f>
        <x:v>14749.722007722008</x:v>
      </x:c>
      <x:c r="J3000" s="67" t="str">
        <x:v>Modeled from live base + Sep-2026 quality ratio</x:v>
      </x:c>
      <x:c r="K3000" s="67" t="str">
        <x:v>https://www.stonealgo.com/diamond-prices/</x:v>
      </x:c>
      <x:c r="L3000" s="67" t="str">
        <x:v>https://www.pricescope.com/blog/natural-diamond-prices-september-2026</x:v>
      </x:c>
    </x:row>
    <x:row r="3001">
      <x:c r="A3001" t="n">
        <x:v>5</x:v>
      </x:c>
      <x:c r="B3001" t="str">
        <x:v>Pear</x:v>
      </x:c>
      <x:c r="C3001" t="str">
        <x:v>J</x:v>
      </x:c>
      <x:c r="D3001" t="str">
        <x:v>SI2</x:v>
      </x:c>
      <x:c r="E3001" s="36" t="n">
        <x:v>156636</x:v>
      </x:c>
      <x:c r="F3001" s="36" t="n">
        <x:v>2079</x:v>
      </x:c>
      <x:c r="G3001" s="42" t="n">
        <x:v>0.44594594594594594</x:v>
      </x:c>
      <x:c r="H3001" s="36" t="n">
        <x:f>E3001*G3001</x:f>
        <x:v>69851.18918918919</x:v>
      </x:c>
      <x:c r="I3001" s="36" t="n">
        <x:f>IFERROR(H3001/A3001,0)</x:f>
        <x:v>13970.237837837838</x:v>
      </x:c>
      <x:c r="J3001" s="67" t="str">
        <x:v>Modeled from live base + Sep-2026 quality ratio</x:v>
      </x:c>
      <x:c r="K3001" s="67" t="str">
        <x:v>https://www.stonealgo.com/diamond-prices/</x:v>
      </x:c>
      <x:c r="L3001" s="67" t="str">
        <x:v>https://www.pricescope.com/blog/natural-diamond-prices-september-2026</x:v>
      </x:c>
    </x:row>
    <x:row r="3002">
      <x:c r="A3002" t="n">
        <x:v>5</x:v>
      </x:c>
      <x:c r="B3002" t="str">
        <x:v>Pear</x:v>
      </x:c>
      <x:c r="C3002" t="str">
        <x:v>K</x:v>
      </x:c>
      <x:c r="D3002" t="str">
        <x:v>FL</x:v>
      </x:c>
      <x:c r="E3002" s="36" t="n">
        <x:v>156636</x:v>
      </x:c>
      <x:c r="F3002" s="36" t="n">
        <x:v>2858</x:v>
      </x:c>
      <x:c r="G3002" s="42" t="n">
        <x:v>0.6130416130416131</x:v>
      </x:c>
      <x:c r="H3002" s="36" t="n">
        <x:f>E3002*G3002</x:f>
        <x:v>96024.38610038611</x:v>
      </x:c>
      <x:c r="I3002" s="36" t="n">
        <x:f>IFERROR(H3002/A3002,0)</x:f>
        <x:v>19204.877220077222</x:v>
      </x:c>
      <x:c r="J3002" s="67" t="str">
        <x:v>Modeled from live base + Sep-2026 quality ratio; K/FL quality cell modeled</x:v>
      </x:c>
      <x:c r="K3002" s="67" t="str">
        <x:v>https://www.stonealgo.com/diamond-prices/</x:v>
      </x:c>
      <x:c r="L3002" s="67" t="str">
        <x:v>https://www.pricescope.com/blog/natural-diamond-prices-september-2026</x:v>
      </x:c>
    </x:row>
    <x:row r="3003">
      <x:c r="A3003" t="n">
        <x:v>5</x:v>
      </x:c>
      <x:c r="B3003" t="str">
        <x:v>Pear</x:v>
      </x:c>
      <x:c r="C3003" t="str">
        <x:v>K</x:v>
      </x:c>
      <x:c r="D3003" t="str">
        <x:v>IF</x:v>
      </x:c>
      <x:c r="E3003" s="36" t="n">
        <x:v>156636</x:v>
      </x:c>
      <x:c r="F3003" s="36" t="n">
        <x:v>2743</x:v>
      </x:c>
      <x:c r="G3003" s="42" t="n">
        <x:v>0.5883740883740883</x:v>
      </x:c>
      <x:c r="H3003" s="36" t="n">
        <x:f>E3003*G3003</x:f>
        <x:v>92160.5637065637</x:v>
      </x:c>
      <x:c r="I3003" s="36" t="n">
        <x:f>IFERROR(H3003/A3003,0)</x:f>
        <x:v>18432.11274131274</x:v>
      </x:c>
      <x:c r="J3003" s="67" t="str">
        <x:v>Modeled from live base + Sep-2026 quality ratio</x:v>
      </x:c>
      <x:c r="K3003" s="67" t="str">
        <x:v>https://www.stonealgo.com/diamond-prices/</x:v>
      </x:c>
      <x:c r="L3003" s="67" t="str">
        <x:v>https://www.pricescope.com/blog/natural-diamond-prices-september-2026</x:v>
      </x:c>
    </x:row>
    <x:row r="3004">
      <x:c r="A3004" t="n">
        <x:v>5</x:v>
      </x:c>
      <x:c r="B3004" t="str">
        <x:v>Pear</x:v>
      </x:c>
      <x:c r="C3004" t="str">
        <x:v>K</x:v>
      </x:c>
      <x:c r="D3004" t="str">
        <x:v>VVS1</x:v>
      </x:c>
      <x:c r="E3004" s="36" t="n">
        <x:v>156636</x:v>
      </x:c>
      <x:c r="F3004" s="36" t="n">
        <x:v>2529</x:v>
      </x:c>
      <x:c r="G3004" s="42" t="n">
        <x:v>0.5424710424710425</x:v>
      </x:c>
      <x:c r="H3004" s="36" t="n">
        <x:f>E3004*G3004</x:f>
        <x:v>84970.49420849422</x:v>
      </x:c>
      <x:c r="I3004" s="36" t="n">
        <x:f>IFERROR(H3004/A3004,0)</x:f>
        <x:v>16994.098841698844</x:v>
      </x:c>
      <x:c r="J3004" s="67" t="str">
        <x:v>Modeled from live base + Sep-2026 quality ratio</x:v>
      </x:c>
      <x:c r="K3004" s="67" t="str">
        <x:v>https://www.stonealgo.com/diamond-prices/</x:v>
      </x:c>
      <x:c r="L3004" s="67" t="str">
        <x:v>https://www.pricescope.com/blog/natural-diamond-prices-september-2026</x:v>
      </x:c>
    </x:row>
    <x:row r="3005">
      <x:c r="A3005" t="n">
        <x:v>5</x:v>
      </x:c>
      <x:c r="B3005" t="str">
        <x:v>Pear</x:v>
      </x:c>
      <x:c r="C3005" t="str">
        <x:v>K</x:v>
      </x:c>
      <x:c r="D3005" t="str">
        <x:v>VVS2</x:v>
      </x:c>
      <x:c r="E3005" s="36" t="n">
        <x:v>156636</x:v>
      </x:c>
      <x:c r="F3005" s="36" t="n">
        <x:v>2374</x:v>
      </x:c>
      <x:c r="G3005" s="42" t="n">
        <x:v>0.5092235092235092</x:v>
      </x:c>
      <x:c r="H3005" s="36" t="n">
        <x:f>E3005*G3005</x:f>
        <x:v>79762.7335907336</x:v>
      </x:c>
      <x:c r="I3005" s="36" t="n">
        <x:f>IFERROR(H3005/A3005,0)</x:f>
        <x:v>15952.54671814672</x:v>
      </x:c>
      <x:c r="J3005" s="67" t="str">
        <x:v>Modeled from live base + Sep-2026 quality ratio</x:v>
      </x:c>
      <x:c r="K3005" s="67" t="str">
        <x:v>https://www.stonealgo.com/diamond-prices/</x:v>
      </x:c>
      <x:c r="L3005" s="67" t="str">
        <x:v>https://www.pricescope.com/blog/natural-diamond-prices-september-2026</x:v>
      </x:c>
    </x:row>
    <x:row r="3006">
      <x:c r="A3006" t="n">
        <x:v>5</x:v>
      </x:c>
      <x:c r="B3006" t="str">
        <x:v>Pear</x:v>
      </x:c>
      <x:c r="C3006" t="str">
        <x:v>K</x:v>
      </x:c>
      <x:c r="D3006" t="str">
        <x:v>VS1</x:v>
      </x:c>
      <x:c r="E3006" s="36" t="n">
        <x:v>156636</x:v>
      </x:c>
      <x:c r="F3006" s="36" t="n">
        <x:v>2223</x:v>
      </x:c>
      <x:c r="G3006" s="42" t="n">
        <x:v>0.4768339768339768</x:v>
      </x:c>
      <x:c r="H3006" s="36" t="n">
        <x:f>E3006*G3006</x:f>
        <x:v>74689.36679536679</x:v>
      </x:c>
      <x:c r="I3006" s="36" t="n">
        <x:f>IFERROR(H3006/A3006,0)</x:f>
        <x:v>14937.873359073357</x:v>
      </x:c>
      <x:c r="J3006" s="67" t="str">
        <x:v>Modeled from live base + Sep-2026 quality ratio</x:v>
      </x:c>
      <x:c r="K3006" s="67" t="str">
        <x:v>https://www.stonealgo.com/diamond-prices/</x:v>
      </x:c>
      <x:c r="L3006" s="67" t="str">
        <x:v>https://www.pricescope.com/blog/natural-diamond-prices-september-2026</x:v>
      </x:c>
    </x:row>
    <x:row r="3007">
      <x:c r="A3007" t="n">
        <x:v>5</x:v>
      </x:c>
      <x:c r="B3007" t="str">
        <x:v>Pear</x:v>
      </x:c>
      <x:c r="C3007" t="str">
        <x:v>K</x:v>
      </x:c>
      <x:c r="D3007" t="str">
        <x:v>VS2</x:v>
      </x:c>
      <x:c r="E3007" s="36" t="n">
        <x:v>156636</x:v>
      </x:c>
      <x:c r="F3007" s="36" t="n">
        <x:v>2098</x:v>
      </x:c>
      <x:c r="G3007" s="42" t="n">
        <x:v>0.45002145002145</x:v>
      </x:c>
      <x:c r="H3007" s="36" t="n">
        <x:f>E3007*G3007</x:f>
        <x:v>70489.55984555984</x:v>
      </x:c>
      <x:c r="I3007" s="36" t="n">
        <x:f>IFERROR(H3007/A3007,0)</x:f>
        <x:v>14097.911969111967</x:v>
      </x:c>
      <x:c r="J3007" s="67" t="str">
        <x:v>Modeled from live base + Sep-2026 quality ratio</x:v>
      </x:c>
      <x:c r="K3007" s="67" t="str">
        <x:v>https://www.stonealgo.com/diamond-prices/</x:v>
      </x:c>
      <x:c r="L3007" s="67" t="str">
        <x:v>https://www.pricescope.com/blog/natural-diamond-prices-september-2026</x:v>
      </x:c>
    </x:row>
    <x:row r="3008">
      <x:c r="A3008" t="n">
        <x:v>5</x:v>
      </x:c>
      <x:c r="B3008" t="str">
        <x:v>Pear</x:v>
      </x:c>
      <x:c r="C3008" t="str">
        <x:v>K</x:v>
      </x:c>
      <x:c r="D3008" t="str">
        <x:v>SI1</x:v>
      </x:c>
      <x:c r="E3008" s="36" t="n">
        <x:v>156636</x:v>
      </x:c>
      <x:c r="F3008" s="36" t="n">
        <x:v>1922</x:v>
      </x:c>
      <x:c r="G3008" s="42" t="n">
        <x:v>0.41226941226941227</x:v>
      </x:c>
      <x:c r="H3008" s="36" t="n">
        <x:f>E3008*G3008</x:f>
        <x:v>64576.231660231664</x:v>
      </x:c>
      <x:c r="I3008" s="36" t="n">
        <x:f>IFERROR(H3008/A3008,0)</x:f>
        <x:v>12915.246332046332</x:v>
      </x:c>
      <x:c r="J3008" s="67" t="str">
        <x:v>Modeled from live base + Sep-2026 quality ratio</x:v>
      </x:c>
      <x:c r="K3008" s="67" t="str">
        <x:v>https://www.stonealgo.com/diamond-prices/</x:v>
      </x:c>
      <x:c r="L3008" s="67" t="str">
        <x:v>https://www.pricescope.com/blog/natural-diamond-prices-september-2026</x:v>
      </x:c>
    </x:row>
    <x:row r="3009">
      <x:c r="A3009" t="n">
        <x:v>5</x:v>
      </x:c>
      <x:c r="B3009" t="str">
        <x:v>Pear</x:v>
      </x:c>
      <x:c r="C3009" t="str">
        <x:v>K</x:v>
      </x:c>
      <x:c r="D3009" t="str">
        <x:v>SI2</x:v>
      </x:c>
      <x:c r="E3009" s="36" t="n">
        <x:v>156636</x:v>
      </x:c>
      <x:c r="F3009" s="36" t="n">
        <x:v>1764</x:v>
      </x:c>
      <x:c r="G3009" s="42" t="n">
        <x:v>0.3783783783783784</x:v>
      </x:c>
      <x:c r="H3009" s="36" t="n">
        <x:f>E3009*G3009</x:f>
        <x:v>59267.67567567568</x:v>
      </x:c>
      <x:c r="I3009" s="36" t="n">
        <x:f>IFERROR(H3009/A3009,0)</x:f>
        <x:v>11853.535135135136</x:v>
      </x:c>
      <x:c r="J3009" s="67" t="str">
        <x:v>Modeled from live base + Sep-2026 quality ratio</x:v>
      </x:c>
      <x:c r="K3009" s="67" t="str">
        <x:v>https://www.stonealgo.com/diamond-prices/</x:v>
      </x:c>
      <x:c r="L3009" s="67" t="str">
        <x:v>https://www.pricescope.com/blog/natural-diamond-prices-september-2026</x:v>
      </x:c>
    </x:row>
    <x:row r="3010">
      <x:c r="A3010" t="n">
        <x:v>5</x:v>
      </x:c>
      <x:c r="B3010" t="str">
        <x:v>Heart</x:v>
      </x:c>
      <x:c r="C3010" t="str">
        <x:v>D</x:v>
      </x:c>
      <x:c r="D3010" t="str">
        <x:v>FL</x:v>
      </x:c>
      <x:c r="E3010" s="36" t="n">
        <x:v>131000</x:v>
      </x:c>
      <x:c r="F3010" s="36" t="n">
        <x:v>12665</x:v>
      </x:c>
      <x:c r="G3010" s="42" t="n">
        <x:v>2.7166452166452166</x:v>
      </x:c>
      <x:c r="H3010" s="36" t="n">
        <x:f>E3010*G3010</x:f>
        <x:v>355880.5233805234</x:v>
      </x:c>
      <x:c r="I3010" s="36" t="n">
        <x:f>IFERROR(H3010/A3010,0)</x:f>
        <x:v>71176.10467610467</x:v>
      </x:c>
      <x:c r="J3010" s="67" t="str">
        <x:v>Modeled from live base + Sep-2026 quality ratio</x:v>
      </x:c>
      <x:c r="K3010" s="67" t="str">
        <x:v>https://www.stonealgo.com/diamond-prices/</x:v>
      </x:c>
      <x:c r="L3010" s="67" t="str">
        <x:v>https://www.pricescope.com/blog/natural-diamond-prices-september-2026</x:v>
      </x:c>
    </x:row>
    <x:row r="3011">
      <x:c r="A3011" t="n">
        <x:v>5</x:v>
      </x:c>
      <x:c r="B3011" t="str">
        <x:v>Heart</x:v>
      </x:c>
      <x:c r="C3011" t="str">
        <x:v>D</x:v>
      </x:c>
      <x:c r="D3011" t="str">
        <x:v>IF</x:v>
      </x:c>
      <x:c r="E3011" s="36" t="n">
        <x:v>131000</x:v>
      </x:c>
      <x:c r="F3011" s="36" t="n">
        <x:v>13240</x:v>
      </x:c>
      <x:c r="G3011" s="42" t="n">
        <x:v>2.83998283998284</x:v>
      </x:c>
      <x:c r="H3011" s="36" t="n">
        <x:f>E3011*G3011</x:f>
        <x:v>372037.75203775207</x:v>
      </x:c>
      <x:c r="I3011" s="36" t="n">
        <x:f>IFERROR(H3011/A3011,0)</x:f>
        <x:v>74407.55040755041</x:v>
      </x:c>
      <x:c r="J3011" s="67" t="str">
        <x:v>Modeled from live base + Sep-2026 quality ratio</x:v>
      </x:c>
      <x:c r="K3011" s="67" t="str">
        <x:v>https://www.stonealgo.com/diamond-prices/</x:v>
      </x:c>
      <x:c r="L3011" s="67" t="str">
        <x:v>https://www.pricescope.com/blog/natural-diamond-prices-september-2026</x:v>
      </x:c>
    </x:row>
    <x:row r="3012">
      <x:c r="A3012" t="n">
        <x:v>5</x:v>
      </x:c>
      <x:c r="B3012" t="str">
        <x:v>Heart</x:v>
      </x:c>
      <x:c r="C3012" t="str">
        <x:v>D</x:v>
      </x:c>
      <x:c r="D3012" t="str">
        <x:v>VVS1</x:v>
      </x:c>
      <x:c r="E3012" s="36" t="n">
        <x:v>131000</x:v>
      </x:c>
      <x:c r="F3012" s="36" t="n">
        <x:v>9555</x:v>
      </x:c>
      <x:c r="G3012" s="42" t="n">
        <x:v>2.0495495495495497</x:v>
      </x:c>
      <x:c r="H3012" s="36" t="n">
        <x:f>E3012*G3012</x:f>
        <x:v>268490.990990991</x:v>
      </x:c>
      <x:c r="I3012" s="36" t="n">
        <x:f>IFERROR(H3012/A3012,0)</x:f>
        <x:v>53698.1981981982</x:v>
      </x:c>
      <x:c r="J3012" s="67" t="str">
        <x:v>Modeled from live base + Sep-2026 quality ratio</x:v>
      </x:c>
      <x:c r="K3012" s="67" t="str">
        <x:v>https://www.stonealgo.com/diamond-prices/</x:v>
      </x:c>
      <x:c r="L3012" s="67" t="str">
        <x:v>https://www.pricescope.com/blog/natural-diamond-prices-september-2026</x:v>
      </x:c>
    </x:row>
    <x:row r="3013">
      <x:c r="A3013" t="n">
        <x:v>5</x:v>
      </x:c>
      <x:c r="B3013" t="str">
        <x:v>Heart</x:v>
      </x:c>
      <x:c r="C3013" t="str">
        <x:v>D</x:v>
      </x:c>
      <x:c r="D3013" t="str">
        <x:v>VVS2</x:v>
      </x:c>
      <x:c r="E3013" s="36" t="n">
        <x:v>131000</x:v>
      </x:c>
      <x:c r="F3013" s="36" t="n">
        <x:v>6660</x:v>
      </x:c>
      <x:c r="G3013" s="42" t="n">
        <x:v>1.4285714285714286</x:v>
      </x:c>
      <x:c r="H3013" s="36" t="n">
        <x:f>E3013*G3013</x:f>
        <x:v>187142.85714285716</x:v>
      </x:c>
      <x:c r="I3013" s="36" t="n">
        <x:f>IFERROR(H3013/A3013,0)</x:f>
        <x:v>37428.571428571435</x:v>
      </x:c>
      <x:c r="J3013" s="67" t="str">
        <x:v>Modeled from live base + Sep-2026 quality ratio</x:v>
      </x:c>
      <x:c r="K3013" s="67" t="str">
        <x:v>https://www.stonealgo.com/diamond-prices/</x:v>
      </x:c>
      <x:c r="L3013" s="67" t="str">
        <x:v>https://www.pricescope.com/blog/natural-diamond-prices-september-2026</x:v>
      </x:c>
    </x:row>
    <x:row r="3014">
      <x:c r="A3014" t="n">
        <x:v>5</x:v>
      </x:c>
      <x:c r="B3014" t="str">
        <x:v>Heart</x:v>
      </x:c>
      <x:c r="C3014" t="str">
        <x:v>D</x:v>
      </x:c>
      <x:c r="D3014" t="str">
        <x:v>VS1</x:v>
      </x:c>
      <x:c r="E3014" s="36" t="n">
        <x:v>131000</x:v>
      </x:c>
      <x:c r="F3014" s="36" t="n">
        <x:v>6247</x:v>
      </x:c>
      <x:c r="G3014" s="42" t="n">
        <x:v>1.33998283998284</x:v>
      </x:c>
      <x:c r="H3014" s="36" t="n">
        <x:f>E3014*G3014</x:f>
        <x:v>175537.75203775204</x:v>
      </x:c>
      <x:c r="I3014" s="36" t="n">
        <x:f>IFERROR(H3014/A3014,0)</x:f>
        <x:v>35107.55040755041</x:v>
      </x:c>
      <x:c r="J3014" s="67" t="str">
        <x:v>Modeled from live base + Sep-2026 quality ratio</x:v>
      </x:c>
      <x:c r="K3014" s="67" t="str">
        <x:v>https://www.stonealgo.com/diamond-prices/</x:v>
      </x:c>
      <x:c r="L3014" s="67" t="str">
        <x:v>https://www.pricescope.com/blog/natural-diamond-prices-september-2026</x:v>
      </x:c>
    </x:row>
    <x:row r="3015">
      <x:c r="A3015" t="n">
        <x:v>5</x:v>
      </x:c>
      <x:c r="B3015" t="str">
        <x:v>Heart</x:v>
      </x:c>
      <x:c r="C3015" t="str">
        <x:v>D</x:v>
      </x:c>
      <x:c r="D3015" t="str">
        <x:v>VS2</x:v>
      </x:c>
      <x:c r="E3015" s="36" t="n">
        <x:v>131000</x:v>
      </x:c>
      <x:c r="F3015" s="36" t="n">
        <x:v>5841</x:v>
      </x:c>
      <x:c r="G3015" s="42" t="n">
        <x:v>1.252895752895753</x:v>
      </x:c>
      <x:c r="H3015" s="36" t="n">
        <x:f>E3015*G3015</x:f>
        <x:v>164129.34362934364</x:v>
      </x:c>
      <x:c r="I3015" s="36" t="n">
        <x:f>IFERROR(H3015/A3015,0)</x:f>
        <x:v>32825.86872586873</x:v>
      </x:c>
      <x:c r="J3015" s="67" t="str">
        <x:v>Modeled from live base + Sep-2026 quality ratio</x:v>
      </x:c>
      <x:c r="K3015" s="67" t="str">
        <x:v>https://www.stonealgo.com/diamond-prices/</x:v>
      </x:c>
      <x:c r="L3015" s="67" t="str">
        <x:v>https://www.pricescope.com/blog/natural-diamond-prices-september-2026</x:v>
      </x:c>
    </x:row>
    <x:row r="3016">
      <x:c r="A3016" t="n">
        <x:v>5</x:v>
      </x:c>
      <x:c r="B3016" t="str">
        <x:v>Heart</x:v>
      </x:c>
      <x:c r="C3016" t="str">
        <x:v>D</x:v>
      </x:c>
      <x:c r="D3016" t="str">
        <x:v>SI1</x:v>
      </x:c>
      <x:c r="E3016" s="36" t="n">
        <x:v>131000</x:v>
      </x:c>
      <x:c r="F3016" s="36" t="n">
        <x:v>3762</x:v>
      </x:c>
      <x:c r="G3016" s="42" t="n">
        <x:v>0.806949806949807</x:v>
      </x:c>
      <x:c r="H3016" s="36" t="n">
        <x:f>E3016*G3016</x:f>
        <x:v>105710.42471042472</x:v>
      </x:c>
      <x:c r="I3016" s="36" t="n">
        <x:f>IFERROR(H3016/A3016,0)</x:f>
        <x:v>21142.084942084944</x:v>
      </x:c>
      <x:c r="J3016" s="67" t="str">
        <x:v>Modeled from live base + Sep-2026 quality ratio</x:v>
      </x:c>
      <x:c r="K3016" s="67" t="str">
        <x:v>https://www.stonealgo.com/diamond-prices/</x:v>
      </x:c>
      <x:c r="L3016" s="67" t="str">
        <x:v>https://www.pricescope.com/blog/natural-diamond-prices-september-2026</x:v>
      </x:c>
    </x:row>
    <x:row r="3017">
      <x:c r="A3017" t="n">
        <x:v>5</x:v>
      </x:c>
      <x:c r="B3017" t="str">
        <x:v>Heart</x:v>
      </x:c>
      <x:c r="C3017" t="str">
        <x:v>D</x:v>
      </x:c>
      <x:c r="D3017" t="str">
        <x:v>SI2</x:v>
      </x:c>
      <x:c r="E3017" s="36" t="n">
        <x:v>131000</x:v>
      </x:c>
      <x:c r="F3017" s="36" t="n">
        <x:v>3026</x:v>
      </x:c>
      <x:c r="G3017" s="42" t="n">
        <x:v>0.6490776490776491</x:v>
      </x:c>
      <x:c r="H3017" s="36" t="n">
        <x:f>E3017*G3017</x:f>
        <x:v>85029.17202917203</x:v>
      </x:c>
      <x:c r="I3017" s="36" t="n">
        <x:f>IFERROR(H3017/A3017,0)</x:f>
        <x:v>17005.834405834405</x:v>
      </x:c>
      <x:c r="J3017" s="67" t="str">
        <x:v>Modeled from live base + Sep-2026 quality ratio</x:v>
      </x:c>
      <x:c r="K3017" s="67" t="str">
        <x:v>https://www.stonealgo.com/diamond-prices/</x:v>
      </x:c>
      <x:c r="L3017" s="67" t="str">
        <x:v>https://www.pricescope.com/blog/natural-diamond-prices-september-2026</x:v>
      </x:c>
    </x:row>
    <x:row r="3018">
      <x:c r="A3018" t="n">
        <x:v>5</x:v>
      </x:c>
      <x:c r="B3018" t="str">
        <x:v>Heart</x:v>
      </x:c>
      <x:c r="C3018" t="str">
        <x:v>E</x:v>
      </x:c>
      <x:c r="D3018" t="str">
        <x:v>FL</x:v>
      </x:c>
      <x:c r="E3018" s="36" t="n">
        <x:v>131000</x:v>
      </x:c>
      <x:c r="F3018" s="36" t="n">
        <x:v>10072</x:v>
      </x:c>
      <x:c r="G3018" s="42" t="n">
        <x:v>2.1604461604461602</x:v>
      </x:c>
      <x:c r="H3018" s="36" t="n">
        <x:f>E3018*G3018</x:f>
        <x:v>283018.447018447</x:v>
      </x:c>
      <x:c r="I3018" s="36" t="n">
        <x:f>IFERROR(H3018/A3018,0)</x:f>
        <x:v>56603.689403689394</x:v>
      </x:c>
      <x:c r="J3018" s="67" t="str">
        <x:v>Modeled from live base + Sep-2026 quality ratio</x:v>
      </x:c>
      <x:c r="K3018" s="67" t="str">
        <x:v>https://www.stonealgo.com/diamond-prices/</x:v>
      </x:c>
      <x:c r="L3018" s="67" t="str">
        <x:v>https://www.pricescope.com/blog/natural-diamond-prices-september-2026</x:v>
      </x:c>
    </x:row>
    <x:row r="3019">
      <x:c r="A3019" t="n">
        <x:v>5</x:v>
      </x:c>
      <x:c r="B3019" t="str">
        <x:v>Heart</x:v>
      </x:c>
      <x:c r="C3019" t="str">
        <x:v>E</x:v>
      </x:c>
      <x:c r="D3019" t="str">
        <x:v>IF</x:v>
      </x:c>
      <x:c r="E3019" s="36" t="n">
        <x:v>131000</x:v>
      </x:c>
      <x:c r="F3019" s="36" t="n">
        <x:v>8672</x:v>
      </x:c>
      <x:c r="G3019" s="42" t="n">
        <x:v>1.8601458601458603</x:v>
      </x:c>
      <x:c r="H3019" s="36" t="n">
        <x:f>E3019*G3019</x:f>
        <x:v>243679.1076791077</x:v>
      </x:c>
      <x:c r="I3019" s="36" t="n">
        <x:f>IFERROR(H3019/A3019,0)</x:f>
        <x:v>48735.82153582154</x:v>
      </x:c>
      <x:c r="J3019" s="67" t="str">
        <x:v>Modeled from live base + Sep-2026 quality ratio</x:v>
      </x:c>
      <x:c r="K3019" s="67" t="str">
        <x:v>https://www.stonealgo.com/diamond-prices/</x:v>
      </x:c>
      <x:c r="L3019" s="67" t="str">
        <x:v>https://www.pricescope.com/blog/natural-diamond-prices-september-2026</x:v>
      </x:c>
    </x:row>
    <x:row r="3020">
      <x:c r="A3020" t="n">
        <x:v>5</x:v>
      </x:c>
      <x:c r="B3020" t="str">
        <x:v>Heart</x:v>
      </x:c>
      <x:c r="C3020" t="str">
        <x:v>E</x:v>
      </x:c>
      <x:c r="D3020" t="str">
        <x:v>VVS1</x:v>
      </x:c>
      <x:c r="E3020" s="36" t="n">
        <x:v>131000</x:v>
      </x:c>
      <x:c r="F3020" s="36" t="n">
        <x:v>7842</x:v>
      </x:c>
      <x:c r="G3020" s="42" t="n">
        <x:v>1.6821106821106822</x:v>
      </x:c>
      <x:c r="H3020" s="36" t="n">
        <x:f>E3020*G3020</x:f>
        <x:v>220356.49935649935</x:v>
      </x:c>
      <x:c r="I3020" s="36" t="n">
        <x:f>IFERROR(H3020/A3020,0)</x:f>
        <x:v>44071.29987129987</x:v>
      </x:c>
      <x:c r="J3020" s="67" t="str">
        <x:v>Modeled from live base + Sep-2026 quality ratio</x:v>
      </x:c>
      <x:c r="K3020" s="67" t="str">
        <x:v>https://www.stonealgo.com/diamond-prices/</x:v>
      </x:c>
      <x:c r="L3020" s="67" t="str">
        <x:v>https://www.pricescope.com/blog/natural-diamond-prices-september-2026</x:v>
      </x:c>
    </x:row>
    <x:row r="3021">
      <x:c r="A3021" t="n">
        <x:v>5</x:v>
      </x:c>
      <x:c r="B3021" t="str">
        <x:v>Heart</x:v>
      </x:c>
      <x:c r="C3021" t="str">
        <x:v>E</x:v>
      </x:c>
      <x:c r="D3021" t="str">
        <x:v>VVS2</x:v>
      </x:c>
      <x:c r="E3021" s="36" t="n">
        <x:v>131000</x:v>
      </x:c>
      <x:c r="F3021" s="36" t="n">
        <x:v>6880</x:v>
      </x:c>
      <x:c r="G3021" s="42" t="n">
        <x:v>1.4757614757614759</x:v>
      </x:c>
      <x:c r="H3021" s="36" t="n">
        <x:f>E3021*G3021</x:f>
        <x:v>193324.75332475334</x:v>
      </x:c>
      <x:c r="I3021" s="36" t="n">
        <x:f>IFERROR(H3021/A3021,0)</x:f>
        <x:v>38664.950664950666</x:v>
      </x:c>
      <x:c r="J3021" s="67" t="str">
        <x:v>Modeled from live base + Sep-2026 quality ratio</x:v>
      </x:c>
      <x:c r="K3021" s="67" t="str">
        <x:v>https://www.stonealgo.com/diamond-prices/</x:v>
      </x:c>
      <x:c r="L3021" s="67" t="str">
        <x:v>https://www.pricescope.com/blog/natural-diamond-prices-september-2026</x:v>
      </x:c>
    </x:row>
    <x:row r="3022">
      <x:c r="A3022" t="n">
        <x:v>5</x:v>
      </x:c>
      <x:c r="B3022" t="str">
        <x:v>Heart</x:v>
      </x:c>
      <x:c r="C3022" t="str">
        <x:v>E</x:v>
      </x:c>
      <x:c r="D3022" t="str">
        <x:v>VS1</x:v>
      </x:c>
      <x:c r="E3022" s="36" t="n">
        <x:v>131000</x:v>
      </x:c>
      <x:c r="F3022" s="36" t="n">
        <x:v>6307</x:v>
      </x:c>
      <x:c r="G3022" s="42" t="n">
        <x:v>1.352852852852853</x:v>
      </x:c>
      <x:c r="H3022" s="36" t="n">
        <x:f>E3022*G3022</x:f>
        <x:v>177223.72372372373</x:v>
      </x:c>
      <x:c r="I3022" s="36" t="n">
        <x:f>IFERROR(H3022/A3022,0)</x:f>
        <x:v>35444.74474474475</x:v>
      </x:c>
      <x:c r="J3022" s="67" t="str">
        <x:v>Modeled from live base + Sep-2026 quality ratio</x:v>
      </x:c>
      <x:c r="K3022" s="67" t="str">
        <x:v>https://www.stonealgo.com/diamond-prices/</x:v>
      </x:c>
      <x:c r="L3022" s="67" t="str">
        <x:v>https://www.pricescope.com/blog/natural-diamond-prices-september-2026</x:v>
      </x:c>
    </x:row>
    <x:row r="3023">
      <x:c r="A3023" t="n">
        <x:v>5</x:v>
      </x:c>
      <x:c r="B3023" t="str">
        <x:v>Heart</x:v>
      </x:c>
      <x:c r="C3023" t="str">
        <x:v>E</x:v>
      </x:c>
      <x:c r="D3023" t="str">
        <x:v>VS2</x:v>
      </x:c>
      <x:c r="E3023" s="36" t="n">
        <x:v>131000</x:v>
      </x:c>
      <x:c r="F3023" s="36" t="n">
        <x:v>5249</x:v>
      </x:c>
      <x:c r="G3023" s="42" t="n">
        <x:v>1.125911625911626</x:v>
      </x:c>
      <x:c r="H3023" s="36" t="n">
        <x:f>E3023*G3023</x:f>
        <x:v>147494.422994423</x:v>
      </x:c>
      <x:c r="I3023" s="36" t="n">
        <x:f>IFERROR(H3023/A3023,0)</x:f>
        <x:v>29498.884598884597</x:v>
      </x:c>
      <x:c r="J3023" s="67" t="str">
        <x:v>Modeled from live base + Sep-2026 quality ratio</x:v>
      </x:c>
      <x:c r="K3023" s="67" t="str">
        <x:v>https://www.stonealgo.com/diamond-prices/</x:v>
      </x:c>
      <x:c r="L3023" s="67" t="str">
        <x:v>https://www.pricescope.com/blog/natural-diamond-prices-september-2026</x:v>
      </x:c>
    </x:row>
    <x:row r="3024">
      <x:c r="A3024" t="n">
        <x:v>5</x:v>
      </x:c>
      <x:c r="B3024" t="str">
        <x:v>Heart</x:v>
      </x:c>
      <x:c r="C3024" t="str">
        <x:v>E</x:v>
      </x:c>
      <x:c r="D3024" t="str">
        <x:v>SI1</x:v>
      </x:c>
      <x:c r="E3024" s="36" t="n">
        <x:v>131000</x:v>
      </x:c>
      <x:c r="F3024" s="36" t="n">
        <x:v>3551</x:v>
      </x:c>
      <x:c r="G3024" s="42" t="n">
        <x:v>0.7616902616902617</x:v>
      </x:c>
      <x:c r="H3024" s="36" t="n">
        <x:f>E3024*G3024</x:f>
        <x:v>99781.42428142428</x:v>
      </x:c>
      <x:c r="I3024" s="36" t="n">
        <x:f>IFERROR(H3024/A3024,0)</x:f>
        <x:v>19956.284856284856</x:v>
      </x:c>
      <x:c r="J3024" s="67" t="str">
        <x:v>Modeled from live base + Sep-2026 quality ratio</x:v>
      </x:c>
      <x:c r="K3024" s="67" t="str">
        <x:v>https://www.stonealgo.com/diamond-prices/</x:v>
      </x:c>
      <x:c r="L3024" s="67" t="str">
        <x:v>https://www.pricescope.com/blog/natural-diamond-prices-september-2026</x:v>
      </x:c>
    </x:row>
    <x:row r="3025">
      <x:c r="A3025" t="n">
        <x:v>5</x:v>
      </x:c>
      <x:c r="B3025" t="str">
        <x:v>Heart</x:v>
      </x:c>
      <x:c r="C3025" t="str">
        <x:v>E</x:v>
      </x:c>
      <x:c r="D3025" t="str">
        <x:v>SI2</x:v>
      </x:c>
      <x:c r="E3025" s="36" t="n">
        <x:v>131000</x:v>
      </x:c>
      <x:c r="F3025" s="36" t="n">
        <x:v>2993</x:v>
      </x:c>
      <x:c r="G3025" s="42" t="n">
        <x:v>0.641999141999142</x:v>
      </x:c>
      <x:c r="H3025" s="36" t="n">
        <x:f>E3025*G3025</x:f>
        <x:v>84101.8876018876</x:v>
      </x:c>
      <x:c r="I3025" s="36" t="n">
        <x:f>IFERROR(H3025/A3025,0)</x:f>
        <x:v>16820.377520377522</x:v>
      </x:c>
      <x:c r="J3025" s="67" t="str">
        <x:v>Modeled from live base + Sep-2026 quality ratio</x:v>
      </x:c>
      <x:c r="K3025" s="67" t="str">
        <x:v>https://www.stonealgo.com/diamond-prices/</x:v>
      </x:c>
      <x:c r="L3025" s="67" t="str">
        <x:v>https://www.pricescope.com/blog/natural-diamond-prices-september-2026</x:v>
      </x:c>
    </x:row>
    <x:row r="3026">
      <x:c r="A3026" t="n">
        <x:v>5</x:v>
      </x:c>
      <x:c r="B3026" t="str">
        <x:v>Heart</x:v>
      </x:c>
      <x:c r="C3026" t="str">
        <x:v>F</x:v>
      </x:c>
      <x:c r="D3026" t="str">
        <x:v>FL</x:v>
      </x:c>
      <x:c r="E3026" s="36" t="n">
        <x:v>131000</x:v>
      </x:c>
      <x:c r="F3026" s="36" t="n">
        <x:v>6830</x:v>
      </x:c>
      <x:c r="G3026" s="42" t="n">
        <x:v>1.4650364650364651</x:v>
      </x:c>
      <x:c r="H3026" s="36" t="n">
        <x:f>E3026*G3026</x:f>
        <x:v>191919.77691977692</x:v>
      </x:c>
      <x:c r="I3026" s="36" t="n">
        <x:f>IFERROR(H3026/A3026,0)</x:f>
        <x:v>38383.955383955385</x:v>
      </x:c>
      <x:c r="J3026" s="67" t="str">
        <x:v>Modeled from live base + Sep-2026 quality ratio</x:v>
      </x:c>
      <x:c r="K3026" s="67" t="str">
        <x:v>https://www.stonealgo.com/diamond-prices/</x:v>
      </x:c>
      <x:c r="L3026" s="67" t="str">
        <x:v>https://www.pricescope.com/blog/natural-diamond-prices-september-2026</x:v>
      </x:c>
    </x:row>
    <x:row r="3027">
      <x:c r="A3027" t="n">
        <x:v>5</x:v>
      </x:c>
      <x:c r="B3027" t="str">
        <x:v>Heart</x:v>
      </x:c>
      <x:c r="C3027" t="str">
        <x:v>F</x:v>
      </x:c>
      <x:c r="D3027" t="str">
        <x:v>IF</x:v>
      </x:c>
      <x:c r="E3027" s="36" t="n">
        <x:v>131000</x:v>
      </x:c>
      <x:c r="F3027" s="36" t="n">
        <x:v>7302</x:v>
      </x:c>
      <x:c r="G3027" s="42" t="n">
        <x:v>1.5662805662805663</x:v>
      </x:c>
      <x:c r="H3027" s="36" t="n">
        <x:f>E3027*G3027</x:f>
        <x:v>205182.7541827542</x:v>
      </x:c>
      <x:c r="I3027" s="36" t="n">
        <x:f>IFERROR(H3027/A3027,0)</x:f>
        <x:v>41036.55083655084</x:v>
      </x:c>
      <x:c r="J3027" s="67" t="str">
        <x:v>Modeled from live base + Sep-2026 quality ratio</x:v>
      </x:c>
      <x:c r="K3027" s="67" t="str">
        <x:v>https://www.stonealgo.com/diamond-prices/</x:v>
      </x:c>
      <x:c r="L3027" s="67" t="str">
        <x:v>https://www.pricescope.com/blog/natural-diamond-prices-september-2026</x:v>
      </x:c>
    </x:row>
    <x:row r="3028">
      <x:c r="A3028" t="n">
        <x:v>5</x:v>
      </x:c>
      <x:c r="B3028" t="str">
        <x:v>Heart</x:v>
      </x:c>
      <x:c r="C3028" t="str">
        <x:v>F</x:v>
      </x:c>
      <x:c r="D3028" t="str">
        <x:v>VVS1</x:v>
      </x:c>
      <x:c r="E3028" s="36" t="n">
        <x:v>131000</x:v>
      </x:c>
      <x:c r="F3028" s="36" t="n">
        <x:v>7542</x:v>
      </x:c>
      <x:c r="G3028" s="42" t="n">
        <x:v>1.6177606177606179</x:v>
      </x:c>
      <x:c r="H3028" s="36" t="n">
        <x:f>E3028*G3028</x:f>
        <x:v>211926.64092664095</x:v>
      </x:c>
      <x:c r="I3028" s="36" t="n">
        <x:f>IFERROR(H3028/A3028,0)</x:f>
        <x:v>42385.32818532819</x:v>
      </x:c>
      <x:c r="J3028" s="67" t="str">
        <x:v>Modeled from live base + Sep-2026 quality ratio</x:v>
      </x:c>
      <x:c r="K3028" s="67" t="str">
        <x:v>https://www.stonealgo.com/diamond-prices/</x:v>
      </x:c>
      <x:c r="L3028" s="67" t="str">
        <x:v>https://www.pricescope.com/blog/natural-diamond-prices-september-2026</x:v>
      </x:c>
    </x:row>
    <x:row r="3029">
      <x:c r="A3029" t="n">
        <x:v>5</x:v>
      </x:c>
      <x:c r="B3029" t="str">
        <x:v>Heart</x:v>
      </x:c>
      <x:c r="C3029" t="str">
        <x:v>F</x:v>
      </x:c>
      <x:c r="D3029" t="str">
        <x:v>VVS2</x:v>
      </x:c>
      <x:c r="E3029" s="36" t="n">
        <x:v>131000</x:v>
      </x:c>
      <x:c r="F3029" s="36" t="n">
        <x:v>6352</x:v>
      </x:c>
      <x:c r="G3029" s="42" t="n">
        <x:v>1.3625053625053625</x:v>
      </x:c>
      <x:c r="H3029" s="36" t="n">
        <x:f>E3029*G3029</x:f>
        <x:v>178488.20248820249</x:v>
      </x:c>
      <x:c r="I3029" s="36" t="n">
        <x:f>IFERROR(H3029/A3029,0)</x:f>
        <x:v>35697.640497640496</x:v>
      </x:c>
      <x:c r="J3029" s="67" t="str">
        <x:v>Modeled from live base + Sep-2026 quality ratio</x:v>
      </x:c>
      <x:c r="K3029" s="67" t="str">
        <x:v>https://www.stonealgo.com/diamond-prices/</x:v>
      </x:c>
      <x:c r="L3029" s="67" t="str">
        <x:v>https://www.pricescope.com/blog/natural-diamond-prices-september-2026</x:v>
      </x:c>
    </x:row>
    <x:row r="3030">
      <x:c r="A3030" t="n">
        <x:v>5</x:v>
      </x:c>
      <x:c r="B3030" t="str">
        <x:v>Heart</x:v>
      </x:c>
      <x:c r="C3030" t="str">
        <x:v>F</x:v>
      </x:c>
      <x:c r="D3030" t="str">
        <x:v>VS1</x:v>
      </x:c>
      <x:c r="E3030" s="36" t="n">
        <x:v>131000</x:v>
      </x:c>
      <x:c r="F3030" s="36" t="n">
        <x:v>5647</x:v>
      </x:c>
      <x:c r="G3030" s="42" t="n">
        <x:v>1.2112827112827114</x:v>
      </x:c>
      <x:c r="H3030" s="36" t="n">
        <x:f>E3030*G3030</x:f>
        <x:v>158678.03517803518</x:v>
      </x:c>
      <x:c r="I3030" s="36" t="n">
        <x:f>IFERROR(H3030/A3030,0)</x:f>
        <x:v>31735.607035607034</x:v>
      </x:c>
      <x:c r="J3030" s="67" t="str">
        <x:v>Modeled from live base + Sep-2026 quality ratio</x:v>
      </x:c>
      <x:c r="K3030" s="67" t="str">
        <x:v>https://www.stonealgo.com/diamond-prices/</x:v>
      </x:c>
      <x:c r="L3030" s="67" t="str">
        <x:v>https://www.pricescope.com/blog/natural-diamond-prices-september-2026</x:v>
      </x:c>
    </x:row>
    <x:row r="3031">
      <x:c r="A3031" t="n">
        <x:v>5</x:v>
      </x:c>
      <x:c r="B3031" t="str">
        <x:v>Heart</x:v>
      </x:c>
      <x:c r="C3031" t="str">
        <x:v>F</x:v>
      </x:c>
      <x:c r="D3031" t="str">
        <x:v>VS2</x:v>
      </x:c>
      <x:c r="E3031" s="36" t="n">
        <x:v>131000</x:v>
      </x:c>
      <x:c r="F3031" s="36" t="n">
        <x:v>4730</x:v>
      </x:c>
      <x:c r="G3031" s="42" t="n">
        <x:v>1.0145860145860146</x:v>
      </x:c>
      <x:c r="H3031" s="36" t="n">
        <x:f>E3031*G3031</x:f>
        <x:v>132910.7679107679</x:v>
      </x:c>
      <x:c r="I3031" s="36" t="n">
        <x:f>IFERROR(H3031/A3031,0)</x:f>
        <x:v>26582.15358215358</x:v>
      </x:c>
      <x:c r="J3031" s="67" t="str">
        <x:v>Modeled from live base + Sep-2026 quality ratio</x:v>
      </x:c>
      <x:c r="K3031" s="67" t="str">
        <x:v>https://www.stonealgo.com/diamond-prices/</x:v>
      </x:c>
      <x:c r="L3031" s="67" t="str">
        <x:v>https://www.pricescope.com/blog/natural-diamond-prices-september-2026</x:v>
      </x:c>
    </x:row>
    <x:row r="3032">
      <x:c r="A3032" t="n">
        <x:v>5</x:v>
      </x:c>
      <x:c r="B3032" t="str">
        <x:v>Heart</x:v>
      </x:c>
      <x:c r="C3032" t="str">
        <x:v>F</x:v>
      </x:c>
      <x:c r="D3032" t="str">
        <x:v>SI1</x:v>
      </x:c>
      <x:c r="E3032" s="36" t="n">
        <x:v>131000</x:v>
      </x:c>
      <x:c r="F3032" s="36" t="n">
        <x:v>3331</x:v>
      </x:c>
      <x:c r="G3032" s="42" t="n">
        <x:v>0.7145002145002145</x:v>
      </x:c>
      <x:c r="H3032" s="36" t="n">
        <x:f>E3032*G3032</x:f>
        <x:v>93599.5280995281</x:v>
      </x:c>
      <x:c r="I3032" s="36" t="n">
        <x:f>IFERROR(H3032/A3032,0)</x:f>
        <x:v>18719.90561990562</x:v>
      </x:c>
      <x:c r="J3032" s="67" t="str">
        <x:v>Modeled from live base + Sep-2026 quality ratio</x:v>
      </x:c>
      <x:c r="K3032" s="67" t="str">
        <x:v>https://www.stonealgo.com/diamond-prices/</x:v>
      </x:c>
      <x:c r="L3032" s="67" t="str">
        <x:v>https://www.pricescope.com/blog/natural-diamond-prices-september-2026</x:v>
      </x:c>
    </x:row>
    <x:row r="3033">
      <x:c r="A3033" t="n">
        <x:v>5</x:v>
      </x:c>
      <x:c r="B3033" t="str">
        <x:v>Heart</x:v>
      </x:c>
      <x:c r="C3033" t="str">
        <x:v>F</x:v>
      </x:c>
      <x:c r="D3033" t="str">
        <x:v>SI2</x:v>
      </x:c>
      <x:c r="E3033" s="36" t="n">
        <x:v>131000</x:v>
      </x:c>
      <x:c r="F3033" s="36" t="n">
        <x:v>2733</x:v>
      </x:c>
      <x:c r="G3033" s="42" t="n">
        <x:v>0.5862290862290862</x:v>
      </x:c>
      <x:c r="H3033" s="36" t="n">
        <x:f>E3033*G3033</x:f>
        <x:v>76796.0102960103</x:v>
      </x:c>
      <x:c r="I3033" s="36" t="n">
        <x:f>IFERROR(H3033/A3033,0)</x:f>
        <x:v>15359.20205920206</x:v>
      </x:c>
      <x:c r="J3033" s="67" t="str">
        <x:v>Modeled from live base + Sep-2026 quality ratio</x:v>
      </x:c>
      <x:c r="K3033" s="67" t="str">
        <x:v>https://www.stonealgo.com/diamond-prices/</x:v>
      </x:c>
      <x:c r="L3033" s="67" t="str">
        <x:v>https://www.pricescope.com/blog/natural-diamond-prices-september-2026</x:v>
      </x:c>
    </x:row>
    <x:row r="3034">
      <x:c r="A3034" t="n">
        <x:v>5</x:v>
      </x:c>
      <x:c r="B3034" t="str">
        <x:v>Heart</x:v>
      </x:c>
      <x:c r="C3034" t="str">
        <x:v>G</x:v>
      </x:c>
      <x:c r="D3034" t="str">
        <x:v>FL</x:v>
      </x:c>
      <x:c r="E3034" s="36" t="n">
        <x:v>131000</x:v>
      </x:c>
      <x:c r="F3034" s="36" t="n">
        <x:v>5905</x:v>
      </x:c>
      <x:c r="G3034" s="42" t="n">
        <x:v>1.2666237666237665</x:v>
      </x:c>
      <x:c r="H3034" s="36" t="n">
        <x:f>E3034*G3034</x:f>
        <x:v>165927.7134277134</x:v>
      </x:c>
      <x:c r="I3034" s="36" t="n">
        <x:f>IFERROR(H3034/A3034,0)</x:f>
        <x:v>33185.54268554268</x:v>
      </x:c>
      <x:c r="J3034" s="67" t="str">
        <x:v>Modeled from live base + Sep-2026 quality ratio</x:v>
      </x:c>
      <x:c r="K3034" s="67" t="str">
        <x:v>https://www.stonealgo.com/diamond-prices/</x:v>
      </x:c>
      <x:c r="L3034" s="67" t="str">
        <x:v>https://www.pricescope.com/blog/natural-diamond-prices-september-2026</x:v>
      </x:c>
    </x:row>
    <x:row r="3035">
      <x:c r="A3035" t="n">
        <x:v>5</x:v>
      </x:c>
      <x:c r="B3035" t="str">
        <x:v>Heart</x:v>
      </x:c>
      <x:c r="C3035" t="str">
        <x:v>G</x:v>
      </x:c>
      <x:c r="D3035" t="str">
        <x:v>IF</x:v>
      </x:c>
      <x:c r="E3035" s="36" t="n">
        <x:v>131000</x:v>
      </x:c>
      <x:c r="F3035" s="36" t="n">
        <x:v>5601</x:v>
      </x:c>
      <x:c r="G3035" s="42" t="n">
        <x:v>1.2014157014157014</x:v>
      </x:c>
      <x:c r="H3035" s="36" t="n">
        <x:f>E3035*G3035</x:f>
        <x:v>157385.4568854569</x:v>
      </x:c>
      <x:c r="I3035" s="36" t="n">
        <x:f>IFERROR(H3035/A3035,0)</x:f>
        <x:v>31477.09137709138</x:v>
      </x:c>
      <x:c r="J3035" s="67" t="str">
        <x:v>Modeled from live base + Sep-2026 quality ratio</x:v>
      </x:c>
      <x:c r="K3035" s="67" t="str">
        <x:v>https://www.stonealgo.com/diamond-prices/</x:v>
      </x:c>
      <x:c r="L3035" s="67" t="str">
        <x:v>https://www.pricescope.com/blog/natural-diamond-prices-september-2026</x:v>
      </x:c>
    </x:row>
    <x:row r="3036">
      <x:c r="A3036" t="n">
        <x:v>5</x:v>
      </x:c>
      <x:c r="B3036" t="str">
        <x:v>Heart</x:v>
      </x:c>
      <x:c r="C3036" t="str">
        <x:v>G</x:v>
      </x:c>
      <x:c r="D3036" t="str">
        <x:v>VVS1</x:v>
      </x:c>
      <x:c r="E3036" s="36" t="n">
        <x:v>131000</x:v>
      </x:c>
      <x:c r="F3036" s="36" t="n">
        <x:v>5124</x:v>
      </x:c>
      <x:c r="G3036" s="42" t="n">
        <x:v>1.0990990990990992</x:v>
      </x:c>
      <x:c r="H3036" s="36" t="n">
        <x:f>E3036*G3036</x:f>
        <x:v>143981.98198198198</x:v>
      </x:c>
      <x:c r="I3036" s="36" t="n">
        <x:f>IFERROR(H3036/A3036,0)</x:f>
        <x:v>28796.396396396398</x:v>
      </x:c>
      <x:c r="J3036" s="67" t="str">
        <x:v>Modeled from live base + Sep-2026 quality ratio</x:v>
      </x:c>
      <x:c r="K3036" s="67" t="str">
        <x:v>https://www.stonealgo.com/diamond-prices/</x:v>
      </x:c>
      <x:c r="L3036" s="67" t="str">
        <x:v>https://www.pricescope.com/blog/natural-diamond-prices-september-2026</x:v>
      </x:c>
    </x:row>
    <x:row r="3037">
      <x:c r="A3037" t="n">
        <x:v>5</x:v>
      </x:c>
      <x:c r="B3037" t="str">
        <x:v>Heart</x:v>
      </x:c>
      <x:c r="C3037" t="str">
        <x:v>G</x:v>
      </x:c>
      <x:c r="D3037" t="str">
        <x:v>VVS2</x:v>
      </x:c>
      <x:c r="E3037" s="36" t="n">
        <x:v>131000</x:v>
      </x:c>
      <x:c r="F3037" s="36" t="n">
        <x:v>4962</x:v>
      </x:c>
      <x:c r="G3037" s="42" t="n">
        <x:v>1.0643500643500643</x:v>
      </x:c>
      <x:c r="H3037" s="36" t="n">
        <x:f>E3037*G3037</x:f>
        <x:v>139429.85842985843</x:v>
      </x:c>
      <x:c r="I3037" s="36" t="n">
        <x:f>IFERROR(H3037/A3037,0)</x:f>
        <x:v>27885.971685971686</x:v>
      </x:c>
      <x:c r="J3037" s="67" t="str">
        <x:v>Modeled from live base + Sep-2026 quality ratio</x:v>
      </x:c>
      <x:c r="K3037" s="67" t="str">
        <x:v>https://www.stonealgo.com/diamond-prices/</x:v>
      </x:c>
      <x:c r="L3037" s="67" t="str">
        <x:v>https://www.pricescope.com/blog/natural-diamond-prices-september-2026</x:v>
      </x:c>
    </x:row>
    <x:row r="3038">
      <x:c r="A3038" t="n">
        <x:v>5</x:v>
      </x:c>
      <x:c r="B3038" t="str">
        <x:v>Heart</x:v>
      </x:c>
      <x:c r="C3038" t="str">
        <x:v>G</x:v>
      </x:c>
      <x:c r="D3038" t="str">
        <x:v>VS1</x:v>
      </x:c>
      <x:c r="E3038" s="36" t="n">
        <x:v>131000</x:v>
      </x:c>
      <x:c r="F3038" s="36" t="n">
        <x:v>4615</x:v>
      </x:c>
      <x:c r="G3038" s="42" t="n">
        <x:v>0.98991848991849</x:v>
      </x:c>
      <x:c r="H3038" s="36" t="n">
        <x:f>E3038*G3038</x:f>
        <x:v>129679.32217932219</x:v>
      </x:c>
      <x:c r="I3038" s="36" t="n">
        <x:f>IFERROR(H3038/A3038,0)</x:f>
        <x:v>25935.864435864438</x:v>
      </x:c>
      <x:c r="J3038" s="67" t="str">
        <x:v>Modeled from live base + Sep-2026 quality ratio</x:v>
      </x:c>
      <x:c r="K3038" s="67" t="str">
        <x:v>https://www.stonealgo.com/diamond-prices/</x:v>
      </x:c>
      <x:c r="L3038" s="67" t="str">
        <x:v>https://www.pricescope.com/blog/natural-diamond-prices-september-2026</x:v>
      </x:c>
    </x:row>
    <x:row r="3039">
      <x:c r="A3039" t="n">
        <x:v>5</x:v>
      </x:c>
      <x:c r="B3039" t="str">
        <x:v>Heart</x:v>
      </x:c>
      <x:c r="C3039" t="str">
        <x:v>G</x:v>
      </x:c>
      <x:c r="D3039" t="str">
        <x:v>VS2</x:v>
      </x:c>
      <x:c r="E3039" s="36" t="n">
        <x:v>131000</x:v>
      </x:c>
      <x:c r="F3039" s="36" t="n">
        <x:v>4585</x:v>
      </x:c>
      <x:c r="G3039" s="42" t="n">
        <x:v>0.9834834834834835</x:v>
      </x:c>
      <x:c r="H3039" s="36" t="n">
        <x:f>E3039*G3039</x:f>
        <x:v>128836.33633633633</x:v>
      </x:c>
      <x:c r="I3039" s="36" t="n">
        <x:f>IFERROR(H3039/A3039,0)</x:f>
        <x:v>25767.267267267267</x:v>
      </x:c>
      <x:c r="J3039" s="67" t="str">
        <x:v>Modeled from live base + Sep-2026 quality ratio</x:v>
      </x:c>
      <x:c r="K3039" s="67" t="str">
        <x:v>https://www.stonealgo.com/diamond-prices/</x:v>
      </x:c>
      <x:c r="L3039" s="67" t="str">
        <x:v>https://www.pricescope.com/blog/natural-diamond-prices-september-2026</x:v>
      </x:c>
    </x:row>
    <x:row r="3040">
      <x:c r="A3040" t="n">
        <x:v>5</x:v>
      </x:c>
      <x:c r="B3040" t="str">
        <x:v>Heart</x:v>
      </x:c>
      <x:c r="C3040" t="str">
        <x:v>G</x:v>
      </x:c>
      <x:c r="D3040" t="str">
        <x:v>SI1</x:v>
      </x:c>
      <x:c r="E3040" s="36" t="n">
        <x:v>131000</x:v>
      </x:c>
      <x:c r="F3040" s="36" t="n">
        <x:v>3664</x:v>
      </x:c>
      <x:c r="G3040" s="42" t="n">
        <x:v>0.7859287859287859</x:v>
      </x:c>
      <x:c r="H3040" s="36" t="n">
        <x:f>E3040*G3040</x:f>
        <x:v>102956.67095667095</x:v>
      </x:c>
      <x:c r="I3040" s="36" t="n">
        <x:f>IFERROR(H3040/A3040,0)</x:f>
        <x:v>20591.33419133419</x:v>
      </x:c>
      <x:c r="J3040" s="67" t="str">
        <x:v>Modeled from live base + Sep-2026 quality ratio</x:v>
      </x:c>
      <x:c r="K3040" s="67" t="str">
        <x:v>https://www.stonealgo.com/diamond-prices/</x:v>
      </x:c>
      <x:c r="L3040" s="67" t="str">
        <x:v>https://www.pricescope.com/blog/natural-diamond-prices-september-2026</x:v>
      </x:c>
    </x:row>
    <x:row r="3041">
      <x:c r="A3041" t="n">
        <x:v>5</x:v>
      </x:c>
      <x:c r="B3041" t="str">
        <x:v>Heart</x:v>
      </x:c>
      <x:c r="C3041" t="str">
        <x:v>G</x:v>
      </x:c>
      <x:c r="D3041" t="str">
        <x:v>SI2</x:v>
      </x:c>
      <x:c r="E3041" s="36" t="n">
        <x:v>131000</x:v>
      </x:c>
      <x:c r="F3041" s="36" t="n">
        <x:v>2537</x:v>
      </x:c>
      <x:c r="G3041" s="42" t="n">
        <x:v>0.5441870441870442</x:v>
      </x:c>
      <x:c r="H3041" s="36" t="n">
        <x:f>E3041*G3041</x:f>
        <x:v>71288.5027885028</x:v>
      </x:c>
      <x:c r="I3041" s="36" t="n">
        <x:f>IFERROR(H3041/A3041,0)</x:f>
        <x:v>14257.700557700558</x:v>
      </x:c>
      <x:c r="J3041" s="67" t="str">
        <x:v>Modeled from live base + Sep-2026 quality ratio</x:v>
      </x:c>
      <x:c r="K3041" s="67" t="str">
        <x:v>https://www.stonealgo.com/diamond-prices/</x:v>
      </x:c>
      <x:c r="L3041" s="67" t="str">
        <x:v>https://www.pricescope.com/blog/natural-diamond-prices-september-2026</x:v>
      </x:c>
    </x:row>
    <x:row r="3042">
      <x:c r="A3042" t="n">
        <x:v>5</x:v>
      </x:c>
      <x:c r="B3042" t="str">
        <x:v>Heart</x:v>
      </x:c>
      <x:c r="C3042" t="str">
        <x:v>H</x:v>
      </x:c>
      <x:c r="D3042" t="str">
        <x:v>FL</x:v>
      </x:c>
      <x:c r="E3042" s="36" t="n">
        <x:v>131000</x:v>
      </x:c>
      <x:c r="F3042" s="36" t="n">
        <x:v>4563</x:v>
      </x:c>
      <x:c r="G3042" s="42" t="n">
        <x:v>0.9787644787644788</x:v>
      </x:c>
      <x:c r="H3042" s="36" t="n">
        <x:f>E3042*G3042</x:f>
        <x:v>128218.14671814673</x:v>
      </x:c>
      <x:c r="I3042" s="36" t="n">
        <x:f>IFERROR(H3042/A3042,0)</x:f>
        <x:v>25643.629343629345</x:v>
      </x:c>
      <x:c r="J3042" s="67" t="str">
        <x:v>Modeled from live base + Sep-2026 quality ratio</x:v>
      </x:c>
      <x:c r="K3042" s="67" t="str">
        <x:v>https://www.stonealgo.com/diamond-prices/</x:v>
      </x:c>
      <x:c r="L3042" s="67" t="str">
        <x:v>https://www.pricescope.com/blog/natural-diamond-prices-september-2026</x:v>
      </x:c>
    </x:row>
    <x:row r="3043">
      <x:c r="A3043" t="n">
        <x:v>5</x:v>
      </x:c>
      <x:c r="B3043" t="str">
        <x:v>Heart</x:v>
      </x:c>
      <x:c r="C3043" t="str">
        <x:v>H</x:v>
      </x:c>
      <x:c r="D3043" t="str">
        <x:v>IF</x:v>
      </x:c>
      <x:c r="E3043" s="36" t="n">
        <x:v>131000</x:v>
      </x:c>
      <x:c r="F3043" s="36" t="n">
        <x:v>4809</x:v>
      </x:c>
      <x:c r="G3043" s="42" t="n">
        <x:v>1.0315315315315314</x:v>
      </x:c>
      <x:c r="H3043" s="36" t="n">
        <x:f>E3043*G3043</x:f>
        <x:v>135130.63063063062</x:v>
      </x:c>
      <x:c r="I3043" s="36" t="n">
        <x:f>IFERROR(H3043/A3043,0)</x:f>
        <x:v>27026.126126126124</x:v>
      </x:c>
      <x:c r="J3043" s="67" t="str">
        <x:v>Modeled from live base + Sep-2026 quality ratio</x:v>
      </x:c>
      <x:c r="K3043" s="67" t="str">
        <x:v>https://www.stonealgo.com/diamond-prices/</x:v>
      </x:c>
      <x:c r="L3043" s="67" t="str">
        <x:v>https://www.pricescope.com/blog/natural-diamond-prices-september-2026</x:v>
      </x:c>
    </x:row>
    <x:row r="3044">
      <x:c r="A3044" t="n">
        <x:v>5</x:v>
      </x:c>
      <x:c r="B3044" t="str">
        <x:v>Heart</x:v>
      </x:c>
      <x:c r="C3044" t="str">
        <x:v>H</x:v>
      </x:c>
      <x:c r="D3044" t="str">
        <x:v>VVS1</x:v>
      </x:c>
      <x:c r="E3044" s="36" t="n">
        <x:v>131000</x:v>
      </x:c>
      <x:c r="F3044" s="36" t="n">
        <x:v>4911</x:v>
      </x:c>
      <x:c r="G3044" s="42" t="n">
        <x:v>1.0534105534105533</x:v>
      </x:c>
      <x:c r="H3044" s="36" t="n">
        <x:f>E3044*G3044</x:f>
        <x:v>137996.78249678249</x:v>
      </x:c>
      <x:c r="I3044" s="36" t="n">
        <x:f>IFERROR(H3044/A3044,0)</x:f>
        <x:v>27599.356499356498</x:v>
      </x:c>
      <x:c r="J3044" s="67" t="str">
        <x:v>Modeled from live base + Sep-2026 quality ratio</x:v>
      </x:c>
      <x:c r="K3044" s="67" t="str">
        <x:v>https://www.stonealgo.com/diamond-prices/</x:v>
      </x:c>
      <x:c r="L3044" s="67" t="str">
        <x:v>https://www.pricescope.com/blog/natural-diamond-prices-september-2026</x:v>
      </x:c>
    </x:row>
    <x:row r="3045">
      <x:c r="A3045" t="n">
        <x:v>5</x:v>
      </x:c>
      <x:c r="B3045" t="str">
        <x:v>Heart</x:v>
      </x:c>
      <x:c r="C3045" t="str">
        <x:v>H</x:v>
      </x:c>
      <x:c r="D3045" t="str">
        <x:v>VVS2</x:v>
      </x:c>
      <x:c r="E3045" s="36" t="n">
        <x:v>131000</x:v>
      </x:c>
      <x:c r="F3045" s="36" t="n">
        <x:v>4046</x:v>
      </x:c>
      <x:c r="G3045" s="42" t="n">
        <x:v>0.8678678678678678</x:v>
      </x:c>
      <x:c r="H3045" s="36" t="n">
        <x:f>E3045*G3045</x:f>
        <x:v>113690.6906906907</x:v>
      </x:c>
      <x:c r="I3045" s="36" t="n">
        <x:f>IFERROR(H3045/A3045,0)</x:f>
        <x:v>22738.13813813814</x:v>
      </x:c>
      <x:c r="J3045" s="67" t="str">
        <x:v>Modeled from live base + Sep-2026 quality ratio</x:v>
      </x:c>
      <x:c r="K3045" s="67" t="str">
        <x:v>https://www.stonealgo.com/diamond-prices/</x:v>
      </x:c>
      <x:c r="L3045" s="67" t="str">
        <x:v>https://www.pricescope.com/blog/natural-diamond-prices-september-2026</x:v>
      </x:c>
    </x:row>
    <x:row r="3046">
      <x:c r="A3046" t="n">
        <x:v>5</x:v>
      </x:c>
      <x:c r="B3046" t="str">
        <x:v>Heart</x:v>
      </x:c>
      <x:c r="C3046" t="str">
        <x:v>H</x:v>
      </x:c>
      <x:c r="D3046" t="str">
        <x:v>VS1</x:v>
      </x:c>
      <x:c r="E3046" s="36" t="n">
        <x:v>131000</x:v>
      </x:c>
      <x:c r="F3046" s="36" t="n">
        <x:v>3893</x:v>
      </x:c>
      <x:c r="G3046" s="42" t="n">
        <x:v>0.8350493350493351</x:v>
      </x:c>
      <x:c r="H3046" s="36" t="n">
        <x:f>E3046*G3046</x:f>
        <x:v>109391.4628914629</x:v>
      </x:c>
      <x:c r="I3046" s="36" t="n">
        <x:f>IFERROR(H3046/A3046,0)</x:f>
        <x:v>21878.29257829258</x:v>
      </x:c>
      <x:c r="J3046" s="67" t="str">
        <x:v>Modeled from live base + Sep-2026 quality ratio</x:v>
      </x:c>
      <x:c r="K3046" s="67" t="str">
        <x:v>https://www.stonealgo.com/diamond-prices/</x:v>
      </x:c>
      <x:c r="L3046" s="67" t="str">
        <x:v>https://www.pricescope.com/blog/natural-diamond-prices-september-2026</x:v>
      </x:c>
    </x:row>
    <x:row r="3047">
      <x:c r="A3047" t="n">
        <x:v>5</x:v>
      </x:c>
      <x:c r="B3047" t="str">
        <x:v>Heart</x:v>
      </x:c>
      <x:c r="C3047" t="str">
        <x:v>H</x:v>
      </x:c>
      <x:c r="D3047" t="str">
        <x:v>VS2</x:v>
      </x:c>
      <x:c r="E3047" s="36" t="n">
        <x:v>131000</x:v>
      </x:c>
      <x:c r="F3047" s="36" t="n">
        <x:v>3989</x:v>
      </x:c>
      <x:c r="G3047" s="42" t="n">
        <x:v>0.8556413556413557</x:v>
      </x:c>
      <x:c r="H3047" s="36" t="n">
        <x:f>E3047*G3047</x:f>
        <x:v>112089.01758901759</x:v>
      </x:c>
      <x:c r="I3047" s="36" t="n">
        <x:f>IFERROR(H3047/A3047,0)</x:f>
        <x:v>22417.803517803517</x:v>
      </x:c>
      <x:c r="J3047" s="67" t="str">
        <x:v>Modeled from live base + Sep-2026 quality ratio</x:v>
      </x:c>
      <x:c r="K3047" s="67" t="str">
        <x:v>https://www.stonealgo.com/diamond-prices/</x:v>
      </x:c>
      <x:c r="L3047" s="67" t="str">
        <x:v>https://www.pricescope.com/blog/natural-diamond-prices-september-2026</x:v>
      </x:c>
    </x:row>
    <x:row r="3048">
      <x:c r="A3048" t="n">
        <x:v>5</x:v>
      </x:c>
      <x:c r="B3048" t="str">
        <x:v>Heart</x:v>
      </x:c>
      <x:c r="C3048" t="str">
        <x:v>H</x:v>
      </x:c>
      <x:c r="D3048" t="str">
        <x:v>SI1</x:v>
      </x:c>
      <x:c r="E3048" s="36" t="n">
        <x:v>131000</x:v>
      </x:c>
      <x:c r="F3048" s="36" t="n">
        <x:v>2828</x:v>
      </x:c>
      <x:c r="G3048" s="42" t="n">
        <x:v>0.6066066066066066</x:v>
      </x:c>
      <x:c r="H3048" s="36" t="n">
        <x:f>E3048*G3048</x:f>
        <x:v>79465.46546546546</x:v>
      </x:c>
      <x:c r="I3048" s="36" t="n">
        <x:f>IFERROR(H3048/A3048,0)</x:f>
        <x:v>15893.093093093092</x:v>
      </x:c>
      <x:c r="J3048" s="67" t="str">
        <x:v>Modeled from live base + Sep-2026 quality ratio</x:v>
      </x:c>
      <x:c r="K3048" s="67" t="str">
        <x:v>https://www.stonealgo.com/diamond-prices/</x:v>
      </x:c>
      <x:c r="L3048" s="67" t="str">
        <x:v>https://www.pricescope.com/blog/natural-diamond-prices-september-2026</x:v>
      </x:c>
    </x:row>
    <x:row r="3049">
      <x:c r="A3049" t="n">
        <x:v>5</x:v>
      </x:c>
      <x:c r="B3049" t="str">
        <x:v>Heart</x:v>
      </x:c>
      <x:c r="C3049" t="str">
        <x:v>H</x:v>
      </x:c>
      <x:c r="D3049" t="str">
        <x:v>SI2</x:v>
      </x:c>
      <x:c r="E3049" s="36" t="n">
        <x:v>131000</x:v>
      </x:c>
      <x:c r="F3049" s="36" t="n">
        <x:v>2328</x:v>
      </x:c>
      <x:c r="G3049" s="42" t="n">
        <x:v>0.49935649935649934</x:v>
      </x:c>
      <x:c r="H3049" s="36" t="n">
        <x:f>E3049*G3049</x:f>
        <x:v>65415.70141570141</x:v>
      </x:c>
      <x:c r="I3049" s="36" t="n">
        <x:f>IFERROR(H3049/A3049,0)</x:f>
        <x:v>13083.140283140283</x:v>
      </x:c>
      <x:c r="J3049" s="67" t="str">
        <x:v>Modeled from live base + Sep-2026 quality ratio</x:v>
      </x:c>
      <x:c r="K3049" s="67" t="str">
        <x:v>https://www.stonealgo.com/diamond-prices/</x:v>
      </x:c>
      <x:c r="L3049" s="67" t="str">
        <x:v>https://www.pricescope.com/blog/natural-diamond-prices-september-2026</x:v>
      </x:c>
    </x:row>
    <x:row r="3050">
      <x:c r="A3050" t="n">
        <x:v>5</x:v>
      </x:c>
      <x:c r="B3050" t="str">
        <x:v>Heart</x:v>
      </x:c>
      <x:c r="C3050" t="str">
        <x:v>I</x:v>
      </x:c>
      <x:c r="D3050" t="str">
        <x:v>FL</x:v>
      </x:c>
      <x:c r="E3050" s="36" t="n">
        <x:v>131000</x:v>
      </x:c>
      <x:c r="F3050" s="36" t="n">
        <x:v>4623</x:v>
      </x:c>
      <x:c r="G3050" s="42" t="n">
        <x:v>0.9916344916344917</x:v>
      </x:c>
      <x:c r="H3050" s="36" t="n">
        <x:f>E3050*G3050</x:f>
        <x:v>129904.11840411842</x:v>
      </x:c>
      <x:c r="I3050" s="36" t="n">
        <x:f>IFERROR(H3050/A3050,0)</x:f>
        <x:v>25980.823680823683</x:v>
      </x:c>
      <x:c r="J3050" s="67" t="str">
        <x:v>Modeled from live base + Sep-2026 quality ratio</x:v>
      </x:c>
      <x:c r="K3050" s="67" t="str">
        <x:v>https://www.stonealgo.com/diamond-prices/</x:v>
      </x:c>
      <x:c r="L3050" s="67" t="str">
        <x:v>https://www.pricescope.com/blog/natural-diamond-prices-september-2026</x:v>
      </x:c>
    </x:row>
    <x:row r="3051">
      <x:c r="A3051" t="n">
        <x:v>5</x:v>
      </x:c>
      <x:c r="B3051" t="str">
        <x:v>Heart</x:v>
      </x:c>
      <x:c r="C3051" t="str">
        <x:v>I</x:v>
      </x:c>
      <x:c r="D3051" t="str">
        <x:v>IF</x:v>
      </x:c>
      <x:c r="E3051" s="36" t="n">
        <x:v>131000</x:v>
      </x:c>
      <x:c r="F3051" s="36" t="n">
        <x:v>4005</x:v>
      </x:c>
      <x:c r="G3051" s="42" t="n">
        <x:v>0.859073359073359</x:v>
      </x:c>
      <x:c r="H3051" s="36" t="n">
        <x:f>E3051*G3051</x:f>
        <x:v>112538.61003861003</x:v>
      </x:c>
      <x:c r="I3051" s="36" t="n">
        <x:f>IFERROR(H3051/A3051,0)</x:f>
        <x:v>22507.722007722004</x:v>
      </x:c>
      <x:c r="J3051" s="67" t="str">
        <x:v>Modeled from live base + Sep-2026 quality ratio</x:v>
      </x:c>
      <x:c r="K3051" s="67" t="str">
        <x:v>https://www.stonealgo.com/diamond-prices/</x:v>
      </x:c>
      <x:c r="L3051" s="67" t="str">
        <x:v>https://www.pricescope.com/blog/natural-diamond-prices-september-2026</x:v>
      </x:c>
    </x:row>
    <x:row r="3052">
      <x:c r="A3052" t="n">
        <x:v>5</x:v>
      </x:c>
      <x:c r="B3052" t="str">
        <x:v>Heart</x:v>
      </x:c>
      <x:c r="C3052" t="str">
        <x:v>I</x:v>
      </x:c>
      <x:c r="D3052" t="str">
        <x:v>VVS1</x:v>
      </x:c>
      <x:c r="E3052" s="36" t="n">
        <x:v>131000</x:v>
      </x:c>
      <x:c r="F3052" s="36" t="n">
        <x:v>3670</x:v>
      </x:c>
      <x:c r="G3052" s="42" t="n">
        <x:v>0.7872157872157872</x:v>
      </x:c>
      <x:c r="H3052" s="36" t="n">
        <x:f>E3052*G3052</x:f>
        <x:v>103125.26812526812</x:v>
      </x:c>
      <x:c r="I3052" s="36" t="n">
        <x:f>IFERROR(H3052/A3052,0)</x:f>
        <x:v>20625.053625053624</x:v>
      </x:c>
      <x:c r="J3052" s="67" t="str">
        <x:v>Modeled from live base + Sep-2026 quality ratio</x:v>
      </x:c>
      <x:c r="K3052" s="67" t="str">
        <x:v>https://www.stonealgo.com/diamond-prices/</x:v>
      </x:c>
      <x:c r="L3052" s="67" t="str">
        <x:v>https://www.pricescope.com/blog/natural-diamond-prices-september-2026</x:v>
      </x:c>
    </x:row>
    <x:row r="3053">
      <x:c r="A3053" t="n">
        <x:v>5</x:v>
      </x:c>
      <x:c r="B3053" t="str">
        <x:v>Heart</x:v>
      </x:c>
      <x:c r="C3053" t="str">
        <x:v>I</x:v>
      </x:c>
      <x:c r="D3053" t="str">
        <x:v>VVS2</x:v>
      </x:c>
      <x:c r="E3053" s="36" t="n">
        <x:v>131000</x:v>
      </x:c>
      <x:c r="F3053" s="36" t="n">
        <x:v>3447</x:v>
      </x:c>
      <x:c r="G3053" s="42" t="n">
        <x:v>0.7393822393822393</x:v>
      </x:c>
      <x:c r="H3053" s="36" t="n">
        <x:f>E3053*G3053</x:f>
        <x:v>96859.07335907336</x:v>
      </x:c>
      <x:c r="I3053" s="36" t="n">
        <x:f>IFERROR(H3053/A3053,0)</x:f>
        <x:v>19371.81467181467</x:v>
      </x:c>
      <x:c r="J3053" s="67" t="str">
        <x:v>Modeled from live base + Sep-2026 quality ratio</x:v>
      </x:c>
      <x:c r="K3053" s="67" t="str">
        <x:v>https://www.stonealgo.com/diamond-prices/</x:v>
      </x:c>
      <x:c r="L3053" s="67" t="str">
        <x:v>https://www.pricescope.com/blog/natural-diamond-prices-september-2026</x:v>
      </x:c>
    </x:row>
    <x:row r="3054">
      <x:c r="A3054" t="n">
        <x:v>5</x:v>
      </x:c>
      <x:c r="B3054" t="str">
        <x:v>Heart</x:v>
      </x:c>
      <x:c r="C3054" t="str">
        <x:v>I</x:v>
      </x:c>
      <x:c r="D3054" t="str">
        <x:v>VS1</x:v>
      </x:c>
      <x:c r="E3054" s="36" t="n">
        <x:v>131000</x:v>
      </x:c>
      <x:c r="F3054" s="36" t="n">
        <x:v>3313</x:v>
      </x:c>
      <x:c r="G3054" s="42" t="n">
        <x:v>0.7106392106392107</x:v>
      </x:c>
      <x:c r="H3054" s="36" t="n">
        <x:f>E3054*G3054</x:f>
        <x:v>93093.7365937366</x:v>
      </x:c>
      <x:c r="I3054" s="36" t="n">
        <x:f>IFERROR(H3054/A3054,0)</x:f>
        <x:v>18618.74731874732</x:v>
      </x:c>
      <x:c r="J3054" s="67" t="str">
        <x:v>Modeled from live base + Sep-2026 quality ratio</x:v>
      </x:c>
      <x:c r="K3054" s="67" t="str">
        <x:v>https://www.stonealgo.com/diamond-prices/</x:v>
      </x:c>
      <x:c r="L3054" s="67" t="str">
        <x:v>https://www.pricescope.com/blog/natural-diamond-prices-september-2026</x:v>
      </x:c>
    </x:row>
    <x:row r="3055">
      <x:c r="A3055" t="n">
        <x:v>5</x:v>
      </x:c>
      <x:c r="B3055" t="str">
        <x:v>Heart</x:v>
      </x:c>
      <x:c r="C3055" t="str">
        <x:v>I</x:v>
      </x:c>
      <x:c r="D3055" t="str">
        <x:v>VS2</x:v>
      </x:c>
      <x:c r="E3055" s="36" t="n">
        <x:v>131000</x:v>
      </x:c>
      <x:c r="F3055" s="36" t="n">
        <x:v>3240</x:v>
      </x:c>
      <x:c r="G3055" s="42" t="n">
        <x:v>0.694980694980695</x:v>
      </x:c>
      <x:c r="H3055" s="36" t="n">
        <x:f>E3055*G3055</x:f>
        <x:v>91042.47104247105</x:v>
      </x:c>
      <x:c r="I3055" s="36" t="n">
        <x:f>IFERROR(H3055/A3055,0)</x:f>
        <x:v>18208.49420849421</x:v>
      </x:c>
      <x:c r="J3055" s="67" t="str">
        <x:v>Modeled from live base + Sep-2026 quality ratio</x:v>
      </x:c>
      <x:c r="K3055" s="67" t="str">
        <x:v>https://www.stonealgo.com/diamond-prices/</x:v>
      </x:c>
      <x:c r="L3055" s="67" t="str">
        <x:v>https://www.pricescope.com/blog/natural-diamond-prices-september-2026</x:v>
      </x:c>
    </x:row>
    <x:row r="3056">
      <x:c r="A3056" t="n">
        <x:v>5</x:v>
      </x:c>
      <x:c r="B3056" t="str">
        <x:v>Heart</x:v>
      </x:c>
      <x:c r="C3056" t="str">
        <x:v>I</x:v>
      </x:c>
      <x:c r="D3056" t="str">
        <x:v>SI1</x:v>
      </x:c>
      <x:c r="E3056" s="36" t="n">
        <x:v>131000</x:v>
      </x:c>
      <x:c r="F3056" s="36" t="n">
        <x:v>3199</x:v>
      </x:c>
      <x:c r="G3056" s="42" t="n">
        <x:v>0.6861861861861862</x:v>
      </x:c>
      <x:c r="H3056" s="36" t="n">
        <x:f>E3056*G3056</x:f>
        <x:v>89890.3903903904</x:v>
      </x:c>
      <x:c r="I3056" s="36" t="n">
        <x:f>IFERROR(H3056/A3056,0)</x:f>
        <x:v>17978.07807807808</x:v>
      </x:c>
      <x:c r="J3056" s="67" t="str">
        <x:v>Modeled from live base + Sep-2026 quality ratio</x:v>
      </x:c>
      <x:c r="K3056" s="67" t="str">
        <x:v>https://www.stonealgo.com/diamond-prices/</x:v>
      </x:c>
      <x:c r="L3056" s="67" t="str">
        <x:v>https://www.pricescope.com/blog/natural-diamond-prices-september-2026</x:v>
      </x:c>
    </x:row>
    <x:row r="3057">
      <x:c r="A3057" t="n">
        <x:v>5</x:v>
      </x:c>
      <x:c r="B3057" t="str">
        <x:v>Heart</x:v>
      </x:c>
      <x:c r="C3057" t="str">
        <x:v>I</x:v>
      </x:c>
      <x:c r="D3057" t="str">
        <x:v>SI2</x:v>
      </x:c>
      <x:c r="E3057" s="36" t="n">
        <x:v>131000</x:v>
      </x:c>
      <x:c r="F3057" s="36" t="n">
        <x:v>2874</x:v>
      </x:c>
      <x:c r="G3057" s="42" t="n">
        <x:v>0.6164736164736164</x:v>
      </x:c>
      <x:c r="H3057" s="36" t="n">
        <x:f>E3057*G3057</x:f>
        <x:v>80758.04375804376</x:v>
      </x:c>
      <x:c r="I3057" s="36" t="n">
        <x:f>IFERROR(H3057/A3057,0)</x:f>
        <x:v>16151.608751608752</x:v>
      </x:c>
      <x:c r="J3057" s="67" t="str">
        <x:v>Modeled from live base + Sep-2026 quality ratio</x:v>
      </x:c>
      <x:c r="K3057" s="67" t="str">
        <x:v>https://www.stonealgo.com/diamond-prices/</x:v>
      </x:c>
      <x:c r="L3057" s="67" t="str">
        <x:v>https://www.pricescope.com/blog/natural-diamond-prices-september-2026</x:v>
      </x:c>
    </x:row>
    <x:row r="3058">
      <x:c r="A3058" t="n">
        <x:v>5</x:v>
      </x:c>
      <x:c r="B3058" t="str">
        <x:v>Heart</x:v>
      </x:c>
      <x:c r="C3058" t="str">
        <x:v>J</x:v>
      </x:c>
      <x:c r="D3058" t="str">
        <x:v>FL</x:v>
      </x:c>
      <x:c r="E3058" s="36" t="n">
        <x:v>131000</x:v>
      </x:c>
      <x:c r="F3058" s="36" t="n">
        <x:v>3646</x:v>
      </x:c>
      <x:c r="G3058" s="42" t="n">
        <x:v>0.782067782067782</x:v>
      </x:c>
      <x:c r="H3058" s="36" t="n">
        <x:f>E3058*G3058</x:f>
        <x:v>102450.87945087945</x:v>
      </x:c>
      <x:c r="I3058" s="36" t="n">
        <x:f>IFERROR(H3058/A3058,0)</x:f>
        <x:v>20490.17589017589</x:v>
      </x:c>
      <x:c r="J3058" s="67" t="str">
        <x:v>Modeled from live base + Sep-2026 quality ratio</x:v>
      </x:c>
      <x:c r="K3058" s="67" t="str">
        <x:v>https://www.stonealgo.com/diamond-prices/</x:v>
      </x:c>
      <x:c r="L3058" s="67" t="str">
        <x:v>https://www.pricescope.com/blog/natural-diamond-prices-september-2026</x:v>
      </x:c>
    </x:row>
    <x:row r="3059">
      <x:c r="A3059" t="n">
        <x:v>5</x:v>
      </x:c>
      <x:c r="B3059" t="str">
        <x:v>Heart</x:v>
      </x:c>
      <x:c r="C3059" t="str">
        <x:v>J</x:v>
      </x:c>
      <x:c r="D3059" t="str">
        <x:v>IF</x:v>
      </x:c>
      <x:c r="E3059" s="36" t="n">
        <x:v>131000</x:v>
      </x:c>
      <x:c r="F3059" s="36" t="n">
        <x:v>3368</x:v>
      </x:c>
      <x:c r="G3059" s="42" t="n">
        <x:v>0.7224367224367224</x:v>
      </x:c>
      <x:c r="H3059" s="36" t="n">
        <x:f>E3059*G3059</x:f>
        <x:v>94639.21063921064</x:v>
      </x:c>
      <x:c r="I3059" s="36" t="n">
        <x:f>IFERROR(H3059/A3059,0)</x:f>
        <x:v>18927.842127842127</x:v>
      </x:c>
      <x:c r="J3059" s="67" t="str">
        <x:v>Modeled from live base + Sep-2026 quality ratio</x:v>
      </x:c>
      <x:c r="K3059" s="67" t="str">
        <x:v>https://www.stonealgo.com/diamond-prices/</x:v>
      </x:c>
      <x:c r="L3059" s="67" t="str">
        <x:v>https://www.pricescope.com/blog/natural-diamond-prices-september-2026</x:v>
      </x:c>
    </x:row>
    <x:row r="3060">
      <x:c r="A3060" t="n">
        <x:v>5</x:v>
      </x:c>
      <x:c r="B3060" t="str">
        <x:v>Heart</x:v>
      </x:c>
      <x:c r="C3060" t="str">
        <x:v>J</x:v>
      </x:c>
      <x:c r="D3060" t="str">
        <x:v>VVS1</x:v>
      </x:c>
      <x:c r="E3060" s="36" t="n">
        <x:v>131000</x:v>
      </x:c>
      <x:c r="F3060" s="36" t="n">
        <x:v>2956</x:v>
      </x:c>
      <x:c r="G3060" s="42" t="n">
        <x:v>0.6340626340626341</x:v>
      </x:c>
      <x:c r="H3060" s="36" t="n">
        <x:f>E3060*G3060</x:f>
        <x:v>83062.20506220506</x:v>
      </x:c>
      <x:c r="I3060" s="36" t="n">
        <x:f>IFERROR(H3060/A3060,0)</x:f>
        <x:v>16612.441012441013</x:v>
      </x:c>
      <x:c r="J3060" s="67" t="str">
        <x:v>Modeled from live base + Sep-2026 quality ratio</x:v>
      </x:c>
      <x:c r="K3060" s="67" t="str">
        <x:v>https://www.stonealgo.com/diamond-prices/</x:v>
      </x:c>
      <x:c r="L3060" s="67" t="str">
        <x:v>https://www.pricescope.com/blog/natural-diamond-prices-september-2026</x:v>
      </x:c>
    </x:row>
    <x:row r="3061">
      <x:c r="A3061" t="n">
        <x:v>5</x:v>
      </x:c>
      <x:c r="B3061" t="str">
        <x:v>Heart</x:v>
      </x:c>
      <x:c r="C3061" t="str">
        <x:v>J</x:v>
      </x:c>
      <x:c r="D3061" t="str">
        <x:v>VVS2</x:v>
      </x:c>
      <x:c r="E3061" s="36" t="n">
        <x:v>131000</x:v>
      </x:c>
      <x:c r="F3061" s="36" t="n">
        <x:v>2612</x:v>
      </x:c>
      <x:c r="G3061" s="42" t="n">
        <x:v>0.5602745602745602</x:v>
      </x:c>
      <x:c r="H3061" s="36" t="n">
        <x:f>E3061*G3061</x:f>
        <x:v>73395.9673959674</x:v>
      </x:c>
      <x:c r="I3061" s="36" t="n">
        <x:f>IFERROR(H3061/A3061,0)</x:f>
        <x:v>14679.19347919348</x:v>
      </x:c>
      <x:c r="J3061" s="67" t="str">
        <x:v>Modeled from live base + Sep-2026 quality ratio</x:v>
      </x:c>
      <x:c r="K3061" s="67" t="str">
        <x:v>https://www.stonealgo.com/diamond-prices/</x:v>
      </x:c>
      <x:c r="L3061" s="67" t="str">
        <x:v>https://www.pricescope.com/blog/natural-diamond-prices-september-2026</x:v>
      </x:c>
    </x:row>
    <x:row r="3062">
      <x:c r="A3062" t="n">
        <x:v>5</x:v>
      </x:c>
      <x:c r="B3062" t="str">
        <x:v>Heart</x:v>
      </x:c>
      <x:c r="C3062" t="str">
        <x:v>J</x:v>
      </x:c>
      <x:c r="D3062" t="str">
        <x:v>VS1</x:v>
      </x:c>
      <x:c r="E3062" s="36" t="n">
        <x:v>131000</x:v>
      </x:c>
      <x:c r="F3062" s="36" t="n">
        <x:v>3002</x:v>
      </x:c>
      <x:c r="G3062" s="42" t="n">
        <x:v>0.6439296439296439</x:v>
      </x:c>
      <x:c r="H3062" s="36" t="n">
        <x:f>E3062*G3062</x:f>
        <x:v>84354.78335478336</x:v>
      </x:c>
      <x:c r="I3062" s="36" t="n">
        <x:f>IFERROR(H3062/A3062,0)</x:f>
        <x:v>16870.95667095667</x:v>
      </x:c>
      <x:c r="J3062" s="67" t="str">
        <x:v>Modeled from live base + Sep-2026 quality ratio</x:v>
      </x:c>
      <x:c r="K3062" s="67" t="str">
        <x:v>https://www.stonealgo.com/diamond-prices/</x:v>
      </x:c>
      <x:c r="L3062" s="67" t="str">
        <x:v>https://www.pricescope.com/blog/natural-diamond-prices-september-2026</x:v>
      </x:c>
    </x:row>
    <x:row r="3063">
      <x:c r="A3063" t="n">
        <x:v>5</x:v>
      </x:c>
      <x:c r="B3063" t="str">
        <x:v>Heart</x:v>
      </x:c>
      <x:c r="C3063" t="str">
        <x:v>J</x:v>
      </x:c>
      <x:c r="D3063" t="str">
        <x:v>VS2</x:v>
      </x:c>
      <x:c r="E3063" s="36" t="n">
        <x:v>131000</x:v>
      </x:c>
      <x:c r="F3063" s="36" t="n">
        <x:v>2559</x:v>
      </x:c>
      <x:c r="G3063" s="42" t="n">
        <x:v>0.5489060489060489</x:v>
      </x:c>
      <x:c r="H3063" s="36" t="n">
        <x:f>E3063*G3063</x:f>
        <x:v>71906.6924066924</x:v>
      </x:c>
      <x:c r="I3063" s="36" t="n">
        <x:f>IFERROR(H3063/A3063,0)</x:f>
        <x:v>14381.33848133848</x:v>
      </x:c>
      <x:c r="J3063" s="67" t="str">
        <x:v>Modeled from live base + Sep-2026 quality ratio</x:v>
      </x:c>
      <x:c r="K3063" s="67" t="str">
        <x:v>https://www.stonealgo.com/diamond-prices/</x:v>
      </x:c>
      <x:c r="L3063" s="67" t="str">
        <x:v>https://www.pricescope.com/blog/natural-diamond-prices-september-2026</x:v>
      </x:c>
    </x:row>
    <x:row r="3064">
      <x:c r="A3064" t="n">
        <x:v>5</x:v>
      </x:c>
      <x:c r="B3064" t="str">
        <x:v>Heart</x:v>
      </x:c>
      <x:c r="C3064" t="str">
        <x:v>J</x:v>
      </x:c>
      <x:c r="D3064" t="str">
        <x:v>SI1</x:v>
      </x:c>
      <x:c r="E3064" s="36" t="n">
        <x:v>131000</x:v>
      </x:c>
      <x:c r="F3064" s="36" t="n">
        <x:v>2195</x:v>
      </x:c>
      <x:c r="G3064" s="42" t="n">
        <x:v>0.47082797082797084</x:v>
      </x:c>
      <x:c r="H3064" s="36" t="n">
        <x:f>E3064*G3064</x:f>
        <x:v>61678.46417846418</x:v>
      </x:c>
      <x:c r="I3064" s="36" t="n">
        <x:f>IFERROR(H3064/A3064,0)</x:f>
        <x:v>12335.692835692837</x:v>
      </x:c>
      <x:c r="J3064" s="67" t="str">
        <x:v>Modeled from live base + Sep-2026 quality ratio</x:v>
      </x:c>
      <x:c r="K3064" s="67" t="str">
        <x:v>https://www.stonealgo.com/diamond-prices/</x:v>
      </x:c>
      <x:c r="L3064" s="67" t="str">
        <x:v>https://www.pricescope.com/blog/natural-diamond-prices-september-2026</x:v>
      </x:c>
    </x:row>
    <x:row r="3065">
      <x:c r="A3065" t="n">
        <x:v>5</x:v>
      </x:c>
      <x:c r="B3065" t="str">
        <x:v>Heart</x:v>
      </x:c>
      <x:c r="C3065" t="str">
        <x:v>J</x:v>
      </x:c>
      <x:c r="D3065" t="str">
        <x:v>SI2</x:v>
      </x:c>
      <x:c r="E3065" s="36" t="n">
        <x:v>131000</x:v>
      </x:c>
      <x:c r="F3065" s="36" t="n">
        <x:v>2079</x:v>
      </x:c>
      <x:c r="G3065" s="42" t="n">
        <x:v>0.44594594594594594</x:v>
      </x:c>
      <x:c r="H3065" s="36" t="n">
        <x:f>E3065*G3065</x:f>
        <x:v>58418.91891891892</x:v>
      </x:c>
      <x:c r="I3065" s="36" t="n">
        <x:f>IFERROR(H3065/A3065,0)</x:f>
        <x:v>11683.783783783783</x:v>
      </x:c>
      <x:c r="J3065" s="67" t="str">
        <x:v>Modeled from live base + Sep-2026 quality ratio</x:v>
      </x:c>
      <x:c r="K3065" s="67" t="str">
        <x:v>https://www.stonealgo.com/diamond-prices/</x:v>
      </x:c>
      <x:c r="L3065" s="67" t="str">
        <x:v>https://www.pricescope.com/blog/natural-diamond-prices-september-2026</x:v>
      </x:c>
    </x:row>
    <x:row r="3066">
      <x:c r="A3066" t="n">
        <x:v>5</x:v>
      </x:c>
      <x:c r="B3066" t="str">
        <x:v>Heart</x:v>
      </x:c>
      <x:c r="C3066" t="str">
        <x:v>K</x:v>
      </x:c>
      <x:c r="D3066" t="str">
        <x:v>FL</x:v>
      </x:c>
      <x:c r="E3066" s="36" t="n">
        <x:v>131000</x:v>
      </x:c>
      <x:c r="F3066" s="36" t="n">
        <x:v>2858</x:v>
      </x:c>
      <x:c r="G3066" s="42" t="n">
        <x:v>0.6130416130416131</x:v>
      </x:c>
      <x:c r="H3066" s="36" t="n">
        <x:f>E3066*G3066</x:f>
        <x:v>80308.45130845132</x:v>
      </x:c>
      <x:c r="I3066" s="36" t="n">
        <x:f>IFERROR(H3066/A3066,0)</x:f>
        <x:v>16061.690261690263</x:v>
      </x:c>
      <x:c r="J3066" s="67" t="str">
        <x:v>Modeled from live base + Sep-2026 quality ratio; K/FL quality cell modeled</x:v>
      </x:c>
      <x:c r="K3066" s="67" t="str">
        <x:v>https://www.stonealgo.com/diamond-prices/</x:v>
      </x:c>
      <x:c r="L3066" s="67" t="str">
        <x:v>https://www.pricescope.com/blog/natural-diamond-prices-september-2026</x:v>
      </x:c>
    </x:row>
    <x:row r="3067">
      <x:c r="A3067" t="n">
        <x:v>5</x:v>
      </x:c>
      <x:c r="B3067" t="str">
        <x:v>Heart</x:v>
      </x:c>
      <x:c r="C3067" t="str">
        <x:v>K</x:v>
      </x:c>
      <x:c r="D3067" t="str">
        <x:v>IF</x:v>
      </x:c>
      <x:c r="E3067" s="36" t="n">
        <x:v>131000</x:v>
      </x:c>
      <x:c r="F3067" s="36" t="n">
        <x:v>2743</x:v>
      </x:c>
      <x:c r="G3067" s="42" t="n">
        <x:v>0.5883740883740883</x:v>
      </x:c>
      <x:c r="H3067" s="36" t="n">
        <x:f>E3067*G3067</x:f>
        <x:v>77077.00557700558</x:v>
      </x:c>
      <x:c r="I3067" s="36" t="n">
        <x:f>IFERROR(H3067/A3067,0)</x:f>
        <x:v>15415.401115401115</x:v>
      </x:c>
      <x:c r="J3067" s="67" t="str">
        <x:v>Modeled from live base + Sep-2026 quality ratio</x:v>
      </x:c>
      <x:c r="K3067" s="67" t="str">
        <x:v>https://www.stonealgo.com/diamond-prices/</x:v>
      </x:c>
      <x:c r="L3067" s="67" t="str">
        <x:v>https://www.pricescope.com/blog/natural-diamond-prices-september-2026</x:v>
      </x:c>
    </x:row>
    <x:row r="3068">
      <x:c r="A3068" t="n">
        <x:v>5</x:v>
      </x:c>
      <x:c r="B3068" t="str">
        <x:v>Heart</x:v>
      </x:c>
      <x:c r="C3068" t="str">
        <x:v>K</x:v>
      </x:c>
      <x:c r="D3068" t="str">
        <x:v>VVS1</x:v>
      </x:c>
      <x:c r="E3068" s="36" t="n">
        <x:v>131000</x:v>
      </x:c>
      <x:c r="F3068" s="36" t="n">
        <x:v>2529</x:v>
      </x:c>
      <x:c r="G3068" s="42" t="n">
        <x:v>0.5424710424710425</x:v>
      </x:c>
      <x:c r="H3068" s="36" t="n">
        <x:f>E3068*G3068</x:f>
        <x:v>71063.70656370657</x:v>
      </x:c>
      <x:c r="I3068" s="36" t="n">
        <x:f>IFERROR(H3068/A3068,0)</x:f>
        <x:v>14212.741312741313</x:v>
      </x:c>
      <x:c r="J3068" s="67" t="str">
        <x:v>Modeled from live base + Sep-2026 quality ratio</x:v>
      </x:c>
      <x:c r="K3068" s="67" t="str">
        <x:v>https://www.stonealgo.com/diamond-prices/</x:v>
      </x:c>
      <x:c r="L3068" s="67" t="str">
        <x:v>https://www.pricescope.com/blog/natural-diamond-prices-september-2026</x:v>
      </x:c>
    </x:row>
    <x:row r="3069">
      <x:c r="A3069" t="n">
        <x:v>5</x:v>
      </x:c>
      <x:c r="B3069" t="str">
        <x:v>Heart</x:v>
      </x:c>
      <x:c r="C3069" t="str">
        <x:v>K</x:v>
      </x:c>
      <x:c r="D3069" t="str">
        <x:v>VVS2</x:v>
      </x:c>
      <x:c r="E3069" s="36" t="n">
        <x:v>131000</x:v>
      </x:c>
      <x:c r="F3069" s="36" t="n">
        <x:v>2374</x:v>
      </x:c>
      <x:c r="G3069" s="42" t="n">
        <x:v>0.5092235092235092</x:v>
      </x:c>
      <x:c r="H3069" s="36" t="n">
        <x:f>E3069*G3069</x:f>
        <x:v>66708.2797082797</x:v>
      </x:c>
      <x:c r="I3069" s="36" t="n">
        <x:f>IFERROR(H3069/A3069,0)</x:f>
        <x:v>13341.655941655941</x:v>
      </x:c>
      <x:c r="J3069" s="67" t="str">
        <x:v>Modeled from live base + Sep-2026 quality ratio</x:v>
      </x:c>
      <x:c r="K3069" s="67" t="str">
        <x:v>https://www.stonealgo.com/diamond-prices/</x:v>
      </x:c>
      <x:c r="L3069" s="67" t="str">
        <x:v>https://www.pricescope.com/blog/natural-diamond-prices-september-2026</x:v>
      </x:c>
    </x:row>
    <x:row r="3070">
      <x:c r="A3070" t="n">
        <x:v>5</x:v>
      </x:c>
      <x:c r="B3070" t="str">
        <x:v>Heart</x:v>
      </x:c>
      <x:c r="C3070" t="str">
        <x:v>K</x:v>
      </x:c>
      <x:c r="D3070" t="str">
        <x:v>VS1</x:v>
      </x:c>
      <x:c r="E3070" s="36" t="n">
        <x:v>131000</x:v>
      </x:c>
      <x:c r="F3070" s="36" t="n">
        <x:v>2223</x:v>
      </x:c>
      <x:c r="G3070" s="42" t="n">
        <x:v>0.4768339768339768</x:v>
      </x:c>
      <x:c r="H3070" s="36" t="n">
        <x:f>E3070*G3070</x:f>
        <x:v>62465.25096525096</x:v>
      </x:c>
      <x:c r="I3070" s="36" t="n">
        <x:f>IFERROR(H3070/A3070,0)</x:f>
        <x:v>12493.050193050192</x:v>
      </x:c>
      <x:c r="J3070" s="67" t="str">
        <x:v>Modeled from live base + Sep-2026 quality ratio</x:v>
      </x:c>
      <x:c r="K3070" s="67" t="str">
        <x:v>https://www.stonealgo.com/diamond-prices/</x:v>
      </x:c>
      <x:c r="L3070" s="67" t="str">
        <x:v>https://www.pricescope.com/blog/natural-diamond-prices-september-2026</x:v>
      </x:c>
    </x:row>
    <x:row r="3071">
      <x:c r="A3071" t="n">
        <x:v>5</x:v>
      </x:c>
      <x:c r="B3071" t="str">
        <x:v>Heart</x:v>
      </x:c>
      <x:c r="C3071" t="str">
        <x:v>K</x:v>
      </x:c>
      <x:c r="D3071" t="str">
        <x:v>VS2</x:v>
      </x:c>
      <x:c r="E3071" s="36" t="n">
        <x:v>131000</x:v>
      </x:c>
      <x:c r="F3071" s="36" t="n">
        <x:v>2098</x:v>
      </x:c>
      <x:c r="G3071" s="42" t="n">
        <x:v>0.45002145002145</x:v>
      </x:c>
      <x:c r="H3071" s="36" t="n">
        <x:f>E3071*G3071</x:f>
        <x:v>58952.80995280995</x:v>
      </x:c>
      <x:c r="I3071" s="36" t="n">
        <x:f>IFERROR(H3071/A3071,0)</x:f>
        <x:v>11790.56199056199</x:v>
      </x:c>
      <x:c r="J3071" s="67" t="str">
        <x:v>Modeled from live base + Sep-2026 quality ratio</x:v>
      </x:c>
      <x:c r="K3071" s="67" t="str">
        <x:v>https://www.stonealgo.com/diamond-prices/</x:v>
      </x:c>
      <x:c r="L3071" s="67" t="str">
        <x:v>https://www.pricescope.com/blog/natural-diamond-prices-september-2026</x:v>
      </x:c>
    </x:row>
    <x:row r="3072">
      <x:c r="A3072" t="n">
        <x:v>5</x:v>
      </x:c>
      <x:c r="B3072" t="str">
        <x:v>Heart</x:v>
      </x:c>
      <x:c r="C3072" t="str">
        <x:v>K</x:v>
      </x:c>
      <x:c r="D3072" t="str">
        <x:v>SI1</x:v>
      </x:c>
      <x:c r="E3072" s="36" t="n">
        <x:v>131000</x:v>
      </x:c>
      <x:c r="F3072" s="36" t="n">
        <x:v>1922</x:v>
      </x:c>
      <x:c r="G3072" s="42" t="n">
        <x:v>0.41226941226941227</x:v>
      </x:c>
      <x:c r="H3072" s="36" t="n">
        <x:f>E3072*G3072</x:f>
        <x:v>54007.29300729301</x:v>
      </x:c>
      <x:c r="I3072" s="36" t="n">
        <x:f>IFERROR(H3072/A3072,0)</x:f>
        <x:v>10801.458601458602</x:v>
      </x:c>
      <x:c r="J3072" s="67" t="str">
        <x:v>Modeled from live base + Sep-2026 quality ratio</x:v>
      </x:c>
      <x:c r="K3072" s="67" t="str">
        <x:v>https://www.stonealgo.com/diamond-prices/</x:v>
      </x:c>
      <x:c r="L3072" s="67" t="str">
        <x:v>https://www.pricescope.com/blog/natural-diamond-prices-september-2026</x:v>
      </x:c>
    </x:row>
    <x:row r="3073">
      <x:c r="A3073" t="n">
        <x:v>5</x:v>
      </x:c>
      <x:c r="B3073" t="str">
        <x:v>Heart</x:v>
      </x:c>
      <x:c r="C3073" t="str">
        <x:v>K</x:v>
      </x:c>
      <x:c r="D3073" t="str">
        <x:v>SI2</x:v>
      </x:c>
      <x:c r="E3073" s="36" t="n">
        <x:v>131000</x:v>
      </x:c>
      <x:c r="F3073" s="36" t="n">
        <x:v>1764</x:v>
      </x:c>
      <x:c r="G3073" s="42" t="n">
        <x:v>0.3783783783783784</x:v>
      </x:c>
      <x:c r="H3073" s="36" t="n">
        <x:f>E3073*G3073</x:f>
        <x:v>49567.567567567574</x:v>
      </x:c>
      <x:c r="I3073" s="36" t="n">
        <x:f>IFERROR(H3073/A3073,0)</x:f>
        <x:v>9913.513513513515</x:v>
      </x:c>
      <x:c r="J3073" s="67" t="str">
        <x:v>Modeled from live base + Sep-2026 quality ratio</x:v>
      </x:c>
      <x:c r="K3073" s="67" t="str">
        <x:v>https://www.stonealgo.com/diamond-prices/</x:v>
      </x:c>
      <x:c r="L3073" s="67" t="str">
        <x:v>https://www.pricescope.com/blog/natural-diamond-prices-september-2026</x:v>
      </x:c>
    </x:row>
    <x:row r="3074">
      <x:c r="A3074" t="n">
        <x:v>5</x:v>
      </x:c>
      <x:c r="B3074" t="str">
        <x:v>Marquise</x:v>
      </x:c>
      <x:c r="C3074" t="str">
        <x:v>D</x:v>
      </x:c>
      <x:c r="D3074" t="str">
        <x:v>FL</x:v>
      </x:c>
      <x:c r="E3074" s="36" t="n">
        <x:v>125000</x:v>
      </x:c>
      <x:c r="F3074" s="36" t="n">
        <x:v>12665</x:v>
      </x:c>
      <x:c r="G3074" s="42" t="n">
        <x:v>2.7166452166452166</x:v>
      </x:c>
      <x:c r="H3074" s="36" t="n">
        <x:f>E3074*G3074</x:f>
        <x:v>339580.6520806521</x:v>
      </x:c>
      <x:c r="I3074" s="36" t="n">
        <x:f>IFERROR(H3074/A3074,0)</x:f>
        <x:v>67916.13041613041</x:v>
      </x:c>
      <x:c r="J3074" s="67" t="str">
        <x:v>Modeled from live base + Sep-2026 quality ratio</x:v>
      </x:c>
      <x:c r="K3074" s="67" t="str">
        <x:v>https://www.stonealgo.com/diamond-prices/</x:v>
      </x:c>
      <x:c r="L3074" s="67" t="str">
        <x:v>https://www.pricescope.com/blog/natural-diamond-prices-september-2026</x:v>
      </x:c>
    </x:row>
    <x:row r="3075">
      <x:c r="A3075" t="n">
        <x:v>5</x:v>
      </x:c>
      <x:c r="B3075" t="str">
        <x:v>Marquise</x:v>
      </x:c>
      <x:c r="C3075" t="str">
        <x:v>D</x:v>
      </x:c>
      <x:c r="D3075" t="str">
        <x:v>IF</x:v>
      </x:c>
      <x:c r="E3075" s="36" t="n">
        <x:v>125000</x:v>
      </x:c>
      <x:c r="F3075" s="36" t="n">
        <x:v>13240</x:v>
      </x:c>
      <x:c r="G3075" s="42" t="n">
        <x:v>2.83998283998284</x:v>
      </x:c>
      <x:c r="H3075" s="36" t="n">
        <x:f>E3075*G3075</x:f>
        <x:v>354997.854997855</x:v>
      </x:c>
      <x:c r="I3075" s="36" t="n">
        <x:f>IFERROR(H3075/A3075,0)</x:f>
        <x:v>70999.570999571</x:v>
      </x:c>
      <x:c r="J3075" s="67" t="str">
        <x:v>Modeled from live base + Sep-2026 quality ratio</x:v>
      </x:c>
      <x:c r="K3075" s="67" t="str">
        <x:v>https://www.stonealgo.com/diamond-prices/</x:v>
      </x:c>
      <x:c r="L3075" s="67" t="str">
        <x:v>https://www.pricescope.com/blog/natural-diamond-prices-september-2026</x:v>
      </x:c>
    </x:row>
    <x:row r="3076">
      <x:c r="A3076" t="n">
        <x:v>5</x:v>
      </x:c>
      <x:c r="B3076" t="str">
        <x:v>Marquise</x:v>
      </x:c>
      <x:c r="C3076" t="str">
        <x:v>D</x:v>
      </x:c>
      <x:c r="D3076" t="str">
        <x:v>VVS1</x:v>
      </x:c>
      <x:c r="E3076" s="36" t="n">
        <x:v>125000</x:v>
      </x:c>
      <x:c r="F3076" s="36" t="n">
        <x:v>9555</x:v>
      </x:c>
      <x:c r="G3076" s="42" t="n">
        <x:v>2.0495495495495497</x:v>
      </x:c>
      <x:c r="H3076" s="36" t="n">
        <x:f>E3076*G3076</x:f>
        <x:v>256193.69369369373</x:v>
      </x:c>
      <x:c r="I3076" s="36" t="n">
        <x:f>IFERROR(H3076/A3076,0)</x:f>
        <x:v>51238.73873873874</x:v>
      </x:c>
      <x:c r="J3076" s="67" t="str">
        <x:v>Modeled from live base + Sep-2026 quality ratio</x:v>
      </x:c>
      <x:c r="K3076" s="67" t="str">
        <x:v>https://www.stonealgo.com/diamond-prices/</x:v>
      </x:c>
      <x:c r="L3076" s="67" t="str">
        <x:v>https://www.pricescope.com/blog/natural-diamond-prices-september-2026</x:v>
      </x:c>
    </x:row>
    <x:row r="3077">
      <x:c r="A3077" t="n">
        <x:v>5</x:v>
      </x:c>
      <x:c r="B3077" t="str">
        <x:v>Marquise</x:v>
      </x:c>
      <x:c r="C3077" t="str">
        <x:v>D</x:v>
      </x:c>
      <x:c r="D3077" t="str">
        <x:v>VVS2</x:v>
      </x:c>
      <x:c r="E3077" s="36" t="n">
        <x:v>125000</x:v>
      </x:c>
      <x:c r="F3077" s="36" t="n">
        <x:v>6660</x:v>
      </x:c>
      <x:c r="G3077" s="42" t="n">
        <x:v>1.4285714285714286</x:v>
      </x:c>
      <x:c r="H3077" s="36" t="n">
        <x:f>E3077*G3077</x:f>
        <x:v>178571.42857142858</x:v>
      </x:c>
      <x:c r="I3077" s="36" t="n">
        <x:f>IFERROR(H3077/A3077,0)</x:f>
        <x:v>35714.28571428572</x:v>
      </x:c>
      <x:c r="J3077" s="67" t="str">
        <x:v>Modeled from live base + Sep-2026 quality ratio</x:v>
      </x:c>
      <x:c r="K3077" s="67" t="str">
        <x:v>https://www.stonealgo.com/diamond-prices/</x:v>
      </x:c>
      <x:c r="L3077" s="67" t="str">
        <x:v>https://www.pricescope.com/blog/natural-diamond-prices-september-2026</x:v>
      </x:c>
    </x:row>
    <x:row r="3078">
      <x:c r="A3078" t="n">
        <x:v>5</x:v>
      </x:c>
      <x:c r="B3078" t="str">
        <x:v>Marquise</x:v>
      </x:c>
      <x:c r="C3078" t="str">
        <x:v>D</x:v>
      </x:c>
      <x:c r="D3078" t="str">
        <x:v>VS1</x:v>
      </x:c>
      <x:c r="E3078" s="36" t="n">
        <x:v>125000</x:v>
      </x:c>
      <x:c r="F3078" s="36" t="n">
        <x:v>6247</x:v>
      </x:c>
      <x:c r="G3078" s="42" t="n">
        <x:v>1.33998283998284</x:v>
      </x:c>
      <x:c r="H3078" s="36" t="n">
        <x:f>E3078*G3078</x:f>
        <x:v>167497.854997855</x:v>
      </x:c>
      <x:c r="I3078" s="36" t="n">
        <x:f>IFERROR(H3078/A3078,0)</x:f>
        <x:v>33499.570999571</x:v>
      </x:c>
      <x:c r="J3078" s="67" t="str">
        <x:v>Modeled from live base + Sep-2026 quality ratio</x:v>
      </x:c>
      <x:c r="K3078" s="67" t="str">
        <x:v>https://www.stonealgo.com/diamond-prices/</x:v>
      </x:c>
      <x:c r="L3078" s="67" t="str">
        <x:v>https://www.pricescope.com/blog/natural-diamond-prices-september-2026</x:v>
      </x:c>
    </x:row>
    <x:row r="3079">
      <x:c r="A3079" t="n">
        <x:v>5</x:v>
      </x:c>
      <x:c r="B3079" t="str">
        <x:v>Marquise</x:v>
      </x:c>
      <x:c r="C3079" t="str">
        <x:v>D</x:v>
      </x:c>
      <x:c r="D3079" t="str">
        <x:v>VS2</x:v>
      </x:c>
      <x:c r="E3079" s="36" t="n">
        <x:v>125000</x:v>
      </x:c>
      <x:c r="F3079" s="36" t="n">
        <x:v>5841</x:v>
      </x:c>
      <x:c r="G3079" s="42" t="n">
        <x:v>1.252895752895753</x:v>
      </x:c>
      <x:c r="H3079" s="36" t="n">
        <x:f>E3079*G3079</x:f>
        <x:v>156611.9691119691</x:v>
      </x:c>
      <x:c r="I3079" s="36" t="n">
        <x:f>IFERROR(H3079/A3079,0)</x:f>
        <x:v>31322.393822393824</x:v>
      </x:c>
      <x:c r="J3079" s="67" t="str">
        <x:v>Modeled from live base + Sep-2026 quality ratio</x:v>
      </x:c>
      <x:c r="K3079" s="67" t="str">
        <x:v>https://www.stonealgo.com/diamond-prices/</x:v>
      </x:c>
      <x:c r="L3079" s="67" t="str">
        <x:v>https://www.pricescope.com/blog/natural-diamond-prices-september-2026</x:v>
      </x:c>
    </x:row>
    <x:row r="3080">
      <x:c r="A3080" t="n">
        <x:v>5</x:v>
      </x:c>
      <x:c r="B3080" t="str">
        <x:v>Marquise</x:v>
      </x:c>
      <x:c r="C3080" t="str">
        <x:v>D</x:v>
      </x:c>
      <x:c r="D3080" t="str">
        <x:v>SI1</x:v>
      </x:c>
      <x:c r="E3080" s="36" t="n">
        <x:v>125000</x:v>
      </x:c>
      <x:c r="F3080" s="36" t="n">
        <x:v>3762</x:v>
      </x:c>
      <x:c r="G3080" s="42" t="n">
        <x:v>0.806949806949807</x:v>
      </x:c>
      <x:c r="H3080" s="36" t="n">
        <x:f>E3080*G3080</x:f>
        <x:v>100868.72586872587</x:v>
      </x:c>
      <x:c r="I3080" s="36" t="n">
        <x:f>IFERROR(H3080/A3080,0)</x:f>
        <x:v>20173.745173745174</x:v>
      </x:c>
      <x:c r="J3080" s="67" t="str">
        <x:v>Modeled from live base + Sep-2026 quality ratio</x:v>
      </x:c>
      <x:c r="K3080" s="67" t="str">
        <x:v>https://www.stonealgo.com/diamond-prices/</x:v>
      </x:c>
      <x:c r="L3080" s="67" t="str">
        <x:v>https://www.pricescope.com/blog/natural-diamond-prices-september-2026</x:v>
      </x:c>
    </x:row>
    <x:row r="3081">
      <x:c r="A3081" t="n">
        <x:v>5</x:v>
      </x:c>
      <x:c r="B3081" t="str">
        <x:v>Marquise</x:v>
      </x:c>
      <x:c r="C3081" t="str">
        <x:v>D</x:v>
      </x:c>
      <x:c r="D3081" t="str">
        <x:v>SI2</x:v>
      </x:c>
      <x:c r="E3081" s="36" t="n">
        <x:v>125000</x:v>
      </x:c>
      <x:c r="F3081" s="36" t="n">
        <x:v>3026</x:v>
      </x:c>
      <x:c r="G3081" s="42" t="n">
        <x:v>0.6490776490776491</x:v>
      </x:c>
      <x:c r="H3081" s="36" t="n">
        <x:f>E3081*G3081</x:f>
        <x:v>81134.70613470614</x:v>
      </x:c>
      <x:c r="I3081" s="36" t="n">
        <x:f>IFERROR(H3081/A3081,0)</x:f>
        <x:v>16226.941226941228</x:v>
      </x:c>
      <x:c r="J3081" s="67" t="str">
        <x:v>Modeled from live base + Sep-2026 quality ratio</x:v>
      </x:c>
      <x:c r="K3081" s="67" t="str">
        <x:v>https://www.stonealgo.com/diamond-prices/</x:v>
      </x:c>
      <x:c r="L3081" s="67" t="str">
        <x:v>https://www.pricescope.com/blog/natural-diamond-prices-september-2026</x:v>
      </x:c>
    </x:row>
    <x:row r="3082">
      <x:c r="A3082" t="n">
        <x:v>5</x:v>
      </x:c>
      <x:c r="B3082" t="str">
        <x:v>Marquise</x:v>
      </x:c>
      <x:c r="C3082" t="str">
        <x:v>E</x:v>
      </x:c>
      <x:c r="D3082" t="str">
        <x:v>FL</x:v>
      </x:c>
      <x:c r="E3082" s="36" t="n">
        <x:v>125000</x:v>
      </x:c>
      <x:c r="F3082" s="36" t="n">
        <x:v>10072</x:v>
      </x:c>
      <x:c r="G3082" s="42" t="n">
        <x:v>2.1604461604461602</x:v>
      </x:c>
      <x:c r="H3082" s="36" t="n">
        <x:f>E3082*G3082</x:f>
        <x:v>270055.77005577</x:v>
      </x:c>
      <x:c r="I3082" s="36" t="n">
        <x:f>IFERROR(H3082/A3082,0)</x:f>
        <x:v>54011.154011154</x:v>
      </x:c>
      <x:c r="J3082" s="67" t="str">
        <x:v>Modeled from live base + Sep-2026 quality ratio</x:v>
      </x:c>
      <x:c r="K3082" s="67" t="str">
        <x:v>https://www.stonealgo.com/diamond-prices/</x:v>
      </x:c>
      <x:c r="L3082" s="67" t="str">
        <x:v>https://www.pricescope.com/blog/natural-diamond-prices-september-2026</x:v>
      </x:c>
    </x:row>
    <x:row r="3083">
      <x:c r="A3083" t="n">
        <x:v>5</x:v>
      </x:c>
      <x:c r="B3083" t="str">
        <x:v>Marquise</x:v>
      </x:c>
      <x:c r="C3083" t="str">
        <x:v>E</x:v>
      </x:c>
      <x:c r="D3083" t="str">
        <x:v>IF</x:v>
      </x:c>
      <x:c r="E3083" s="36" t="n">
        <x:v>125000</x:v>
      </x:c>
      <x:c r="F3083" s="36" t="n">
        <x:v>8672</x:v>
      </x:c>
      <x:c r="G3083" s="42" t="n">
        <x:v>1.8601458601458603</x:v>
      </x:c>
      <x:c r="H3083" s="36" t="n">
        <x:f>E3083*G3083</x:f>
        <x:v>232518.23251823254</x:v>
      </x:c>
      <x:c r="I3083" s="36" t="n">
        <x:f>IFERROR(H3083/A3083,0)</x:f>
        <x:v>46503.64650364651</x:v>
      </x:c>
      <x:c r="J3083" s="67" t="str">
        <x:v>Modeled from live base + Sep-2026 quality ratio</x:v>
      </x:c>
      <x:c r="K3083" s="67" t="str">
        <x:v>https://www.stonealgo.com/diamond-prices/</x:v>
      </x:c>
      <x:c r="L3083" s="67" t="str">
        <x:v>https://www.pricescope.com/blog/natural-diamond-prices-september-2026</x:v>
      </x:c>
    </x:row>
    <x:row r="3084">
      <x:c r="A3084" t="n">
        <x:v>5</x:v>
      </x:c>
      <x:c r="B3084" t="str">
        <x:v>Marquise</x:v>
      </x:c>
      <x:c r="C3084" t="str">
        <x:v>E</x:v>
      </x:c>
      <x:c r="D3084" t="str">
        <x:v>VVS1</x:v>
      </x:c>
      <x:c r="E3084" s="36" t="n">
        <x:v>125000</x:v>
      </x:c>
      <x:c r="F3084" s="36" t="n">
        <x:v>7842</x:v>
      </x:c>
      <x:c r="G3084" s="42" t="n">
        <x:v>1.6821106821106822</x:v>
      </x:c>
      <x:c r="H3084" s="36" t="n">
        <x:f>E3084*G3084</x:f>
        <x:v>210263.83526383527</x:v>
      </x:c>
      <x:c r="I3084" s="36" t="n">
        <x:f>IFERROR(H3084/A3084,0)</x:f>
        <x:v>42052.767052767056</x:v>
      </x:c>
      <x:c r="J3084" s="67" t="str">
        <x:v>Modeled from live base + Sep-2026 quality ratio</x:v>
      </x:c>
      <x:c r="K3084" s="67" t="str">
        <x:v>https://www.stonealgo.com/diamond-prices/</x:v>
      </x:c>
      <x:c r="L3084" s="67" t="str">
        <x:v>https://www.pricescope.com/blog/natural-diamond-prices-september-2026</x:v>
      </x:c>
    </x:row>
    <x:row r="3085">
      <x:c r="A3085" t="n">
        <x:v>5</x:v>
      </x:c>
      <x:c r="B3085" t="str">
        <x:v>Marquise</x:v>
      </x:c>
      <x:c r="C3085" t="str">
        <x:v>E</x:v>
      </x:c>
      <x:c r="D3085" t="str">
        <x:v>VVS2</x:v>
      </x:c>
      <x:c r="E3085" s="36" t="n">
        <x:v>125000</x:v>
      </x:c>
      <x:c r="F3085" s="36" t="n">
        <x:v>6880</x:v>
      </x:c>
      <x:c r="G3085" s="42" t="n">
        <x:v>1.4757614757614759</x:v>
      </x:c>
      <x:c r="H3085" s="36" t="n">
        <x:f>E3085*G3085</x:f>
        <x:v>184470.1844701845</x:v>
      </x:c>
      <x:c r="I3085" s="36" t="n">
        <x:f>IFERROR(H3085/A3085,0)</x:f>
        <x:v>36894.0368940369</x:v>
      </x:c>
      <x:c r="J3085" s="67" t="str">
        <x:v>Modeled from live base + Sep-2026 quality ratio</x:v>
      </x:c>
      <x:c r="K3085" s="67" t="str">
        <x:v>https://www.stonealgo.com/diamond-prices/</x:v>
      </x:c>
      <x:c r="L3085" s="67" t="str">
        <x:v>https://www.pricescope.com/blog/natural-diamond-prices-september-2026</x:v>
      </x:c>
    </x:row>
    <x:row r="3086">
      <x:c r="A3086" t="n">
        <x:v>5</x:v>
      </x:c>
      <x:c r="B3086" t="str">
        <x:v>Marquise</x:v>
      </x:c>
      <x:c r="C3086" t="str">
        <x:v>E</x:v>
      </x:c>
      <x:c r="D3086" t="str">
        <x:v>VS1</x:v>
      </x:c>
      <x:c r="E3086" s="36" t="n">
        <x:v>125000</x:v>
      </x:c>
      <x:c r="F3086" s="36" t="n">
        <x:v>6307</x:v>
      </x:c>
      <x:c r="G3086" s="42" t="n">
        <x:v>1.352852852852853</x:v>
      </x:c>
      <x:c r="H3086" s="36" t="n">
        <x:f>E3086*G3086</x:f>
        <x:v>169106.60660660663</x:v>
      </x:c>
      <x:c r="I3086" s="36" t="n">
        <x:f>IFERROR(H3086/A3086,0)</x:f>
        <x:v>33821.321321321324</x:v>
      </x:c>
      <x:c r="J3086" s="67" t="str">
        <x:v>Modeled from live base + Sep-2026 quality ratio</x:v>
      </x:c>
      <x:c r="K3086" s="67" t="str">
        <x:v>https://www.stonealgo.com/diamond-prices/</x:v>
      </x:c>
      <x:c r="L3086" s="67" t="str">
        <x:v>https://www.pricescope.com/blog/natural-diamond-prices-september-2026</x:v>
      </x:c>
    </x:row>
    <x:row r="3087">
      <x:c r="A3087" t="n">
        <x:v>5</x:v>
      </x:c>
      <x:c r="B3087" t="str">
        <x:v>Marquise</x:v>
      </x:c>
      <x:c r="C3087" t="str">
        <x:v>E</x:v>
      </x:c>
      <x:c r="D3087" t="str">
        <x:v>VS2</x:v>
      </x:c>
      <x:c r="E3087" s="36" t="n">
        <x:v>125000</x:v>
      </x:c>
      <x:c r="F3087" s="36" t="n">
        <x:v>5249</x:v>
      </x:c>
      <x:c r="G3087" s="42" t="n">
        <x:v>1.125911625911626</x:v>
      </x:c>
      <x:c r="H3087" s="36" t="n">
        <x:f>E3087*G3087</x:f>
        <x:v>140738.95323895325</x:v>
      </x:c>
      <x:c r="I3087" s="36" t="n">
        <x:f>IFERROR(H3087/A3087,0)</x:f>
        <x:v>28147.79064779065</x:v>
      </x:c>
      <x:c r="J3087" s="67" t="str">
        <x:v>Modeled from live base + Sep-2026 quality ratio</x:v>
      </x:c>
      <x:c r="K3087" s="67" t="str">
        <x:v>https://www.stonealgo.com/diamond-prices/</x:v>
      </x:c>
      <x:c r="L3087" s="67" t="str">
        <x:v>https://www.pricescope.com/blog/natural-diamond-prices-september-2026</x:v>
      </x:c>
    </x:row>
    <x:row r="3088">
      <x:c r="A3088" t="n">
        <x:v>5</x:v>
      </x:c>
      <x:c r="B3088" t="str">
        <x:v>Marquise</x:v>
      </x:c>
      <x:c r="C3088" t="str">
        <x:v>E</x:v>
      </x:c>
      <x:c r="D3088" t="str">
        <x:v>SI1</x:v>
      </x:c>
      <x:c r="E3088" s="36" t="n">
        <x:v>125000</x:v>
      </x:c>
      <x:c r="F3088" s="36" t="n">
        <x:v>3551</x:v>
      </x:c>
      <x:c r="G3088" s="42" t="n">
        <x:v>0.7616902616902617</x:v>
      </x:c>
      <x:c r="H3088" s="36" t="n">
        <x:f>E3088*G3088</x:f>
        <x:v>95211.2827112827</x:v>
      </x:c>
      <x:c r="I3088" s="36" t="n">
        <x:f>IFERROR(H3088/A3088,0)</x:f>
        <x:v>19042.256542256542</x:v>
      </x:c>
      <x:c r="J3088" s="67" t="str">
        <x:v>Modeled from live base + Sep-2026 quality ratio</x:v>
      </x:c>
      <x:c r="K3088" s="67" t="str">
        <x:v>https://www.stonealgo.com/diamond-prices/</x:v>
      </x:c>
      <x:c r="L3088" s="67" t="str">
        <x:v>https://www.pricescope.com/blog/natural-diamond-prices-september-2026</x:v>
      </x:c>
    </x:row>
    <x:row r="3089">
      <x:c r="A3089" t="n">
        <x:v>5</x:v>
      </x:c>
      <x:c r="B3089" t="str">
        <x:v>Marquise</x:v>
      </x:c>
      <x:c r="C3089" t="str">
        <x:v>E</x:v>
      </x:c>
      <x:c r="D3089" t="str">
        <x:v>SI2</x:v>
      </x:c>
      <x:c r="E3089" s="36" t="n">
        <x:v>125000</x:v>
      </x:c>
      <x:c r="F3089" s="36" t="n">
        <x:v>2993</x:v>
      </x:c>
      <x:c r="G3089" s="42" t="n">
        <x:v>0.641999141999142</x:v>
      </x:c>
      <x:c r="H3089" s="36" t="n">
        <x:f>E3089*G3089</x:f>
        <x:v>80249.89274989275</x:v>
      </x:c>
      <x:c r="I3089" s="36" t="n">
        <x:f>IFERROR(H3089/A3089,0)</x:f>
        <x:v>16049.97854997855</x:v>
      </x:c>
      <x:c r="J3089" s="67" t="str">
        <x:v>Modeled from live base + Sep-2026 quality ratio</x:v>
      </x:c>
      <x:c r="K3089" s="67" t="str">
        <x:v>https://www.stonealgo.com/diamond-prices/</x:v>
      </x:c>
      <x:c r="L3089" s="67" t="str">
        <x:v>https://www.pricescope.com/blog/natural-diamond-prices-september-2026</x:v>
      </x:c>
    </x:row>
    <x:row r="3090">
      <x:c r="A3090" t="n">
        <x:v>5</x:v>
      </x:c>
      <x:c r="B3090" t="str">
        <x:v>Marquise</x:v>
      </x:c>
      <x:c r="C3090" t="str">
        <x:v>F</x:v>
      </x:c>
      <x:c r="D3090" t="str">
        <x:v>FL</x:v>
      </x:c>
      <x:c r="E3090" s="36" t="n">
        <x:v>125000</x:v>
      </x:c>
      <x:c r="F3090" s="36" t="n">
        <x:v>6830</x:v>
      </x:c>
      <x:c r="G3090" s="42" t="n">
        <x:v>1.4650364650364651</x:v>
      </x:c>
      <x:c r="H3090" s="36" t="n">
        <x:f>E3090*G3090</x:f>
        <x:v>183129.55812955814</x:v>
      </x:c>
      <x:c r="I3090" s="36" t="n">
        <x:f>IFERROR(H3090/A3090,0)</x:f>
        <x:v>36625.91162591163</x:v>
      </x:c>
      <x:c r="J3090" s="67" t="str">
        <x:v>Modeled from live base + Sep-2026 quality ratio</x:v>
      </x:c>
      <x:c r="K3090" s="67" t="str">
        <x:v>https://www.stonealgo.com/diamond-prices/</x:v>
      </x:c>
      <x:c r="L3090" s="67" t="str">
        <x:v>https://www.pricescope.com/blog/natural-diamond-prices-september-2026</x:v>
      </x:c>
    </x:row>
    <x:row r="3091">
      <x:c r="A3091" t="n">
        <x:v>5</x:v>
      </x:c>
      <x:c r="B3091" t="str">
        <x:v>Marquise</x:v>
      </x:c>
      <x:c r="C3091" t="str">
        <x:v>F</x:v>
      </x:c>
      <x:c r="D3091" t="str">
        <x:v>IF</x:v>
      </x:c>
      <x:c r="E3091" s="36" t="n">
        <x:v>125000</x:v>
      </x:c>
      <x:c r="F3091" s="36" t="n">
        <x:v>7302</x:v>
      </x:c>
      <x:c r="G3091" s="42" t="n">
        <x:v>1.5662805662805663</x:v>
      </x:c>
      <x:c r="H3091" s="36" t="n">
        <x:f>E3091*G3091</x:f>
        <x:v>195785.0707850708</x:v>
      </x:c>
      <x:c r="I3091" s="36" t="n">
        <x:f>IFERROR(H3091/A3091,0)</x:f>
        <x:v>39157.01415701416</x:v>
      </x:c>
      <x:c r="J3091" s="67" t="str">
        <x:v>Modeled from live base + Sep-2026 quality ratio</x:v>
      </x:c>
      <x:c r="K3091" s="67" t="str">
        <x:v>https://www.stonealgo.com/diamond-prices/</x:v>
      </x:c>
      <x:c r="L3091" s="67" t="str">
        <x:v>https://www.pricescope.com/blog/natural-diamond-prices-september-2026</x:v>
      </x:c>
    </x:row>
    <x:row r="3092">
      <x:c r="A3092" t="n">
        <x:v>5</x:v>
      </x:c>
      <x:c r="B3092" t="str">
        <x:v>Marquise</x:v>
      </x:c>
      <x:c r="C3092" t="str">
        <x:v>F</x:v>
      </x:c>
      <x:c r="D3092" t="str">
        <x:v>VVS1</x:v>
      </x:c>
      <x:c r="E3092" s="36" t="n">
        <x:v>125000</x:v>
      </x:c>
      <x:c r="F3092" s="36" t="n">
        <x:v>7542</x:v>
      </x:c>
      <x:c r="G3092" s="42" t="n">
        <x:v>1.6177606177606179</x:v>
      </x:c>
      <x:c r="H3092" s="36" t="n">
        <x:f>E3092*G3092</x:f>
        <x:v>202220.07722007722</x:v>
      </x:c>
      <x:c r="I3092" s="36" t="n">
        <x:f>IFERROR(H3092/A3092,0)</x:f>
        <x:v>40444.015444015444</x:v>
      </x:c>
      <x:c r="J3092" s="67" t="str">
        <x:v>Modeled from live base + Sep-2026 quality ratio</x:v>
      </x:c>
      <x:c r="K3092" s="67" t="str">
        <x:v>https://www.stonealgo.com/diamond-prices/</x:v>
      </x:c>
      <x:c r="L3092" s="67" t="str">
        <x:v>https://www.pricescope.com/blog/natural-diamond-prices-september-2026</x:v>
      </x:c>
    </x:row>
    <x:row r="3093">
      <x:c r="A3093" t="n">
        <x:v>5</x:v>
      </x:c>
      <x:c r="B3093" t="str">
        <x:v>Marquise</x:v>
      </x:c>
      <x:c r="C3093" t="str">
        <x:v>F</x:v>
      </x:c>
      <x:c r="D3093" t="str">
        <x:v>VVS2</x:v>
      </x:c>
      <x:c r="E3093" s="36" t="n">
        <x:v>125000</x:v>
      </x:c>
      <x:c r="F3093" s="36" t="n">
        <x:v>6352</x:v>
      </x:c>
      <x:c r="G3093" s="42" t="n">
        <x:v>1.3625053625053625</x:v>
      </x:c>
      <x:c r="H3093" s="36" t="n">
        <x:f>E3093*G3093</x:f>
        <x:v>170313.1703131703</x:v>
      </x:c>
      <x:c r="I3093" s="36" t="n">
        <x:f>IFERROR(H3093/A3093,0)</x:f>
        <x:v>34062.63406263406</x:v>
      </x:c>
      <x:c r="J3093" s="67" t="str">
        <x:v>Modeled from live base + Sep-2026 quality ratio</x:v>
      </x:c>
      <x:c r="K3093" s="67" t="str">
        <x:v>https://www.stonealgo.com/diamond-prices/</x:v>
      </x:c>
      <x:c r="L3093" s="67" t="str">
        <x:v>https://www.pricescope.com/blog/natural-diamond-prices-september-2026</x:v>
      </x:c>
    </x:row>
    <x:row r="3094">
      <x:c r="A3094" t="n">
        <x:v>5</x:v>
      </x:c>
      <x:c r="B3094" t="str">
        <x:v>Marquise</x:v>
      </x:c>
      <x:c r="C3094" t="str">
        <x:v>F</x:v>
      </x:c>
      <x:c r="D3094" t="str">
        <x:v>VS1</x:v>
      </x:c>
      <x:c r="E3094" s="36" t="n">
        <x:v>125000</x:v>
      </x:c>
      <x:c r="F3094" s="36" t="n">
        <x:v>5647</x:v>
      </x:c>
      <x:c r="G3094" s="42" t="n">
        <x:v>1.2112827112827114</x:v>
      </x:c>
      <x:c r="H3094" s="36" t="n">
        <x:f>E3094*G3094</x:f>
        <x:v>151410.33891033893</x:v>
      </x:c>
      <x:c r="I3094" s="36" t="n">
        <x:f>IFERROR(H3094/A3094,0)</x:f>
        <x:v>30282.06778206779</x:v>
      </x:c>
      <x:c r="J3094" s="67" t="str">
        <x:v>Modeled from live base + Sep-2026 quality ratio</x:v>
      </x:c>
      <x:c r="K3094" s="67" t="str">
        <x:v>https://www.stonealgo.com/diamond-prices/</x:v>
      </x:c>
      <x:c r="L3094" s="67" t="str">
        <x:v>https://www.pricescope.com/blog/natural-diamond-prices-september-2026</x:v>
      </x:c>
    </x:row>
    <x:row r="3095">
      <x:c r="A3095" t="n">
        <x:v>5</x:v>
      </x:c>
      <x:c r="B3095" t="str">
        <x:v>Marquise</x:v>
      </x:c>
      <x:c r="C3095" t="str">
        <x:v>F</x:v>
      </x:c>
      <x:c r="D3095" t="str">
        <x:v>VS2</x:v>
      </x:c>
      <x:c r="E3095" s="36" t="n">
        <x:v>125000</x:v>
      </x:c>
      <x:c r="F3095" s="36" t="n">
        <x:v>4730</x:v>
      </x:c>
      <x:c r="G3095" s="42" t="n">
        <x:v>1.0145860145860146</x:v>
      </x:c>
      <x:c r="H3095" s="36" t="n">
        <x:f>E3095*G3095</x:f>
        <x:v>126823.25182325182</x:v>
      </x:c>
      <x:c r="I3095" s="36" t="n">
        <x:f>IFERROR(H3095/A3095,0)</x:f>
        <x:v>25364.650364650362</x:v>
      </x:c>
      <x:c r="J3095" s="67" t="str">
        <x:v>Modeled from live base + Sep-2026 quality ratio</x:v>
      </x:c>
      <x:c r="K3095" s="67" t="str">
        <x:v>https://www.stonealgo.com/diamond-prices/</x:v>
      </x:c>
      <x:c r="L3095" s="67" t="str">
        <x:v>https://www.pricescope.com/blog/natural-diamond-prices-september-2026</x:v>
      </x:c>
    </x:row>
    <x:row r="3096">
      <x:c r="A3096" t="n">
        <x:v>5</x:v>
      </x:c>
      <x:c r="B3096" t="str">
        <x:v>Marquise</x:v>
      </x:c>
      <x:c r="C3096" t="str">
        <x:v>F</x:v>
      </x:c>
      <x:c r="D3096" t="str">
        <x:v>SI1</x:v>
      </x:c>
      <x:c r="E3096" s="36" t="n">
        <x:v>125000</x:v>
      </x:c>
      <x:c r="F3096" s="36" t="n">
        <x:v>3331</x:v>
      </x:c>
      <x:c r="G3096" s="42" t="n">
        <x:v>0.7145002145002145</x:v>
      </x:c>
      <x:c r="H3096" s="36" t="n">
        <x:f>E3096*G3096</x:f>
        <x:v>89312.52681252682</x:v>
      </x:c>
      <x:c r="I3096" s="36" t="n">
        <x:f>IFERROR(H3096/A3096,0)</x:f>
        <x:v>17862.505362505362</x:v>
      </x:c>
      <x:c r="J3096" s="67" t="str">
        <x:v>Modeled from live base + Sep-2026 quality ratio</x:v>
      </x:c>
      <x:c r="K3096" s="67" t="str">
        <x:v>https://www.stonealgo.com/diamond-prices/</x:v>
      </x:c>
      <x:c r="L3096" s="67" t="str">
        <x:v>https://www.pricescope.com/blog/natural-diamond-prices-september-2026</x:v>
      </x:c>
    </x:row>
    <x:row r="3097">
      <x:c r="A3097" t="n">
        <x:v>5</x:v>
      </x:c>
      <x:c r="B3097" t="str">
        <x:v>Marquise</x:v>
      </x:c>
      <x:c r="C3097" t="str">
        <x:v>F</x:v>
      </x:c>
      <x:c r="D3097" t="str">
        <x:v>SI2</x:v>
      </x:c>
      <x:c r="E3097" s="36" t="n">
        <x:v>125000</x:v>
      </x:c>
      <x:c r="F3097" s="36" t="n">
        <x:v>2733</x:v>
      </x:c>
      <x:c r="G3097" s="42" t="n">
        <x:v>0.5862290862290862</x:v>
      </x:c>
      <x:c r="H3097" s="36" t="n">
        <x:f>E3097*G3097</x:f>
        <x:v>73278.63577863577</x:v>
      </x:c>
      <x:c r="I3097" s="36" t="n">
        <x:f>IFERROR(H3097/A3097,0)</x:f>
        <x:v>14655.727155727154</x:v>
      </x:c>
      <x:c r="J3097" s="67" t="str">
        <x:v>Modeled from live base + Sep-2026 quality ratio</x:v>
      </x:c>
      <x:c r="K3097" s="67" t="str">
        <x:v>https://www.stonealgo.com/diamond-prices/</x:v>
      </x:c>
      <x:c r="L3097" s="67" t="str">
        <x:v>https://www.pricescope.com/blog/natural-diamond-prices-september-2026</x:v>
      </x:c>
    </x:row>
    <x:row r="3098">
      <x:c r="A3098" t="n">
        <x:v>5</x:v>
      </x:c>
      <x:c r="B3098" t="str">
        <x:v>Marquise</x:v>
      </x:c>
      <x:c r="C3098" t="str">
        <x:v>G</x:v>
      </x:c>
      <x:c r="D3098" t="str">
        <x:v>FL</x:v>
      </x:c>
      <x:c r="E3098" s="36" t="n">
        <x:v>125000</x:v>
      </x:c>
      <x:c r="F3098" s="36" t="n">
        <x:v>5905</x:v>
      </x:c>
      <x:c r="G3098" s="42" t="n">
        <x:v>1.2666237666237665</x:v>
      </x:c>
      <x:c r="H3098" s="36" t="n">
        <x:f>E3098*G3098</x:f>
        <x:v>158327.97082797083</x:v>
      </x:c>
      <x:c r="I3098" s="36" t="n">
        <x:f>IFERROR(H3098/A3098,0)</x:f>
        <x:v>31665.594165594164</x:v>
      </x:c>
      <x:c r="J3098" s="67" t="str">
        <x:v>Modeled from live base + Sep-2026 quality ratio</x:v>
      </x:c>
      <x:c r="K3098" s="67" t="str">
        <x:v>https://www.stonealgo.com/diamond-prices/</x:v>
      </x:c>
      <x:c r="L3098" s="67" t="str">
        <x:v>https://www.pricescope.com/blog/natural-diamond-prices-september-2026</x:v>
      </x:c>
    </x:row>
    <x:row r="3099">
      <x:c r="A3099" t="n">
        <x:v>5</x:v>
      </x:c>
      <x:c r="B3099" t="str">
        <x:v>Marquise</x:v>
      </x:c>
      <x:c r="C3099" t="str">
        <x:v>G</x:v>
      </x:c>
      <x:c r="D3099" t="str">
        <x:v>IF</x:v>
      </x:c>
      <x:c r="E3099" s="36" t="n">
        <x:v>125000</x:v>
      </x:c>
      <x:c r="F3099" s="36" t="n">
        <x:v>5601</x:v>
      </x:c>
      <x:c r="G3099" s="42" t="n">
        <x:v>1.2014157014157014</x:v>
      </x:c>
      <x:c r="H3099" s="36" t="n">
        <x:f>E3099*G3099</x:f>
        <x:v>150176.9626769627</x:v>
      </x:c>
      <x:c r="I3099" s="36" t="n">
        <x:f>IFERROR(H3099/A3099,0)</x:f>
        <x:v>30035.392535392537</x:v>
      </x:c>
      <x:c r="J3099" s="67" t="str">
        <x:v>Modeled from live base + Sep-2026 quality ratio</x:v>
      </x:c>
      <x:c r="K3099" s="67" t="str">
        <x:v>https://www.stonealgo.com/diamond-prices/</x:v>
      </x:c>
      <x:c r="L3099" s="67" t="str">
        <x:v>https://www.pricescope.com/blog/natural-diamond-prices-september-2026</x:v>
      </x:c>
    </x:row>
    <x:row r="3100">
      <x:c r="A3100" t="n">
        <x:v>5</x:v>
      </x:c>
      <x:c r="B3100" t="str">
        <x:v>Marquise</x:v>
      </x:c>
      <x:c r="C3100" t="str">
        <x:v>G</x:v>
      </x:c>
      <x:c r="D3100" t="str">
        <x:v>VVS1</x:v>
      </x:c>
      <x:c r="E3100" s="36" t="n">
        <x:v>125000</x:v>
      </x:c>
      <x:c r="F3100" s="36" t="n">
        <x:v>5124</x:v>
      </x:c>
      <x:c r="G3100" s="42" t="n">
        <x:v>1.0990990990990992</x:v>
      </x:c>
      <x:c r="H3100" s="36" t="n">
        <x:f>E3100*G3100</x:f>
        <x:v>137387.3873873874</x:v>
      </x:c>
      <x:c r="I3100" s="36" t="n">
        <x:f>IFERROR(H3100/A3100,0)</x:f>
        <x:v>27477.477477477478</x:v>
      </x:c>
      <x:c r="J3100" s="67" t="str">
        <x:v>Modeled from live base + Sep-2026 quality ratio</x:v>
      </x:c>
      <x:c r="K3100" s="67" t="str">
        <x:v>https://www.stonealgo.com/diamond-prices/</x:v>
      </x:c>
      <x:c r="L3100" s="67" t="str">
        <x:v>https://www.pricescope.com/blog/natural-diamond-prices-september-2026</x:v>
      </x:c>
    </x:row>
    <x:row r="3101">
      <x:c r="A3101" t="n">
        <x:v>5</x:v>
      </x:c>
      <x:c r="B3101" t="str">
        <x:v>Marquise</x:v>
      </x:c>
      <x:c r="C3101" t="str">
        <x:v>G</x:v>
      </x:c>
      <x:c r="D3101" t="str">
        <x:v>VVS2</x:v>
      </x:c>
      <x:c r="E3101" s="36" t="n">
        <x:v>125000</x:v>
      </x:c>
      <x:c r="F3101" s="36" t="n">
        <x:v>4962</x:v>
      </x:c>
      <x:c r="G3101" s="42" t="n">
        <x:v>1.0643500643500643</x:v>
      </x:c>
      <x:c r="H3101" s="36" t="n">
        <x:f>E3101*G3101</x:f>
        <x:v>133043.75804375805</x:v>
      </x:c>
      <x:c r="I3101" s="36" t="n">
        <x:f>IFERROR(H3101/A3101,0)</x:f>
        <x:v>26608.75160875161</x:v>
      </x:c>
      <x:c r="J3101" s="67" t="str">
        <x:v>Modeled from live base + Sep-2026 quality ratio</x:v>
      </x:c>
      <x:c r="K3101" s="67" t="str">
        <x:v>https://www.stonealgo.com/diamond-prices/</x:v>
      </x:c>
      <x:c r="L3101" s="67" t="str">
        <x:v>https://www.pricescope.com/blog/natural-diamond-prices-september-2026</x:v>
      </x:c>
    </x:row>
    <x:row r="3102">
      <x:c r="A3102" t="n">
        <x:v>5</x:v>
      </x:c>
      <x:c r="B3102" t="str">
        <x:v>Marquise</x:v>
      </x:c>
      <x:c r="C3102" t="str">
        <x:v>G</x:v>
      </x:c>
      <x:c r="D3102" t="str">
        <x:v>VS1</x:v>
      </x:c>
      <x:c r="E3102" s="36" t="n">
        <x:v>125000</x:v>
      </x:c>
      <x:c r="F3102" s="36" t="n">
        <x:v>4615</x:v>
      </x:c>
      <x:c r="G3102" s="42" t="n">
        <x:v>0.98991848991849</x:v>
      </x:c>
      <x:c r="H3102" s="36" t="n">
        <x:f>E3102*G3102</x:f>
        <x:v>123739.81123981124</x:v>
      </x:c>
      <x:c r="I3102" s="36" t="n">
        <x:f>IFERROR(H3102/A3102,0)</x:f>
        <x:v>24747.96224796225</x:v>
      </x:c>
      <x:c r="J3102" s="67" t="str">
        <x:v>Modeled from live base + Sep-2026 quality ratio</x:v>
      </x:c>
      <x:c r="K3102" s="67" t="str">
        <x:v>https://www.stonealgo.com/diamond-prices/</x:v>
      </x:c>
      <x:c r="L3102" s="67" t="str">
        <x:v>https://www.pricescope.com/blog/natural-diamond-prices-september-2026</x:v>
      </x:c>
    </x:row>
    <x:row r="3103">
      <x:c r="A3103" t="n">
        <x:v>5</x:v>
      </x:c>
      <x:c r="B3103" t="str">
        <x:v>Marquise</x:v>
      </x:c>
      <x:c r="C3103" t="str">
        <x:v>G</x:v>
      </x:c>
      <x:c r="D3103" t="str">
        <x:v>VS2</x:v>
      </x:c>
      <x:c r="E3103" s="36" t="n">
        <x:v>125000</x:v>
      </x:c>
      <x:c r="F3103" s="36" t="n">
        <x:v>4585</x:v>
      </x:c>
      <x:c r="G3103" s="42" t="n">
        <x:v>0.9834834834834835</x:v>
      </x:c>
      <x:c r="H3103" s="36" t="n">
        <x:f>E3103*G3103</x:f>
        <x:v>122935.43543543543</x:v>
      </x:c>
      <x:c r="I3103" s="36" t="n">
        <x:f>IFERROR(H3103/A3103,0)</x:f>
        <x:v>24587.087087087086</x:v>
      </x:c>
      <x:c r="J3103" s="67" t="str">
        <x:v>Modeled from live base + Sep-2026 quality ratio</x:v>
      </x:c>
      <x:c r="K3103" s="67" t="str">
        <x:v>https://www.stonealgo.com/diamond-prices/</x:v>
      </x:c>
      <x:c r="L3103" s="67" t="str">
        <x:v>https://www.pricescope.com/blog/natural-diamond-prices-september-2026</x:v>
      </x:c>
    </x:row>
    <x:row r="3104">
      <x:c r="A3104" t="n">
        <x:v>5</x:v>
      </x:c>
      <x:c r="B3104" t="str">
        <x:v>Marquise</x:v>
      </x:c>
      <x:c r="C3104" t="str">
        <x:v>G</x:v>
      </x:c>
      <x:c r="D3104" t="str">
        <x:v>SI1</x:v>
      </x:c>
      <x:c r="E3104" s="36" t="n">
        <x:v>125000</x:v>
      </x:c>
      <x:c r="F3104" s="36" t="n">
        <x:v>3664</x:v>
      </x:c>
      <x:c r="G3104" s="42" t="n">
        <x:v>0.7859287859287859</x:v>
      </x:c>
      <x:c r="H3104" s="36" t="n">
        <x:f>E3104*G3104</x:f>
        <x:v>98241.09824109824</x:v>
      </x:c>
      <x:c r="I3104" s="36" t="n">
        <x:f>IFERROR(H3104/A3104,0)</x:f>
        <x:v>19648.21964821965</x:v>
      </x:c>
      <x:c r="J3104" s="67" t="str">
        <x:v>Modeled from live base + Sep-2026 quality ratio</x:v>
      </x:c>
      <x:c r="K3104" s="67" t="str">
        <x:v>https://www.stonealgo.com/diamond-prices/</x:v>
      </x:c>
      <x:c r="L3104" s="67" t="str">
        <x:v>https://www.pricescope.com/blog/natural-diamond-prices-september-2026</x:v>
      </x:c>
    </x:row>
    <x:row r="3105">
      <x:c r="A3105" t="n">
        <x:v>5</x:v>
      </x:c>
      <x:c r="B3105" t="str">
        <x:v>Marquise</x:v>
      </x:c>
      <x:c r="C3105" t="str">
        <x:v>G</x:v>
      </x:c>
      <x:c r="D3105" t="str">
        <x:v>SI2</x:v>
      </x:c>
      <x:c r="E3105" s="36" t="n">
        <x:v>125000</x:v>
      </x:c>
      <x:c r="F3105" s="36" t="n">
        <x:v>2537</x:v>
      </x:c>
      <x:c r="G3105" s="42" t="n">
        <x:v>0.5441870441870442</x:v>
      </x:c>
      <x:c r="H3105" s="36" t="n">
        <x:f>E3105*G3105</x:f>
        <x:v>68023.38052338053</x:v>
      </x:c>
      <x:c r="I3105" s="36" t="n">
        <x:f>IFERROR(H3105/A3105,0)</x:f>
        <x:v>13604.676104676106</x:v>
      </x:c>
      <x:c r="J3105" s="67" t="str">
        <x:v>Modeled from live base + Sep-2026 quality ratio</x:v>
      </x:c>
      <x:c r="K3105" s="67" t="str">
        <x:v>https://www.stonealgo.com/diamond-prices/</x:v>
      </x:c>
      <x:c r="L3105" s="67" t="str">
        <x:v>https://www.pricescope.com/blog/natural-diamond-prices-september-2026</x:v>
      </x:c>
    </x:row>
    <x:row r="3106">
      <x:c r="A3106" t="n">
        <x:v>5</x:v>
      </x:c>
      <x:c r="B3106" t="str">
        <x:v>Marquise</x:v>
      </x:c>
      <x:c r="C3106" t="str">
        <x:v>H</x:v>
      </x:c>
      <x:c r="D3106" t="str">
        <x:v>FL</x:v>
      </x:c>
      <x:c r="E3106" s="36" t="n">
        <x:v>125000</x:v>
      </x:c>
      <x:c r="F3106" s="36" t="n">
        <x:v>4563</x:v>
      </x:c>
      <x:c r="G3106" s="42" t="n">
        <x:v>0.9787644787644788</x:v>
      </x:c>
      <x:c r="H3106" s="36" t="n">
        <x:f>E3106*G3106</x:f>
        <x:v>122345.55984555985</x:v>
      </x:c>
      <x:c r="I3106" s="36" t="n">
        <x:f>IFERROR(H3106/A3106,0)</x:f>
        <x:v>24469.11196911197</x:v>
      </x:c>
      <x:c r="J3106" s="67" t="str">
        <x:v>Modeled from live base + Sep-2026 quality ratio</x:v>
      </x:c>
      <x:c r="K3106" s="67" t="str">
        <x:v>https://www.stonealgo.com/diamond-prices/</x:v>
      </x:c>
      <x:c r="L3106" s="67" t="str">
        <x:v>https://www.pricescope.com/blog/natural-diamond-prices-september-2026</x:v>
      </x:c>
    </x:row>
    <x:row r="3107">
      <x:c r="A3107" t="n">
        <x:v>5</x:v>
      </x:c>
      <x:c r="B3107" t="str">
        <x:v>Marquise</x:v>
      </x:c>
      <x:c r="C3107" t="str">
        <x:v>H</x:v>
      </x:c>
      <x:c r="D3107" t="str">
        <x:v>IF</x:v>
      </x:c>
      <x:c r="E3107" s="36" t="n">
        <x:v>125000</x:v>
      </x:c>
      <x:c r="F3107" s="36" t="n">
        <x:v>4809</x:v>
      </x:c>
      <x:c r="G3107" s="42" t="n">
        <x:v>1.0315315315315314</x:v>
      </x:c>
      <x:c r="H3107" s="36" t="n">
        <x:f>E3107*G3107</x:f>
        <x:v>128941.44144144144</x:v>
      </x:c>
      <x:c r="I3107" s="36" t="n">
        <x:f>IFERROR(H3107/A3107,0)</x:f>
        <x:v>25788.288288288288</x:v>
      </x:c>
      <x:c r="J3107" s="67" t="str">
        <x:v>Modeled from live base + Sep-2026 quality ratio</x:v>
      </x:c>
      <x:c r="K3107" s="67" t="str">
        <x:v>https://www.stonealgo.com/diamond-prices/</x:v>
      </x:c>
      <x:c r="L3107" s="67" t="str">
        <x:v>https://www.pricescope.com/blog/natural-diamond-prices-september-2026</x:v>
      </x:c>
    </x:row>
    <x:row r="3108">
      <x:c r="A3108" t="n">
        <x:v>5</x:v>
      </x:c>
      <x:c r="B3108" t="str">
        <x:v>Marquise</x:v>
      </x:c>
      <x:c r="C3108" t="str">
        <x:v>H</x:v>
      </x:c>
      <x:c r="D3108" t="str">
        <x:v>VVS1</x:v>
      </x:c>
      <x:c r="E3108" s="36" t="n">
        <x:v>125000</x:v>
      </x:c>
      <x:c r="F3108" s="36" t="n">
        <x:v>4911</x:v>
      </x:c>
      <x:c r="G3108" s="42" t="n">
        <x:v>1.0534105534105533</x:v>
      </x:c>
      <x:c r="H3108" s="36" t="n">
        <x:f>E3108*G3108</x:f>
        <x:v>131676.31917631917</x:v>
      </x:c>
      <x:c r="I3108" s="36" t="n">
        <x:f>IFERROR(H3108/A3108,0)</x:f>
        <x:v>26335.263835263835</x:v>
      </x:c>
      <x:c r="J3108" s="67" t="str">
        <x:v>Modeled from live base + Sep-2026 quality ratio</x:v>
      </x:c>
      <x:c r="K3108" s="67" t="str">
        <x:v>https://www.stonealgo.com/diamond-prices/</x:v>
      </x:c>
      <x:c r="L3108" s="67" t="str">
        <x:v>https://www.pricescope.com/blog/natural-diamond-prices-september-2026</x:v>
      </x:c>
    </x:row>
    <x:row r="3109">
      <x:c r="A3109" t="n">
        <x:v>5</x:v>
      </x:c>
      <x:c r="B3109" t="str">
        <x:v>Marquise</x:v>
      </x:c>
      <x:c r="C3109" t="str">
        <x:v>H</x:v>
      </x:c>
      <x:c r="D3109" t="str">
        <x:v>VVS2</x:v>
      </x:c>
      <x:c r="E3109" s="36" t="n">
        <x:v>125000</x:v>
      </x:c>
      <x:c r="F3109" s="36" t="n">
        <x:v>4046</x:v>
      </x:c>
      <x:c r="G3109" s="42" t="n">
        <x:v>0.8678678678678678</x:v>
      </x:c>
      <x:c r="H3109" s="36" t="n">
        <x:f>E3109*G3109</x:f>
        <x:v>108483.48348348348</x:v>
      </x:c>
      <x:c r="I3109" s="36" t="n">
        <x:f>IFERROR(H3109/A3109,0)</x:f>
        <x:v>21696.696696696694</x:v>
      </x:c>
      <x:c r="J3109" s="67" t="str">
        <x:v>Modeled from live base + Sep-2026 quality ratio</x:v>
      </x:c>
      <x:c r="K3109" s="67" t="str">
        <x:v>https://www.stonealgo.com/diamond-prices/</x:v>
      </x:c>
      <x:c r="L3109" s="67" t="str">
        <x:v>https://www.pricescope.com/blog/natural-diamond-prices-september-2026</x:v>
      </x:c>
    </x:row>
    <x:row r="3110">
      <x:c r="A3110" t="n">
        <x:v>5</x:v>
      </x:c>
      <x:c r="B3110" t="str">
        <x:v>Marquise</x:v>
      </x:c>
      <x:c r="C3110" t="str">
        <x:v>H</x:v>
      </x:c>
      <x:c r="D3110" t="str">
        <x:v>VS1</x:v>
      </x:c>
      <x:c r="E3110" s="36" t="n">
        <x:v>125000</x:v>
      </x:c>
      <x:c r="F3110" s="36" t="n">
        <x:v>3893</x:v>
      </x:c>
      <x:c r="G3110" s="42" t="n">
        <x:v>0.8350493350493351</x:v>
      </x:c>
      <x:c r="H3110" s="36" t="n">
        <x:f>E3110*G3110</x:f>
        <x:v>104381.1668811669</x:v>
      </x:c>
      <x:c r="I3110" s="36" t="n">
        <x:f>IFERROR(H3110/A3110,0)</x:f>
        <x:v>20876.23337623338</x:v>
      </x:c>
      <x:c r="J3110" s="67" t="str">
        <x:v>Modeled from live base + Sep-2026 quality ratio</x:v>
      </x:c>
      <x:c r="K3110" s="67" t="str">
        <x:v>https://www.stonealgo.com/diamond-prices/</x:v>
      </x:c>
      <x:c r="L3110" s="67" t="str">
        <x:v>https://www.pricescope.com/blog/natural-diamond-prices-september-2026</x:v>
      </x:c>
    </x:row>
    <x:row r="3111">
      <x:c r="A3111" t="n">
        <x:v>5</x:v>
      </x:c>
      <x:c r="B3111" t="str">
        <x:v>Marquise</x:v>
      </x:c>
      <x:c r="C3111" t="str">
        <x:v>H</x:v>
      </x:c>
      <x:c r="D3111" t="str">
        <x:v>VS2</x:v>
      </x:c>
      <x:c r="E3111" s="36" t="n">
        <x:v>125000</x:v>
      </x:c>
      <x:c r="F3111" s="36" t="n">
        <x:v>3989</x:v>
      </x:c>
      <x:c r="G3111" s="42" t="n">
        <x:v>0.8556413556413557</x:v>
      </x:c>
      <x:c r="H3111" s="36" t="n">
        <x:f>E3111*G3111</x:f>
        <x:v>106955.16945516947</x:v>
      </x:c>
      <x:c r="I3111" s="36" t="n">
        <x:f>IFERROR(H3111/A3111,0)</x:f>
        <x:v>21391.033891033894</x:v>
      </x:c>
      <x:c r="J3111" s="67" t="str">
        <x:v>Modeled from live base + Sep-2026 quality ratio</x:v>
      </x:c>
      <x:c r="K3111" s="67" t="str">
        <x:v>https://www.stonealgo.com/diamond-prices/</x:v>
      </x:c>
      <x:c r="L3111" s="67" t="str">
        <x:v>https://www.pricescope.com/blog/natural-diamond-prices-september-2026</x:v>
      </x:c>
    </x:row>
    <x:row r="3112">
      <x:c r="A3112" t="n">
        <x:v>5</x:v>
      </x:c>
      <x:c r="B3112" t="str">
        <x:v>Marquise</x:v>
      </x:c>
      <x:c r="C3112" t="str">
        <x:v>H</x:v>
      </x:c>
      <x:c r="D3112" t="str">
        <x:v>SI1</x:v>
      </x:c>
      <x:c r="E3112" s="36" t="n">
        <x:v>125000</x:v>
      </x:c>
      <x:c r="F3112" s="36" t="n">
        <x:v>2828</x:v>
      </x:c>
      <x:c r="G3112" s="42" t="n">
        <x:v>0.6066066066066066</x:v>
      </x:c>
      <x:c r="H3112" s="36" t="n">
        <x:f>E3112*G3112</x:f>
        <x:v>75825.82582582583</x:v>
      </x:c>
      <x:c r="I3112" s="36" t="n">
        <x:f>IFERROR(H3112/A3112,0)</x:f>
        <x:v>15165.165165165166</x:v>
      </x:c>
      <x:c r="J3112" s="67" t="str">
        <x:v>Modeled from live base + Sep-2026 quality ratio</x:v>
      </x:c>
      <x:c r="K3112" s="67" t="str">
        <x:v>https://www.stonealgo.com/diamond-prices/</x:v>
      </x:c>
      <x:c r="L3112" s="67" t="str">
        <x:v>https://www.pricescope.com/blog/natural-diamond-prices-september-2026</x:v>
      </x:c>
    </x:row>
    <x:row r="3113">
      <x:c r="A3113" t="n">
        <x:v>5</x:v>
      </x:c>
      <x:c r="B3113" t="str">
        <x:v>Marquise</x:v>
      </x:c>
      <x:c r="C3113" t="str">
        <x:v>H</x:v>
      </x:c>
      <x:c r="D3113" t="str">
        <x:v>SI2</x:v>
      </x:c>
      <x:c r="E3113" s="36" t="n">
        <x:v>125000</x:v>
      </x:c>
      <x:c r="F3113" s="36" t="n">
        <x:v>2328</x:v>
      </x:c>
      <x:c r="G3113" s="42" t="n">
        <x:v>0.49935649935649934</x:v>
      </x:c>
      <x:c r="H3113" s="36" t="n">
        <x:f>E3113*G3113</x:f>
        <x:v>62419.56241956242</x:v>
      </x:c>
      <x:c r="I3113" s="36" t="n">
        <x:f>IFERROR(H3113/A3113,0)</x:f>
        <x:v>12483.912483912483</x:v>
      </x:c>
      <x:c r="J3113" s="67" t="str">
        <x:v>Modeled from live base + Sep-2026 quality ratio</x:v>
      </x:c>
      <x:c r="K3113" s="67" t="str">
        <x:v>https://www.stonealgo.com/diamond-prices/</x:v>
      </x:c>
      <x:c r="L3113" s="67" t="str">
        <x:v>https://www.pricescope.com/blog/natural-diamond-prices-september-2026</x:v>
      </x:c>
    </x:row>
    <x:row r="3114">
      <x:c r="A3114" t="n">
        <x:v>5</x:v>
      </x:c>
      <x:c r="B3114" t="str">
        <x:v>Marquise</x:v>
      </x:c>
      <x:c r="C3114" t="str">
        <x:v>I</x:v>
      </x:c>
      <x:c r="D3114" t="str">
        <x:v>FL</x:v>
      </x:c>
      <x:c r="E3114" s="36" t="n">
        <x:v>125000</x:v>
      </x:c>
      <x:c r="F3114" s="36" t="n">
        <x:v>4623</x:v>
      </x:c>
      <x:c r="G3114" s="42" t="n">
        <x:v>0.9916344916344917</x:v>
      </x:c>
      <x:c r="H3114" s="36" t="n">
        <x:f>E3114*G3114</x:f>
        <x:v>123954.31145431146</x:v>
      </x:c>
      <x:c r="I3114" s="36" t="n">
        <x:f>IFERROR(H3114/A3114,0)</x:f>
        <x:v>24790.862290862293</x:v>
      </x:c>
      <x:c r="J3114" s="67" t="str">
        <x:v>Modeled from live base + Sep-2026 quality ratio</x:v>
      </x:c>
      <x:c r="K3114" s="67" t="str">
        <x:v>https://www.stonealgo.com/diamond-prices/</x:v>
      </x:c>
      <x:c r="L3114" s="67" t="str">
        <x:v>https://www.pricescope.com/blog/natural-diamond-prices-september-2026</x:v>
      </x:c>
    </x:row>
    <x:row r="3115">
      <x:c r="A3115" t="n">
        <x:v>5</x:v>
      </x:c>
      <x:c r="B3115" t="str">
        <x:v>Marquise</x:v>
      </x:c>
      <x:c r="C3115" t="str">
        <x:v>I</x:v>
      </x:c>
      <x:c r="D3115" t="str">
        <x:v>IF</x:v>
      </x:c>
      <x:c r="E3115" s="36" t="n">
        <x:v>125000</x:v>
      </x:c>
      <x:c r="F3115" s="36" t="n">
        <x:v>4005</x:v>
      </x:c>
      <x:c r="G3115" s="42" t="n">
        <x:v>0.859073359073359</x:v>
      </x:c>
      <x:c r="H3115" s="36" t="n">
        <x:f>E3115*G3115</x:f>
        <x:v>107384.16988416988</x:v>
      </x:c>
      <x:c r="I3115" s="36" t="n">
        <x:f>IFERROR(H3115/A3115,0)</x:f>
        <x:v>21476.833976833976</x:v>
      </x:c>
      <x:c r="J3115" s="67" t="str">
        <x:v>Modeled from live base + Sep-2026 quality ratio</x:v>
      </x:c>
      <x:c r="K3115" s="67" t="str">
        <x:v>https://www.stonealgo.com/diamond-prices/</x:v>
      </x:c>
      <x:c r="L3115" s="67" t="str">
        <x:v>https://www.pricescope.com/blog/natural-diamond-prices-september-2026</x:v>
      </x:c>
    </x:row>
    <x:row r="3116">
      <x:c r="A3116" t="n">
        <x:v>5</x:v>
      </x:c>
      <x:c r="B3116" t="str">
        <x:v>Marquise</x:v>
      </x:c>
      <x:c r="C3116" t="str">
        <x:v>I</x:v>
      </x:c>
      <x:c r="D3116" t="str">
        <x:v>VVS1</x:v>
      </x:c>
      <x:c r="E3116" s="36" t="n">
        <x:v>125000</x:v>
      </x:c>
      <x:c r="F3116" s="36" t="n">
        <x:v>3670</x:v>
      </x:c>
      <x:c r="G3116" s="42" t="n">
        <x:v>0.7872157872157872</x:v>
      </x:c>
      <x:c r="H3116" s="36" t="n">
        <x:f>E3116*G3116</x:f>
        <x:v>98401.9734019734</x:v>
      </x:c>
      <x:c r="I3116" s="36" t="n">
        <x:f>IFERROR(H3116/A3116,0)</x:f>
        <x:v>19680.394680394682</x:v>
      </x:c>
      <x:c r="J3116" s="67" t="str">
        <x:v>Modeled from live base + Sep-2026 quality ratio</x:v>
      </x:c>
      <x:c r="K3116" s="67" t="str">
        <x:v>https://www.stonealgo.com/diamond-prices/</x:v>
      </x:c>
      <x:c r="L3116" s="67" t="str">
        <x:v>https://www.pricescope.com/blog/natural-diamond-prices-september-2026</x:v>
      </x:c>
    </x:row>
    <x:row r="3117">
      <x:c r="A3117" t="n">
        <x:v>5</x:v>
      </x:c>
      <x:c r="B3117" t="str">
        <x:v>Marquise</x:v>
      </x:c>
      <x:c r="C3117" t="str">
        <x:v>I</x:v>
      </x:c>
      <x:c r="D3117" t="str">
        <x:v>VVS2</x:v>
      </x:c>
      <x:c r="E3117" s="36" t="n">
        <x:v>125000</x:v>
      </x:c>
      <x:c r="F3117" s="36" t="n">
        <x:v>3447</x:v>
      </x:c>
      <x:c r="G3117" s="42" t="n">
        <x:v>0.7393822393822393</x:v>
      </x:c>
      <x:c r="H3117" s="36" t="n">
        <x:f>E3117*G3117</x:f>
        <x:v>92422.77992277991</x:v>
      </x:c>
      <x:c r="I3117" s="36" t="n">
        <x:f>IFERROR(H3117/A3117,0)</x:f>
        <x:v>18484.555984555984</x:v>
      </x:c>
      <x:c r="J3117" s="67" t="str">
        <x:v>Modeled from live base + Sep-2026 quality ratio</x:v>
      </x:c>
      <x:c r="K3117" s="67" t="str">
        <x:v>https://www.stonealgo.com/diamond-prices/</x:v>
      </x:c>
      <x:c r="L3117" s="67" t="str">
        <x:v>https://www.pricescope.com/blog/natural-diamond-prices-september-2026</x:v>
      </x:c>
    </x:row>
    <x:row r="3118">
      <x:c r="A3118" t="n">
        <x:v>5</x:v>
      </x:c>
      <x:c r="B3118" t="str">
        <x:v>Marquise</x:v>
      </x:c>
      <x:c r="C3118" t="str">
        <x:v>I</x:v>
      </x:c>
      <x:c r="D3118" t="str">
        <x:v>VS1</x:v>
      </x:c>
      <x:c r="E3118" s="36" t="n">
        <x:v>125000</x:v>
      </x:c>
      <x:c r="F3118" s="36" t="n">
        <x:v>3313</x:v>
      </x:c>
      <x:c r="G3118" s="42" t="n">
        <x:v>0.7106392106392107</x:v>
      </x:c>
      <x:c r="H3118" s="36" t="n">
        <x:f>E3118*G3118</x:f>
        <x:v>88829.90132990133</x:v>
      </x:c>
      <x:c r="I3118" s="36" t="n">
        <x:f>IFERROR(H3118/A3118,0)</x:f>
        <x:v>17765.980265980266</x:v>
      </x:c>
      <x:c r="J3118" s="67" t="str">
        <x:v>Modeled from live base + Sep-2026 quality ratio</x:v>
      </x:c>
      <x:c r="K3118" s="67" t="str">
        <x:v>https://www.stonealgo.com/diamond-prices/</x:v>
      </x:c>
      <x:c r="L3118" s="67" t="str">
        <x:v>https://www.pricescope.com/blog/natural-diamond-prices-september-2026</x:v>
      </x:c>
    </x:row>
    <x:row r="3119">
      <x:c r="A3119" t="n">
        <x:v>5</x:v>
      </x:c>
      <x:c r="B3119" t="str">
        <x:v>Marquise</x:v>
      </x:c>
      <x:c r="C3119" t="str">
        <x:v>I</x:v>
      </x:c>
      <x:c r="D3119" t="str">
        <x:v>VS2</x:v>
      </x:c>
      <x:c r="E3119" s="36" t="n">
        <x:v>125000</x:v>
      </x:c>
      <x:c r="F3119" s="36" t="n">
        <x:v>3240</x:v>
      </x:c>
      <x:c r="G3119" s="42" t="n">
        <x:v>0.694980694980695</x:v>
      </x:c>
      <x:c r="H3119" s="36" t="n">
        <x:f>E3119*G3119</x:f>
        <x:v>86872.58687258688</x:v>
      </x:c>
      <x:c r="I3119" s="36" t="n">
        <x:f>IFERROR(H3119/A3119,0)</x:f>
        <x:v>17374.517374517374</x:v>
      </x:c>
      <x:c r="J3119" s="67" t="str">
        <x:v>Modeled from live base + Sep-2026 quality ratio</x:v>
      </x:c>
      <x:c r="K3119" s="67" t="str">
        <x:v>https://www.stonealgo.com/diamond-prices/</x:v>
      </x:c>
      <x:c r="L3119" s="67" t="str">
        <x:v>https://www.pricescope.com/blog/natural-diamond-prices-september-2026</x:v>
      </x:c>
    </x:row>
    <x:row r="3120">
      <x:c r="A3120" t="n">
        <x:v>5</x:v>
      </x:c>
      <x:c r="B3120" t="str">
        <x:v>Marquise</x:v>
      </x:c>
      <x:c r="C3120" t="str">
        <x:v>I</x:v>
      </x:c>
      <x:c r="D3120" t="str">
        <x:v>SI1</x:v>
      </x:c>
      <x:c r="E3120" s="36" t="n">
        <x:v>125000</x:v>
      </x:c>
      <x:c r="F3120" s="36" t="n">
        <x:v>3199</x:v>
      </x:c>
      <x:c r="G3120" s="42" t="n">
        <x:v>0.6861861861861862</x:v>
      </x:c>
      <x:c r="H3120" s="36" t="n">
        <x:f>E3120*G3120</x:f>
        <x:v>85773.27327327327</x:v>
      </x:c>
      <x:c r="I3120" s="36" t="n">
        <x:f>IFERROR(H3120/A3120,0)</x:f>
        <x:v>17154.654654654652</x:v>
      </x:c>
      <x:c r="J3120" s="67" t="str">
        <x:v>Modeled from live base + Sep-2026 quality ratio</x:v>
      </x:c>
      <x:c r="K3120" s="67" t="str">
        <x:v>https://www.stonealgo.com/diamond-prices/</x:v>
      </x:c>
      <x:c r="L3120" s="67" t="str">
        <x:v>https://www.pricescope.com/blog/natural-diamond-prices-september-2026</x:v>
      </x:c>
    </x:row>
    <x:row r="3121">
      <x:c r="A3121" t="n">
        <x:v>5</x:v>
      </x:c>
      <x:c r="B3121" t="str">
        <x:v>Marquise</x:v>
      </x:c>
      <x:c r="C3121" t="str">
        <x:v>I</x:v>
      </x:c>
      <x:c r="D3121" t="str">
        <x:v>SI2</x:v>
      </x:c>
      <x:c r="E3121" s="36" t="n">
        <x:v>125000</x:v>
      </x:c>
      <x:c r="F3121" s="36" t="n">
        <x:v>2874</x:v>
      </x:c>
      <x:c r="G3121" s="42" t="n">
        <x:v>0.6164736164736164</x:v>
      </x:c>
      <x:c r="H3121" s="36" t="n">
        <x:f>E3121*G3121</x:f>
        <x:v>77059.20205920206</x:v>
      </x:c>
      <x:c r="I3121" s="36" t="n">
        <x:f>IFERROR(H3121/A3121,0)</x:f>
        <x:v>15411.84041184041</x:v>
      </x:c>
      <x:c r="J3121" s="67" t="str">
        <x:v>Modeled from live base + Sep-2026 quality ratio</x:v>
      </x:c>
      <x:c r="K3121" s="67" t="str">
        <x:v>https://www.stonealgo.com/diamond-prices/</x:v>
      </x:c>
      <x:c r="L3121" s="67" t="str">
        <x:v>https://www.pricescope.com/blog/natural-diamond-prices-september-2026</x:v>
      </x:c>
    </x:row>
    <x:row r="3122">
      <x:c r="A3122" t="n">
        <x:v>5</x:v>
      </x:c>
      <x:c r="B3122" t="str">
        <x:v>Marquise</x:v>
      </x:c>
      <x:c r="C3122" t="str">
        <x:v>J</x:v>
      </x:c>
      <x:c r="D3122" t="str">
        <x:v>FL</x:v>
      </x:c>
      <x:c r="E3122" s="36" t="n">
        <x:v>125000</x:v>
      </x:c>
      <x:c r="F3122" s="36" t="n">
        <x:v>3646</x:v>
      </x:c>
      <x:c r="G3122" s="42" t="n">
        <x:v>0.782067782067782</x:v>
      </x:c>
      <x:c r="H3122" s="36" t="n">
        <x:f>E3122*G3122</x:f>
        <x:v>97758.47275847275</x:v>
      </x:c>
      <x:c r="I3122" s="36" t="n">
        <x:f>IFERROR(H3122/A3122,0)</x:f>
        <x:v>19551.69455169455</x:v>
      </x:c>
      <x:c r="J3122" s="67" t="str">
        <x:v>Modeled from live base + Sep-2026 quality ratio</x:v>
      </x:c>
      <x:c r="K3122" s="67" t="str">
        <x:v>https://www.stonealgo.com/diamond-prices/</x:v>
      </x:c>
      <x:c r="L3122" s="67" t="str">
        <x:v>https://www.pricescope.com/blog/natural-diamond-prices-september-2026</x:v>
      </x:c>
    </x:row>
    <x:row r="3123">
      <x:c r="A3123" t="n">
        <x:v>5</x:v>
      </x:c>
      <x:c r="B3123" t="str">
        <x:v>Marquise</x:v>
      </x:c>
      <x:c r="C3123" t="str">
        <x:v>J</x:v>
      </x:c>
      <x:c r="D3123" t="str">
        <x:v>IF</x:v>
      </x:c>
      <x:c r="E3123" s="36" t="n">
        <x:v>125000</x:v>
      </x:c>
      <x:c r="F3123" s="36" t="n">
        <x:v>3368</x:v>
      </x:c>
      <x:c r="G3123" s="42" t="n">
        <x:v>0.7224367224367224</x:v>
      </x:c>
      <x:c r="H3123" s="36" t="n">
        <x:f>E3123*G3123</x:f>
        <x:v>90304.5903045903</x:v>
      </x:c>
      <x:c r="I3123" s="36" t="n">
        <x:f>IFERROR(H3123/A3123,0)</x:f>
        <x:v>18060.91806091806</x:v>
      </x:c>
      <x:c r="J3123" s="67" t="str">
        <x:v>Modeled from live base + Sep-2026 quality ratio</x:v>
      </x:c>
      <x:c r="K3123" s="67" t="str">
        <x:v>https://www.stonealgo.com/diamond-prices/</x:v>
      </x:c>
      <x:c r="L3123" s="67" t="str">
        <x:v>https://www.pricescope.com/blog/natural-diamond-prices-september-2026</x:v>
      </x:c>
    </x:row>
    <x:row r="3124">
      <x:c r="A3124" t="n">
        <x:v>5</x:v>
      </x:c>
      <x:c r="B3124" t="str">
        <x:v>Marquise</x:v>
      </x:c>
      <x:c r="C3124" t="str">
        <x:v>J</x:v>
      </x:c>
      <x:c r="D3124" t="str">
        <x:v>VVS1</x:v>
      </x:c>
      <x:c r="E3124" s="36" t="n">
        <x:v>125000</x:v>
      </x:c>
      <x:c r="F3124" s="36" t="n">
        <x:v>2956</x:v>
      </x:c>
      <x:c r="G3124" s="42" t="n">
        <x:v>0.6340626340626341</x:v>
      </x:c>
      <x:c r="H3124" s="36" t="n">
        <x:f>E3124*G3124</x:f>
        <x:v>79257.82925782926</x:v>
      </x:c>
      <x:c r="I3124" s="36" t="n">
        <x:f>IFERROR(H3124/A3124,0)</x:f>
        <x:v>15851.565851565852</x:v>
      </x:c>
      <x:c r="J3124" s="67" t="str">
        <x:v>Modeled from live base + Sep-2026 quality ratio</x:v>
      </x:c>
      <x:c r="K3124" s="67" t="str">
        <x:v>https://www.stonealgo.com/diamond-prices/</x:v>
      </x:c>
      <x:c r="L3124" s="67" t="str">
        <x:v>https://www.pricescope.com/blog/natural-diamond-prices-september-2026</x:v>
      </x:c>
    </x:row>
    <x:row r="3125">
      <x:c r="A3125" t="n">
        <x:v>5</x:v>
      </x:c>
      <x:c r="B3125" t="str">
        <x:v>Marquise</x:v>
      </x:c>
      <x:c r="C3125" t="str">
        <x:v>J</x:v>
      </x:c>
      <x:c r="D3125" t="str">
        <x:v>VVS2</x:v>
      </x:c>
      <x:c r="E3125" s="36" t="n">
        <x:v>125000</x:v>
      </x:c>
      <x:c r="F3125" s="36" t="n">
        <x:v>2612</x:v>
      </x:c>
      <x:c r="G3125" s="42" t="n">
        <x:v>0.5602745602745602</x:v>
      </x:c>
      <x:c r="H3125" s="36" t="n">
        <x:f>E3125*G3125</x:f>
        <x:v>70034.32003432003</x:v>
      </x:c>
      <x:c r="I3125" s="36" t="n">
        <x:f>IFERROR(H3125/A3125,0)</x:f>
        <x:v>14006.864006864005</x:v>
      </x:c>
      <x:c r="J3125" s="67" t="str">
        <x:v>Modeled from live base + Sep-2026 quality ratio</x:v>
      </x:c>
      <x:c r="K3125" s="67" t="str">
        <x:v>https://www.stonealgo.com/diamond-prices/</x:v>
      </x:c>
      <x:c r="L3125" s="67" t="str">
        <x:v>https://www.pricescope.com/blog/natural-diamond-prices-september-2026</x:v>
      </x:c>
    </x:row>
    <x:row r="3126">
      <x:c r="A3126" t="n">
        <x:v>5</x:v>
      </x:c>
      <x:c r="B3126" t="str">
        <x:v>Marquise</x:v>
      </x:c>
      <x:c r="C3126" t="str">
        <x:v>J</x:v>
      </x:c>
      <x:c r="D3126" t="str">
        <x:v>VS1</x:v>
      </x:c>
      <x:c r="E3126" s="36" t="n">
        <x:v>125000</x:v>
      </x:c>
      <x:c r="F3126" s="36" t="n">
        <x:v>3002</x:v>
      </x:c>
      <x:c r="G3126" s="42" t="n">
        <x:v>0.6439296439296439</x:v>
      </x:c>
      <x:c r="H3126" s="36" t="n">
        <x:f>E3126*G3126</x:f>
        <x:v>80491.20549120549</x:v>
      </x:c>
      <x:c r="I3126" s="36" t="n">
        <x:f>IFERROR(H3126/A3126,0)</x:f>
        <x:v>16098.241098241098</x:v>
      </x:c>
      <x:c r="J3126" s="67" t="str">
        <x:v>Modeled from live base + Sep-2026 quality ratio</x:v>
      </x:c>
      <x:c r="K3126" s="67" t="str">
        <x:v>https://www.stonealgo.com/diamond-prices/</x:v>
      </x:c>
      <x:c r="L3126" s="67" t="str">
        <x:v>https://www.pricescope.com/blog/natural-diamond-prices-september-2026</x:v>
      </x:c>
    </x:row>
    <x:row r="3127">
      <x:c r="A3127" t="n">
        <x:v>5</x:v>
      </x:c>
      <x:c r="B3127" t="str">
        <x:v>Marquise</x:v>
      </x:c>
      <x:c r="C3127" t="str">
        <x:v>J</x:v>
      </x:c>
      <x:c r="D3127" t="str">
        <x:v>VS2</x:v>
      </x:c>
      <x:c r="E3127" s="36" t="n">
        <x:v>125000</x:v>
      </x:c>
      <x:c r="F3127" s="36" t="n">
        <x:v>2559</x:v>
      </x:c>
      <x:c r="G3127" s="42" t="n">
        <x:v>0.5489060489060489</x:v>
      </x:c>
      <x:c r="H3127" s="36" t="n">
        <x:f>E3127*G3127</x:f>
        <x:v>68613.25611325611</x:v>
      </x:c>
      <x:c r="I3127" s="36" t="n">
        <x:f>IFERROR(H3127/A3127,0)</x:f>
        <x:v>13722.651222651222</x:v>
      </x:c>
      <x:c r="J3127" s="67" t="str">
        <x:v>Modeled from live base + Sep-2026 quality ratio</x:v>
      </x:c>
      <x:c r="K3127" s="67" t="str">
        <x:v>https://www.stonealgo.com/diamond-prices/</x:v>
      </x:c>
      <x:c r="L3127" s="67" t="str">
        <x:v>https://www.pricescope.com/blog/natural-diamond-prices-september-2026</x:v>
      </x:c>
    </x:row>
    <x:row r="3128">
      <x:c r="A3128" t="n">
        <x:v>5</x:v>
      </x:c>
      <x:c r="B3128" t="str">
        <x:v>Marquise</x:v>
      </x:c>
      <x:c r="C3128" t="str">
        <x:v>J</x:v>
      </x:c>
      <x:c r="D3128" t="str">
        <x:v>SI1</x:v>
      </x:c>
      <x:c r="E3128" s="36" t="n">
        <x:v>125000</x:v>
      </x:c>
      <x:c r="F3128" s="36" t="n">
        <x:v>2195</x:v>
      </x:c>
      <x:c r="G3128" s="42" t="n">
        <x:v>0.47082797082797084</x:v>
      </x:c>
      <x:c r="H3128" s="36" t="n">
        <x:f>E3128*G3128</x:f>
        <x:v>58853.49635349635</x:v>
      </x:c>
      <x:c r="I3128" s="36" t="n">
        <x:f>IFERROR(H3128/A3128,0)</x:f>
        <x:v>11770.699270699271</x:v>
      </x:c>
      <x:c r="J3128" s="67" t="str">
        <x:v>Modeled from live base + Sep-2026 quality ratio</x:v>
      </x:c>
      <x:c r="K3128" s="67" t="str">
        <x:v>https://www.stonealgo.com/diamond-prices/</x:v>
      </x:c>
      <x:c r="L3128" s="67" t="str">
        <x:v>https://www.pricescope.com/blog/natural-diamond-prices-september-2026</x:v>
      </x:c>
    </x:row>
    <x:row r="3129">
      <x:c r="A3129" t="n">
        <x:v>5</x:v>
      </x:c>
      <x:c r="B3129" t="str">
        <x:v>Marquise</x:v>
      </x:c>
      <x:c r="C3129" t="str">
        <x:v>J</x:v>
      </x:c>
      <x:c r="D3129" t="str">
        <x:v>SI2</x:v>
      </x:c>
      <x:c r="E3129" s="36" t="n">
        <x:v>125000</x:v>
      </x:c>
      <x:c r="F3129" s="36" t="n">
        <x:v>2079</x:v>
      </x:c>
      <x:c r="G3129" s="42" t="n">
        <x:v>0.44594594594594594</x:v>
      </x:c>
      <x:c r="H3129" s="36" t="n">
        <x:f>E3129*G3129</x:f>
        <x:v>55743.24324324324</x:v>
      </x:c>
      <x:c r="I3129" s="36" t="n">
        <x:f>IFERROR(H3129/A3129,0)</x:f>
        <x:v>11148.648648648648</x:v>
      </x:c>
      <x:c r="J3129" s="67" t="str">
        <x:v>Modeled from live base + Sep-2026 quality ratio</x:v>
      </x:c>
      <x:c r="K3129" s="67" t="str">
        <x:v>https://www.stonealgo.com/diamond-prices/</x:v>
      </x:c>
      <x:c r="L3129" s="67" t="str">
        <x:v>https://www.pricescope.com/blog/natural-diamond-prices-september-2026</x:v>
      </x:c>
    </x:row>
    <x:row r="3130">
      <x:c r="A3130" t="n">
        <x:v>5</x:v>
      </x:c>
      <x:c r="B3130" t="str">
        <x:v>Marquise</x:v>
      </x:c>
      <x:c r="C3130" t="str">
        <x:v>K</x:v>
      </x:c>
      <x:c r="D3130" t="str">
        <x:v>FL</x:v>
      </x:c>
      <x:c r="E3130" s="36" t="n">
        <x:v>125000</x:v>
      </x:c>
      <x:c r="F3130" s="36" t="n">
        <x:v>2858</x:v>
      </x:c>
      <x:c r="G3130" s="42" t="n">
        <x:v>0.6130416130416131</x:v>
      </x:c>
      <x:c r="H3130" s="36" t="n">
        <x:f>E3130*G3130</x:f>
        <x:v>76630.20163020164</x:v>
      </x:c>
      <x:c r="I3130" s="36" t="n">
        <x:f>IFERROR(H3130/A3130,0)</x:f>
        <x:v>15326.04032604033</x:v>
      </x:c>
      <x:c r="J3130" s="67" t="str">
        <x:v>Modeled from live base + Sep-2026 quality ratio; K/FL quality cell modeled</x:v>
      </x:c>
      <x:c r="K3130" s="67" t="str">
        <x:v>https://www.stonealgo.com/diamond-prices/</x:v>
      </x:c>
      <x:c r="L3130" s="67" t="str">
        <x:v>https://www.pricescope.com/blog/natural-diamond-prices-september-2026</x:v>
      </x:c>
    </x:row>
    <x:row r="3131">
      <x:c r="A3131" t="n">
        <x:v>5</x:v>
      </x:c>
      <x:c r="B3131" t="str">
        <x:v>Marquise</x:v>
      </x:c>
      <x:c r="C3131" t="str">
        <x:v>K</x:v>
      </x:c>
      <x:c r="D3131" t="str">
        <x:v>IF</x:v>
      </x:c>
      <x:c r="E3131" s="36" t="n">
        <x:v>125000</x:v>
      </x:c>
      <x:c r="F3131" s="36" t="n">
        <x:v>2743</x:v>
      </x:c>
      <x:c r="G3131" s="42" t="n">
        <x:v>0.5883740883740883</x:v>
      </x:c>
      <x:c r="H3131" s="36" t="n">
        <x:f>E3131*G3131</x:f>
        <x:v>73546.76104676104</x:v>
      </x:c>
      <x:c r="I3131" s="36" t="n">
        <x:f>IFERROR(H3131/A3131,0)</x:f>
        <x:v>14709.352209352208</x:v>
      </x:c>
      <x:c r="J3131" s="67" t="str">
        <x:v>Modeled from live base + Sep-2026 quality ratio</x:v>
      </x:c>
      <x:c r="K3131" s="67" t="str">
        <x:v>https://www.stonealgo.com/diamond-prices/</x:v>
      </x:c>
      <x:c r="L3131" s="67" t="str">
        <x:v>https://www.pricescope.com/blog/natural-diamond-prices-september-2026</x:v>
      </x:c>
    </x:row>
    <x:row r="3132">
      <x:c r="A3132" t="n">
        <x:v>5</x:v>
      </x:c>
      <x:c r="B3132" t="str">
        <x:v>Marquise</x:v>
      </x:c>
      <x:c r="C3132" t="str">
        <x:v>K</x:v>
      </x:c>
      <x:c r="D3132" t="str">
        <x:v>VVS1</x:v>
      </x:c>
      <x:c r="E3132" s="36" t="n">
        <x:v>125000</x:v>
      </x:c>
      <x:c r="F3132" s="36" t="n">
        <x:v>2529</x:v>
      </x:c>
      <x:c r="G3132" s="42" t="n">
        <x:v>0.5424710424710425</x:v>
      </x:c>
      <x:c r="H3132" s="36" t="n">
        <x:f>E3132*G3132</x:f>
        <x:v>67808.88030888031</x:v>
      </x:c>
      <x:c r="I3132" s="36" t="n">
        <x:f>IFERROR(H3132/A3132,0)</x:f>
        <x:v>13561.776061776061</x:v>
      </x:c>
      <x:c r="J3132" s="67" t="str">
        <x:v>Modeled from live base + Sep-2026 quality ratio</x:v>
      </x:c>
      <x:c r="K3132" s="67" t="str">
        <x:v>https://www.stonealgo.com/diamond-prices/</x:v>
      </x:c>
      <x:c r="L3132" s="67" t="str">
        <x:v>https://www.pricescope.com/blog/natural-diamond-prices-september-2026</x:v>
      </x:c>
    </x:row>
    <x:row r="3133">
      <x:c r="A3133" t="n">
        <x:v>5</x:v>
      </x:c>
      <x:c r="B3133" t="str">
        <x:v>Marquise</x:v>
      </x:c>
      <x:c r="C3133" t="str">
        <x:v>K</x:v>
      </x:c>
      <x:c r="D3133" t="str">
        <x:v>VVS2</x:v>
      </x:c>
      <x:c r="E3133" s="36" t="n">
        <x:v>125000</x:v>
      </x:c>
      <x:c r="F3133" s="36" t="n">
        <x:v>2374</x:v>
      </x:c>
      <x:c r="G3133" s="42" t="n">
        <x:v>0.5092235092235092</x:v>
      </x:c>
      <x:c r="H3133" s="36" t="n">
        <x:f>E3133*G3133</x:f>
        <x:v>63652.938652938654</x:v>
      </x:c>
      <x:c r="I3133" s="36" t="n">
        <x:f>IFERROR(H3133/A3133,0)</x:f>
        <x:v>12730.587730587731</x:v>
      </x:c>
      <x:c r="J3133" s="67" t="str">
        <x:v>Modeled from live base + Sep-2026 quality ratio</x:v>
      </x:c>
      <x:c r="K3133" s="67" t="str">
        <x:v>https://www.stonealgo.com/diamond-prices/</x:v>
      </x:c>
      <x:c r="L3133" s="67" t="str">
        <x:v>https://www.pricescope.com/blog/natural-diamond-prices-september-2026</x:v>
      </x:c>
    </x:row>
    <x:row r="3134">
      <x:c r="A3134" t="n">
        <x:v>5</x:v>
      </x:c>
      <x:c r="B3134" t="str">
        <x:v>Marquise</x:v>
      </x:c>
      <x:c r="C3134" t="str">
        <x:v>K</x:v>
      </x:c>
      <x:c r="D3134" t="str">
        <x:v>VS1</x:v>
      </x:c>
      <x:c r="E3134" s="36" t="n">
        <x:v>125000</x:v>
      </x:c>
      <x:c r="F3134" s="36" t="n">
        <x:v>2223</x:v>
      </x:c>
      <x:c r="G3134" s="42" t="n">
        <x:v>0.4768339768339768</x:v>
      </x:c>
      <x:c r="H3134" s="36" t="n">
        <x:f>E3134*G3134</x:f>
        <x:v>59604.2471042471</x:v>
      </x:c>
      <x:c r="I3134" s="36" t="n">
        <x:f>IFERROR(H3134/A3134,0)</x:f>
        <x:v>11920.84942084942</x:v>
      </x:c>
      <x:c r="J3134" s="67" t="str">
        <x:v>Modeled from live base + Sep-2026 quality ratio</x:v>
      </x:c>
      <x:c r="K3134" s="67" t="str">
        <x:v>https://www.stonealgo.com/diamond-prices/</x:v>
      </x:c>
      <x:c r="L3134" s="67" t="str">
        <x:v>https://www.pricescope.com/blog/natural-diamond-prices-september-2026</x:v>
      </x:c>
    </x:row>
    <x:row r="3135">
      <x:c r="A3135" t="n">
        <x:v>5</x:v>
      </x:c>
      <x:c r="B3135" t="str">
        <x:v>Marquise</x:v>
      </x:c>
      <x:c r="C3135" t="str">
        <x:v>K</x:v>
      </x:c>
      <x:c r="D3135" t="str">
        <x:v>VS2</x:v>
      </x:c>
      <x:c r="E3135" s="36" t="n">
        <x:v>125000</x:v>
      </x:c>
      <x:c r="F3135" s="36" t="n">
        <x:v>2098</x:v>
      </x:c>
      <x:c r="G3135" s="42" t="n">
        <x:v>0.45002145002145</x:v>
      </x:c>
      <x:c r="H3135" s="36" t="n">
        <x:f>E3135*G3135</x:f>
        <x:v>56252.68125268125</x:v>
      </x:c>
      <x:c r="I3135" s="36" t="n">
        <x:f>IFERROR(H3135/A3135,0)</x:f>
        <x:v>11250.53625053625</x:v>
      </x:c>
      <x:c r="J3135" s="67" t="str">
        <x:v>Modeled from live base + Sep-2026 quality ratio</x:v>
      </x:c>
      <x:c r="K3135" s="67" t="str">
        <x:v>https://www.stonealgo.com/diamond-prices/</x:v>
      </x:c>
      <x:c r="L3135" s="67" t="str">
        <x:v>https://www.pricescope.com/blog/natural-diamond-prices-september-2026</x:v>
      </x:c>
    </x:row>
    <x:row r="3136">
      <x:c r="A3136" t="n">
        <x:v>5</x:v>
      </x:c>
      <x:c r="B3136" t="str">
        <x:v>Marquise</x:v>
      </x:c>
      <x:c r="C3136" t="str">
        <x:v>K</x:v>
      </x:c>
      <x:c r="D3136" t="str">
        <x:v>SI1</x:v>
      </x:c>
      <x:c r="E3136" s="36" t="n">
        <x:v>125000</x:v>
      </x:c>
      <x:c r="F3136" s="36" t="n">
        <x:v>1922</x:v>
      </x:c>
      <x:c r="G3136" s="42" t="n">
        <x:v>0.41226941226941227</x:v>
      </x:c>
      <x:c r="H3136" s="36" t="n">
        <x:f>E3136*G3136</x:f>
        <x:v>51533.67653367653</x:v>
      </x:c>
      <x:c r="I3136" s="36" t="n">
        <x:f>IFERROR(H3136/A3136,0)</x:f>
        <x:v>10306.735306735307</x:v>
      </x:c>
      <x:c r="J3136" s="67" t="str">
        <x:v>Modeled from live base + Sep-2026 quality ratio</x:v>
      </x:c>
      <x:c r="K3136" s="67" t="str">
        <x:v>https://www.stonealgo.com/diamond-prices/</x:v>
      </x:c>
      <x:c r="L3136" s="67" t="str">
        <x:v>https://www.pricescope.com/blog/natural-diamond-prices-september-2026</x:v>
      </x:c>
    </x:row>
    <x:row r="3137">
      <x:c r="A3137" t="n">
        <x:v>5</x:v>
      </x:c>
      <x:c r="B3137" t="str">
        <x:v>Marquise</x:v>
      </x:c>
      <x:c r="C3137" t="str">
        <x:v>K</x:v>
      </x:c>
      <x:c r="D3137" t="str">
        <x:v>SI2</x:v>
      </x:c>
      <x:c r="E3137" s="36" t="n">
        <x:v>125000</x:v>
      </x:c>
      <x:c r="F3137" s="36" t="n">
        <x:v>1764</x:v>
      </x:c>
      <x:c r="G3137" s="42" t="n">
        <x:v>0.3783783783783784</x:v>
      </x:c>
      <x:c r="H3137" s="36" t="n">
        <x:f>E3137*G3137</x:f>
        <x:v>47297.2972972973</x:v>
      </x:c>
      <x:c r="I3137" s="36" t="n">
        <x:f>IFERROR(H3137/A3137,0)</x:f>
        <x:v>9459.45945945946</x:v>
      </x:c>
      <x:c r="J3137" s="67" t="str">
        <x:v>Modeled from live base + Sep-2026 quality ratio</x:v>
      </x:c>
      <x:c r="K3137" s="67" t="str">
        <x:v>https://www.stonealgo.com/diamond-prices/</x:v>
      </x:c>
      <x:c r="L3137" s="67" t="str">
        <x:v>https://www.pricescope.com/blog/natural-diamond-prices-september-2026</x:v>
      </x:c>
    </x:row>
    <x:row r="3138">
      <x:c r="A3138" t="n">
        <x:v>5</x:v>
      </x:c>
      <x:c r="B3138" t="str">
        <x:v>Asscher</x:v>
      </x:c>
      <x:c r="C3138" t="str">
        <x:v>D</x:v>
      </x:c>
      <x:c r="D3138" t="str">
        <x:v>FL</x:v>
      </x:c>
      <x:c r="E3138" s="36" t="n">
        <x:v>95300</x:v>
      </x:c>
      <x:c r="F3138" s="36" t="n">
        <x:v>12665</x:v>
      </x:c>
      <x:c r="G3138" s="42" t="n">
        <x:v>2.7166452166452166</x:v>
      </x:c>
      <x:c r="H3138" s="36" t="n">
        <x:f>E3138*G3138</x:f>
        <x:v>258896.28914628914</x:v>
      </x:c>
      <x:c r="I3138" s="36" t="n">
        <x:f>IFERROR(H3138/A3138,0)</x:f>
        <x:v>51779.257829257826</x:v>
      </x:c>
      <x:c r="J3138" s="67" t="str">
        <x:v>Modeled from live base + Sep-2026 quality ratio</x:v>
      </x:c>
      <x:c r="K3138" s="67" t="str">
        <x:v>https://www.stonealgo.com/diamond-prices/</x:v>
      </x:c>
      <x:c r="L3138" s="67" t="str">
        <x:v>https://www.pricescope.com/blog/natural-diamond-prices-september-2026</x:v>
      </x:c>
    </x:row>
    <x:row r="3139">
      <x:c r="A3139" t="n">
        <x:v>5</x:v>
      </x:c>
      <x:c r="B3139" t="str">
        <x:v>Asscher</x:v>
      </x:c>
      <x:c r="C3139" t="str">
        <x:v>D</x:v>
      </x:c>
      <x:c r="D3139" t="str">
        <x:v>IF</x:v>
      </x:c>
      <x:c r="E3139" s="36" t="n">
        <x:v>95300</x:v>
      </x:c>
      <x:c r="F3139" s="36" t="n">
        <x:v>13240</x:v>
      </x:c>
      <x:c r="G3139" s="42" t="n">
        <x:v>2.83998283998284</x:v>
      </x:c>
      <x:c r="H3139" s="36" t="n">
        <x:f>E3139*G3139</x:f>
        <x:v>270650.3646503647</x:v>
      </x:c>
      <x:c r="I3139" s="36" t="n">
        <x:f>IFERROR(H3139/A3139,0)</x:f>
        <x:v>54130.072930072936</x:v>
      </x:c>
      <x:c r="J3139" s="67" t="str">
        <x:v>Modeled from live base + Sep-2026 quality ratio</x:v>
      </x:c>
      <x:c r="K3139" s="67" t="str">
        <x:v>https://www.stonealgo.com/diamond-prices/</x:v>
      </x:c>
      <x:c r="L3139" s="67" t="str">
        <x:v>https://www.pricescope.com/blog/natural-diamond-prices-september-2026</x:v>
      </x:c>
    </x:row>
    <x:row r="3140">
      <x:c r="A3140" t="n">
        <x:v>5</x:v>
      </x:c>
      <x:c r="B3140" t="str">
        <x:v>Asscher</x:v>
      </x:c>
      <x:c r="C3140" t="str">
        <x:v>D</x:v>
      </x:c>
      <x:c r="D3140" t="str">
        <x:v>VVS1</x:v>
      </x:c>
      <x:c r="E3140" s="36" t="n">
        <x:v>95300</x:v>
      </x:c>
      <x:c r="F3140" s="36" t="n">
        <x:v>9555</x:v>
      </x:c>
      <x:c r="G3140" s="42" t="n">
        <x:v>2.0495495495495497</x:v>
      </x:c>
      <x:c r="H3140" s="36" t="n">
        <x:f>E3140*G3140</x:f>
        <x:v>195322.0720720721</x:v>
      </x:c>
      <x:c r="I3140" s="36" t="n">
        <x:f>IFERROR(H3140/A3140,0)</x:f>
        <x:v>39064.41441441442</x:v>
      </x:c>
      <x:c r="J3140" s="67" t="str">
        <x:v>Modeled from live base + Sep-2026 quality ratio</x:v>
      </x:c>
      <x:c r="K3140" s="67" t="str">
        <x:v>https://www.stonealgo.com/diamond-prices/</x:v>
      </x:c>
      <x:c r="L3140" s="67" t="str">
        <x:v>https://www.pricescope.com/blog/natural-diamond-prices-september-2026</x:v>
      </x:c>
    </x:row>
    <x:row r="3141">
      <x:c r="A3141" t="n">
        <x:v>5</x:v>
      </x:c>
      <x:c r="B3141" t="str">
        <x:v>Asscher</x:v>
      </x:c>
      <x:c r="C3141" t="str">
        <x:v>D</x:v>
      </x:c>
      <x:c r="D3141" t="str">
        <x:v>VVS2</x:v>
      </x:c>
      <x:c r="E3141" s="36" t="n">
        <x:v>95300</x:v>
      </x:c>
      <x:c r="F3141" s="36" t="n">
        <x:v>6660</x:v>
      </x:c>
      <x:c r="G3141" s="42" t="n">
        <x:v>1.4285714285714286</x:v>
      </x:c>
      <x:c r="H3141" s="36" t="n">
        <x:f>E3141*G3141</x:f>
        <x:v>136142.85714285716</x:v>
      </x:c>
      <x:c r="I3141" s="36" t="n">
        <x:f>IFERROR(H3141/A3141,0)</x:f>
        <x:v>27228.57142857143</x:v>
      </x:c>
      <x:c r="J3141" s="67" t="str">
        <x:v>Modeled from live base + Sep-2026 quality ratio</x:v>
      </x:c>
      <x:c r="K3141" s="67" t="str">
        <x:v>https://www.stonealgo.com/diamond-prices/</x:v>
      </x:c>
      <x:c r="L3141" s="67" t="str">
        <x:v>https://www.pricescope.com/blog/natural-diamond-prices-september-2026</x:v>
      </x:c>
    </x:row>
    <x:row r="3142">
      <x:c r="A3142" t="n">
        <x:v>5</x:v>
      </x:c>
      <x:c r="B3142" t="str">
        <x:v>Asscher</x:v>
      </x:c>
      <x:c r="C3142" t="str">
        <x:v>D</x:v>
      </x:c>
      <x:c r="D3142" t="str">
        <x:v>VS1</x:v>
      </x:c>
      <x:c r="E3142" s="36" t="n">
        <x:v>95300</x:v>
      </x:c>
      <x:c r="F3142" s="36" t="n">
        <x:v>6247</x:v>
      </x:c>
      <x:c r="G3142" s="42" t="n">
        <x:v>1.33998283998284</x:v>
      </x:c>
      <x:c r="H3142" s="36" t="n">
        <x:f>E3142*G3142</x:f>
        <x:v>127700.36465036465</x:v>
      </x:c>
      <x:c r="I3142" s="36" t="n">
        <x:f>IFERROR(H3142/A3142,0)</x:f>
        <x:v>25540.07293007293</x:v>
      </x:c>
      <x:c r="J3142" s="67" t="str">
        <x:v>Modeled from live base + Sep-2026 quality ratio</x:v>
      </x:c>
      <x:c r="K3142" s="67" t="str">
        <x:v>https://www.stonealgo.com/diamond-prices/</x:v>
      </x:c>
      <x:c r="L3142" s="67" t="str">
        <x:v>https://www.pricescope.com/blog/natural-diamond-prices-september-2026</x:v>
      </x:c>
    </x:row>
    <x:row r="3143">
      <x:c r="A3143" t="n">
        <x:v>5</x:v>
      </x:c>
      <x:c r="B3143" t="str">
        <x:v>Asscher</x:v>
      </x:c>
      <x:c r="C3143" t="str">
        <x:v>D</x:v>
      </x:c>
      <x:c r="D3143" t="str">
        <x:v>VS2</x:v>
      </x:c>
      <x:c r="E3143" s="36" t="n">
        <x:v>95300</x:v>
      </x:c>
      <x:c r="F3143" s="36" t="n">
        <x:v>5841</x:v>
      </x:c>
      <x:c r="G3143" s="42" t="n">
        <x:v>1.252895752895753</x:v>
      </x:c>
      <x:c r="H3143" s="36" t="n">
        <x:f>E3143*G3143</x:f>
        <x:v>119400.96525096525</x:v>
      </x:c>
      <x:c r="I3143" s="36" t="n">
        <x:f>IFERROR(H3143/A3143,0)</x:f>
        <x:v>23880.19305019305</x:v>
      </x:c>
      <x:c r="J3143" s="67" t="str">
        <x:v>Modeled from live base + Sep-2026 quality ratio</x:v>
      </x:c>
      <x:c r="K3143" s="67" t="str">
        <x:v>https://www.stonealgo.com/diamond-prices/</x:v>
      </x:c>
      <x:c r="L3143" s="67" t="str">
        <x:v>https://www.pricescope.com/blog/natural-diamond-prices-september-2026</x:v>
      </x:c>
    </x:row>
    <x:row r="3144">
      <x:c r="A3144" t="n">
        <x:v>5</x:v>
      </x:c>
      <x:c r="B3144" t="str">
        <x:v>Asscher</x:v>
      </x:c>
      <x:c r="C3144" t="str">
        <x:v>D</x:v>
      </x:c>
      <x:c r="D3144" t="str">
        <x:v>SI1</x:v>
      </x:c>
      <x:c r="E3144" s="36" t="n">
        <x:v>95300</x:v>
      </x:c>
      <x:c r="F3144" s="36" t="n">
        <x:v>3762</x:v>
      </x:c>
      <x:c r="G3144" s="42" t="n">
        <x:v>0.806949806949807</x:v>
      </x:c>
      <x:c r="H3144" s="36" t="n">
        <x:f>E3144*G3144</x:f>
        <x:v>76902.31660231661</x:v>
      </x:c>
      <x:c r="I3144" s="36" t="n">
        <x:f>IFERROR(H3144/A3144,0)</x:f>
        <x:v>15380.463320463323</x:v>
      </x:c>
      <x:c r="J3144" s="67" t="str">
        <x:v>Modeled from live base + Sep-2026 quality ratio</x:v>
      </x:c>
      <x:c r="K3144" s="67" t="str">
        <x:v>https://www.stonealgo.com/diamond-prices/</x:v>
      </x:c>
      <x:c r="L3144" s="67" t="str">
        <x:v>https://www.pricescope.com/blog/natural-diamond-prices-september-2026</x:v>
      </x:c>
    </x:row>
    <x:row r="3145">
      <x:c r="A3145" t="n">
        <x:v>5</x:v>
      </x:c>
      <x:c r="B3145" t="str">
        <x:v>Asscher</x:v>
      </x:c>
      <x:c r="C3145" t="str">
        <x:v>D</x:v>
      </x:c>
      <x:c r="D3145" t="str">
        <x:v>SI2</x:v>
      </x:c>
      <x:c r="E3145" s="36" t="n">
        <x:v>95300</x:v>
      </x:c>
      <x:c r="F3145" s="36" t="n">
        <x:v>3026</x:v>
      </x:c>
      <x:c r="G3145" s="42" t="n">
        <x:v>0.6490776490776491</x:v>
      </x:c>
      <x:c r="H3145" s="36" t="n">
        <x:f>E3145*G3145</x:f>
        <x:v>61857.099957099956</x:v>
      </x:c>
      <x:c r="I3145" s="36" t="n">
        <x:f>IFERROR(H3145/A3145,0)</x:f>
        <x:v>12371.41999141999</x:v>
      </x:c>
      <x:c r="J3145" s="67" t="str">
        <x:v>Modeled from live base + Sep-2026 quality ratio</x:v>
      </x:c>
      <x:c r="K3145" s="67" t="str">
        <x:v>https://www.stonealgo.com/diamond-prices/</x:v>
      </x:c>
      <x:c r="L3145" s="67" t="str">
        <x:v>https://www.pricescope.com/blog/natural-diamond-prices-september-2026</x:v>
      </x:c>
    </x:row>
    <x:row r="3146">
      <x:c r="A3146" t="n">
        <x:v>5</x:v>
      </x:c>
      <x:c r="B3146" t="str">
        <x:v>Asscher</x:v>
      </x:c>
      <x:c r="C3146" t="str">
        <x:v>E</x:v>
      </x:c>
      <x:c r="D3146" t="str">
        <x:v>FL</x:v>
      </x:c>
      <x:c r="E3146" s="36" t="n">
        <x:v>95300</x:v>
      </x:c>
      <x:c r="F3146" s="36" t="n">
        <x:v>10072</x:v>
      </x:c>
      <x:c r="G3146" s="42" t="n">
        <x:v>2.1604461604461602</x:v>
      </x:c>
      <x:c r="H3146" s="36" t="n">
        <x:f>E3146*G3146</x:f>
        <x:v>205890.51909051908</x:v>
      </x:c>
      <x:c r="I3146" s="36" t="n">
        <x:f>IFERROR(H3146/A3146,0)</x:f>
        <x:v>41178.10381810382</x:v>
      </x:c>
      <x:c r="J3146" s="67" t="str">
        <x:v>Modeled from live base + Sep-2026 quality ratio</x:v>
      </x:c>
      <x:c r="K3146" s="67" t="str">
        <x:v>https://www.stonealgo.com/diamond-prices/</x:v>
      </x:c>
      <x:c r="L3146" s="67" t="str">
        <x:v>https://www.pricescope.com/blog/natural-diamond-prices-september-2026</x:v>
      </x:c>
    </x:row>
    <x:row r="3147">
      <x:c r="A3147" t="n">
        <x:v>5</x:v>
      </x:c>
      <x:c r="B3147" t="str">
        <x:v>Asscher</x:v>
      </x:c>
      <x:c r="C3147" t="str">
        <x:v>E</x:v>
      </x:c>
      <x:c r="D3147" t="str">
        <x:v>IF</x:v>
      </x:c>
      <x:c r="E3147" s="36" t="n">
        <x:v>95300</x:v>
      </x:c>
      <x:c r="F3147" s="36" t="n">
        <x:v>8672</x:v>
      </x:c>
      <x:c r="G3147" s="42" t="n">
        <x:v>1.8601458601458603</x:v>
      </x:c>
      <x:c r="H3147" s="36" t="n">
        <x:f>E3147*G3147</x:f>
        <x:v>177271.90047190047</x:v>
      </x:c>
      <x:c r="I3147" s="36" t="n">
        <x:f>IFERROR(H3147/A3147,0)</x:f>
        <x:v>35454.380094380096</x:v>
      </x:c>
      <x:c r="J3147" s="67" t="str">
        <x:v>Modeled from live base + Sep-2026 quality ratio</x:v>
      </x:c>
      <x:c r="K3147" s="67" t="str">
        <x:v>https://www.stonealgo.com/diamond-prices/</x:v>
      </x:c>
      <x:c r="L3147" s="67" t="str">
        <x:v>https://www.pricescope.com/blog/natural-diamond-prices-september-2026</x:v>
      </x:c>
    </x:row>
    <x:row r="3148">
      <x:c r="A3148" t="n">
        <x:v>5</x:v>
      </x:c>
      <x:c r="B3148" t="str">
        <x:v>Asscher</x:v>
      </x:c>
      <x:c r="C3148" t="str">
        <x:v>E</x:v>
      </x:c>
      <x:c r="D3148" t="str">
        <x:v>VVS1</x:v>
      </x:c>
      <x:c r="E3148" s="36" t="n">
        <x:v>95300</x:v>
      </x:c>
      <x:c r="F3148" s="36" t="n">
        <x:v>7842</x:v>
      </x:c>
      <x:c r="G3148" s="42" t="n">
        <x:v>1.6821106821106822</x:v>
      </x:c>
      <x:c r="H3148" s="36" t="n">
        <x:f>E3148*G3148</x:f>
        <x:v>160305.14800514802</x:v>
      </x:c>
      <x:c r="I3148" s="36" t="n">
        <x:f>IFERROR(H3148/A3148,0)</x:f>
        <x:v>32061.029601029604</x:v>
      </x:c>
      <x:c r="J3148" s="67" t="str">
        <x:v>Modeled from live base + Sep-2026 quality ratio</x:v>
      </x:c>
      <x:c r="K3148" s="67" t="str">
        <x:v>https://www.stonealgo.com/diamond-prices/</x:v>
      </x:c>
      <x:c r="L3148" s="67" t="str">
        <x:v>https://www.pricescope.com/blog/natural-diamond-prices-september-2026</x:v>
      </x:c>
    </x:row>
    <x:row r="3149">
      <x:c r="A3149" t="n">
        <x:v>5</x:v>
      </x:c>
      <x:c r="B3149" t="str">
        <x:v>Asscher</x:v>
      </x:c>
      <x:c r="C3149" t="str">
        <x:v>E</x:v>
      </x:c>
      <x:c r="D3149" t="str">
        <x:v>VVS2</x:v>
      </x:c>
      <x:c r="E3149" s="36" t="n">
        <x:v>95300</x:v>
      </x:c>
      <x:c r="F3149" s="36" t="n">
        <x:v>6880</x:v>
      </x:c>
      <x:c r="G3149" s="42" t="n">
        <x:v>1.4757614757614759</x:v>
      </x:c>
      <x:c r="H3149" s="36" t="n">
        <x:f>E3149*G3149</x:f>
        <x:v>140640.06864006864</x:v>
      </x:c>
      <x:c r="I3149" s="36" t="n">
        <x:f>IFERROR(H3149/A3149,0)</x:f>
        <x:v>28128.013728013728</x:v>
      </x:c>
      <x:c r="J3149" s="67" t="str">
        <x:v>Modeled from live base + Sep-2026 quality ratio</x:v>
      </x:c>
      <x:c r="K3149" s="67" t="str">
        <x:v>https://www.stonealgo.com/diamond-prices/</x:v>
      </x:c>
      <x:c r="L3149" s="67" t="str">
        <x:v>https://www.pricescope.com/blog/natural-diamond-prices-september-2026</x:v>
      </x:c>
    </x:row>
    <x:row r="3150">
      <x:c r="A3150" t="n">
        <x:v>5</x:v>
      </x:c>
      <x:c r="B3150" t="str">
        <x:v>Asscher</x:v>
      </x:c>
      <x:c r="C3150" t="str">
        <x:v>E</x:v>
      </x:c>
      <x:c r="D3150" t="str">
        <x:v>VS1</x:v>
      </x:c>
      <x:c r="E3150" s="36" t="n">
        <x:v>95300</x:v>
      </x:c>
      <x:c r="F3150" s="36" t="n">
        <x:v>6307</x:v>
      </x:c>
      <x:c r="G3150" s="42" t="n">
        <x:v>1.352852852852853</x:v>
      </x:c>
      <x:c r="H3150" s="36" t="n">
        <x:f>E3150*G3150</x:f>
        <x:v>128926.8768768769</x:v>
      </x:c>
      <x:c r="I3150" s="36" t="n">
        <x:f>IFERROR(H3150/A3150,0)</x:f>
        <x:v>25785.375375375377</x:v>
      </x:c>
      <x:c r="J3150" s="67" t="str">
        <x:v>Modeled from live base + Sep-2026 quality ratio</x:v>
      </x:c>
      <x:c r="K3150" s="67" t="str">
        <x:v>https://www.stonealgo.com/diamond-prices/</x:v>
      </x:c>
      <x:c r="L3150" s="67" t="str">
        <x:v>https://www.pricescope.com/blog/natural-diamond-prices-september-2026</x:v>
      </x:c>
    </x:row>
    <x:row r="3151">
      <x:c r="A3151" t="n">
        <x:v>5</x:v>
      </x:c>
      <x:c r="B3151" t="str">
        <x:v>Asscher</x:v>
      </x:c>
      <x:c r="C3151" t="str">
        <x:v>E</x:v>
      </x:c>
      <x:c r="D3151" t="str">
        <x:v>VS2</x:v>
      </x:c>
      <x:c r="E3151" s="36" t="n">
        <x:v>95300</x:v>
      </x:c>
      <x:c r="F3151" s="36" t="n">
        <x:v>5249</x:v>
      </x:c>
      <x:c r="G3151" s="42" t="n">
        <x:v>1.125911625911626</x:v>
      </x:c>
      <x:c r="H3151" s="36" t="n">
        <x:f>E3151*G3151</x:f>
        <x:v>107299.37794937796</x:v>
      </x:c>
      <x:c r="I3151" s="36" t="n">
        <x:f>IFERROR(H3151/A3151,0)</x:f>
        <x:v>21459.87558987559</x:v>
      </x:c>
      <x:c r="J3151" s="67" t="str">
        <x:v>Modeled from live base + Sep-2026 quality ratio</x:v>
      </x:c>
      <x:c r="K3151" s="67" t="str">
        <x:v>https://www.stonealgo.com/diamond-prices/</x:v>
      </x:c>
      <x:c r="L3151" s="67" t="str">
        <x:v>https://www.pricescope.com/blog/natural-diamond-prices-september-2026</x:v>
      </x:c>
    </x:row>
    <x:row r="3152">
      <x:c r="A3152" t="n">
        <x:v>5</x:v>
      </x:c>
      <x:c r="B3152" t="str">
        <x:v>Asscher</x:v>
      </x:c>
      <x:c r="C3152" t="str">
        <x:v>E</x:v>
      </x:c>
      <x:c r="D3152" t="str">
        <x:v>SI1</x:v>
      </x:c>
      <x:c r="E3152" s="36" t="n">
        <x:v>95300</x:v>
      </x:c>
      <x:c r="F3152" s="36" t="n">
        <x:v>3551</x:v>
      </x:c>
      <x:c r="G3152" s="42" t="n">
        <x:v>0.7616902616902617</x:v>
      </x:c>
      <x:c r="H3152" s="36" t="n">
        <x:f>E3152*G3152</x:f>
        <x:v>72589.08193908194</x:v>
      </x:c>
      <x:c r="I3152" s="36" t="n">
        <x:f>IFERROR(H3152/A3152,0)</x:f>
        <x:v>14517.816387816387</x:v>
      </x:c>
      <x:c r="J3152" s="67" t="str">
        <x:v>Modeled from live base + Sep-2026 quality ratio</x:v>
      </x:c>
      <x:c r="K3152" s="67" t="str">
        <x:v>https://www.stonealgo.com/diamond-prices/</x:v>
      </x:c>
      <x:c r="L3152" s="67" t="str">
        <x:v>https://www.pricescope.com/blog/natural-diamond-prices-september-2026</x:v>
      </x:c>
    </x:row>
    <x:row r="3153">
      <x:c r="A3153" t="n">
        <x:v>5</x:v>
      </x:c>
      <x:c r="B3153" t="str">
        <x:v>Asscher</x:v>
      </x:c>
      <x:c r="C3153" t="str">
        <x:v>E</x:v>
      </x:c>
      <x:c r="D3153" t="str">
        <x:v>SI2</x:v>
      </x:c>
      <x:c r="E3153" s="36" t="n">
        <x:v>95300</x:v>
      </x:c>
      <x:c r="F3153" s="36" t="n">
        <x:v>2993</x:v>
      </x:c>
      <x:c r="G3153" s="42" t="n">
        <x:v>0.641999141999142</x:v>
      </x:c>
      <x:c r="H3153" s="36" t="n">
        <x:f>E3153*G3153</x:f>
        <x:v>61182.51823251823</x:v>
      </x:c>
      <x:c r="I3153" s="36" t="n">
        <x:f>IFERROR(H3153/A3153,0)</x:f>
        <x:v>12236.503646503646</x:v>
      </x:c>
      <x:c r="J3153" s="67" t="str">
        <x:v>Modeled from live base + Sep-2026 quality ratio</x:v>
      </x:c>
      <x:c r="K3153" s="67" t="str">
        <x:v>https://www.stonealgo.com/diamond-prices/</x:v>
      </x:c>
      <x:c r="L3153" s="67" t="str">
        <x:v>https://www.pricescope.com/blog/natural-diamond-prices-september-2026</x:v>
      </x:c>
    </x:row>
    <x:row r="3154">
      <x:c r="A3154" t="n">
        <x:v>5</x:v>
      </x:c>
      <x:c r="B3154" t="str">
        <x:v>Asscher</x:v>
      </x:c>
      <x:c r="C3154" t="str">
        <x:v>F</x:v>
      </x:c>
      <x:c r="D3154" t="str">
        <x:v>FL</x:v>
      </x:c>
      <x:c r="E3154" s="36" t="n">
        <x:v>95300</x:v>
      </x:c>
      <x:c r="F3154" s="36" t="n">
        <x:v>6830</x:v>
      </x:c>
      <x:c r="G3154" s="42" t="n">
        <x:v>1.4650364650364651</x:v>
      </x:c>
      <x:c r="H3154" s="36" t="n">
        <x:f>E3154*G3154</x:f>
        <x:v>139617.97511797512</x:v>
      </x:c>
      <x:c r="I3154" s="36" t="n">
        <x:f>IFERROR(H3154/A3154,0)</x:f>
        <x:v>27923.595023595022</x:v>
      </x:c>
      <x:c r="J3154" s="67" t="str">
        <x:v>Modeled from live base + Sep-2026 quality ratio</x:v>
      </x:c>
      <x:c r="K3154" s="67" t="str">
        <x:v>https://www.stonealgo.com/diamond-prices/</x:v>
      </x:c>
      <x:c r="L3154" s="67" t="str">
        <x:v>https://www.pricescope.com/blog/natural-diamond-prices-september-2026</x:v>
      </x:c>
    </x:row>
    <x:row r="3155">
      <x:c r="A3155" t="n">
        <x:v>5</x:v>
      </x:c>
      <x:c r="B3155" t="str">
        <x:v>Asscher</x:v>
      </x:c>
      <x:c r="C3155" t="str">
        <x:v>F</x:v>
      </x:c>
      <x:c r="D3155" t="str">
        <x:v>IF</x:v>
      </x:c>
      <x:c r="E3155" s="36" t="n">
        <x:v>95300</x:v>
      </x:c>
      <x:c r="F3155" s="36" t="n">
        <x:v>7302</x:v>
      </x:c>
      <x:c r="G3155" s="42" t="n">
        <x:v>1.5662805662805663</x:v>
      </x:c>
      <x:c r="H3155" s="36" t="n">
        <x:f>E3155*G3155</x:f>
        <x:v>149266.53796653796</x:v>
      </x:c>
      <x:c r="I3155" s="36" t="n">
        <x:f>IFERROR(H3155/A3155,0)</x:f>
        <x:v>29853.307593307592</x:v>
      </x:c>
      <x:c r="J3155" s="67" t="str">
        <x:v>Modeled from live base + Sep-2026 quality ratio</x:v>
      </x:c>
      <x:c r="K3155" s="67" t="str">
        <x:v>https://www.stonealgo.com/diamond-prices/</x:v>
      </x:c>
      <x:c r="L3155" s="67" t="str">
        <x:v>https://www.pricescope.com/blog/natural-diamond-prices-september-2026</x:v>
      </x:c>
    </x:row>
    <x:row r="3156">
      <x:c r="A3156" t="n">
        <x:v>5</x:v>
      </x:c>
      <x:c r="B3156" t="str">
        <x:v>Asscher</x:v>
      </x:c>
      <x:c r="C3156" t="str">
        <x:v>F</x:v>
      </x:c>
      <x:c r="D3156" t="str">
        <x:v>VVS1</x:v>
      </x:c>
      <x:c r="E3156" s="36" t="n">
        <x:v>95300</x:v>
      </x:c>
      <x:c r="F3156" s="36" t="n">
        <x:v>7542</x:v>
      </x:c>
      <x:c r="G3156" s="42" t="n">
        <x:v>1.6177606177606179</x:v>
      </x:c>
      <x:c r="H3156" s="36" t="n">
        <x:f>E3156*G3156</x:f>
        <x:v>154172.5868725869</x:v>
      </x:c>
      <x:c r="I3156" s="36" t="n">
        <x:f>IFERROR(H3156/A3156,0)</x:f>
        <x:v>30834.517374517378</x:v>
      </x:c>
      <x:c r="J3156" s="67" t="str">
        <x:v>Modeled from live base + Sep-2026 quality ratio</x:v>
      </x:c>
      <x:c r="K3156" s="67" t="str">
        <x:v>https://www.stonealgo.com/diamond-prices/</x:v>
      </x:c>
      <x:c r="L3156" s="67" t="str">
        <x:v>https://www.pricescope.com/blog/natural-diamond-prices-september-2026</x:v>
      </x:c>
    </x:row>
    <x:row r="3157">
      <x:c r="A3157" t="n">
        <x:v>5</x:v>
      </x:c>
      <x:c r="B3157" t="str">
        <x:v>Asscher</x:v>
      </x:c>
      <x:c r="C3157" t="str">
        <x:v>F</x:v>
      </x:c>
      <x:c r="D3157" t="str">
        <x:v>VVS2</x:v>
      </x:c>
      <x:c r="E3157" s="36" t="n">
        <x:v>95300</x:v>
      </x:c>
      <x:c r="F3157" s="36" t="n">
        <x:v>6352</x:v>
      </x:c>
      <x:c r="G3157" s="42" t="n">
        <x:v>1.3625053625053625</x:v>
      </x:c>
      <x:c r="H3157" s="36" t="n">
        <x:f>E3157*G3157</x:f>
        <x:v>129846.76104676105</x:v>
      </x:c>
      <x:c r="I3157" s="36" t="n">
        <x:f>IFERROR(H3157/A3157,0)</x:f>
        <x:v>25969.35220935221</x:v>
      </x:c>
      <x:c r="J3157" s="67" t="str">
        <x:v>Modeled from live base + Sep-2026 quality ratio</x:v>
      </x:c>
      <x:c r="K3157" s="67" t="str">
        <x:v>https://www.stonealgo.com/diamond-prices/</x:v>
      </x:c>
      <x:c r="L3157" s="67" t="str">
        <x:v>https://www.pricescope.com/blog/natural-diamond-prices-september-2026</x:v>
      </x:c>
    </x:row>
    <x:row r="3158">
      <x:c r="A3158" t="n">
        <x:v>5</x:v>
      </x:c>
      <x:c r="B3158" t="str">
        <x:v>Asscher</x:v>
      </x:c>
      <x:c r="C3158" t="str">
        <x:v>F</x:v>
      </x:c>
      <x:c r="D3158" t="str">
        <x:v>VS1</x:v>
      </x:c>
      <x:c r="E3158" s="36" t="n">
        <x:v>95300</x:v>
      </x:c>
      <x:c r="F3158" s="36" t="n">
        <x:v>5647</x:v>
      </x:c>
      <x:c r="G3158" s="42" t="n">
        <x:v>1.2112827112827114</x:v>
      </x:c>
      <x:c r="H3158" s="36" t="n">
        <x:f>E3158*G3158</x:f>
        <x:v>115435.2423852424</x:v>
      </x:c>
      <x:c r="I3158" s="36" t="n">
        <x:f>IFERROR(H3158/A3158,0)</x:f>
        <x:v>23087.04847704848</x:v>
      </x:c>
      <x:c r="J3158" s="67" t="str">
        <x:v>Modeled from live base + Sep-2026 quality ratio</x:v>
      </x:c>
      <x:c r="K3158" s="67" t="str">
        <x:v>https://www.stonealgo.com/diamond-prices/</x:v>
      </x:c>
      <x:c r="L3158" s="67" t="str">
        <x:v>https://www.pricescope.com/blog/natural-diamond-prices-september-2026</x:v>
      </x:c>
    </x:row>
    <x:row r="3159">
      <x:c r="A3159" t="n">
        <x:v>5</x:v>
      </x:c>
      <x:c r="B3159" t="str">
        <x:v>Asscher</x:v>
      </x:c>
      <x:c r="C3159" t="str">
        <x:v>F</x:v>
      </x:c>
      <x:c r="D3159" t="str">
        <x:v>VS2</x:v>
      </x:c>
      <x:c r="E3159" s="36" t="n">
        <x:v>95300</x:v>
      </x:c>
      <x:c r="F3159" s="36" t="n">
        <x:v>4730</x:v>
      </x:c>
      <x:c r="G3159" s="42" t="n">
        <x:v>1.0145860145860146</x:v>
      </x:c>
      <x:c r="H3159" s="36" t="n">
        <x:f>E3159*G3159</x:f>
        <x:v>96690.04719004719</x:v>
      </x:c>
      <x:c r="I3159" s="36" t="n">
        <x:f>IFERROR(H3159/A3159,0)</x:f>
        <x:v>19338.009438009438</x:v>
      </x:c>
      <x:c r="J3159" s="67" t="str">
        <x:v>Modeled from live base + Sep-2026 quality ratio</x:v>
      </x:c>
      <x:c r="K3159" s="67" t="str">
        <x:v>https://www.stonealgo.com/diamond-prices/</x:v>
      </x:c>
      <x:c r="L3159" s="67" t="str">
        <x:v>https://www.pricescope.com/blog/natural-diamond-prices-september-2026</x:v>
      </x:c>
    </x:row>
    <x:row r="3160">
      <x:c r="A3160" t="n">
        <x:v>5</x:v>
      </x:c>
      <x:c r="B3160" t="str">
        <x:v>Asscher</x:v>
      </x:c>
      <x:c r="C3160" t="str">
        <x:v>F</x:v>
      </x:c>
      <x:c r="D3160" t="str">
        <x:v>SI1</x:v>
      </x:c>
      <x:c r="E3160" s="36" t="n">
        <x:v>95300</x:v>
      </x:c>
      <x:c r="F3160" s="36" t="n">
        <x:v>3331</x:v>
      </x:c>
      <x:c r="G3160" s="42" t="n">
        <x:v>0.7145002145002145</x:v>
      </x:c>
      <x:c r="H3160" s="36" t="n">
        <x:f>E3160*G3160</x:f>
        <x:v>68091.87044187044</x:v>
      </x:c>
      <x:c r="I3160" s="36" t="n">
        <x:f>IFERROR(H3160/A3160,0)</x:f>
        <x:v>13618.374088374088</x:v>
      </x:c>
      <x:c r="J3160" s="67" t="str">
        <x:v>Modeled from live base + Sep-2026 quality ratio</x:v>
      </x:c>
      <x:c r="K3160" s="67" t="str">
        <x:v>https://www.stonealgo.com/diamond-prices/</x:v>
      </x:c>
      <x:c r="L3160" s="67" t="str">
        <x:v>https://www.pricescope.com/blog/natural-diamond-prices-september-2026</x:v>
      </x:c>
    </x:row>
    <x:row r="3161">
      <x:c r="A3161" t="n">
        <x:v>5</x:v>
      </x:c>
      <x:c r="B3161" t="str">
        <x:v>Asscher</x:v>
      </x:c>
      <x:c r="C3161" t="str">
        <x:v>F</x:v>
      </x:c>
      <x:c r="D3161" t="str">
        <x:v>SI2</x:v>
      </x:c>
      <x:c r="E3161" s="36" t="n">
        <x:v>95300</x:v>
      </x:c>
      <x:c r="F3161" s="36" t="n">
        <x:v>2733</x:v>
      </x:c>
      <x:c r="G3161" s="42" t="n">
        <x:v>0.5862290862290862</x:v>
      </x:c>
      <x:c r="H3161" s="36" t="n">
        <x:f>E3161*G3161</x:f>
        <x:v>55867.631917631916</x:v>
      </x:c>
      <x:c r="I3161" s="36" t="n">
        <x:f>IFERROR(H3161/A3161,0)</x:f>
        <x:v>11173.526383526383</x:v>
      </x:c>
      <x:c r="J3161" s="67" t="str">
        <x:v>Modeled from live base + Sep-2026 quality ratio</x:v>
      </x:c>
      <x:c r="K3161" s="67" t="str">
        <x:v>https://www.stonealgo.com/diamond-prices/</x:v>
      </x:c>
      <x:c r="L3161" s="67" t="str">
        <x:v>https://www.pricescope.com/blog/natural-diamond-prices-september-2026</x:v>
      </x:c>
    </x:row>
    <x:row r="3162">
      <x:c r="A3162" t="n">
        <x:v>5</x:v>
      </x:c>
      <x:c r="B3162" t="str">
        <x:v>Asscher</x:v>
      </x:c>
      <x:c r="C3162" t="str">
        <x:v>G</x:v>
      </x:c>
      <x:c r="D3162" t="str">
        <x:v>FL</x:v>
      </x:c>
      <x:c r="E3162" s="36" t="n">
        <x:v>95300</x:v>
      </x:c>
      <x:c r="F3162" s="36" t="n">
        <x:v>5905</x:v>
      </x:c>
      <x:c r="G3162" s="42" t="n">
        <x:v>1.2666237666237665</x:v>
      </x:c>
      <x:c r="H3162" s="36" t="n">
        <x:f>E3162*G3162</x:f>
        <x:v>120709.24495924496</x:v>
      </x:c>
      <x:c r="I3162" s="36" t="n">
        <x:f>IFERROR(H3162/A3162,0)</x:f>
        <x:v>24141.84899184899</x:v>
      </x:c>
      <x:c r="J3162" s="67" t="str">
        <x:v>Modeled from live base + Sep-2026 quality ratio</x:v>
      </x:c>
      <x:c r="K3162" s="67" t="str">
        <x:v>https://www.stonealgo.com/diamond-prices/</x:v>
      </x:c>
      <x:c r="L3162" s="67" t="str">
        <x:v>https://www.pricescope.com/blog/natural-diamond-prices-september-2026</x:v>
      </x:c>
    </x:row>
    <x:row r="3163">
      <x:c r="A3163" t="n">
        <x:v>5</x:v>
      </x:c>
      <x:c r="B3163" t="str">
        <x:v>Asscher</x:v>
      </x:c>
      <x:c r="C3163" t="str">
        <x:v>G</x:v>
      </x:c>
      <x:c r="D3163" t="str">
        <x:v>IF</x:v>
      </x:c>
      <x:c r="E3163" s="36" t="n">
        <x:v>95300</x:v>
      </x:c>
      <x:c r="F3163" s="36" t="n">
        <x:v>5601</x:v>
      </x:c>
      <x:c r="G3163" s="42" t="n">
        <x:v>1.2014157014157014</x:v>
      </x:c>
      <x:c r="H3163" s="36" t="n">
        <x:f>E3163*G3163</x:f>
        <x:v>114494.91634491635</x:v>
      </x:c>
      <x:c r="I3163" s="36" t="n">
        <x:f>IFERROR(H3163/A3163,0)</x:f>
        <x:v>22898.98326898327</x:v>
      </x:c>
      <x:c r="J3163" s="67" t="str">
        <x:v>Modeled from live base + Sep-2026 quality ratio</x:v>
      </x:c>
      <x:c r="K3163" s="67" t="str">
        <x:v>https://www.stonealgo.com/diamond-prices/</x:v>
      </x:c>
      <x:c r="L3163" s="67" t="str">
        <x:v>https://www.pricescope.com/blog/natural-diamond-prices-september-2026</x:v>
      </x:c>
    </x:row>
    <x:row r="3164">
      <x:c r="A3164" t="n">
        <x:v>5</x:v>
      </x:c>
      <x:c r="B3164" t="str">
        <x:v>Asscher</x:v>
      </x:c>
      <x:c r="C3164" t="str">
        <x:v>G</x:v>
      </x:c>
      <x:c r="D3164" t="str">
        <x:v>VVS1</x:v>
      </x:c>
      <x:c r="E3164" s="36" t="n">
        <x:v>95300</x:v>
      </x:c>
      <x:c r="F3164" s="36" t="n">
        <x:v>5124</x:v>
      </x:c>
      <x:c r="G3164" s="42" t="n">
        <x:v>1.0990990990990992</x:v>
      </x:c>
      <x:c r="H3164" s="36" t="n">
        <x:f>E3164*G3164</x:f>
        <x:v>104744.14414414416</x:v>
      </x:c>
      <x:c r="I3164" s="36" t="n">
        <x:f>IFERROR(H3164/A3164,0)</x:f>
        <x:v>20948.82882882883</x:v>
      </x:c>
      <x:c r="J3164" s="67" t="str">
        <x:v>Modeled from live base + Sep-2026 quality ratio</x:v>
      </x:c>
      <x:c r="K3164" s="67" t="str">
        <x:v>https://www.stonealgo.com/diamond-prices/</x:v>
      </x:c>
      <x:c r="L3164" s="67" t="str">
        <x:v>https://www.pricescope.com/blog/natural-diamond-prices-september-2026</x:v>
      </x:c>
    </x:row>
    <x:row r="3165">
      <x:c r="A3165" t="n">
        <x:v>5</x:v>
      </x:c>
      <x:c r="B3165" t="str">
        <x:v>Asscher</x:v>
      </x:c>
      <x:c r="C3165" t="str">
        <x:v>G</x:v>
      </x:c>
      <x:c r="D3165" t="str">
        <x:v>VVS2</x:v>
      </x:c>
      <x:c r="E3165" s="36" t="n">
        <x:v>95300</x:v>
      </x:c>
      <x:c r="F3165" s="36" t="n">
        <x:v>4962</x:v>
      </x:c>
      <x:c r="G3165" s="42" t="n">
        <x:v>1.0643500643500643</x:v>
      </x:c>
      <x:c r="H3165" s="36" t="n">
        <x:f>E3165*G3165</x:f>
        <x:v>101432.56113256112</x:v>
      </x:c>
      <x:c r="I3165" s="36" t="n">
        <x:f>IFERROR(H3165/A3165,0)</x:f>
        <x:v>20286.512226512226</x:v>
      </x:c>
      <x:c r="J3165" s="67" t="str">
        <x:v>Modeled from live base + Sep-2026 quality ratio</x:v>
      </x:c>
      <x:c r="K3165" s="67" t="str">
        <x:v>https://www.stonealgo.com/diamond-prices/</x:v>
      </x:c>
      <x:c r="L3165" s="67" t="str">
        <x:v>https://www.pricescope.com/blog/natural-diamond-prices-september-2026</x:v>
      </x:c>
    </x:row>
    <x:row r="3166">
      <x:c r="A3166" t="n">
        <x:v>5</x:v>
      </x:c>
      <x:c r="B3166" t="str">
        <x:v>Asscher</x:v>
      </x:c>
      <x:c r="C3166" t="str">
        <x:v>G</x:v>
      </x:c>
      <x:c r="D3166" t="str">
        <x:v>VS1</x:v>
      </x:c>
      <x:c r="E3166" s="36" t="n">
        <x:v>95300</x:v>
      </x:c>
      <x:c r="F3166" s="36" t="n">
        <x:v>4615</x:v>
      </x:c>
      <x:c r="G3166" s="42" t="n">
        <x:v>0.98991848991849</x:v>
      </x:c>
      <x:c r="H3166" s="36" t="n">
        <x:f>E3166*G3166</x:f>
        <x:v>94339.2320892321</x:v>
      </x:c>
      <x:c r="I3166" s="36" t="n">
        <x:f>IFERROR(H3166/A3166,0)</x:f>
        <x:v>18867.84641784642</x:v>
      </x:c>
      <x:c r="J3166" s="67" t="str">
        <x:v>Modeled from live base + Sep-2026 quality ratio</x:v>
      </x:c>
      <x:c r="K3166" s="67" t="str">
        <x:v>https://www.stonealgo.com/diamond-prices/</x:v>
      </x:c>
      <x:c r="L3166" s="67" t="str">
        <x:v>https://www.pricescope.com/blog/natural-diamond-prices-september-2026</x:v>
      </x:c>
    </x:row>
    <x:row r="3167">
      <x:c r="A3167" t="n">
        <x:v>5</x:v>
      </x:c>
      <x:c r="B3167" t="str">
        <x:v>Asscher</x:v>
      </x:c>
      <x:c r="C3167" t="str">
        <x:v>G</x:v>
      </x:c>
      <x:c r="D3167" t="str">
        <x:v>VS2</x:v>
      </x:c>
      <x:c r="E3167" s="36" t="n">
        <x:v>95300</x:v>
      </x:c>
      <x:c r="F3167" s="36" t="n">
        <x:v>4585</x:v>
      </x:c>
      <x:c r="G3167" s="42" t="n">
        <x:v>0.9834834834834835</x:v>
      </x:c>
      <x:c r="H3167" s="36" t="n">
        <x:f>E3167*G3167</x:f>
        <x:v>93725.97597597598</x:v>
      </x:c>
      <x:c r="I3167" s="36" t="n">
        <x:f>IFERROR(H3167/A3167,0)</x:f>
        <x:v>18745.195195195196</x:v>
      </x:c>
      <x:c r="J3167" s="67" t="str">
        <x:v>Modeled from live base + Sep-2026 quality ratio</x:v>
      </x:c>
      <x:c r="K3167" s="67" t="str">
        <x:v>https://www.stonealgo.com/diamond-prices/</x:v>
      </x:c>
      <x:c r="L3167" s="67" t="str">
        <x:v>https://www.pricescope.com/blog/natural-diamond-prices-september-2026</x:v>
      </x:c>
    </x:row>
    <x:row r="3168">
      <x:c r="A3168" t="n">
        <x:v>5</x:v>
      </x:c>
      <x:c r="B3168" t="str">
        <x:v>Asscher</x:v>
      </x:c>
      <x:c r="C3168" t="str">
        <x:v>G</x:v>
      </x:c>
      <x:c r="D3168" t="str">
        <x:v>SI1</x:v>
      </x:c>
      <x:c r="E3168" s="36" t="n">
        <x:v>95300</x:v>
      </x:c>
      <x:c r="F3168" s="36" t="n">
        <x:v>3664</x:v>
      </x:c>
      <x:c r="G3168" s="42" t="n">
        <x:v>0.7859287859287859</x:v>
      </x:c>
      <x:c r="H3168" s="36" t="n">
        <x:f>E3168*G3168</x:f>
        <x:v>74899.0132990133</x:v>
      </x:c>
      <x:c r="I3168" s="36" t="n">
        <x:f>IFERROR(H3168/A3168,0)</x:f>
        <x:v>14979.802659802659</x:v>
      </x:c>
      <x:c r="J3168" s="67" t="str">
        <x:v>Modeled from live base + Sep-2026 quality ratio</x:v>
      </x:c>
      <x:c r="K3168" s="67" t="str">
        <x:v>https://www.stonealgo.com/diamond-prices/</x:v>
      </x:c>
      <x:c r="L3168" s="67" t="str">
        <x:v>https://www.pricescope.com/blog/natural-diamond-prices-september-2026</x:v>
      </x:c>
    </x:row>
    <x:row r="3169">
      <x:c r="A3169" t="n">
        <x:v>5</x:v>
      </x:c>
      <x:c r="B3169" t="str">
        <x:v>Asscher</x:v>
      </x:c>
      <x:c r="C3169" t="str">
        <x:v>G</x:v>
      </x:c>
      <x:c r="D3169" t="str">
        <x:v>SI2</x:v>
      </x:c>
      <x:c r="E3169" s="36" t="n">
        <x:v>95300</x:v>
      </x:c>
      <x:c r="F3169" s="36" t="n">
        <x:v>2537</x:v>
      </x:c>
      <x:c r="G3169" s="42" t="n">
        <x:v>0.5441870441870442</x:v>
      </x:c>
      <x:c r="H3169" s="36" t="n">
        <x:f>E3169*G3169</x:f>
        <x:v>51861.02531102532</x:v>
      </x:c>
      <x:c r="I3169" s="36" t="n">
        <x:f>IFERROR(H3169/A3169,0)</x:f>
        <x:v>10372.205062205063</x:v>
      </x:c>
      <x:c r="J3169" s="67" t="str">
        <x:v>Modeled from live base + Sep-2026 quality ratio</x:v>
      </x:c>
      <x:c r="K3169" s="67" t="str">
        <x:v>https://www.stonealgo.com/diamond-prices/</x:v>
      </x:c>
      <x:c r="L3169" s="67" t="str">
        <x:v>https://www.pricescope.com/blog/natural-diamond-prices-september-2026</x:v>
      </x:c>
    </x:row>
    <x:row r="3170">
      <x:c r="A3170" t="n">
        <x:v>5</x:v>
      </x:c>
      <x:c r="B3170" t="str">
        <x:v>Asscher</x:v>
      </x:c>
      <x:c r="C3170" t="str">
        <x:v>H</x:v>
      </x:c>
      <x:c r="D3170" t="str">
        <x:v>FL</x:v>
      </x:c>
      <x:c r="E3170" s="36" t="n">
        <x:v>95300</x:v>
      </x:c>
      <x:c r="F3170" s="36" t="n">
        <x:v>4563</x:v>
      </x:c>
      <x:c r="G3170" s="42" t="n">
        <x:v>0.9787644787644788</x:v>
      </x:c>
      <x:c r="H3170" s="36" t="n">
        <x:f>E3170*G3170</x:f>
        <x:v>93276.25482625484</x:v>
      </x:c>
      <x:c r="I3170" s="36" t="n">
        <x:f>IFERROR(H3170/A3170,0)</x:f>
        <x:v>18655.25096525097</x:v>
      </x:c>
      <x:c r="J3170" s="67" t="str">
        <x:v>Modeled from live base + Sep-2026 quality ratio</x:v>
      </x:c>
      <x:c r="K3170" s="67" t="str">
        <x:v>https://www.stonealgo.com/diamond-prices/</x:v>
      </x:c>
      <x:c r="L3170" s="67" t="str">
        <x:v>https://www.pricescope.com/blog/natural-diamond-prices-september-2026</x:v>
      </x:c>
    </x:row>
    <x:row r="3171">
      <x:c r="A3171" t="n">
        <x:v>5</x:v>
      </x:c>
      <x:c r="B3171" t="str">
        <x:v>Asscher</x:v>
      </x:c>
      <x:c r="C3171" t="str">
        <x:v>H</x:v>
      </x:c>
      <x:c r="D3171" t="str">
        <x:v>IF</x:v>
      </x:c>
      <x:c r="E3171" s="36" t="n">
        <x:v>95300</x:v>
      </x:c>
      <x:c r="F3171" s="36" t="n">
        <x:v>4809</x:v>
      </x:c>
      <x:c r="G3171" s="42" t="n">
        <x:v>1.0315315315315314</x:v>
      </x:c>
      <x:c r="H3171" s="36" t="n">
        <x:f>E3171*G3171</x:f>
        <x:v>98304.95495495494</x:v>
      </x:c>
      <x:c r="I3171" s="36" t="n">
        <x:f>IFERROR(H3171/A3171,0)</x:f>
        <x:v>19660.990990990987</x:v>
      </x:c>
      <x:c r="J3171" s="67" t="str">
        <x:v>Modeled from live base + Sep-2026 quality ratio</x:v>
      </x:c>
      <x:c r="K3171" s="67" t="str">
        <x:v>https://www.stonealgo.com/diamond-prices/</x:v>
      </x:c>
      <x:c r="L3171" s="67" t="str">
        <x:v>https://www.pricescope.com/blog/natural-diamond-prices-september-2026</x:v>
      </x:c>
    </x:row>
    <x:row r="3172">
      <x:c r="A3172" t="n">
        <x:v>5</x:v>
      </x:c>
      <x:c r="B3172" t="str">
        <x:v>Asscher</x:v>
      </x:c>
      <x:c r="C3172" t="str">
        <x:v>H</x:v>
      </x:c>
      <x:c r="D3172" t="str">
        <x:v>VVS1</x:v>
      </x:c>
      <x:c r="E3172" s="36" t="n">
        <x:v>95300</x:v>
      </x:c>
      <x:c r="F3172" s="36" t="n">
        <x:v>4911</x:v>
      </x:c>
      <x:c r="G3172" s="42" t="n">
        <x:v>1.0534105534105533</x:v>
      </x:c>
      <x:c r="H3172" s="36" t="n">
        <x:f>E3172*G3172</x:f>
        <x:v>100390.02574002574</x:v>
      </x:c>
      <x:c r="I3172" s="36" t="n">
        <x:f>IFERROR(H3172/A3172,0)</x:f>
        <x:v>20078.005148005148</x:v>
      </x:c>
      <x:c r="J3172" s="67" t="str">
        <x:v>Modeled from live base + Sep-2026 quality ratio</x:v>
      </x:c>
      <x:c r="K3172" s="67" t="str">
        <x:v>https://www.stonealgo.com/diamond-prices/</x:v>
      </x:c>
      <x:c r="L3172" s="67" t="str">
        <x:v>https://www.pricescope.com/blog/natural-diamond-prices-september-2026</x:v>
      </x:c>
    </x:row>
    <x:row r="3173">
      <x:c r="A3173" t="n">
        <x:v>5</x:v>
      </x:c>
      <x:c r="B3173" t="str">
        <x:v>Asscher</x:v>
      </x:c>
      <x:c r="C3173" t="str">
        <x:v>H</x:v>
      </x:c>
      <x:c r="D3173" t="str">
        <x:v>VVS2</x:v>
      </x:c>
      <x:c r="E3173" s="36" t="n">
        <x:v>95300</x:v>
      </x:c>
      <x:c r="F3173" s="36" t="n">
        <x:v>4046</x:v>
      </x:c>
      <x:c r="G3173" s="42" t="n">
        <x:v>0.8678678678678678</x:v>
      </x:c>
      <x:c r="H3173" s="36" t="n">
        <x:f>E3173*G3173</x:f>
        <x:v>82707.80780780781</x:v>
      </x:c>
      <x:c r="I3173" s="36" t="n">
        <x:f>IFERROR(H3173/A3173,0)</x:f>
        <x:v>16541.56156156156</x:v>
      </x:c>
      <x:c r="J3173" s="67" t="str">
        <x:v>Modeled from live base + Sep-2026 quality ratio</x:v>
      </x:c>
      <x:c r="K3173" s="67" t="str">
        <x:v>https://www.stonealgo.com/diamond-prices/</x:v>
      </x:c>
      <x:c r="L3173" s="67" t="str">
        <x:v>https://www.pricescope.com/blog/natural-diamond-prices-september-2026</x:v>
      </x:c>
    </x:row>
    <x:row r="3174">
      <x:c r="A3174" t="n">
        <x:v>5</x:v>
      </x:c>
      <x:c r="B3174" t="str">
        <x:v>Asscher</x:v>
      </x:c>
      <x:c r="C3174" t="str">
        <x:v>H</x:v>
      </x:c>
      <x:c r="D3174" t="str">
        <x:v>VS1</x:v>
      </x:c>
      <x:c r="E3174" s="36" t="n">
        <x:v>95300</x:v>
      </x:c>
      <x:c r="F3174" s="36" t="n">
        <x:v>3893</x:v>
      </x:c>
      <x:c r="G3174" s="42" t="n">
        <x:v>0.8350493350493351</x:v>
      </x:c>
      <x:c r="H3174" s="36" t="n">
        <x:f>E3174*G3174</x:f>
        <x:v>79580.20163020164</x:v>
      </x:c>
      <x:c r="I3174" s="36" t="n">
        <x:f>IFERROR(H3174/A3174,0)</x:f>
        <x:v>15916.04032604033</x:v>
      </x:c>
      <x:c r="J3174" s="67" t="str">
        <x:v>Modeled from live base + Sep-2026 quality ratio</x:v>
      </x:c>
      <x:c r="K3174" s="67" t="str">
        <x:v>https://www.stonealgo.com/diamond-prices/</x:v>
      </x:c>
      <x:c r="L3174" s="67" t="str">
        <x:v>https://www.pricescope.com/blog/natural-diamond-prices-september-2026</x:v>
      </x:c>
    </x:row>
    <x:row r="3175">
      <x:c r="A3175" t="n">
        <x:v>5</x:v>
      </x:c>
      <x:c r="B3175" t="str">
        <x:v>Asscher</x:v>
      </x:c>
      <x:c r="C3175" t="str">
        <x:v>H</x:v>
      </x:c>
      <x:c r="D3175" t="str">
        <x:v>VS2</x:v>
      </x:c>
      <x:c r="E3175" s="36" t="n">
        <x:v>95300</x:v>
      </x:c>
      <x:c r="F3175" s="36" t="n">
        <x:v>3989</x:v>
      </x:c>
      <x:c r="G3175" s="42" t="n">
        <x:v>0.8556413556413557</x:v>
      </x:c>
      <x:c r="H3175" s="36" t="n">
        <x:f>E3175*G3175</x:f>
        <x:v>81542.6211926212</x:v>
      </x:c>
      <x:c r="I3175" s="36" t="n">
        <x:f>IFERROR(H3175/A3175,0)</x:f>
        <x:v>16308.52423852424</x:v>
      </x:c>
      <x:c r="J3175" s="67" t="str">
        <x:v>Modeled from live base + Sep-2026 quality ratio</x:v>
      </x:c>
      <x:c r="K3175" s="67" t="str">
        <x:v>https://www.stonealgo.com/diamond-prices/</x:v>
      </x:c>
      <x:c r="L3175" s="67" t="str">
        <x:v>https://www.pricescope.com/blog/natural-diamond-prices-september-2026</x:v>
      </x:c>
    </x:row>
    <x:row r="3176">
      <x:c r="A3176" t="n">
        <x:v>5</x:v>
      </x:c>
      <x:c r="B3176" t="str">
        <x:v>Asscher</x:v>
      </x:c>
      <x:c r="C3176" t="str">
        <x:v>H</x:v>
      </x:c>
      <x:c r="D3176" t="str">
        <x:v>SI1</x:v>
      </x:c>
      <x:c r="E3176" s="36" t="n">
        <x:v>95300</x:v>
      </x:c>
      <x:c r="F3176" s="36" t="n">
        <x:v>2828</x:v>
      </x:c>
      <x:c r="G3176" s="42" t="n">
        <x:v>0.6066066066066066</x:v>
      </x:c>
      <x:c r="H3176" s="36" t="n">
        <x:f>E3176*G3176</x:f>
        <x:v>57809.60960960961</x:v>
      </x:c>
      <x:c r="I3176" s="36" t="n">
        <x:f>IFERROR(H3176/A3176,0)</x:f>
        <x:v>11561.921921921921</x:v>
      </x:c>
      <x:c r="J3176" s="67" t="str">
        <x:v>Modeled from live base + Sep-2026 quality ratio</x:v>
      </x:c>
      <x:c r="K3176" s="67" t="str">
        <x:v>https://www.stonealgo.com/diamond-prices/</x:v>
      </x:c>
      <x:c r="L3176" s="67" t="str">
        <x:v>https://www.pricescope.com/blog/natural-diamond-prices-september-2026</x:v>
      </x:c>
    </x:row>
    <x:row r="3177">
      <x:c r="A3177" t="n">
        <x:v>5</x:v>
      </x:c>
      <x:c r="B3177" t="str">
        <x:v>Asscher</x:v>
      </x:c>
      <x:c r="C3177" t="str">
        <x:v>H</x:v>
      </x:c>
      <x:c r="D3177" t="str">
        <x:v>SI2</x:v>
      </x:c>
      <x:c r="E3177" s="36" t="n">
        <x:v>95300</x:v>
      </x:c>
      <x:c r="F3177" s="36" t="n">
        <x:v>2328</x:v>
      </x:c>
      <x:c r="G3177" s="42" t="n">
        <x:v>0.49935649935649934</x:v>
      </x:c>
      <x:c r="H3177" s="36" t="n">
        <x:f>E3177*G3177</x:f>
        <x:v>47588.674388674386</x:v>
      </x:c>
      <x:c r="I3177" s="36" t="n">
        <x:f>IFERROR(H3177/A3177,0)</x:f>
        <x:v>9517.734877734878</x:v>
      </x:c>
      <x:c r="J3177" s="67" t="str">
        <x:v>Modeled from live base + Sep-2026 quality ratio</x:v>
      </x:c>
      <x:c r="K3177" s="67" t="str">
        <x:v>https://www.stonealgo.com/diamond-prices/</x:v>
      </x:c>
      <x:c r="L3177" s="67" t="str">
        <x:v>https://www.pricescope.com/blog/natural-diamond-prices-september-2026</x:v>
      </x:c>
    </x:row>
    <x:row r="3178">
      <x:c r="A3178" t="n">
        <x:v>5</x:v>
      </x:c>
      <x:c r="B3178" t="str">
        <x:v>Asscher</x:v>
      </x:c>
      <x:c r="C3178" t="str">
        <x:v>I</x:v>
      </x:c>
      <x:c r="D3178" t="str">
        <x:v>FL</x:v>
      </x:c>
      <x:c r="E3178" s="36" t="n">
        <x:v>95300</x:v>
      </x:c>
      <x:c r="F3178" s="36" t="n">
        <x:v>4623</x:v>
      </x:c>
      <x:c r="G3178" s="42" t="n">
        <x:v>0.9916344916344917</x:v>
      </x:c>
      <x:c r="H3178" s="36" t="n">
        <x:f>E3178*G3178</x:f>
        <x:v>94502.76705276706</x:v>
      </x:c>
      <x:c r="I3178" s="36" t="n">
        <x:f>IFERROR(H3178/A3178,0)</x:f>
        <x:v>18900.55341055341</x:v>
      </x:c>
      <x:c r="J3178" s="67" t="str">
        <x:v>Modeled from live base + Sep-2026 quality ratio</x:v>
      </x:c>
      <x:c r="K3178" s="67" t="str">
        <x:v>https://www.stonealgo.com/diamond-prices/</x:v>
      </x:c>
      <x:c r="L3178" s="67" t="str">
        <x:v>https://www.pricescope.com/blog/natural-diamond-prices-september-2026</x:v>
      </x:c>
    </x:row>
    <x:row r="3179">
      <x:c r="A3179" t="n">
        <x:v>5</x:v>
      </x:c>
      <x:c r="B3179" t="str">
        <x:v>Asscher</x:v>
      </x:c>
      <x:c r="C3179" t="str">
        <x:v>I</x:v>
      </x:c>
      <x:c r="D3179" t="str">
        <x:v>IF</x:v>
      </x:c>
      <x:c r="E3179" s="36" t="n">
        <x:v>95300</x:v>
      </x:c>
      <x:c r="F3179" s="36" t="n">
        <x:v>4005</x:v>
      </x:c>
      <x:c r="G3179" s="42" t="n">
        <x:v>0.859073359073359</x:v>
      </x:c>
      <x:c r="H3179" s="36" t="n">
        <x:f>E3179*G3179</x:f>
        <x:v>81869.69111969111</x:v>
      </x:c>
      <x:c r="I3179" s="36" t="n">
        <x:f>IFERROR(H3179/A3179,0)</x:f>
        <x:v>16373.938223938221</x:v>
      </x:c>
      <x:c r="J3179" s="67" t="str">
        <x:v>Modeled from live base + Sep-2026 quality ratio</x:v>
      </x:c>
      <x:c r="K3179" s="67" t="str">
        <x:v>https://www.stonealgo.com/diamond-prices/</x:v>
      </x:c>
      <x:c r="L3179" s="67" t="str">
        <x:v>https://www.pricescope.com/blog/natural-diamond-prices-september-2026</x:v>
      </x:c>
    </x:row>
    <x:row r="3180">
      <x:c r="A3180" t="n">
        <x:v>5</x:v>
      </x:c>
      <x:c r="B3180" t="str">
        <x:v>Asscher</x:v>
      </x:c>
      <x:c r="C3180" t="str">
        <x:v>I</x:v>
      </x:c>
      <x:c r="D3180" t="str">
        <x:v>VVS1</x:v>
      </x:c>
      <x:c r="E3180" s="36" t="n">
        <x:v>95300</x:v>
      </x:c>
      <x:c r="F3180" s="36" t="n">
        <x:v>3670</x:v>
      </x:c>
      <x:c r="G3180" s="42" t="n">
        <x:v>0.7872157872157872</x:v>
      </x:c>
      <x:c r="H3180" s="36" t="n">
        <x:f>E3180*G3180</x:f>
        <x:v>75021.66452166453</x:v>
      </x:c>
      <x:c r="I3180" s="36" t="n">
        <x:f>IFERROR(H3180/A3180,0)</x:f>
        <x:v>15004.332904332905</x:v>
      </x:c>
      <x:c r="J3180" s="67" t="str">
        <x:v>Modeled from live base + Sep-2026 quality ratio</x:v>
      </x:c>
      <x:c r="K3180" s="67" t="str">
        <x:v>https://www.stonealgo.com/diamond-prices/</x:v>
      </x:c>
      <x:c r="L3180" s="67" t="str">
        <x:v>https://www.pricescope.com/blog/natural-diamond-prices-september-2026</x:v>
      </x:c>
    </x:row>
    <x:row r="3181">
      <x:c r="A3181" t="n">
        <x:v>5</x:v>
      </x:c>
      <x:c r="B3181" t="str">
        <x:v>Asscher</x:v>
      </x:c>
      <x:c r="C3181" t="str">
        <x:v>I</x:v>
      </x:c>
      <x:c r="D3181" t="str">
        <x:v>VVS2</x:v>
      </x:c>
      <x:c r="E3181" s="36" t="n">
        <x:v>95300</x:v>
      </x:c>
      <x:c r="F3181" s="36" t="n">
        <x:v>3447</x:v>
      </x:c>
      <x:c r="G3181" s="42" t="n">
        <x:v>0.7393822393822393</x:v>
      </x:c>
      <x:c r="H3181" s="36" t="n">
        <x:f>E3181*G3181</x:f>
        <x:v>70463.12741312741</x:v>
      </x:c>
      <x:c r="I3181" s="36" t="n">
        <x:f>IFERROR(H3181/A3181,0)</x:f>
        <x:v>14092.625482625483</x:v>
      </x:c>
      <x:c r="J3181" s="67" t="str">
        <x:v>Modeled from live base + Sep-2026 quality ratio</x:v>
      </x:c>
      <x:c r="K3181" s="67" t="str">
        <x:v>https://www.stonealgo.com/diamond-prices/</x:v>
      </x:c>
      <x:c r="L3181" s="67" t="str">
        <x:v>https://www.pricescope.com/blog/natural-diamond-prices-september-2026</x:v>
      </x:c>
    </x:row>
    <x:row r="3182">
      <x:c r="A3182" t="n">
        <x:v>5</x:v>
      </x:c>
      <x:c r="B3182" t="str">
        <x:v>Asscher</x:v>
      </x:c>
      <x:c r="C3182" t="str">
        <x:v>I</x:v>
      </x:c>
      <x:c r="D3182" t="str">
        <x:v>VS1</x:v>
      </x:c>
      <x:c r="E3182" s="36" t="n">
        <x:v>95300</x:v>
      </x:c>
      <x:c r="F3182" s="36" t="n">
        <x:v>3313</x:v>
      </x:c>
      <x:c r="G3182" s="42" t="n">
        <x:v>0.7106392106392107</x:v>
      </x:c>
      <x:c r="H3182" s="36" t="n">
        <x:f>E3182*G3182</x:f>
        <x:v>67723.91677391678</x:v>
      </x:c>
      <x:c r="I3182" s="36" t="n">
        <x:f>IFERROR(H3182/A3182,0)</x:f>
        <x:v>13544.783354783354</x:v>
      </x:c>
      <x:c r="J3182" s="67" t="str">
        <x:v>Modeled from live base + Sep-2026 quality ratio</x:v>
      </x:c>
      <x:c r="K3182" s="67" t="str">
        <x:v>https://www.stonealgo.com/diamond-prices/</x:v>
      </x:c>
      <x:c r="L3182" s="67" t="str">
        <x:v>https://www.pricescope.com/blog/natural-diamond-prices-september-2026</x:v>
      </x:c>
    </x:row>
    <x:row r="3183">
      <x:c r="A3183" t="n">
        <x:v>5</x:v>
      </x:c>
      <x:c r="B3183" t="str">
        <x:v>Asscher</x:v>
      </x:c>
      <x:c r="C3183" t="str">
        <x:v>I</x:v>
      </x:c>
      <x:c r="D3183" t="str">
        <x:v>VS2</x:v>
      </x:c>
      <x:c r="E3183" s="36" t="n">
        <x:v>95300</x:v>
      </x:c>
      <x:c r="F3183" s="36" t="n">
        <x:v>3240</x:v>
      </x:c>
      <x:c r="G3183" s="42" t="n">
        <x:v>0.694980694980695</x:v>
      </x:c>
      <x:c r="H3183" s="36" t="n">
        <x:f>E3183*G3183</x:f>
        <x:v>66231.66023166024</x:v>
      </x:c>
      <x:c r="I3183" s="36" t="n">
        <x:f>IFERROR(H3183/A3183,0)</x:f>
        <x:v>13246.332046332047</x:v>
      </x:c>
      <x:c r="J3183" s="67" t="str">
        <x:v>Modeled from live base + Sep-2026 quality ratio</x:v>
      </x:c>
      <x:c r="K3183" s="67" t="str">
        <x:v>https://www.stonealgo.com/diamond-prices/</x:v>
      </x:c>
      <x:c r="L3183" s="67" t="str">
        <x:v>https://www.pricescope.com/blog/natural-diamond-prices-september-2026</x:v>
      </x:c>
    </x:row>
    <x:row r="3184">
      <x:c r="A3184" t="n">
        <x:v>5</x:v>
      </x:c>
      <x:c r="B3184" t="str">
        <x:v>Asscher</x:v>
      </x:c>
      <x:c r="C3184" t="str">
        <x:v>I</x:v>
      </x:c>
      <x:c r="D3184" t="str">
        <x:v>SI1</x:v>
      </x:c>
      <x:c r="E3184" s="36" t="n">
        <x:v>95300</x:v>
      </x:c>
      <x:c r="F3184" s="36" t="n">
        <x:v>3199</x:v>
      </x:c>
      <x:c r="G3184" s="42" t="n">
        <x:v>0.6861861861861862</x:v>
      </x:c>
      <x:c r="H3184" s="36" t="n">
        <x:f>E3184*G3184</x:f>
        <x:v>65393.54354354354</x:v>
      </x:c>
      <x:c r="I3184" s="36" t="n">
        <x:f>IFERROR(H3184/A3184,0)</x:f>
        <x:v>13078.70870870871</x:v>
      </x:c>
      <x:c r="J3184" s="67" t="str">
        <x:v>Modeled from live base + Sep-2026 quality ratio</x:v>
      </x:c>
      <x:c r="K3184" s="67" t="str">
        <x:v>https://www.stonealgo.com/diamond-prices/</x:v>
      </x:c>
      <x:c r="L3184" s="67" t="str">
        <x:v>https://www.pricescope.com/blog/natural-diamond-prices-september-2026</x:v>
      </x:c>
    </x:row>
    <x:row r="3185">
      <x:c r="A3185" t="n">
        <x:v>5</x:v>
      </x:c>
      <x:c r="B3185" t="str">
        <x:v>Asscher</x:v>
      </x:c>
      <x:c r="C3185" t="str">
        <x:v>I</x:v>
      </x:c>
      <x:c r="D3185" t="str">
        <x:v>SI2</x:v>
      </x:c>
      <x:c r="E3185" s="36" t="n">
        <x:v>95300</x:v>
      </x:c>
      <x:c r="F3185" s="36" t="n">
        <x:v>2874</x:v>
      </x:c>
      <x:c r="G3185" s="42" t="n">
        <x:v>0.6164736164736164</x:v>
      </x:c>
      <x:c r="H3185" s="36" t="n">
        <x:f>E3185*G3185</x:f>
        <x:v>58749.93564993564</x:v>
      </x:c>
      <x:c r="I3185" s="36" t="n">
        <x:f>IFERROR(H3185/A3185,0)</x:f>
        <x:v>11749.987129987128</x:v>
      </x:c>
      <x:c r="J3185" s="67" t="str">
        <x:v>Modeled from live base + Sep-2026 quality ratio</x:v>
      </x:c>
      <x:c r="K3185" s="67" t="str">
        <x:v>https://www.stonealgo.com/diamond-prices/</x:v>
      </x:c>
      <x:c r="L3185" s="67" t="str">
        <x:v>https://www.pricescope.com/blog/natural-diamond-prices-september-2026</x:v>
      </x:c>
    </x:row>
    <x:row r="3186">
      <x:c r="A3186" t="n">
        <x:v>5</x:v>
      </x:c>
      <x:c r="B3186" t="str">
        <x:v>Asscher</x:v>
      </x:c>
      <x:c r="C3186" t="str">
        <x:v>J</x:v>
      </x:c>
      <x:c r="D3186" t="str">
        <x:v>FL</x:v>
      </x:c>
      <x:c r="E3186" s="36" t="n">
        <x:v>95300</x:v>
      </x:c>
      <x:c r="F3186" s="36" t="n">
        <x:v>3646</x:v>
      </x:c>
      <x:c r="G3186" s="42" t="n">
        <x:v>0.782067782067782</x:v>
      </x:c>
      <x:c r="H3186" s="36" t="n">
        <x:f>E3186*G3186</x:f>
        <x:v>74531.05963105963</x:v>
      </x:c>
      <x:c r="I3186" s="36" t="n">
        <x:f>IFERROR(H3186/A3186,0)</x:f>
        <x:v>14906.211926211927</x:v>
      </x:c>
      <x:c r="J3186" s="67" t="str">
        <x:v>Modeled from live base + Sep-2026 quality ratio</x:v>
      </x:c>
      <x:c r="K3186" s="67" t="str">
        <x:v>https://www.stonealgo.com/diamond-prices/</x:v>
      </x:c>
      <x:c r="L3186" s="67" t="str">
        <x:v>https://www.pricescope.com/blog/natural-diamond-prices-september-2026</x:v>
      </x:c>
    </x:row>
    <x:row r="3187">
      <x:c r="A3187" t="n">
        <x:v>5</x:v>
      </x:c>
      <x:c r="B3187" t="str">
        <x:v>Asscher</x:v>
      </x:c>
      <x:c r="C3187" t="str">
        <x:v>J</x:v>
      </x:c>
      <x:c r="D3187" t="str">
        <x:v>IF</x:v>
      </x:c>
      <x:c r="E3187" s="36" t="n">
        <x:v>95300</x:v>
      </x:c>
      <x:c r="F3187" s="36" t="n">
        <x:v>3368</x:v>
      </x:c>
      <x:c r="G3187" s="42" t="n">
        <x:v>0.7224367224367224</x:v>
      </x:c>
      <x:c r="H3187" s="36" t="n">
        <x:f>E3187*G3187</x:f>
        <x:v>68848.21964821965</x:v>
      </x:c>
      <x:c r="I3187" s="36" t="n">
        <x:f>IFERROR(H3187/A3187,0)</x:f>
        <x:v>13769.64392964393</x:v>
      </x:c>
      <x:c r="J3187" s="67" t="str">
        <x:v>Modeled from live base + Sep-2026 quality ratio</x:v>
      </x:c>
      <x:c r="K3187" s="67" t="str">
        <x:v>https://www.stonealgo.com/diamond-prices/</x:v>
      </x:c>
      <x:c r="L3187" s="67" t="str">
        <x:v>https://www.pricescope.com/blog/natural-diamond-prices-september-2026</x:v>
      </x:c>
    </x:row>
    <x:row r="3188">
      <x:c r="A3188" t="n">
        <x:v>5</x:v>
      </x:c>
      <x:c r="B3188" t="str">
        <x:v>Asscher</x:v>
      </x:c>
      <x:c r="C3188" t="str">
        <x:v>J</x:v>
      </x:c>
      <x:c r="D3188" t="str">
        <x:v>VVS1</x:v>
      </x:c>
      <x:c r="E3188" s="36" t="n">
        <x:v>95300</x:v>
      </x:c>
      <x:c r="F3188" s="36" t="n">
        <x:v>2956</x:v>
      </x:c>
      <x:c r="G3188" s="42" t="n">
        <x:v>0.6340626340626341</x:v>
      </x:c>
      <x:c r="H3188" s="36" t="n">
        <x:f>E3188*G3188</x:f>
        <x:v>60426.16902616903</x:v>
      </x:c>
      <x:c r="I3188" s="36" t="n">
        <x:f>IFERROR(H3188/A3188,0)</x:f>
        <x:v>12085.233805233805</x:v>
      </x:c>
      <x:c r="J3188" s="67" t="str">
        <x:v>Modeled from live base + Sep-2026 quality ratio</x:v>
      </x:c>
      <x:c r="K3188" s="67" t="str">
        <x:v>https://www.stonealgo.com/diamond-prices/</x:v>
      </x:c>
      <x:c r="L3188" s="67" t="str">
        <x:v>https://www.pricescope.com/blog/natural-diamond-prices-september-2026</x:v>
      </x:c>
    </x:row>
    <x:row r="3189">
      <x:c r="A3189" t="n">
        <x:v>5</x:v>
      </x:c>
      <x:c r="B3189" t="str">
        <x:v>Asscher</x:v>
      </x:c>
      <x:c r="C3189" t="str">
        <x:v>J</x:v>
      </x:c>
      <x:c r="D3189" t="str">
        <x:v>VVS2</x:v>
      </x:c>
      <x:c r="E3189" s="36" t="n">
        <x:v>95300</x:v>
      </x:c>
      <x:c r="F3189" s="36" t="n">
        <x:v>2612</x:v>
      </x:c>
      <x:c r="G3189" s="42" t="n">
        <x:v>0.5602745602745602</x:v>
      </x:c>
      <x:c r="H3189" s="36" t="n">
        <x:f>E3189*G3189</x:f>
        <x:v>53394.16559416559</x:v>
      </x:c>
      <x:c r="I3189" s="36" t="n">
        <x:f>IFERROR(H3189/A3189,0)</x:f>
        <x:v>10678.833118833118</x:v>
      </x:c>
      <x:c r="J3189" s="67" t="str">
        <x:v>Modeled from live base + Sep-2026 quality ratio</x:v>
      </x:c>
      <x:c r="K3189" s="67" t="str">
        <x:v>https://www.stonealgo.com/diamond-prices/</x:v>
      </x:c>
      <x:c r="L3189" s="67" t="str">
        <x:v>https://www.pricescope.com/blog/natural-diamond-prices-september-2026</x:v>
      </x:c>
    </x:row>
    <x:row r="3190">
      <x:c r="A3190" t="n">
        <x:v>5</x:v>
      </x:c>
      <x:c r="B3190" t="str">
        <x:v>Asscher</x:v>
      </x:c>
      <x:c r="C3190" t="str">
        <x:v>J</x:v>
      </x:c>
      <x:c r="D3190" t="str">
        <x:v>VS1</x:v>
      </x:c>
      <x:c r="E3190" s="36" t="n">
        <x:v>95300</x:v>
      </x:c>
      <x:c r="F3190" s="36" t="n">
        <x:v>3002</x:v>
      </x:c>
      <x:c r="G3190" s="42" t="n">
        <x:v>0.6439296439296439</x:v>
      </x:c>
      <x:c r="H3190" s="36" t="n">
        <x:f>E3190*G3190</x:f>
        <x:v>61366.49506649507</x:v>
      </x:c>
      <x:c r="I3190" s="36" t="n">
        <x:f>IFERROR(H3190/A3190,0)</x:f>
        <x:v>12273.299013299013</x:v>
      </x:c>
      <x:c r="J3190" s="67" t="str">
        <x:v>Modeled from live base + Sep-2026 quality ratio</x:v>
      </x:c>
      <x:c r="K3190" s="67" t="str">
        <x:v>https://www.stonealgo.com/diamond-prices/</x:v>
      </x:c>
      <x:c r="L3190" s="67" t="str">
        <x:v>https://www.pricescope.com/blog/natural-diamond-prices-september-2026</x:v>
      </x:c>
    </x:row>
    <x:row r="3191">
      <x:c r="A3191" t="n">
        <x:v>5</x:v>
      </x:c>
      <x:c r="B3191" t="str">
        <x:v>Asscher</x:v>
      </x:c>
      <x:c r="C3191" t="str">
        <x:v>J</x:v>
      </x:c>
      <x:c r="D3191" t="str">
        <x:v>VS2</x:v>
      </x:c>
      <x:c r="E3191" s="36" t="n">
        <x:v>95300</x:v>
      </x:c>
      <x:c r="F3191" s="36" t="n">
        <x:v>2559</x:v>
      </x:c>
      <x:c r="G3191" s="42" t="n">
        <x:v>0.5489060489060489</x:v>
      </x:c>
      <x:c r="H3191" s="36" t="n">
        <x:f>E3191*G3191</x:f>
        <x:v>52310.74646074646</x:v>
      </x:c>
      <x:c r="I3191" s="36" t="n">
        <x:f>IFERROR(H3191/A3191,0)</x:f>
        <x:v>10462.149292149292</x:v>
      </x:c>
      <x:c r="J3191" s="67" t="str">
        <x:v>Modeled from live base + Sep-2026 quality ratio</x:v>
      </x:c>
      <x:c r="K3191" s="67" t="str">
        <x:v>https://www.stonealgo.com/diamond-prices/</x:v>
      </x:c>
      <x:c r="L3191" s="67" t="str">
        <x:v>https://www.pricescope.com/blog/natural-diamond-prices-september-2026</x:v>
      </x:c>
    </x:row>
    <x:row r="3192">
      <x:c r="A3192" t="n">
        <x:v>5</x:v>
      </x:c>
      <x:c r="B3192" t="str">
        <x:v>Asscher</x:v>
      </x:c>
      <x:c r="C3192" t="str">
        <x:v>J</x:v>
      </x:c>
      <x:c r="D3192" t="str">
        <x:v>SI1</x:v>
      </x:c>
      <x:c r="E3192" s="36" t="n">
        <x:v>95300</x:v>
      </x:c>
      <x:c r="F3192" s="36" t="n">
        <x:v>2195</x:v>
      </x:c>
      <x:c r="G3192" s="42" t="n">
        <x:v>0.47082797082797084</x:v>
      </x:c>
      <x:c r="H3192" s="36" t="n">
        <x:f>E3192*G3192</x:f>
        <x:v>44869.90561990562</x:v>
      </x:c>
      <x:c r="I3192" s="36" t="n">
        <x:f>IFERROR(H3192/A3192,0)</x:f>
        <x:v>8973.981123981124</x:v>
      </x:c>
      <x:c r="J3192" s="67" t="str">
        <x:v>Modeled from live base + Sep-2026 quality ratio</x:v>
      </x:c>
      <x:c r="K3192" s="67" t="str">
        <x:v>https://www.stonealgo.com/diamond-prices/</x:v>
      </x:c>
      <x:c r="L3192" s="67" t="str">
        <x:v>https://www.pricescope.com/blog/natural-diamond-prices-september-2026</x:v>
      </x:c>
    </x:row>
    <x:row r="3193">
      <x:c r="A3193" t="n">
        <x:v>5</x:v>
      </x:c>
      <x:c r="B3193" t="str">
        <x:v>Asscher</x:v>
      </x:c>
      <x:c r="C3193" t="str">
        <x:v>J</x:v>
      </x:c>
      <x:c r="D3193" t="str">
        <x:v>SI2</x:v>
      </x:c>
      <x:c r="E3193" s="36" t="n">
        <x:v>95300</x:v>
      </x:c>
      <x:c r="F3193" s="36" t="n">
        <x:v>2079</x:v>
      </x:c>
      <x:c r="G3193" s="42" t="n">
        <x:v>0.44594594594594594</x:v>
      </x:c>
      <x:c r="H3193" s="36" t="n">
        <x:f>E3193*G3193</x:f>
        <x:v>42498.64864864865</x:v>
      </x:c>
      <x:c r="I3193" s="36" t="n">
        <x:f>IFERROR(H3193/A3193,0)</x:f>
        <x:v>8499.72972972973</x:v>
      </x:c>
      <x:c r="J3193" s="67" t="str">
        <x:v>Modeled from live base + Sep-2026 quality ratio</x:v>
      </x:c>
      <x:c r="K3193" s="67" t="str">
        <x:v>https://www.stonealgo.com/diamond-prices/</x:v>
      </x:c>
      <x:c r="L3193" s="67" t="str">
        <x:v>https://www.pricescope.com/blog/natural-diamond-prices-september-2026</x:v>
      </x:c>
    </x:row>
    <x:row r="3194">
      <x:c r="A3194" t="n">
        <x:v>5</x:v>
      </x:c>
      <x:c r="B3194" t="str">
        <x:v>Asscher</x:v>
      </x:c>
      <x:c r="C3194" t="str">
        <x:v>K</x:v>
      </x:c>
      <x:c r="D3194" t="str">
        <x:v>FL</x:v>
      </x:c>
      <x:c r="E3194" s="36" t="n">
        <x:v>95300</x:v>
      </x:c>
      <x:c r="F3194" s="36" t="n">
        <x:v>2858</x:v>
      </x:c>
      <x:c r="G3194" s="42" t="n">
        <x:v>0.6130416130416131</x:v>
      </x:c>
      <x:c r="H3194" s="36" t="n">
        <x:f>E3194*G3194</x:f>
        <x:v>58422.865722865725</x:v>
      </x:c>
      <x:c r="I3194" s="36" t="n">
        <x:f>IFERROR(H3194/A3194,0)</x:f>
        <x:v>11684.573144573145</x:v>
      </x:c>
      <x:c r="J3194" s="67" t="str">
        <x:v>Modeled from live base + Sep-2026 quality ratio; K/FL quality cell modeled</x:v>
      </x:c>
      <x:c r="K3194" s="67" t="str">
        <x:v>https://www.stonealgo.com/diamond-prices/</x:v>
      </x:c>
      <x:c r="L3194" s="67" t="str">
        <x:v>https://www.pricescope.com/blog/natural-diamond-prices-september-2026</x:v>
      </x:c>
    </x:row>
    <x:row r="3195">
      <x:c r="A3195" t="n">
        <x:v>5</x:v>
      </x:c>
      <x:c r="B3195" t="str">
        <x:v>Asscher</x:v>
      </x:c>
      <x:c r="C3195" t="str">
        <x:v>K</x:v>
      </x:c>
      <x:c r="D3195" t="str">
        <x:v>IF</x:v>
      </x:c>
      <x:c r="E3195" s="36" t="n">
        <x:v>95300</x:v>
      </x:c>
      <x:c r="F3195" s="36" t="n">
        <x:v>2743</x:v>
      </x:c>
      <x:c r="G3195" s="42" t="n">
        <x:v>0.5883740883740883</x:v>
      </x:c>
      <x:c r="H3195" s="36" t="n">
        <x:f>E3195*G3195</x:f>
        <x:v>56072.05062205062</x:v>
      </x:c>
      <x:c r="I3195" s="36" t="n">
        <x:f>IFERROR(H3195/A3195,0)</x:f>
        <x:v>11214.410124410124</x:v>
      </x:c>
      <x:c r="J3195" s="67" t="str">
        <x:v>Modeled from live base + Sep-2026 quality ratio</x:v>
      </x:c>
      <x:c r="K3195" s="67" t="str">
        <x:v>https://www.stonealgo.com/diamond-prices/</x:v>
      </x:c>
      <x:c r="L3195" s="67" t="str">
        <x:v>https://www.pricescope.com/blog/natural-diamond-prices-september-2026</x:v>
      </x:c>
    </x:row>
    <x:row r="3196">
      <x:c r="A3196" t="n">
        <x:v>5</x:v>
      </x:c>
      <x:c r="B3196" t="str">
        <x:v>Asscher</x:v>
      </x:c>
      <x:c r="C3196" t="str">
        <x:v>K</x:v>
      </x:c>
      <x:c r="D3196" t="str">
        <x:v>VVS1</x:v>
      </x:c>
      <x:c r="E3196" s="36" t="n">
        <x:v>95300</x:v>
      </x:c>
      <x:c r="F3196" s="36" t="n">
        <x:v>2529</x:v>
      </x:c>
      <x:c r="G3196" s="42" t="n">
        <x:v>0.5424710424710425</x:v>
      </x:c>
      <x:c r="H3196" s="36" t="n">
        <x:f>E3196*G3196</x:f>
        <x:v>51697.49034749035</x:v>
      </x:c>
      <x:c r="I3196" s="36" t="n">
        <x:f>IFERROR(H3196/A3196,0)</x:f>
        <x:v>10339.49806949807</x:v>
      </x:c>
      <x:c r="J3196" s="67" t="str">
        <x:v>Modeled from live base + Sep-2026 quality ratio</x:v>
      </x:c>
      <x:c r="K3196" s="67" t="str">
        <x:v>https://www.stonealgo.com/diamond-prices/</x:v>
      </x:c>
      <x:c r="L3196" s="67" t="str">
        <x:v>https://www.pricescope.com/blog/natural-diamond-prices-september-2026</x:v>
      </x:c>
    </x:row>
    <x:row r="3197">
      <x:c r="A3197" t="n">
        <x:v>5</x:v>
      </x:c>
      <x:c r="B3197" t="str">
        <x:v>Asscher</x:v>
      </x:c>
      <x:c r="C3197" t="str">
        <x:v>K</x:v>
      </x:c>
      <x:c r="D3197" t="str">
        <x:v>VVS2</x:v>
      </x:c>
      <x:c r="E3197" s="36" t="n">
        <x:v>95300</x:v>
      </x:c>
      <x:c r="F3197" s="36" t="n">
        <x:v>2374</x:v>
      </x:c>
      <x:c r="G3197" s="42" t="n">
        <x:v>0.5092235092235092</x:v>
      </x:c>
      <x:c r="H3197" s="36" t="n">
        <x:f>E3197*G3197</x:f>
        <x:v>48529.00042900043</x:v>
      </x:c>
      <x:c r="I3197" s="36" t="n">
        <x:f>IFERROR(H3197/A3197,0)</x:f>
        <x:v>9705.800085800085</x:v>
      </x:c>
      <x:c r="J3197" s="67" t="str">
        <x:v>Modeled from live base + Sep-2026 quality ratio</x:v>
      </x:c>
      <x:c r="K3197" s="67" t="str">
        <x:v>https://www.stonealgo.com/diamond-prices/</x:v>
      </x:c>
      <x:c r="L3197" s="67" t="str">
        <x:v>https://www.pricescope.com/blog/natural-diamond-prices-september-2026</x:v>
      </x:c>
    </x:row>
    <x:row r="3198">
      <x:c r="A3198" t="n">
        <x:v>5</x:v>
      </x:c>
      <x:c r="B3198" t="str">
        <x:v>Asscher</x:v>
      </x:c>
      <x:c r="C3198" t="str">
        <x:v>K</x:v>
      </x:c>
      <x:c r="D3198" t="str">
        <x:v>VS1</x:v>
      </x:c>
      <x:c r="E3198" s="36" t="n">
        <x:v>95300</x:v>
      </x:c>
      <x:c r="F3198" s="36" t="n">
        <x:v>2223</x:v>
      </x:c>
      <x:c r="G3198" s="42" t="n">
        <x:v>0.4768339768339768</x:v>
      </x:c>
      <x:c r="H3198" s="36" t="n">
        <x:f>E3198*G3198</x:f>
        <x:v>45442.27799227799</x:v>
      </x:c>
      <x:c r="I3198" s="36" t="n">
        <x:f>IFERROR(H3198/A3198,0)</x:f>
        <x:v>9088.455598455597</x:v>
      </x:c>
      <x:c r="J3198" s="67" t="str">
        <x:v>Modeled from live base + Sep-2026 quality ratio</x:v>
      </x:c>
      <x:c r="K3198" s="67" t="str">
        <x:v>https://www.stonealgo.com/diamond-prices/</x:v>
      </x:c>
      <x:c r="L3198" s="67" t="str">
        <x:v>https://www.pricescope.com/blog/natural-diamond-prices-september-2026</x:v>
      </x:c>
    </x:row>
    <x:row r="3199">
      <x:c r="A3199" t="n">
        <x:v>5</x:v>
      </x:c>
      <x:c r="B3199" t="str">
        <x:v>Asscher</x:v>
      </x:c>
      <x:c r="C3199" t="str">
        <x:v>K</x:v>
      </x:c>
      <x:c r="D3199" t="str">
        <x:v>VS2</x:v>
      </x:c>
      <x:c r="E3199" s="36" t="n">
        <x:v>95300</x:v>
      </x:c>
      <x:c r="F3199" s="36" t="n">
        <x:v>2098</x:v>
      </x:c>
      <x:c r="G3199" s="42" t="n">
        <x:v>0.45002145002145</x:v>
      </x:c>
      <x:c r="H3199" s="36" t="n">
        <x:f>E3199*G3199</x:f>
        <x:v>42887.04418704419</x:v>
      </x:c>
      <x:c r="I3199" s="36" t="n">
        <x:f>IFERROR(H3199/A3199,0)</x:f>
        <x:v>8577.408837408837</x:v>
      </x:c>
      <x:c r="J3199" s="67" t="str">
        <x:v>Modeled from live base + Sep-2026 quality ratio</x:v>
      </x:c>
      <x:c r="K3199" s="67" t="str">
        <x:v>https://www.stonealgo.com/diamond-prices/</x:v>
      </x:c>
      <x:c r="L3199" s="67" t="str">
        <x:v>https://www.pricescope.com/blog/natural-diamond-prices-september-2026</x:v>
      </x:c>
    </x:row>
    <x:row r="3200">
      <x:c r="A3200" t="n">
        <x:v>5</x:v>
      </x:c>
      <x:c r="B3200" t="str">
        <x:v>Asscher</x:v>
      </x:c>
      <x:c r="C3200" t="str">
        <x:v>K</x:v>
      </x:c>
      <x:c r="D3200" t="str">
        <x:v>SI1</x:v>
      </x:c>
      <x:c r="E3200" s="36" t="n">
        <x:v>95300</x:v>
      </x:c>
      <x:c r="F3200" s="36" t="n">
        <x:v>1922</x:v>
      </x:c>
      <x:c r="G3200" s="42" t="n">
        <x:v>0.41226941226941227</x:v>
      </x:c>
      <x:c r="H3200" s="36" t="n">
        <x:f>E3200*G3200</x:f>
        <x:v>39289.27498927499</x:v>
      </x:c>
      <x:c r="I3200" s="36" t="n">
        <x:f>IFERROR(H3200/A3200,0)</x:f>
        <x:v>7857.854997854998</x:v>
      </x:c>
      <x:c r="J3200" s="67" t="str">
        <x:v>Modeled from live base + Sep-2026 quality ratio</x:v>
      </x:c>
      <x:c r="K3200" s="67" t="str">
        <x:v>https://www.stonealgo.com/diamond-prices/</x:v>
      </x:c>
      <x:c r="L3200" s="67" t="str">
        <x:v>https://www.pricescope.com/blog/natural-diamond-prices-september-2026</x:v>
      </x:c>
    </x:row>
    <x:row r="3201">
      <x:c r="A3201" t="n">
        <x:v>5</x:v>
      </x:c>
      <x:c r="B3201" t="str">
        <x:v>Asscher</x:v>
      </x:c>
      <x:c r="C3201" t="str">
        <x:v>K</x:v>
      </x:c>
      <x:c r="D3201" t="str">
        <x:v>SI2</x:v>
      </x:c>
      <x:c r="E3201" s="36" t="n">
        <x:v>95300</x:v>
      </x:c>
      <x:c r="F3201" s="36" t="n">
        <x:v>1764</x:v>
      </x:c>
      <x:c r="G3201" s="42" t="n">
        <x:v>0.3783783783783784</x:v>
      </x:c>
      <x:c r="H3201" s="36" t="n">
        <x:f>E3201*G3201</x:f>
        <x:v>36059.45945945946</x:v>
      </x:c>
      <x:c r="I3201" s="36" t="n">
        <x:f>IFERROR(H3201/A3201,0)</x:f>
        <x:v>7211.891891891892</x:v>
      </x:c>
      <x:c r="J3201" s="67" t="str">
        <x:v>Modeled from live base + Sep-2026 quality ratio</x:v>
      </x:c>
      <x:c r="K3201" s="67" t="str">
        <x:v>https://www.stonealgo.com/diamond-prices/</x:v>
      </x:c>
      <x:c r="L3201" s="67" t="str">
        <x:v>https://www.pricescope.com/blog/natural-diamond-prices-september-2026</x:v>
      </x:c>
    </x:row>
    <x:row r="3202">
      <x:c r="A3202" t="n">
        <x:v>6</x:v>
      </x:c>
      <x:c r="B3202" t="str">
        <x:v>Round</x:v>
      </x:c>
      <x:c r="C3202" t="str">
        <x:v>D</x:v>
      </x:c>
      <x:c r="D3202" t="str">
        <x:v>FL</x:v>
      </x:c>
      <x:c r="E3202" s="36" t="n">
        <x:v>147600</x:v>
      </x:c>
      <x:c r="F3202" s="36" t="n">
        <x:v>12665</x:v>
      </x:c>
      <x:c r="G3202" s="42" t="n">
        <x:v>2.7166452166452166</x:v>
      </x:c>
      <x:c r="H3202" s="36" t="n">
        <x:f>E3202*G3202</x:f>
        <x:v>400976.83397683396</x:v>
      </x:c>
      <x:c r="I3202" s="36" t="n">
        <x:f>IFERROR(H3202/A3202,0)</x:f>
        <x:v>66829.47232947232</x:v>
      </x:c>
      <x:c r="J3202" s="67" t="str">
        <x:v>Modeled from live base + Sep-2026 quality ratio</x:v>
      </x:c>
      <x:c r="K3202" s="67" t="str">
        <x:v>https://www.stonealgo.com/diamond-prices/</x:v>
      </x:c>
      <x:c r="L3202" s="67" t="str">
        <x:v>https://www.pricescope.com/blog/natural-diamond-prices-september-2026</x:v>
      </x:c>
    </x:row>
    <x:row r="3203">
      <x:c r="A3203" t="n">
        <x:v>6</x:v>
      </x:c>
      <x:c r="B3203" t="str">
        <x:v>Round</x:v>
      </x:c>
      <x:c r="C3203" t="str">
        <x:v>D</x:v>
      </x:c>
      <x:c r="D3203" t="str">
        <x:v>IF</x:v>
      </x:c>
      <x:c r="E3203" s="36" t="n">
        <x:v>147600</x:v>
      </x:c>
      <x:c r="F3203" s="36" t="n">
        <x:v>13240</x:v>
      </x:c>
      <x:c r="G3203" s="42" t="n">
        <x:v>2.83998283998284</x:v>
      </x:c>
      <x:c r="H3203" s="36" t="n">
        <x:f>E3203*G3203</x:f>
        <x:v>419181.4671814672</x:v>
      </x:c>
      <x:c r="I3203" s="36" t="n">
        <x:f>IFERROR(H3203/A3203,0)</x:f>
        <x:v>69863.57786357787</x:v>
      </x:c>
      <x:c r="J3203" s="67" t="str">
        <x:v>Modeled from live base + Sep-2026 quality ratio</x:v>
      </x:c>
      <x:c r="K3203" s="67" t="str">
        <x:v>https://www.stonealgo.com/diamond-prices/</x:v>
      </x:c>
      <x:c r="L3203" s="67" t="str">
        <x:v>https://www.pricescope.com/blog/natural-diamond-prices-september-2026</x:v>
      </x:c>
    </x:row>
    <x:row r="3204">
      <x:c r="A3204" t="n">
        <x:v>6</x:v>
      </x:c>
      <x:c r="B3204" t="str">
        <x:v>Round</x:v>
      </x:c>
      <x:c r="C3204" t="str">
        <x:v>D</x:v>
      </x:c>
      <x:c r="D3204" t="str">
        <x:v>VVS1</x:v>
      </x:c>
      <x:c r="E3204" s="36" t="n">
        <x:v>147600</x:v>
      </x:c>
      <x:c r="F3204" s="36" t="n">
        <x:v>9555</x:v>
      </x:c>
      <x:c r="G3204" s="42" t="n">
        <x:v>2.0495495495495497</x:v>
      </x:c>
      <x:c r="H3204" s="36" t="n">
        <x:f>E3204*G3204</x:f>
        <x:v>302513.51351351355</x:v>
      </x:c>
      <x:c r="I3204" s="36" t="n">
        <x:f>IFERROR(H3204/A3204,0)</x:f>
        <x:v>50418.91891891893</x:v>
      </x:c>
      <x:c r="J3204" s="67" t="str">
        <x:v>Modeled from live base + Sep-2026 quality ratio</x:v>
      </x:c>
      <x:c r="K3204" s="67" t="str">
        <x:v>https://www.stonealgo.com/diamond-prices/</x:v>
      </x:c>
      <x:c r="L3204" s="67" t="str">
        <x:v>https://www.pricescope.com/blog/natural-diamond-prices-september-2026</x:v>
      </x:c>
    </x:row>
    <x:row r="3205">
      <x:c r="A3205" t="n">
        <x:v>6</x:v>
      </x:c>
      <x:c r="B3205" t="str">
        <x:v>Round</x:v>
      </x:c>
      <x:c r="C3205" t="str">
        <x:v>D</x:v>
      </x:c>
      <x:c r="D3205" t="str">
        <x:v>VVS2</x:v>
      </x:c>
      <x:c r="E3205" s="36" t="n">
        <x:v>147600</x:v>
      </x:c>
      <x:c r="F3205" s="36" t="n">
        <x:v>6660</x:v>
      </x:c>
      <x:c r="G3205" s="42" t="n">
        <x:v>1.4285714285714286</x:v>
      </x:c>
      <x:c r="H3205" s="36" t="n">
        <x:f>E3205*G3205</x:f>
        <x:v>210857.14285714287</x:v>
      </x:c>
      <x:c r="I3205" s="36" t="n">
        <x:f>IFERROR(H3205/A3205,0)</x:f>
        <x:v>35142.857142857145</x:v>
      </x:c>
      <x:c r="J3205" s="67" t="str">
        <x:v>Modeled from live base + Sep-2026 quality ratio</x:v>
      </x:c>
      <x:c r="K3205" s="67" t="str">
        <x:v>https://www.stonealgo.com/diamond-prices/</x:v>
      </x:c>
      <x:c r="L3205" s="67" t="str">
        <x:v>https://www.pricescope.com/blog/natural-diamond-prices-september-2026</x:v>
      </x:c>
    </x:row>
    <x:row r="3206">
      <x:c r="A3206" t="n">
        <x:v>6</x:v>
      </x:c>
      <x:c r="B3206" t="str">
        <x:v>Round</x:v>
      </x:c>
      <x:c r="C3206" t="str">
        <x:v>D</x:v>
      </x:c>
      <x:c r="D3206" t="str">
        <x:v>VS1</x:v>
      </x:c>
      <x:c r="E3206" s="36" t="n">
        <x:v>147600</x:v>
      </x:c>
      <x:c r="F3206" s="36" t="n">
        <x:v>6247</x:v>
      </x:c>
      <x:c r="G3206" s="42" t="n">
        <x:v>1.33998283998284</x:v>
      </x:c>
      <x:c r="H3206" s="36" t="n">
        <x:f>E3206*G3206</x:f>
        <x:v>197781.4671814672</x:v>
      </x:c>
      <x:c r="I3206" s="36" t="n">
        <x:f>IFERROR(H3206/A3206,0)</x:f>
        <x:v>32963.57786357786</x:v>
      </x:c>
      <x:c r="J3206" s="67" t="str">
        <x:v>Modeled from live base + Sep-2026 quality ratio</x:v>
      </x:c>
      <x:c r="K3206" s="67" t="str">
        <x:v>https://www.stonealgo.com/diamond-prices/</x:v>
      </x:c>
      <x:c r="L3206" s="67" t="str">
        <x:v>https://www.pricescope.com/blog/natural-diamond-prices-september-2026</x:v>
      </x:c>
    </x:row>
    <x:row r="3207">
      <x:c r="A3207" t="n">
        <x:v>6</x:v>
      </x:c>
      <x:c r="B3207" t="str">
        <x:v>Round</x:v>
      </x:c>
      <x:c r="C3207" t="str">
        <x:v>D</x:v>
      </x:c>
      <x:c r="D3207" t="str">
        <x:v>VS2</x:v>
      </x:c>
      <x:c r="E3207" s="36" t="n">
        <x:v>147600</x:v>
      </x:c>
      <x:c r="F3207" s="36" t="n">
        <x:v>5841</x:v>
      </x:c>
      <x:c r="G3207" s="42" t="n">
        <x:v>1.252895752895753</x:v>
      </x:c>
      <x:c r="H3207" s="36" t="n">
        <x:f>E3207*G3207</x:f>
        <x:v>184927.41312741314</x:v>
      </x:c>
      <x:c r="I3207" s="36" t="n">
        <x:f>IFERROR(H3207/A3207,0)</x:f>
        <x:v>30821.23552123552</x:v>
      </x:c>
      <x:c r="J3207" s="67" t="str">
        <x:v>Modeled from live base + Sep-2026 quality ratio</x:v>
      </x:c>
      <x:c r="K3207" s="67" t="str">
        <x:v>https://www.stonealgo.com/diamond-prices/</x:v>
      </x:c>
      <x:c r="L3207" s="67" t="str">
        <x:v>https://www.pricescope.com/blog/natural-diamond-prices-september-2026</x:v>
      </x:c>
    </x:row>
    <x:row r="3208">
      <x:c r="A3208" t="n">
        <x:v>6</x:v>
      </x:c>
      <x:c r="B3208" t="str">
        <x:v>Round</x:v>
      </x:c>
      <x:c r="C3208" t="str">
        <x:v>D</x:v>
      </x:c>
      <x:c r="D3208" t="str">
        <x:v>SI1</x:v>
      </x:c>
      <x:c r="E3208" s="36" t="n">
        <x:v>147600</x:v>
      </x:c>
      <x:c r="F3208" s="36" t="n">
        <x:v>3762</x:v>
      </x:c>
      <x:c r="G3208" s="42" t="n">
        <x:v>0.806949806949807</x:v>
      </x:c>
      <x:c r="H3208" s="36" t="n">
        <x:f>E3208*G3208</x:f>
        <x:v>119105.79150579151</x:v>
      </x:c>
      <x:c r="I3208" s="36" t="n">
        <x:f>IFERROR(H3208/A3208,0)</x:f>
        <x:v>19850.96525096525</x:v>
      </x:c>
      <x:c r="J3208" s="67" t="str">
        <x:v>Modeled from live base + Sep-2026 quality ratio</x:v>
      </x:c>
      <x:c r="K3208" s="67" t="str">
        <x:v>https://www.stonealgo.com/diamond-prices/</x:v>
      </x:c>
      <x:c r="L3208" s="67" t="str">
        <x:v>https://www.pricescope.com/blog/natural-diamond-prices-september-2026</x:v>
      </x:c>
    </x:row>
    <x:row r="3209">
      <x:c r="A3209" t="n">
        <x:v>6</x:v>
      </x:c>
      <x:c r="B3209" t="str">
        <x:v>Round</x:v>
      </x:c>
      <x:c r="C3209" t="str">
        <x:v>D</x:v>
      </x:c>
      <x:c r="D3209" t="str">
        <x:v>SI2</x:v>
      </x:c>
      <x:c r="E3209" s="36" t="n">
        <x:v>147600</x:v>
      </x:c>
      <x:c r="F3209" s="36" t="n">
        <x:v>3026</x:v>
      </x:c>
      <x:c r="G3209" s="42" t="n">
        <x:v>0.6490776490776491</x:v>
      </x:c>
      <x:c r="H3209" s="36" t="n">
        <x:f>E3209*G3209</x:f>
        <x:v>95803.861003861</x:v>
      </x:c>
      <x:c r="I3209" s="36" t="n">
        <x:f>IFERROR(H3209/A3209,0)</x:f>
        <x:v>15967.310167310168</x:v>
      </x:c>
      <x:c r="J3209" s="67" t="str">
        <x:v>Modeled from live base + Sep-2026 quality ratio</x:v>
      </x:c>
      <x:c r="K3209" s="67" t="str">
        <x:v>https://www.stonealgo.com/diamond-prices/</x:v>
      </x:c>
      <x:c r="L3209" s="67" t="str">
        <x:v>https://www.pricescope.com/blog/natural-diamond-prices-september-2026</x:v>
      </x:c>
    </x:row>
    <x:row r="3210">
      <x:c r="A3210" t="n">
        <x:v>6</x:v>
      </x:c>
      <x:c r="B3210" t="str">
        <x:v>Round</x:v>
      </x:c>
      <x:c r="C3210" t="str">
        <x:v>E</x:v>
      </x:c>
      <x:c r="D3210" t="str">
        <x:v>FL</x:v>
      </x:c>
      <x:c r="E3210" s="36" t="n">
        <x:v>147600</x:v>
      </x:c>
      <x:c r="F3210" s="36" t="n">
        <x:v>10072</x:v>
      </x:c>
      <x:c r="G3210" s="42" t="n">
        <x:v>2.1604461604461602</x:v>
      </x:c>
      <x:c r="H3210" s="36" t="n">
        <x:f>E3210*G3210</x:f>
        <x:v>318881.85328185325</x:v>
      </x:c>
      <x:c r="I3210" s="36" t="n">
        <x:f>IFERROR(H3210/A3210,0)</x:f>
        <x:v>53146.97554697554</x:v>
      </x:c>
      <x:c r="J3210" s="67" t="str">
        <x:v>Modeled from live base + Sep-2026 quality ratio</x:v>
      </x:c>
      <x:c r="K3210" s="67" t="str">
        <x:v>https://www.stonealgo.com/diamond-prices/</x:v>
      </x:c>
      <x:c r="L3210" s="67" t="str">
        <x:v>https://www.pricescope.com/blog/natural-diamond-prices-september-2026</x:v>
      </x:c>
    </x:row>
    <x:row r="3211">
      <x:c r="A3211" t="n">
        <x:v>6</x:v>
      </x:c>
      <x:c r="B3211" t="str">
        <x:v>Round</x:v>
      </x:c>
      <x:c r="C3211" t="str">
        <x:v>E</x:v>
      </x:c>
      <x:c r="D3211" t="str">
        <x:v>IF</x:v>
      </x:c>
      <x:c r="E3211" s="36" t="n">
        <x:v>147600</x:v>
      </x:c>
      <x:c r="F3211" s="36" t="n">
        <x:v>8672</x:v>
      </x:c>
      <x:c r="G3211" s="42" t="n">
        <x:v>1.8601458601458603</x:v>
      </x:c>
      <x:c r="H3211" s="36" t="n">
        <x:f>E3211*G3211</x:f>
        <x:v>274557.528957529</x:v>
      </x:c>
      <x:c r="I3211" s="36" t="n">
        <x:f>IFERROR(H3211/A3211,0)</x:f>
        <x:v>45759.588159588166</x:v>
      </x:c>
      <x:c r="J3211" s="67" t="str">
        <x:v>Modeled from live base + Sep-2026 quality ratio</x:v>
      </x:c>
      <x:c r="K3211" s="67" t="str">
        <x:v>https://www.stonealgo.com/diamond-prices/</x:v>
      </x:c>
      <x:c r="L3211" s="67" t="str">
        <x:v>https://www.pricescope.com/blog/natural-diamond-prices-september-2026</x:v>
      </x:c>
    </x:row>
    <x:row r="3212">
      <x:c r="A3212" t="n">
        <x:v>6</x:v>
      </x:c>
      <x:c r="B3212" t="str">
        <x:v>Round</x:v>
      </x:c>
      <x:c r="C3212" t="str">
        <x:v>E</x:v>
      </x:c>
      <x:c r="D3212" t="str">
        <x:v>VVS1</x:v>
      </x:c>
      <x:c r="E3212" s="36" t="n">
        <x:v>147600</x:v>
      </x:c>
      <x:c r="F3212" s="36" t="n">
        <x:v>7842</x:v>
      </x:c>
      <x:c r="G3212" s="42" t="n">
        <x:v>1.6821106821106822</x:v>
      </x:c>
      <x:c r="H3212" s="36" t="n">
        <x:f>E3212*G3212</x:f>
        <x:v>248279.5366795367</x:v>
      </x:c>
      <x:c r="I3212" s="36" t="n">
        <x:f>IFERROR(H3212/A3212,0)</x:f>
        <x:v>41379.92277992278</x:v>
      </x:c>
      <x:c r="J3212" s="67" t="str">
        <x:v>Modeled from live base + Sep-2026 quality ratio</x:v>
      </x:c>
      <x:c r="K3212" s="67" t="str">
        <x:v>https://www.stonealgo.com/diamond-prices/</x:v>
      </x:c>
      <x:c r="L3212" s="67" t="str">
        <x:v>https://www.pricescope.com/blog/natural-diamond-prices-september-2026</x:v>
      </x:c>
    </x:row>
    <x:row r="3213">
      <x:c r="A3213" t="n">
        <x:v>6</x:v>
      </x:c>
      <x:c r="B3213" t="str">
        <x:v>Round</x:v>
      </x:c>
      <x:c r="C3213" t="str">
        <x:v>E</x:v>
      </x:c>
      <x:c r="D3213" t="str">
        <x:v>VVS2</x:v>
      </x:c>
      <x:c r="E3213" s="36" t="n">
        <x:v>147600</x:v>
      </x:c>
      <x:c r="F3213" s="36" t="n">
        <x:v>6880</x:v>
      </x:c>
      <x:c r="G3213" s="42" t="n">
        <x:v>1.4757614757614759</x:v>
      </x:c>
      <x:c r="H3213" s="36" t="n">
        <x:f>E3213*G3213</x:f>
        <x:v>217822.39382239385</x:v>
      </x:c>
      <x:c r="I3213" s="36" t="n">
        <x:f>IFERROR(H3213/A3213,0)</x:f>
        <x:v>36303.73230373231</x:v>
      </x:c>
      <x:c r="J3213" s="67" t="str">
        <x:v>Modeled from live base + Sep-2026 quality ratio</x:v>
      </x:c>
      <x:c r="K3213" s="67" t="str">
        <x:v>https://www.stonealgo.com/diamond-prices/</x:v>
      </x:c>
      <x:c r="L3213" s="67" t="str">
        <x:v>https://www.pricescope.com/blog/natural-diamond-prices-september-2026</x:v>
      </x:c>
    </x:row>
    <x:row r="3214">
      <x:c r="A3214" t="n">
        <x:v>6</x:v>
      </x:c>
      <x:c r="B3214" t="str">
        <x:v>Round</x:v>
      </x:c>
      <x:c r="C3214" t="str">
        <x:v>E</x:v>
      </x:c>
      <x:c r="D3214" t="str">
        <x:v>VS1</x:v>
      </x:c>
      <x:c r="E3214" s="36" t="n">
        <x:v>147600</x:v>
      </x:c>
      <x:c r="F3214" s="36" t="n">
        <x:v>6307</x:v>
      </x:c>
      <x:c r="G3214" s="42" t="n">
        <x:v>1.352852852852853</x:v>
      </x:c>
      <x:c r="H3214" s="36" t="n">
        <x:f>E3214*G3214</x:f>
        <x:v>199681.0810810811</x:v>
      </x:c>
      <x:c r="I3214" s="36" t="n">
        <x:f>IFERROR(H3214/A3214,0)</x:f>
        <x:v>33280.180180180185</x:v>
      </x:c>
      <x:c r="J3214" s="67" t="str">
        <x:v>Modeled from live base + Sep-2026 quality ratio</x:v>
      </x:c>
      <x:c r="K3214" s="67" t="str">
        <x:v>https://www.stonealgo.com/diamond-prices/</x:v>
      </x:c>
      <x:c r="L3214" s="67" t="str">
        <x:v>https://www.pricescope.com/blog/natural-diamond-prices-september-2026</x:v>
      </x:c>
    </x:row>
    <x:row r="3215">
      <x:c r="A3215" t="n">
        <x:v>6</x:v>
      </x:c>
      <x:c r="B3215" t="str">
        <x:v>Round</x:v>
      </x:c>
      <x:c r="C3215" t="str">
        <x:v>E</x:v>
      </x:c>
      <x:c r="D3215" t="str">
        <x:v>VS2</x:v>
      </x:c>
      <x:c r="E3215" s="36" t="n">
        <x:v>147600</x:v>
      </x:c>
      <x:c r="F3215" s="36" t="n">
        <x:v>5249</x:v>
      </x:c>
      <x:c r="G3215" s="42" t="n">
        <x:v>1.125911625911626</x:v>
      </x:c>
      <x:c r="H3215" s="36" t="n">
        <x:f>E3215*G3215</x:f>
        <x:v>166184.555984556</x:v>
      </x:c>
      <x:c r="I3215" s="36" t="n">
        <x:f>IFERROR(H3215/A3215,0)</x:f>
        <x:v>27697.425997426002</x:v>
      </x:c>
      <x:c r="J3215" s="67" t="str">
        <x:v>Modeled from live base + Sep-2026 quality ratio</x:v>
      </x:c>
      <x:c r="K3215" s="67" t="str">
        <x:v>https://www.stonealgo.com/diamond-prices/</x:v>
      </x:c>
      <x:c r="L3215" s="67" t="str">
        <x:v>https://www.pricescope.com/blog/natural-diamond-prices-september-2026</x:v>
      </x:c>
    </x:row>
    <x:row r="3216">
      <x:c r="A3216" t="n">
        <x:v>6</x:v>
      </x:c>
      <x:c r="B3216" t="str">
        <x:v>Round</x:v>
      </x:c>
      <x:c r="C3216" t="str">
        <x:v>E</x:v>
      </x:c>
      <x:c r="D3216" t="str">
        <x:v>SI1</x:v>
      </x:c>
      <x:c r="E3216" s="36" t="n">
        <x:v>147600</x:v>
      </x:c>
      <x:c r="F3216" s="36" t="n">
        <x:v>3551</x:v>
      </x:c>
      <x:c r="G3216" s="42" t="n">
        <x:v>0.7616902616902617</x:v>
      </x:c>
      <x:c r="H3216" s="36" t="n">
        <x:f>E3216*G3216</x:f>
        <x:v>112425.48262548262</x:v>
      </x:c>
      <x:c r="I3216" s="36" t="n">
        <x:f>IFERROR(H3216/A3216,0)</x:f>
        <x:v>18737.580437580436</x:v>
      </x:c>
      <x:c r="J3216" s="67" t="str">
        <x:v>Modeled from live base + Sep-2026 quality ratio</x:v>
      </x:c>
      <x:c r="K3216" s="67" t="str">
        <x:v>https://www.stonealgo.com/diamond-prices/</x:v>
      </x:c>
      <x:c r="L3216" s="67" t="str">
        <x:v>https://www.pricescope.com/blog/natural-diamond-prices-september-2026</x:v>
      </x:c>
    </x:row>
    <x:row r="3217">
      <x:c r="A3217" t="n">
        <x:v>6</x:v>
      </x:c>
      <x:c r="B3217" t="str">
        <x:v>Round</x:v>
      </x:c>
      <x:c r="C3217" t="str">
        <x:v>E</x:v>
      </x:c>
      <x:c r="D3217" t="str">
        <x:v>SI2</x:v>
      </x:c>
      <x:c r="E3217" s="36" t="n">
        <x:v>147600</x:v>
      </x:c>
      <x:c r="F3217" s="36" t="n">
        <x:v>2993</x:v>
      </x:c>
      <x:c r="G3217" s="42" t="n">
        <x:v>0.641999141999142</x:v>
      </x:c>
      <x:c r="H3217" s="36" t="n">
        <x:f>E3217*G3217</x:f>
        <x:v>94759.07335907336</x:v>
      </x:c>
      <x:c r="I3217" s="36" t="n">
        <x:f>IFERROR(H3217/A3217,0)</x:f>
        <x:v>15793.178893178892</x:v>
      </x:c>
      <x:c r="J3217" s="67" t="str">
        <x:v>Modeled from live base + Sep-2026 quality ratio</x:v>
      </x:c>
      <x:c r="K3217" s="67" t="str">
        <x:v>https://www.stonealgo.com/diamond-prices/</x:v>
      </x:c>
      <x:c r="L3217" s="67" t="str">
        <x:v>https://www.pricescope.com/blog/natural-diamond-prices-september-2026</x:v>
      </x:c>
    </x:row>
    <x:row r="3218">
      <x:c r="A3218" t="n">
        <x:v>6</x:v>
      </x:c>
      <x:c r="B3218" t="str">
        <x:v>Round</x:v>
      </x:c>
      <x:c r="C3218" t="str">
        <x:v>F</x:v>
      </x:c>
      <x:c r="D3218" t="str">
        <x:v>FL</x:v>
      </x:c>
      <x:c r="E3218" s="36" t="n">
        <x:v>147600</x:v>
      </x:c>
      <x:c r="F3218" s="36" t="n">
        <x:v>6830</x:v>
      </x:c>
      <x:c r="G3218" s="42" t="n">
        <x:v>1.4650364650364651</x:v>
      </x:c>
      <x:c r="H3218" s="36" t="n">
        <x:f>E3218*G3218</x:f>
        <x:v>216239.38223938225</x:v>
      </x:c>
      <x:c r="I3218" s="36" t="n">
        <x:f>IFERROR(H3218/A3218,0)</x:f>
        <x:v>36039.89703989704</x:v>
      </x:c>
      <x:c r="J3218" s="67" t="str">
        <x:v>Modeled from live base + Sep-2026 quality ratio</x:v>
      </x:c>
      <x:c r="K3218" s="67" t="str">
        <x:v>https://www.stonealgo.com/diamond-prices/</x:v>
      </x:c>
      <x:c r="L3218" s="67" t="str">
        <x:v>https://www.pricescope.com/blog/natural-diamond-prices-september-2026</x:v>
      </x:c>
    </x:row>
    <x:row r="3219">
      <x:c r="A3219" t="n">
        <x:v>6</x:v>
      </x:c>
      <x:c r="B3219" t="str">
        <x:v>Round</x:v>
      </x:c>
      <x:c r="C3219" t="str">
        <x:v>F</x:v>
      </x:c>
      <x:c r="D3219" t="str">
        <x:v>IF</x:v>
      </x:c>
      <x:c r="E3219" s="36" t="n">
        <x:v>147600</x:v>
      </x:c>
      <x:c r="F3219" s="36" t="n">
        <x:v>7302</x:v>
      </x:c>
      <x:c r="G3219" s="42" t="n">
        <x:v>1.5662805662805663</x:v>
      </x:c>
      <x:c r="H3219" s="36" t="n">
        <x:f>E3219*G3219</x:f>
        <x:v>231183.0115830116</x:v>
      </x:c>
      <x:c r="I3219" s="36" t="n">
        <x:f>IFERROR(H3219/A3219,0)</x:f>
        <x:v>38530.50193050193</x:v>
      </x:c>
      <x:c r="J3219" s="67" t="str">
        <x:v>Modeled from live base + Sep-2026 quality ratio</x:v>
      </x:c>
      <x:c r="K3219" s="67" t="str">
        <x:v>https://www.stonealgo.com/diamond-prices/</x:v>
      </x:c>
      <x:c r="L3219" s="67" t="str">
        <x:v>https://www.pricescope.com/blog/natural-diamond-prices-september-2026</x:v>
      </x:c>
    </x:row>
    <x:row r="3220">
      <x:c r="A3220" t="n">
        <x:v>6</x:v>
      </x:c>
      <x:c r="B3220" t="str">
        <x:v>Round</x:v>
      </x:c>
      <x:c r="C3220" t="str">
        <x:v>F</x:v>
      </x:c>
      <x:c r="D3220" t="str">
        <x:v>VVS1</x:v>
      </x:c>
      <x:c r="E3220" s="36" t="n">
        <x:v>147600</x:v>
      </x:c>
      <x:c r="F3220" s="36" t="n">
        <x:v>7542</x:v>
      </x:c>
      <x:c r="G3220" s="42" t="n">
        <x:v>1.6177606177606179</x:v>
      </x:c>
      <x:c r="H3220" s="36" t="n">
        <x:f>E3220*G3220</x:f>
        <x:v>238781.4671814672</x:v>
      </x:c>
      <x:c r="I3220" s="36" t="n">
        <x:f>IFERROR(H3220/A3220,0)</x:f>
        <x:v>39796.9111969112</x:v>
      </x:c>
      <x:c r="J3220" s="67" t="str">
        <x:v>Modeled from live base + Sep-2026 quality ratio</x:v>
      </x:c>
      <x:c r="K3220" s="67" t="str">
        <x:v>https://www.stonealgo.com/diamond-prices/</x:v>
      </x:c>
      <x:c r="L3220" s="67" t="str">
        <x:v>https://www.pricescope.com/blog/natural-diamond-prices-september-2026</x:v>
      </x:c>
    </x:row>
    <x:row r="3221">
      <x:c r="A3221" t="n">
        <x:v>6</x:v>
      </x:c>
      <x:c r="B3221" t="str">
        <x:v>Round</x:v>
      </x:c>
      <x:c r="C3221" t="str">
        <x:v>F</x:v>
      </x:c>
      <x:c r="D3221" t="str">
        <x:v>VVS2</x:v>
      </x:c>
      <x:c r="E3221" s="36" t="n">
        <x:v>147600</x:v>
      </x:c>
      <x:c r="F3221" s="36" t="n">
        <x:v>6352</x:v>
      </x:c>
      <x:c r="G3221" s="42" t="n">
        <x:v>1.3625053625053625</x:v>
      </x:c>
      <x:c r="H3221" s="36" t="n">
        <x:f>E3221*G3221</x:f>
        <x:v>201105.7915057915</x:v>
      </x:c>
      <x:c r="I3221" s="36" t="n">
        <x:f>IFERROR(H3221/A3221,0)</x:f>
        <x:v>33517.631917631916</x:v>
      </x:c>
      <x:c r="J3221" s="67" t="str">
        <x:v>Modeled from live base + Sep-2026 quality ratio</x:v>
      </x:c>
      <x:c r="K3221" s="67" t="str">
        <x:v>https://www.stonealgo.com/diamond-prices/</x:v>
      </x:c>
      <x:c r="L3221" s="67" t="str">
        <x:v>https://www.pricescope.com/blog/natural-diamond-prices-september-2026</x:v>
      </x:c>
    </x:row>
    <x:row r="3222">
      <x:c r="A3222" t="n">
        <x:v>6</x:v>
      </x:c>
      <x:c r="B3222" t="str">
        <x:v>Round</x:v>
      </x:c>
      <x:c r="C3222" t="str">
        <x:v>F</x:v>
      </x:c>
      <x:c r="D3222" t="str">
        <x:v>VS1</x:v>
      </x:c>
      <x:c r="E3222" s="36" t="n">
        <x:v>147600</x:v>
      </x:c>
      <x:c r="F3222" s="36" t="n">
        <x:v>5647</x:v>
      </x:c>
      <x:c r="G3222" s="42" t="n">
        <x:v>1.2112827112827114</x:v>
      </x:c>
      <x:c r="H3222" s="36" t="n">
        <x:f>E3222*G3222</x:f>
        <x:v>178785.3281853282</x:v>
      </x:c>
      <x:c r="I3222" s="36" t="n">
        <x:f>IFERROR(H3222/A3222,0)</x:f>
        <x:v>29797.5546975547</x:v>
      </x:c>
      <x:c r="J3222" s="67" t="str">
        <x:v>Modeled from live base + Sep-2026 quality ratio</x:v>
      </x:c>
      <x:c r="K3222" s="67" t="str">
        <x:v>https://www.stonealgo.com/diamond-prices/</x:v>
      </x:c>
      <x:c r="L3222" s="67" t="str">
        <x:v>https://www.pricescope.com/blog/natural-diamond-prices-september-2026</x:v>
      </x:c>
    </x:row>
    <x:row r="3223">
      <x:c r="A3223" t="n">
        <x:v>6</x:v>
      </x:c>
      <x:c r="B3223" t="str">
        <x:v>Round</x:v>
      </x:c>
      <x:c r="C3223" t="str">
        <x:v>F</x:v>
      </x:c>
      <x:c r="D3223" t="str">
        <x:v>VS2</x:v>
      </x:c>
      <x:c r="E3223" s="36" t="n">
        <x:v>147600</x:v>
      </x:c>
      <x:c r="F3223" s="36" t="n">
        <x:v>4730</x:v>
      </x:c>
      <x:c r="G3223" s="42" t="n">
        <x:v>1.0145860145860146</x:v>
      </x:c>
      <x:c r="H3223" s="36" t="n">
        <x:f>E3223*G3223</x:f>
        <x:v>149752.89575289577</x:v>
      </x:c>
      <x:c r="I3223" s="36" t="n">
        <x:f>IFERROR(H3223/A3223,0)</x:f>
        <x:v>24958.81595881596</x:v>
      </x:c>
      <x:c r="J3223" s="67" t="str">
        <x:v>Modeled from live base + Sep-2026 quality ratio</x:v>
      </x:c>
      <x:c r="K3223" s="67" t="str">
        <x:v>https://www.stonealgo.com/diamond-prices/</x:v>
      </x:c>
      <x:c r="L3223" s="67" t="str">
        <x:v>https://www.pricescope.com/blog/natural-diamond-prices-september-2026</x:v>
      </x:c>
    </x:row>
    <x:row r="3224">
      <x:c r="A3224" t="n">
        <x:v>6</x:v>
      </x:c>
      <x:c r="B3224" t="str">
        <x:v>Round</x:v>
      </x:c>
      <x:c r="C3224" t="str">
        <x:v>F</x:v>
      </x:c>
      <x:c r="D3224" t="str">
        <x:v>SI1</x:v>
      </x:c>
      <x:c r="E3224" s="36" t="n">
        <x:v>147600</x:v>
      </x:c>
      <x:c r="F3224" s="36" t="n">
        <x:v>3331</x:v>
      </x:c>
      <x:c r="G3224" s="42" t="n">
        <x:v>0.7145002145002145</x:v>
      </x:c>
      <x:c r="H3224" s="36" t="n">
        <x:f>E3224*G3224</x:f>
        <x:v>105460.23166023166</x:v>
      </x:c>
      <x:c r="I3224" s="36" t="n">
        <x:f>IFERROR(H3224/A3224,0)</x:f>
        <x:v>17576.705276705277</x:v>
      </x:c>
      <x:c r="J3224" s="67" t="str">
        <x:v>Modeled from live base + Sep-2026 quality ratio</x:v>
      </x:c>
      <x:c r="K3224" s="67" t="str">
        <x:v>https://www.stonealgo.com/diamond-prices/</x:v>
      </x:c>
      <x:c r="L3224" s="67" t="str">
        <x:v>https://www.pricescope.com/blog/natural-diamond-prices-september-2026</x:v>
      </x:c>
    </x:row>
    <x:row r="3225">
      <x:c r="A3225" t="n">
        <x:v>6</x:v>
      </x:c>
      <x:c r="B3225" t="str">
        <x:v>Round</x:v>
      </x:c>
      <x:c r="C3225" t="str">
        <x:v>F</x:v>
      </x:c>
      <x:c r="D3225" t="str">
        <x:v>SI2</x:v>
      </x:c>
      <x:c r="E3225" s="36" t="n">
        <x:v>147600</x:v>
      </x:c>
      <x:c r="F3225" s="36" t="n">
        <x:v>2733</x:v>
      </x:c>
      <x:c r="G3225" s="42" t="n">
        <x:v>0.5862290862290862</x:v>
      </x:c>
      <x:c r="H3225" s="36" t="n">
        <x:f>E3225*G3225</x:f>
        <x:v>86527.41312741312</x:v>
      </x:c>
      <x:c r="I3225" s="36" t="n">
        <x:f>IFERROR(H3225/A3225,0)</x:f>
        <x:v>14421.23552123552</x:v>
      </x:c>
      <x:c r="J3225" s="67" t="str">
        <x:v>Modeled from live base + Sep-2026 quality ratio</x:v>
      </x:c>
      <x:c r="K3225" s="67" t="str">
        <x:v>https://www.stonealgo.com/diamond-prices/</x:v>
      </x:c>
      <x:c r="L3225" s="67" t="str">
        <x:v>https://www.pricescope.com/blog/natural-diamond-prices-september-2026</x:v>
      </x:c>
    </x:row>
    <x:row r="3226">
      <x:c r="A3226" t="n">
        <x:v>6</x:v>
      </x:c>
      <x:c r="B3226" t="str">
        <x:v>Round</x:v>
      </x:c>
      <x:c r="C3226" t="str">
        <x:v>G</x:v>
      </x:c>
      <x:c r="D3226" t="str">
        <x:v>FL</x:v>
      </x:c>
      <x:c r="E3226" s="36" t="n">
        <x:v>147600</x:v>
      </x:c>
      <x:c r="F3226" s="36" t="n">
        <x:v>5905</x:v>
      </x:c>
      <x:c r="G3226" s="42" t="n">
        <x:v>1.2666237666237665</x:v>
      </x:c>
      <x:c r="H3226" s="36" t="n">
        <x:f>E3226*G3226</x:f>
        <x:v>186953.66795366793</x:v>
      </x:c>
      <x:c r="I3226" s="36" t="n">
        <x:f>IFERROR(H3226/A3226,0)</x:f>
        <x:v>31158.944658944656</x:v>
      </x:c>
      <x:c r="J3226" s="67" t="str">
        <x:v>Modeled from live base + Sep-2026 quality ratio</x:v>
      </x:c>
      <x:c r="K3226" s="67" t="str">
        <x:v>https://www.stonealgo.com/diamond-prices/</x:v>
      </x:c>
      <x:c r="L3226" s="67" t="str">
        <x:v>https://www.pricescope.com/blog/natural-diamond-prices-september-2026</x:v>
      </x:c>
    </x:row>
    <x:row r="3227">
      <x:c r="A3227" t="n">
        <x:v>6</x:v>
      </x:c>
      <x:c r="B3227" t="str">
        <x:v>Round</x:v>
      </x:c>
      <x:c r="C3227" t="str">
        <x:v>G</x:v>
      </x:c>
      <x:c r="D3227" t="str">
        <x:v>IF</x:v>
      </x:c>
      <x:c r="E3227" s="36" t="n">
        <x:v>147600</x:v>
      </x:c>
      <x:c r="F3227" s="36" t="n">
        <x:v>5601</x:v>
      </x:c>
      <x:c r="G3227" s="42" t="n">
        <x:v>1.2014157014157014</x:v>
      </x:c>
      <x:c r="H3227" s="36" t="n">
        <x:f>E3227*G3227</x:f>
        <x:v>177328.95752895754</x:v>
      </x:c>
      <x:c r="I3227" s="36" t="n">
        <x:f>IFERROR(H3227/A3227,0)</x:f>
        <x:v>29554.826254826257</x:v>
      </x:c>
      <x:c r="J3227" s="67" t="str">
        <x:v>Modeled from live base + Sep-2026 quality ratio</x:v>
      </x:c>
      <x:c r="K3227" s="67" t="str">
        <x:v>https://www.stonealgo.com/diamond-prices/</x:v>
      </x:c>
      <x:c r="L3227" s="67" t="str">
        <x:v>https://www.pricescope.com/blog/natural-diamond-prices-september-2026</x:v>
      </x:c>
    </x:row>
    <x:row r="3228">
      <x:c r="A3228" t="n">
        <x:v>6</x:v>
      </x:c>
      <x:c r="B3228" t="str">
        <x:v>Round</x:v>
      </x:c>
      <x:c r="C3228" t="str">
        <x:v>G</x:v>
      </x:c>
      <x:c r="D3228" t="str">
        <x:v>VVS1</x:v>
      </x:c>
      <x:c r="E3228" s="36" t="n">
        <x:v>147600</x:v>
      </x:c>
      <x:c r="F3228" s="36" t="n">
        <x:v>5124</x:v>
      </x:c>
      <x:c r="G3228" s="42" t="n">
        <x:v>1.0990990990990992</x:v>
      </x:c>
      <x:c r="H3228" s="36" t="n">
        <x:f>E3228*G3228</x:f>
        <x:v>162227.02702702704</x:v>
      </x:c>
      <x:c r="I3228" s="36" t="n">
        <x:f>IFERROR(H3228/A3228,0)</x:f>
        <x:v>27037.83783783784</x:v>
      </x:c>
      <x:c r="J3228" s="67" t="str">
        <x:v>Modeled from live base + Sep-2026 quality ratio</x:v>
      </x:c>
      <x:c r="K3228" s="67" t="str">
        <x:v>https://www.stonealgo.com/diamond-prices/</x:v>
      </x:c>
      <x:c r="L3228" s="67" t="str">
        <x:v>https://www.pricescope.com/blog/natural-diamond-prices-september-2026</x:v>
      </x:c>
    </x:row>
    <x:row r="3229">
      <x:c r="A3229" t="n">
        <x:v>6</x:v>
      </x:c>
      <x:c r="B3229" t="str">
        <x:v>Round</x:v>
      </x:c>
      <x:c r="C3229" t="str">
        <x:v>G</x:v>
      </x:c>
      <x:c r="D3229" t="str">
        <x:v>VVS2</x:v>
      </x:c>
      <x:c r="E3229" s="36" t="n">
        <x:v>147600</x:v>
      </x:c>
      <x:c r="F3229" s="36" t="n">
        <x:v>4962</x:v>
      </x:c>
      <x:c r="G3229" s="42" t="n">
        <x:v>1.0643500643500643</x:v>
      </x:c>
      <x:c r="H3229" s="36" t="n">
        <x:f>E3229*G3229</x:f>
        <x:v>157098.0694980695</x:v>
      </x:c>
      <x:c r="I3229" s="36" t="n">
        <x:f>IFERROR(H3229/A3229,0)</x:f>
        <x:v>26183.011583011583</x:v>
      </x:c>
      <x:c r="J3229" s="67" t="str">
        <x:v>Modeled from live base + Sep-2026 quality ratio</x:v>
      </x:c>
      <x:c r="K3229" s="67" t="str">
        <x:v>https://www.stonealgo.com/diamond-prices/</x:v>
      </x:c>
      <x:c r="L3229" s="67" t="str">
        <x:v>https://www.pricescope.com/blog/natural-diamond-prices-september-2026</x:v>
      </x:c>
    </x:row>
    <x:row r="3230">
      <x:c r="A3230" t="n">
        <x:v>6</x:v>
      </x:c>
      <x:c r="B3230" t="str">
        <x:v>Round</x:v>
      </x:c>
      <x:c r="C3230" t="str">
        <x:v>G</x:v>
      </x:c>
      <x:c r="D3230" t="str">
        <x:v>VS1</x:v>
      </x:c>
      <x:c r="E3230" s="36" t="n">
        <x:v>147600</x:v>
      </x:c>
      <x:c r="F3230" s="36" t="n">
        <x:v>4615</x:v>
      </x:c>
      <x:c r="G3230" s="42" t="n">
        <x:v>0.98991848991849</x:v>
      </x:c>
      <x:c r="H3230" s="36" t="n">
        <x:f>E3230*G3230</x:f>
        <x:v>146111.9691119691</x:v>
      </x:c>
      <x:c r="I3230" s="36" t="n">
        <x:f>IFERROR(H3230/A3230,0)</x:f>
        <x:v>24351.994851994852</x:v>
      </x:c>
      <x:c r="J3230" s="67" t="str">
        <x:v>Modeled from live base + Sep-2026 quality ratio</x:v>
      </x:c>
      <x:c r="K3230" s="67" t="str">
        <x:v>https://www.stonealgo.com/diamond-prices/</x:v>
      </x:c>
      <x:c r="L3230" s="67" t="str">
        <x:v>https://www.pricescope.com/blog/natural-diamond-prices-september-2026</x:v>
      </x:c>
    </x:row>
    <x:row r="3231">
      <x:c r="A3231" t="n">
        <x:v>6</x:v>
      </x:c>
      <x:c r="B3231" t="str">
        <x:v>Round</x:v>
      </x:c>
      <x:c r="C3231" t="str">
        <x:v>G</x:v>
      </x:c>
      <x:c r="D3231" t="str">
        <x:v>VS2</x:v>
      </x:c>
      <x:c r="E3231" s="36" t="n">
        <x:v>147600</x:v>
      </x:c>
      <x:c r="F3231" s="36" t="n">
        <x:v>4585</x:v>
      </x:c>
      <x:c r="G3231" s="42" t="n">
        <x:v>0.9834834834834835</x:v>
      </x:c>
      <x:c r="H3231" s="36" t="n">
        <x:f>E3231*G3231</x:f>
        <x:v>145162.16216216216</x:v>
      </x:c>
      <x:c r="I3231" s="36" t="n">
        <x:f>IFERROR(H3231/A3231,0)</x:f>
        <x:v>24193.693693693695</x:v>
      </x:c>
      <x:c r="J3231" s="67" t="str">
        <x:v>Modeled from live base + Sep-2026 quality ratio</x:v>
      </x:c>
      <x:c r="K3231" s="67" t="str">
        <x:v>https://www.stonealgo.com/diamond-prices/</x:v>
      </x:c>
      <x:c r="L3231" s="67" t="str">
        <x:v>https://www.pricescope.com/blog/natural-diamond-prices-september-2026</x:v>
      </x:c>
    </x:row>
    <x:row r="3232">
      <x:c r="A3232" t="n">
        <x:v>6</x:v>
      </x:c>
      <x:c r="B3232" t="str">
        <x:v>Round</x:v>
      </x:c>
      <x:c r="C3232" t="str">
        <x:v>G</x:v>
      </x:c>
      <x:c r="D3232" t="str">
        <x:v>SI1</x:v>
      </x:c>
      <x:c r="E3232" s="36" t="n">
        <x:v>147600</x:v>
      </x:c>
      <x:c r="F3232" s="36" t="n">
        <x:v>3664</x:v>
      </x:c>
      <x:c r="G3232" s="42" t="n">
        <x:v>0.7859287859287859</x:v>
      </x:c>
      <x:c r="H3232" s="36" t="n">
        <x:f>E3232*G3232</x:f>
        <x:v>116003.0888030888</x:v>
      </x:c>
      <x:c r="I3232" s="36" t="n">
        <x:f>IFERROR(H3232/A3232,0)</x:f>
        <x:v>19333.848133848132</x:v>
      </x:c>
      <x:c r="J3232" s="67" t="str">
        <x:v>Modeled from live base + Sep-2026 quality ratio</x:v>
      </x:c>
      <x:c r="K3232" s="67" t="str">
        <x:v>https://www.stonealgo.com/diamond-prices/</x:v>
      </x:c>
      <x:c r="L3232" s="67" t="str">
        <x:v>https://www.pricescope.com/blog/natural-diamond-prices-september-2026</x:v>
      </x:c>
    </x:row>
    <x:row r="3233">
      <x:c r="A3233" t="n">
        <x:v>6</x:v>
      </x:c>
      <x:c r="B3233" t="str">
        <x:v>Round</x:v>
      </x:c>
      <x:c r="C3233" t="str">
        <x:v>G</x:v>
      </x:c>
      <x:c r="D3233" t="str">
        <x:v>SI2</x:v>
      </x:c>
      <x:c r="E3233" s="36" t="n">
        <x:v>147600</x:v>
      </x:c>
      <x:c r="F3233" s="36" t="n">
        <x:v>2537</x:v>
      </x:c>
      <x:c r="G3233" s="42" t="n">
        <x:v>0.5441870441870442</x:v>
      </x:c>
      <x:c r="H3233" s="36" t="n">
        <x:f>E3233*G3233</x:f>
        <x:v>80322.00772200772</x:v>
      </x:c>
      <x:c r="I3233" s="36" t="n">
        <x:f>IFERROR(H3233/A3233,0)</x:f>
        <x:v>13387.001287001287</x:v>
      </x:c>
      <x:c r="J3233" s="67" t="str">
        <x:v>Modeled from live base + Sep-2026 quality ratio</x:v>
      </x:c>
      <x:c r="K3233" s="67" t="str">
        <x:v>https://www.stonealgo.com/diamond-prices/</x:v>
      </x:c>
      <x:c r="L3233" s="67" t="str">
        <x:v>https://www.pricescope.com/blog/natural-diamond-prices-september-2026</x:v>
      </x:c>
    </x:row>
    <x:row r="3234">
      <x:c r="A3234" t="n">
        <x:v>6</x:v>
      </x:c>
      <x:c r="B3234" t="str">
        <x:v>Round</x:v>
      </x:c>
      <x:c r="C3234" t="str">
        <x:v>H</x:v>
      </x:c>
      <x:c r="D3234" t="str">
        <x:v>FL</x:v>
      </x:c>
      <x:c r="E3234" s="36" t="n">
        <x:v>147600</x:v>
      </x:c>
      <x:c r="F3234" s="36" t="n">
        <x:v>4563</x:v>
      </x:c>
      <x:c r="G3234" s="42" t="n">
        <x:v>0.9787644787644788</x:v>
      </x:c>
      <x:c r="H3234" s="36" t="n">
        <x:f>E3234*G3234</x:f>
        <x:v>144465.63706563707</x:v>
      </x:c>
      <x:c r="I3234" s="36" t="n">
        <x:f>IFERROR(H3234/A3234,0)</x:f>
        <x:v>24077.60617760618</x:v>
      </x:c>
      <x:c r="J3234" s="67" t="str">
        <x:v>Modeled from live base + Sep-2026 quality ratio</x:v>
      </x:c>
      <x:c r="K3234" s="67" t="str">
        <x:v>https://www.stonealgo.com/diamond-prices/</x:v>
      </x:c>
      <x:c r="L3234" s="67" t="str">
        <x:v>https://www.pricescope.com/blog/natural-diamond-prices-september-2026</x:v>
      </x:c>
    </x:row>
    <x:row r="3235">
      <x:c r="A3235" t="n">
        <x:v>6</x:v>
      </x:c>
      <x:c r="B3235" t="str">
        <x:v>Round</x:v>
      </x:c>
      <x:c r="C3235" t="str">
        <x:v>H</x:v>
      </x:c>
      <x:c r="D3235" t="str">
        <x:v>IF</x:v>
      </x:c>
      <x:c r="E3235" s="36" t="n">
        <x:v>147600</x:v>
      </x:c>
      <x:c r="F3235" s="36" t="n">
        <x:v>4809</x:v>
      </x:c>
      <x:c r="G3235" s="42" t="n">
        <x:v>1.0315315315315314</x:v>
      </x:c>
      <x:c r="H3235" s="36" t="n">
        <x:f>E3235*G3235</x:f>
        <x:v>152254.05405405405</x:v>
      </x:c>
      <x:c r="I3235" s="36" t="n">
        <x:f>IFERROR(H3235/A3235,0)</x:f>
        <x:v>25375.675675675677</x:v>
      </x:c>
      <x:c r="J3235" s="67" t="str">
        <x:v>Modeled from live base + Sep-2026 quality ratio</x:v>
      </x:c>
      <x:c r="K3235" s="67" t="str">
        <x:v>https://www.stonealgo.com/diamond-prices/</x:v>
      </x:c>
      <x:c r="L3235" s="67" t="str">
        <x:v>https://www.pricescope.com/blog/natural-diamond-prices-september-2026</x:v>
      </x:c>
    </x:row>
    <x:row r="3236">
      <x:c r="A3236" t="n">
        <x:v>6</x:v>
      </x:c>
      <x:c r="B3236" t="str">
        <x:v>Round</x:v>
      </x:c>
      <x:c r="C3236" t="str">
        <x:v>H</x:v>
      </x:c>
      <x:c r="D3236" t="str">
        <x:v>VVS1</x:v>
      </x:c>
      <x:c r="E3236" s="36" t="n">
        <x:v>147600</x:v>
      </x:c>
      <x:c r="F3236" s="36" t="n">
        <x:v>4911</x:v>
      </x:c>
      <x:c r="G3236" s="42" t="n">
        <x:v>1.0534105534105533</x:v>
      </x:c>
      <x:c r="H3236" s="36" t="n">
        <x:f>E3236*G3236</x:f>
        <x:v>155483.39768339766</x:v>
      </x:c>
      <x:c r="I3236" s="36" t="n">
        <x:f>IFERROR(H3236/A3236,0)</x:f>
        <x:v>25913.89961389961</x:v>
      </x:c>
      <x:c r="J3236" s="67" t="str">
        <x:v>Modeled from live base + Sep-2026 quality ratio</x:v>
      </x:c>
      <x:c r="K3236" s="67" t="str">
        <x:v>https://www.stonealgo.com/diamond-prices/</x:v>
      </x:c>
      <x:c r="L3236" s="67" t="str">
        <x:v>https://www.pricescope.com/blog/natural-diamond-prices-september-2026</x:v>
      </x:c>
    </x:row>
    <x:row r="3237">
      <x:c r="A3237" t="n">
        <x:v>6</x:v>
      </x:c>
      <x:c r="B3237" t="str">
        <x:v>Round</x:v>
      </x:c>
      <x:c r="C3237" t="str">
        <x:v>H</x:v>
      </x:c>
      <x:c r="D3237" t="str">
        <x:v>VVS2</x:v>
      </x:c>
      <x:c r="E3237" s="36" t="n">
        <x:v>147600</x:v>
      </x:c>
      <x:c r="F3237" s="36" t="n">
        <x:v>4046</x:v>
      </x:c>
      <x:c r="G3237" s="42" t="n">
        <x:v>0.8678678678678678</x:v>
      </x:c>
      <x:c r="H3237" s="36" t="n">
        <x:f>E3237*G3237</x:f>
        <x:v>128097.2972972973</x:v>
      </x:c>
      <x:c r="I3237" s="36" t="n">
        <x:f>IFERROR(H3237/A3237,0)</x:f>
        <x:v>21349.54954954955</x:v>
      </x:c>
      <x:c r="J3237" s="67" t="str">
        <x:v>Modeled from live base + Sep-2026 quality ratio</x:v>
      </x:c>
      <x:c r="K3237" s="67" t="str">
        <x:v>https://www.stonealgo.com/diamond-prices/</x:v>
      </x:c>
      <x:c r="L3237" s="67" t="str">
        <x:v>https://www.pricescope.com/blog/natural-diamond-prices-september-2026</x:v>
      </x:c>
    </x:row>
    <x:row r="3238">
      <x:c r="A3238" t="n">
        <x:v>6</x:v>
      </x:c>
      <x:c r="B3238" t="str">
        <x:v>Round</x:v>
      </x:c>
      <x:c r="C3238" t="str">
        <x:v>H</x:v>
      </x:c>
      <x:c r="D3238" t="str">
        <x:v>VS1</x:v>
      </x:c>
      <x:c r="E3238" s="36" t="n">
        <x:v>147600</x:v>
      </x:c>
      <x:c r="F3238" s="36" t="n">
        <x:v>3893</x:v>
      </x:c>
      <x:c r="G3238" s="42" t="n">
        <x:v>0.8350493350493351</x:v>
      </x:c>
      <x:c r="H3238" s="36" t="n">
        <x:f>E3238*G3238</x:f>
        <x:v>123253.28185328186</x:v>
      </x:c>
      <x:c r="I3238" s="36" t="n">
        <x:f>IFERROR(H3238/A3238,0)</x:f>
        <x:v>20542.213642213643</x:v>
      </x:c>
      <x:c r="J3238" s="67" t="str">
        <x:v>Modeled from live base + Sep-2026 quality ratio</x:v>
      </x:c>
      <x:c r="K3238" s="67" t="str">
        <x:v>https://www.stonealgo.com/diamond-prices/</x:v>
      </x:c>
      <x:c r="L3238" s="67" t="str">
        <x:v>https://www.pricescope.com/blog/natural-diamond-prices-september-2026</x:v>
      </x:c>
    </x:row>
    <x:row r="3239">
      <x:c r="A3239" t="n">
        <x:v>6</x:v>
      </x:c>
      <x:c r="B3239" t="str">
        <x:v>Round</x:v>
      </x:c>
      <x:c r="C3239" t="str">
        <x:v>H</x:v>
      </x:c>
      <x:c r="D3239" t="str">
        <x:v>VS2</x:v>
      </x:c>
      <x:c r="E3239" s="36" t="n">
        <x:v>147600</x:v>
      </x:c>
      <x:c r="F3239" s="36" t="n">
        <x:v>3989</x:v>
      </x:c>
      <x:c r="G3239" s="42" t="n">
        <x:v>0.8556413556413557</x:v>
      </x:c>
      <x:c r="H3239" s="36" t="n">
        <x:f>E3239*G3239</x:f>
        <x:v>126292.6640926641</x:v>
      </x:c>
      <x:c r="I3239" s="36" t="n">
        <x:f>IFERROR(H3239/A3239,0)</x:f>
        <x:v>21048.77734877735</x:v>
      </x:c>
      <x:c r="J3239" s="67" t="str">
        <x:v>Modeled from live base + Sep-2026 quality ratio</x:v>
      </x:c>
      <x:c r="K3239" s="67" t="str">
        <x:v>https://www.stonealgo.com/diamond-prices/</x:v>
      </x:c>
      <x:c r="L3239" s="67" t="str">
        <x:v>https://www.pricescope.com/blog/natural-diamond-prices-september-2026</x:v>
      </x:c>
    </x:row>
    <x:row r="3240">
      <x:c r="A3240" t="n">
        <x:v>6</x:v>
      </x:c>
      <x:c r="B3240" t="str">
        <x:v>Round</x:v>
      </x:c>
      <x:c r="C3240" t="str">
        <x:v>H</x:v>
      </x:c>
      <x:c r="D3240" t="str">
        <x:v>SI1</x:v>
      </x:c>
      <x:c r="E3240" s="36" t="n">
        <x:v>147600</x:v>
      </x:c>
      <x:c r="F3240" s="36" t="n">
        <x:v>2828</x:v>
      </x:c>
      <x:c r="G3240" s="42" t="n">
        <x:v>0.6066066066066066</x:v>
      </x:c>
      <x:c r="H3240" s="36" t="n">
        <x:f>E3240*G3240</x:f>
        <x:v>89535.13513513513</x:v>
      </x:c>
      <x:c r="I3240" s="36" t="n">
        <x:f>IFERROR(H3240/A3240,0)</x:f>
        <x:v>14922.522522522522</x:v>
      </x:c>
      <x:c r="J3240" s="67" t="str">
        <x:v>Modeled from live base + Sep-2026 quality ratio</x:v>
      </x:c>
      <x:c r="K3240" s="67" t="str">
        <x:v>https://www.stonealgo.com/diamond-prices/</x:v>
      </x:c>
      <x:c r="L3240" s="67" t="str">
        <x:v>https://www.pricescope.com/blog/natural-diamond-prices-september-2026</x:v>
      </x:c>
    </x:row>
    <x:row r="3241">
      <x:c r="A3241" t="n">
        <x:v>6</x:v>
      </x:c>
      <x:c r="B3241" t="str">
        <x:v>Round</x:v>
      </x:c>
      <x:c r="C3241" t="str">
        <x:v>H</x:v>
      </x:c>
      <x:c r="D3241" t="str">
        <x:v>SI2</x:v>
      </x:c>
      <x:c r="E3241" s="36" t="n">
        <x:v>147600</x:v>
      </x:c>
      <x:c r="F3241" s="36" t="n">
        <x:v>2328</x:v>
      </x:c>
      <x:c r="G3241" s="42" t="n">
        <x:v>0.49935649935649934</x:v>
      </x:c>
      <x:c r="H3241" s="36" t="n">
        <x:f>E3241*G3241</x:f>
        <x:v>73705.0193050193</x:v>
      </x:c>
      <x:c r="I3241" s="36" t="n">
        <x:f>IFERROR(H3241/A3241,0)</x:f>
        <x:v>12284.169884169884</x:v>
      </x:c>
      <x:c r="J3241" s="67" t="str">
        <x:v>Modeled from live base + Sep-2026 quality ratio</x:v>
      </x:c>
      <x:c r="K3241" s="67" t="str">
        <x:v>https://www.stonealgo.com/diamond-prices/</x:v>
      </x:c>
      <x:c r="L3241" s="67" t="str">
        <x:v>https://www.pricescope.com/blog/natural-diamond-prices-september-2026</x:v>
      </x:c>
    </x:row>
    <x:row r="3242">
      <x:c r="A3242" t="n">
        <x:v>6</x:v>
      </x:c>
      <x:c r="B3242" t="str">
        <x:v>Round</x:v>
      </x:c>
      <x:c r="C3242" t="str">
        <x:v>I</x:v>
      </x:c>
      <x:c r="D3242" t="str">
        <x:v>FL</x:v>
      </x:c>
      <x:c r="E3242" s="36" t="n">
        <x:v>147600</x:v>
      </x:c>
      <x:c r="F3242" s="36" t="n">
        <x:v>4623</x:v>
      </x:c>
      <x:c r="G3242" s="42" t="n">
        <x:v>0.9916344916344917</x:v>
      </x:c>
      <x:c r="H3242" s="36" t="n">
        <x:f>E3242*G3242</x:f>
        <x:v>146365.25096525098</x:v>
      </x:c>
      <x:c r="I3242" s="36" t="n">
        <x:f>IFERROR(H3242/A3242,0)</x:f>
        <x:v>24394.208494208495</x:v>
      </x:c>
      <x:c r="J3242" s="67" t="str">
        <x:v>Modeled from live base + Sep-2026 quality ratio</x:v>
      </x:c>
      <x:c r="K3242" s="67" t="str">
        <x:v>https://www.stonealgo.com/diamond-prices/</x:v>
      </x:c>
      <x:c r="L3242" s="67" t="str">
        <x:v>https://www.pricescope.com/blog/natural-diamond-prices-september-2026</x:v>
      </x:c>
    </x:row>
    <x:row r="3243">
      <x:c r="A3243" t="n">
        <x:v>6</x:v>
      </x:c>
      <x:c r="B3243" t="str">
        <x:v>Round</x:v>
      </x:c>
      <x:c r="C3243" t="str">
        <x:v>I</x:v>
      </x:c>
      <x:c r="D3243" t="str">
        <x:v>IF</x:v>
      </x:c>
      <x:c r="E3243" s="36" t="n">
        <x:v>147600</x:v>
      </x:c>
      <x:c r="F3243" s="36" t="n">
        <x:v>4005</x:v>
      </x:c>
      <x:c r="G3243" s="42" t="n">
        <x:v>0.859073359073359</x:v>
      </x:c>
      <x:c r="H3243" s="36" t="n">
        <x:f>E3243*G3243</x:f>
        <x:v>126799.2277992278</x:v>
      </x:c>
      <x:c r="I3243" s="36" t="n">
        <x:f>IFERROR(H3243/A3243,0)</x:f>
        <x:v>21133.204633204634</x:v>
      </x:c>
      <x:c r="J3243" s="67" t="str">
        <x:v>Modeled from live base + Sep-2026 quality ratio</x:v>
      </x:c>
      <x:c r="K3243" s="67" t="str">
        <x:v>https://www.stonealgo.com/diamond-prices/</x:v>
      </x:c>
      <x:c r="L3243" s="67" t="str">
        <x:v>https://www.pricescope.com/blog/natural-diamond-prices-september-2026</x:v>
      </x:c>
    </x:row>
    <x:row r="3244">
      <x:c r="A3244" t="n">
        <x:v>6</x:v>
      </x:c>
      <x:c r="B3244" t="str">
        <x:v>Round</x:v>
      </x:c>
      <x:c r="C3244" t="str">
        <x:v>I</x:v>
      </x:c>
      <x:c r="D3244" t="str">
        <x:v>VVS1</x:v>
      </x:c>
      <x:c r="E3244" s="36" t="n">
        <x:v>147600</x:v>
      </x:c>
      <x:c r="F3244" s="36" t="n">
        <x:v>3670</x:v>
      </x:c>
      <x:c r="G3244" s="42" t="n">
        <x:v>0.7872157872157872</x:v>
      </x:c>
      <x:c r="H3244" s="36" t="n">
        <x:f>E3244*G3244</x:f>
        <x:v>116193.05019305019</x:v>
      </x:c>
      <x:c r="I3244" s="36" t="n">
        <x:f>IFERROR(H3244/A3244,0)</x:f>
        <x:v>19365.508365508365</x:v>
      </x:c>
      <x:c r="J3244" s="67" t="str">
        <x:v>Modeled from live base + Sep-2026 quality ratio</x:v>
      </x:c>
      <x:c r="K3244" s="67" t="str">
        <x:v>https://www.stonealgo.com/diamond-prices/</x:v>
      </x:c>
      <x:c r="L3244" s="67" t="str">
        <x:v>https://www.pricescope.com/blog/natural-diamond-prices-september-2026</x:v>
      </x:c>
    </x:row>
    <x:row r="3245">
      <x:c r="A3245" t="n">
        <x:v>6</x:v>
      </x:c>
      <x:c r="B3245" t="str">
        <x:v>Round</x:v>
      </x:c>
      <x:c r="C3245" t="str">
        <x:v>I</x:v>
      </x:c>
      <x:c r="D3245" t="str">
        <x:v>VVS2</x:v>
      </x:c>
      <x:c r="E3245" s="36" t="n">
        <x:v>147600</x:v>
      </x:c>
      <x:c r="F3245" s="36" t="n">
        <x:v>3447</x:v>
      </x:c>
      <x:c r="G3245" s="42" t="n">
        <x:v>0.7393822393822393</x:v>
      </x:c>
      <x:c r="H3245" s="36" t="n">
        <x:f>E3245*G3245</x:f>
        <x:v>109132.81853281852</x:v>
      </x:c>
      <x:c r="I3245" s="36" t="n">
        <x:f>IFERROR(H3245/A3245,0)</x:f>
        <x:v>18188.803088803088</x:v>
      </x:c>
      <x:c r="J3245" s="67" t="str">
        <x:v>Modeled from live base + Sep-2026 quality ratio</x:v>
      </x:c>
      <x:c r="K3245" s="67" t="str">
        <x:v>https://www.stonealgo.com/diamond-prices/</x:v>
      </x:c>
      <x:c r="L3245" s="67" t="str">
        <x:v>https://www.pricescope.com/blog/natural-diamond-prices-september-2026</x:v>
      </x:c>
    </x:row>
    <x:row r="3246">
      <x:c r="A3246" t="n">
        <x:v>6</x:v>
      </x:c>
      <x:c r="B3246" t="str">
        <x:v>Round</x:v>
      </x:c>
      <x:c r="C3246" t="str">
        <x:v>I</x:v>
      </x:c>
      <x:c r="D3246" t="str">
        <x:v>VS1</x:v>
      </x:c>
      <x:c r="E3246" s="36" t="n">
        <x:v>147600</x:v>
      </x:c>
      <x:c r="F3246" s="36" t="n">
        <x:v>3313</x:v>
      </x:c>
      <x:c r="G3246" s="42" t="n">
        <x:v>0.7106392106392107</x:v>
      </x:c>
      <x:c r="H3246" s="36" t="n">
        <x:f>E3246*G3246</x:f>
        <x:v>104890.34749034749</x:v>
      </x:c>
      <x:c r="I3246" s="36" t="n">
        <x:f>IFERROR(H3246/A3246,0)</x:f>
        <x:v>17481.724581724582</x:v>
      </x:c>
      <x:c r="J3246" s="67" t="str">
        <x:v>Modeled from live base + Sep-2026 quality ratio</x:v>
      </x:c>
      <x:c r="K3246" s="67" t="str">
        <x:v>https://www.stonealgo.com/diamond-prices/</x:v>
      </x:c>
      <x:c r="L3246" s="67" t="str">
        <x:v>https://www.pricescope.com/blog/natural-diamond-prices-september-2026</x:v>
      </x:c>
    </x:row>
    <x:row r="3247">
      <x:c r="A3247" t="n">
        <x:v>6</x:v>
      </x:c>
      <x:c r="B3247" t="str">
        <x:v>Round</x:v>
      </x:c>
      <x:c r="C3247" t="str">
        <x:v>I</x:v>
      </x:c>
      <x:c r="D3247" t="str">
        <x:v>VS2</x:v>
      </x:c>
      <x:c r="E3247" s="36" t="n">
        <x:v>147600</x:v>
      </x:c>
      <x:c r="F3247" s="36" t="n">
        <x:v>3240</x:v>
      </x:c>
      <x:c r="G3247" s="42" t="n">
        <x:v>0.694980694980695</x:v>
      </x:c>
      <x:c r="H3247" s="36" t="n">
        <x:f>E3247*G3247</x:f>
        <x:v>102579.15057915059</x:v>
      </x:c>
      <x:c r="I3247" s="36" t="n">
        <x:f>IFERROR(H3247/A3247,0)</x:f>
        <x:v>17096.5250965251</x:v>
      </x:c>
      <x:c r="J3247" s="67" t="str">
        <x:v>Modeled from live base + Sep-2026 quality ratio</x:v>
      </x:c>
      <x:c r="K3247" s="67" t="str">
        <x:v>https://www.stonealgo.com/diamond-prices/</x:v>
      </x:c>
      <x:c r="L3247" s="67" t="str">
        <x:v>https://www.pricescope.com/blog/natural-diamond-prices-september-2026</x:v>
      </x:c>
    </x:row>
    <x:row r="3248">
      <x:c r="A3248" t="n">
        <x:v>6</x:v>
      </x:c>
      <x:c r="B3248" t="str">
        <x:v>Round</x:v>
      </x:c>
      <x:c r="C3248" t="str">
        <x:v>I</x:v>
      </x:c>
      <x:c r="D3248" t="str">
        <x:v>SI1</x:v>
      </x:c>
      <x:c r="E3248" s="36" t="n">
        <x:v>147600</x:v>
      </x:c>
      <x:c r="F3248" s="36" t="n">
        <x:v>3199</x:v>
      </x:c>
      <x:c r="G3248" s="42" t="n">
        <x:v>0.6861861861861862</x:v>
      </x:c>
      <x:c r="H3248" s="36" t="n">
        <x:f>E3248*G3248</x:f>
        <x:v>101281.08108108108</x:v>
      </x:c>
      <x:c r="I3248" s="36" t="n">
        <x:f>IFERROR(H3248/A3248,0)</x:f>
        <x:v>16880.18018018018</x:v>
      </x:c>
      <x:c r="J3248" s="67" t="str">
        <x:v>Modeled from live base + Sep-2026 quality ratio</x:v>
      </x:c>
      <x:c r="K3248" s="67" t="str">
        <x:v>https://www.stonealgo.com/diamond-prices/</x:v>
      </x:c>
      <x:c r="L3248" s="67" t="str">
        <x:v>https://www.pricescope.com/blog/natural-diamond-prices-september-2026</x:v>
      </x:c>
    </x:row>
    <x:row r="3249">
      <x:c r="A3249" t="n">
        <x:v>6</x:v>
      </x:c>
      <x:c r="B3249" t="str">
        <x:v>Round</x:v>
      </x:c>
      <x:c r="C3249" t="str">
        <x:v>I</x:v>
      </x:c>
      <x:c r="D3249" t="str">
        <x:v>SI2</x:v>
      </x:c>
      <x:c r="E3249" s="36" t="n">
        <x:v>147600</x:v>
      </x:c>
      <x:c r="F3249" s="36" t="n">
        <x:v>2874</x:v>
      </x:c>
      <x:c r="G3249" s="42" t="n">
        <x:v>0.6164736164736164</x:v>
      </x:c>
      <x:c r="H3249" s="36" t="n">
        <x:f>E3249*G3249</x:f>
        <x:v>90991.50579150578</x:v>
      </x:c>
      <x:c r="I3249" s="36" t="n">
        <x:f>IFERROR(H3249/A3249,0)</x:f>
        <x:v>15165.250965250963</x:v>
      </x:c>
      <x:c r="J3249" s="67" t="str">
        <x:v>Modeled from live base + Sep-2026 quality ratio</x:v>
      </x:c>
      <x:c r="K3249" s="67" t="str">
        <x:v>https://www.stonealgo.com/diamond-prices/</x:v>
      </x:c>
      <x:c r="L3249" s="67" t="str">
        <x:v>https://www.pricescope.com/blog/natural-diamond-prices-september-2026</x:v>
      </x:c>
    </x:row>
    <x:row r="3250">
      <x:c r="A3250" t="n">
        <x:v>6</x:v>
      </x:c>
      <x:c r="B3250" t="str">
        <x:v>Round</x:v>
      </x:c>
      <x:c r="C3250" t="str">
        <x:v>J</x:v>
      </x:c>
      <x:c r="D3250" t="str">
        <x:v>FL</x:v>
      </x:c>
      <x:c r="E3250" s="36" t="n">
        <x:v>147600</x:v>
      </x:c>
      <x:c r="F3250" s="36" t="n">
        <x:v>3646</x:v>
      </x:c>
      <x:c r="G3250" s="42" t="n">
        <x:v>0.782067782067782</x:v>
      </x:c>
      <x:c r="H3250" s="36" t="n">
        <x:f>E3250*G3250</x:f>
        <x:v>115433.20463320463</x:v>
      </x:c>
      <x:c r="I3250" s="36" t="n">
        <x:f>IFERROR(H3250/A3250,0)</x:f>
        <x:v>19238.867438867437</x:v>
      </x:c>
      <x:c r="J3250" s="67" t="str">
        <x:v>Modeled from live base + Sep-2026 quality ratio</x:v>
      </x:c>
      <x:c r="K3250" s="67" t="str">
        <x:v>https://www.stonealgo.com/diamond-prices/</x:v>
      </x:c>
      <x:c r="L3250" s="67" t="str">
        <x:v>https://www.pricescope.com/blog/natural-diamond-prices-september-2026</x:v>
      </x:c>
    </x:row>
    <x:row r="3251">
      <x:c r="A3251" t="n">
        <x:v>6</x:v>
      </x:c>
      <x:c r="B3251" t="str">
        <x:v>Round</x:v>
      </x:c>
      <x:c r="C3251" t="str">
        <x:v>J</x:v>
      </x:c>
      <x:c r="D3251" t="str">
        <x:v>IF</x:v>
      </x:c>
      <x:c r="E3251" s="36" t="n">
        <x:v>147600</x:v>
      </x:c>
      <x:c r="F3251" s="36" t="n">
        <x:v>3368</x:v>
      </x:c>
      <x:c r="G3251" s="42" t="n">
        <x:v>0.7224367224367224</x:v>
      </x:c>
      <x:c r="H3251" s="36" t="n">
        <x:f>E3251*G3251</x:f>
        <x:v>106631.66023166022</x:v>
      </x:c>
      <x:c r="I3251" s="36" t="n">
        <x:f>IFERROR(H3251/A3251,0)</x:f>
        <x:v>17771.94337194337</x:v>
      </x:c>
      <x:c r="J3251" s="67" t="str">
        <x:v>Modeled from live base + Sep-2026 quality ratio</x:v>
      </x:c>
      <x:c r="K3251" s="67" t="str">
        <x:v>https://www.stonealgo.com/diamond-prices/</x:v>
      </x:c>
      <x:c r="L3251" s="67" t="str">
        <x:v>https://www.pricescope.com/blog/natural-diamond-prices-september-2026</x:v>
      </x:c>
    </x:row>
    <x:row r="3252">
      <x:c r="A3252" t="n">
        <x:v>6</x:v>
      </x:c>
      <x:c r="B3252" t="str">
        <x:v>Round</x:v>
      </x:c>
      <x:c r="C3252" t="str">
        <x:v>J</x:v>
      </x:c>
      <x:c r="D3252" t="str">
        <x:v>VVS1</x:v>
      </x:c>
      <x:c r="E3252" s="36" t="n">
        <x:v>147600</x:v>
      </x:c>
      <x:c r="F3252" s="36" t="n">
        <x:v>2956</x:v>
      </x:c>
      <x:c r="G3252" s="42" t="n">
        <x:v>0.6340626340626341</x:v>
      </x:c>
      <x:c r="H3252" s="36" t="n">
        <x:f>E3252*G3252</x:f>
        <x:v>93587.6447876448</x:v>
      </x:c>
      <x:c r="I3252" s="36" t="n">
        <x:f>IFERROR(H3252/A3252,0)</x:f>
        <x:v>15597.940797940799</x:v>
      </x:c>
      <x:c r="J3252" s="67" t="str">
        <x:v>Modeled from live base + Sep-2026 quality ratio</x:v>
      </x:c>
      <x:c r="K3252" s="67" t="str">
        <x:v>https://www.stonealgo.com/diamond-prices/</x:v>
      </x:c>
      <x:c r="L3252" s="67" t="str">
        <x:v>https://www.pricescope.com/blog/natural-diamond-prices-september-2026</x:v>
      </x:c>
    </x:row>
    <x:row r="3253">
      <x:c r="A3253" t="n">
        <x:v>6</x:v>
      </x:c>
      <x:c r="B3253" t="str">
        <x:v>Round</x:v>
      </x:c>
      <x:c r="C3253" t="str">
        <x:v>J</x:v>
      </x:c>
      <x:c r="D3253" t="str">
        <x:v>VVS2</x:v>
      </x:c>
      <x:c r="E3253" s="36" t="n">
        <x:v>147600</x:v>
      </x:c>
      <x:c r="F3253" s="36" t="n">
        <x:v>2612</x:v>
      </x:c>
      <x:c r="G3253" s="42" t="n">
        <x:v>0.5602745602745602</x:v>
      </x:c>
      <x:c r="H3253" s="36" t="n">
        <x:f>E3253*G3253</x:f>
        <x:v>82696.52509652509</x:v>
      </x:c>
      <x:c r="I3253" s="36" t="n">
        <x:f>IFERROR(H3253/A3253,0)</x:f>
        <x:v>13782.75418275418</x:v>
      </x:c>
      <x:c r="J3253" s="67" t="str">
        <x:v>Modeled from live base + Sep-2026 quality ratio</x:v>
      </x:c>
      <x:c r="K3253" s="67" t="str">
        <x:v>https://www.stonealgo.com/diamond-prices/</x:v>
      </x:c>
      <x:c r="L3253" s="67" t="str">
        <x:v>https://www.pricescope.com/blog/natural-diamond-prices-september-2026</x:v>
      </x:c>
    </x:row>
    <x:row r="3254">
      <x:c r="A3254" t="n">
        <x:v>6</x:v>
      </x:c>
      <x:c r="B3254" t="str">
        <x:v>Round</x:v>
      </x:c>
      <x:c r="C3254" t="str">
        <x:v>J</x:v>
      </x:c>
      <x:c r="D3254" t="str">
        <x:v>VS1</x:v>
      </x:c>
      <x:c r="E3254" s="36" t="n">
        <x:v>147600</x:v>
      </x:c>
      <x:c r="F3254" s="36" t="n">
        <x:v>3002</x:v>
      </x:c>
      <x:c r="G3254" s="42" t="n">
        <x:v>0.6439296439296439</x:v>
      </x:c>
      <x:c r="H3254" s="36" t="n">
        <x:f>E3254*G3254</x:f>
        <x:v>95044.01544401544</x:v>
      </x:c>
      <x:c r="I3254" s="36" t="n">
        <x:f>IFERROR(H3254/A3254,0)</x:f>
        <x:v>15840.66924066924</x:v>
      </x:c>
      <x:c r="J3254" s="67" t="str">
        <x:v>Modeled from live base + Sep-2026 quality ratio</x:v>
      </x:c>
      <x:c r="K3254" s="67" t="str">
        <x:v>https://www.stonealgo.com/diamond-prices/</x:v>
      </x:c>
      <x:c r="L3254" s="67" t="str">
        <x:v>https://www.pricescope.com/blog/natural-diamond-prices-september-2026</x:v>
      </x:c>
    </x:row>
    <x:row r="3255">
      <x:c r="A3255" t="n">
        <x:v>6</x:v>
      </x:c>
      <x:c r="B3255" t="str">
        <x:v>Round</x:v>
      </x:c>
      <x:c r="C3255" t="str">
        <x:v>J</x:v>
      </x:c>
      <x:c r="D3255" t="str">
        <x:v>VS2</x:v>
      </x:c>
      <x:c r="E3255" s="36" t="n">
        <x:v>147600</x:v>
      </x:c>
      <x:c r="F3255" s="36" t="n">
        <x:v>2559</x:v>
      </x:c>
      <x:c r="G3255" s="42" t="n">
        <x:v>0.5489060489060489</x:v>
      </x:c>
      <x:c r="H3255" s="36" t="n">
        <x:f>E3255*G3255</x:f>
        <x:v>81018.53281853281</x:v>
      </x:c>
      <x:c r="I3255" s="36" t="n">
        <x:f>IFERROR(H3255/A3255,0)</x:f>
        <x:v>13503.088803088802</x:v>
      </x:c>
      <x:c r="J3255" s="67" t="str">
        <x:v>Modeled from live base + Sep-2026 quality ratio</x:v>
      </x:c>
      <x:c r="K3255" s="67" t="str">
        <x:v>https://www.stonealgo.com/diamond-prices/</x:v>
      </x:c>
      <x:c r="L3255" s="67" t="str">
        <x:v>https://www.pricescope.com/blog/natural-diamond-prices-september-2026</x:v>
      </x:c>
    </x:row>
    <x:row r="3256">
      <x:c r="A3256" t="n">
        <x:v>6</x:v>
      </x:c>
      <x:c r="B3256" t="str">
        <x:v>Round</x:v>
      </x:c>
      <x:c r="C3256" t="str">
        <x:v>J</x:v>
      </x:c>
      <x:c r="D3256" t="str">
        <x:v>SI1</x:v>
      </x:c>
      <x:c r="E3256" s="36" t="n">
        <x:v>147600</x:v>
      </x:c>
      <x:c r="F3256" s="36" t="n">
        <x:v>2195</x:v>
      </x:c>
      <x:c r="G3256" s="42" t="n">
        <x:v>0.47082797082797084</x:v>
      </x:c>
      <x:c r="H3256" s="36" t="n">
        <x:f>E3256*G3256</x:f>
        <x:v>69494.20849420849</x:v>
      </x:c>
      <x:c r="I3256" s="36" t="n">
        <x:f>IFERROR(H3256/A3256,0)</x:f>
        <x:v>11582.368082368082</x:v>
      </x:c>
      <x:c r="J3256" s="67" t="str">
        <x:v>Modeled from live base + Sep-2026 quality ratio</x:v>
      </x:c>
      <x:c r="K3256" s="67" t="str">
        <x:v>https://www.stonealgo.com/diamond-prices/</x:v>
      </x:c>
      <x:c r="L3256" s="67" t="str">
        <x:v>https://www.pricescope.com/blog/natural-diamond-prices-september-2026</x:v>
      </x:c>
    </x:row>
    <x:row r="3257">
      <x:c r="A3257" t="n">
        <x:v>6</x:v>
      </x:c>
      <x:c r="B3257" t="str">
        <x:v>Round</x:v>
      </x:c>
      <x:c r="C3257" t="str">
        <x:v>J</x:v>
      </x:c>
      <x:c r="D3257" t="str">
        <x:v>SI2</x:v>
      </x:c>
      <x:c r="E3257" s="36" t="n">
        <x:v>147600</x:v>
      </x:c>
      <x:c r="F3257" s="36" t="n">
        <x:v>2079</x:v>
      </x:c>
      <x:c r="G3257" s="42" t="n">
        <x:v>0.44594594594594594</x:v>
      </x:c>
      <x:c r="H3257" s="36" t="n">
        <x:f>E3257*G3257</x:f>
        <x:v>65821.62162162163</x:v>
      </x:c>
      <x:c r="I3257" s="36" t="n">
        <x:f>IFERROR(H3257/A3257,0)</x:f>
        <x:v>10970.270270270272</x:v>
      </x:c>
      <x:c r="J3257" s="67" t="str">
        <x:v>Modeled from live base + Sep-2026 quality ratio</x:v>
      </x:c>
      <x:c r="K3257" s="67" t="str">
        <x:v>https://www.stonealgo.com/diamond-prices/</x:v>
      </x:c>
      <x:c r="L3257" s="67" t="str">
        <x:v>https://www.pricescope.com/blog/natural-diamond-prices-september-2026</x:v>
      </x:c>
    </x:row>
    <x:row r="3258">
      <x:c r="A3258" t="n">
        <x:v>6</x:v>
      </x:c>
      <x:c r="B3258" t="str">
        <x:v>Round</x:v>
      </x:c>
      <x:c r="C3258" t="str">
        <x:v>K</x:v>
      </x:c>
      <x:c r="D3258" t="str">
        <x:v>FL</x:v>
      </x:c>
      <x:c r="E3258" s="36" t="n">
        <x:v>147600</x:v>
      </x:c>
      <x:c r="F3258" s="36" t="n">
        <x:v>2858</x:v>
      </x:c>
      <x:c r="G3258" s="42" t="n">
        <x:v>0.6130416130416131</x:v>
      </x:c>
      <x:c r="H3258" s="36" t="n">
        <x:f>E3258*G3258</x:f>
        <x:v>90484.94208494209</x:v>
      </x:c>
      <x:c r="I3258" s="36" t="n">
        <x:f>IFERROR(H3258/A3258,0)</x:f>
        <x:v>15080.823680823682</x:v>
      </x:c>
      <x:c r="J3258" s="67" t="str">
        <x:v>Modeled from live base + Sep-2026 quality ratio; K/FL quality cell modeled</x:v>
      </x:c>
      <x:c r="K3258" s="67" t="str">
        <x:v>https://www.stonealgo.com/diamond-prices/</x:v>
      </x:c>
      <x:c r="L3258" s="67" t="str">
        <x:v>https://www.pricescope.com/blog/natural-diamond-prices-september-2026</x:v>
      </x:c>
    </x:row>
    <x:row r="3259">
      <x:c r="A3259" t="n">
        <x:v>6</x:v>
      </x:c>
      <x:c r="B3259" t="str">
        <x:v>Round</x:v>
      </x:c>
      <x:c r="C3259" t="str">
        <x:v>K</x:v>
      </x:c>
      <x:c r="D3259" t="str">
        <x:v>IF</x:v>
      </x:c>
      <x:c r="E3259" s="36" t="n">
        <x:v>147600</x:v>
      </x:c>
      <x:c r="F3259" s="36" t="n">
        <x:v>2743</x:v>
      </x:c>
      <x:c r="G3259" s="42" t="n">
        <x:v>0.5883740883740883</x:v>
      </x:c>
      <x:c r="H3259" s="36" t="n">
        <x:f>E3259*G3259</x:f>
        <x:v>86844.01544401544</x:v>
      </x:c>
      <x:c r="I3259" s="36" t="n">
        <x:f>IFERROR(H3259/A3259,0)</x:f>
        <x:v>14474.002574002574</x:v>
      </x:c>
      <x:c r="J3259" s="67" t="str">
        <x:v>Modeled from live base + Sep-2026 quality ratio</x:v>
      </x:c>
      <x:c r="K3259" s="67" t="str">
        <x:v>https://www.stonealgo.com/diamond-prices/</x:v>
      </x:c>
      <x:c r="L3259" s="67" t="str">
        <x:v>https://www.pricescope.com/blog/natural-diamond-prices-september-2026</x:v>
      </x:c>
    </x:row>
    <x:row r="3260">
      <x:c r="A3260" t="n">
        <x:v>6</x:v>
      </x:c>
      <x:c r="B3260" t="str">
        <x:v>Round</x:v>
      </x:c>
      <x:c r="C3260" t="str">
        <x:v>K</x:v>
      </x:c>
      <x:c r="D3260" t="str">
        <x:v>VVS1</x:v>
      </x:c>
      <x:c r="E3260" s="36" t="n">
        <x:v>147600</x:v>
      </x:c>
      <x:c r="F3260" s="36" t="n">
        <x:v>2529</x:v>
      </x:c>
      <x:c r="G3260" s="42" t="n">
        <x:v>0.5424710424710425</x:v>
      </x:c>
      <x:c r="H3260" s="36" t="n">
        <x:f>E3260*G3260</x:f>
        <x:v>80068.72586872587</x:v>
      </x:c>
      <x:c r="I3260" s="36" t="n">
        <x:f>IFERROR(H3260/A3260,0)</x:f>
        <x:v>13344.787644787646</x:v>
      </x:c>
      <x:c r="J3260" s="67" t="str">
        <x:v>Modeled from live base + Sep-2026 quality ratio</x:v>
      </x:c>
      <x:c r="K3260" s="67" t="str">
        <x:v>https://www.stonealgo.com/diamond-prices/</x:v>
      </x:c>
      <x:c r="L3260" s="67" t="str">
        <x:v>https://www.pricescope.com/blog/natural-diamond-prices-september-2026</x:v>
      </x:c>
    </x:row>
    <x:row r="3261">
      <x:c r="A3261" t="n">
        <x:v>6</x:v>
      </x:c>
      <x:c r="B3261" t="str">
        <x:v>Round</x:v>
      </x:c>
      <x:c r="C3261" t="str">
        <x:v>K</x:v>
      </x:c>
      <x:c r="D3261" t="str">
        <x:v>VVS2</x:v>
      </x:c>
      <x:c r="E3261" s="36" t="n">
        <x:v>147600</x:v>
      </x:c>
      <x:c r="F3261" s="36" t="n">
        <x:v>2374</x:v>
      </x:c>
      <x:c r="G3261" s="42" t="n">
        <x:v>0.5092235092235092</x:v>
      </x:c>
      <x:c r="H3261" s="36" t="n">
        <x:f>E3261*G3261</x:f>
        <x:v>75161.38996138996</x:v>
      </x:c>
      <x:c r="I3261" s="36" t="n">
        <x:f>IFERROR(H3261/A3261,0)</x:f>
        <x:v>12526.898326898327</x:v>
      </x:c>
      <x:c r="J3261" s="67" t="str">
        <x:v>Modeled from live base + Sep-2026 quality ratio</x:v>
      </x:c>
      <x:c r="K3261" s="67" t="str">
        <x:v>https://www.stonealgo.com/diamond-prices/</x:v>
      </x:c>
      <x:c r="L3261" s="67" t="str">
        <x:v>https://www.pricescope.com/blog/natural-diamond-prices-september-2026</x:v>
      </x:c>
    </x:row>
    <x:row r="3262">
      <x:c r="A3262" t="n">
        <x:v>6</x:v>
      </x:c>
      <x:c r="B3262" t="str">
        <x:v>Round</x:v>
      </x:c>
      <x:c r="C3262" t="str">
        <x:v>K</x:v>
      </x:c>
      <x:c r="D3262" t="str">
        <x:v>VS1</x:v>
      </x:c>
      <x:c r="E3262" s="36" t="n">
        <x:v>147600</x:v>
      </x:c>
      <x:c r="F3262" s="36" t="n">
        <x:v>2223</x:v>
      </x:c>
      <x:c r="G3262" s="42" t="n">
        <x:v>0.4768339768339768</x:v>
      </x:c>
      <x:c r="H3262" s="36" t="n">
        <x:f>E3262*G3262</x:f>
        <x:v>70380.69498069499</x:v>
      </x:c>
      <x:c r="I3262" s="36" t="n">
        <x:f>IFERROR(H3262/A3262,0)</x:f>
        <x:v>11730.11583011583</x:v>
      </x:c>
      <x:c r="J3262" s="67" t="str">
        <x:v>Modeled from live base + Sep-2026 quality ratio</x:v>
      </x:c>
      <x:c r="K3262" s="67" t="str">
        <x:v>https://www.stonealgo.com/diamond-prices/</x:v>
      </x:c>
      <x:c r="L3262" s="67" t="str">
        <x:v>https://www.pricescope.com/blog/natural-diamond-prices-september-2026</x:v>
      </x:c>
    </x:row>
    <x:row r="3263">
      <x:c r="A3263" t="n">
        <x:v>6</x:v>
      </x:c>
      <x:c r="B3263" t="str">
        <x:v>Round</x:v>
      </x:c>
      <x:c r="C3263" t="str">
        <x:v>K</x:v>
      </x:c>
      <x:c r="D3263" t="str">
        <x:v>VS2</x:v>
      </x:c>
      <x:c r="E3263" s="36" t="n">
        <x:v>147600</x:v>
      </x:c>
      <x:c r="F3263" s="36" t="n">
        <x:v>2098</x:v>
      </x:c>
      <x:c r="G3263" s="42" t="n">
        <x:v>0.45002145002145</x:v>
      </x:c>
      <x:c r="H3263" s="36" t="n">
        <x:f>E3263*G3263</x:f>
        <x:v>66423.16602316602</x:v>
      </x:c>
      <x:c r="I3263" s="36" t="n">
        <x:f>IFERROR(H3263/A3263,0)</x:f>
        <x:v>11070.52767052767</x:v>
      </x:c>
      <x:c r="J3263" s="67" t="str">
        <x:v>Modeled from live base + Sep-2026 quality ratio</x:v>
      </x:c>
      <x:c r="K3263" s="67" t="str">
        <x:v>https://www.stonealgo.com/diamond-prices/</x:v>
      </x:c>
      <x:c r="L3263" s="67" t="str">
        <x:v>https://www.pricescope.com/blog/natural-diamond-prices-september-2026</x:v>
      </x:c>
    </x:row>
    <x:row r="3264">
      <x:c r="A3264" t="n">
        <x:v>6</x:v>
      </x:c>
      <x:c r="B3264" t="str">
        <x:v>Round</x:v>
      </x:c>
      <x:c r="C3264" t="str">
        <x:v>K</x:v>
      </x:c>
      <x:c r="D3264" t="str">
        <x:v>SI1</x:v>
      </x:c>
      <x:c r="E3264" s="36" t="n">
        <x:v>147600</x:v>
      </x:c>
      <x:c r="F3264" s="36" t="n">
        <x:v>1922</x:v>
      </x:c>
      <x:c r="G3264" s="42" t="n">
        <x:v>0.41226941226941227</x:v>
      </x:c>
      <x:c r="H3264" s="36" t="n">
        <x:f>E3264*G3264</x:f>
        <x:v>60850.96525096525</x:v>
      </x:c>
      <x:c r="I3264" s="36" t="n">
        <x:f>IFERROR(H3264/A3264,0)</x:f>
        <x:v>10141.827541827543</x:v>
      </x:c>
      <x:c r="J3264" s="67" t="str">
        <x:v>Modeled from live base + Sep-2026 quality ratio</x:v>
      </x:c>
      <x:c r="K3264" s="67" t="str">
        <x:v>https://www.stonealgo.com/diamond-prices/</x:v>
      </x:c>
      <x:c r="L3264" s="67" t="str">
        <x:v>https://www.pricescope.com/blog/natural-diamond-prices-september-2026</x:v>
      </x:c>
    </x:row>
    <x:row r="3265">
      <x:c r="A3265" t="n">
        <x:v>6</x:v>
      </x:c>
      <x:c r="B3265" t="str">
        <x:v>Round</x:v>
      </x:c>
      <x:c r="C3265" t="str">
        <x:v>K</x:v>
      </x:c>
      <x:c r="D3265" t="str">
        <x:v>SI2</x:v>
      </x:c>
      <x:c r="E3265" s="36" t="n">
        <x:v>147600</x:v>
      </x:c>
      <x:c r="F3265" s="36" t="n">
        <x:v>1764</x:v>
      </x:c>
      <x:c r="G3265" s="42" t="n">
        <x:v>0.3783783783783784</x:v>
      </x:c>
      <x:c r="H3265" s="36" t="n">
        <x:f>E3265*G3265</x:f>
        <x:v>55848.648648648654</x:v>
      </x:c>
      <x:c r="I3265" s="36" t="n">
        <x:f>IFERROR(H3265/A3265,0)</x:f>
        <x:v>9308.108108108108</x:v>
      </x:c>
      <x:c r="J3265" s="67" t="str">
        <x:v>Modeled from live base + Sep-2026 quality ratio</x:v>
      </x:c>
      <x:c r="K3265" s="67" t="str">
        <x:v>https://www.stonealgo.com/diamond-prices/</x:v>
      </x:c>
      <x:c r="L3265" s="67" t="str">
        <x:v>https://www.pricescope.com/blog/natural-diamond-prices-september-2026</x:v>
      </x:c>
    </x:row>
    <x:row r="3266">
      <x:c r="A3266" t="n">
        <x:v>6</x:v>
      </x:c>
      <x:c r="B3266" t="str">
        <x:v>Oval</x:v>
      </x:c>
      <x:c r="C3266" t="str">
        <x:v>D</x:v>
      </x:c>
      <x:c r="D3266" t="str">
        <x:v>FL</x:v>
      </x:c>
      <x:c r="E3266" s="36" t="n">
        <x:v>182501</x:v>
      </x:c>
      <x:c r="F3266" s="36" t="n">
        <x:v>12665</x:v>
      </x:c>
      <x:c r="G3266" s="42" t="n">
        <x:v>2.7166452166452166</x:v>
      </x:c>
      <x:c r="H3266" s="36" t="n">
        <x:f>E3266*G3266</x:f>
        <x:v>495790.4686829687</x:v>
      </x:c>
      <x:c r="I3266" s="36" t="n">
        <x:f>IFERROR(H3266/A3266,0)</x:f>
        <x:v>82631.74478049479</x:v>
      </x:c>
      <x:c r="J3266" s="67" t="str">
        <x:v>Modeled from live base + Sep-2026 quality ratio</x:v>
      </x:c>
      <x:c r="K3266" s="67" t="str">
        <x:v>https://www.stonealgo.com/diamond-prices/</x:v>
      </x:c>
      <x:c r="L3266" s="67" t="str">
        <x:v>https://www.pricescope.com/blog/natural-diamond-prices-september-2026</x:v>
      </x:c>
    </x:row>
    <x:row r="3267">
      <x:c r="A3267" t="n">
        <x:v>6</x:v>
      </x:c>
      <x:c r="B3267" t="str">
        <x:v>Oval</x:v>
      </x:c>
      <x:c r="C3267" t="str">
        <x:v>D</x:v>
      </x:c>
      <x:c r="D3267" t="str">
        <x:v>IF</x:v>
      </x:c>
      <x:c r="E3267" s="36" t="n">
        <x:v>182501</x:v>
      </x:c>
      <x:c r="F3267" s="36" t="n">
        <x:v>13240</x:v>
      </x:c>
      <x:c r="G3267" s="42" t="n">
        <x:v>2.83998283998284</x:v>
      </x:c>
      <x:c r="H3267" s="36" t="n">
        <x:f>E3267*G3267</x:f>
        <x:v>518299.70827970834</x:v>
      </x:c>
      <x:c r="I3267" s="36" t="n">
        <x:f>IFERROR(H3267/A3267,0)</x:f>
        <x:v>86383.28471328472</x:v>
      </x:c>
      <x:c r="J3267" s="67" t="str">
        <x:v>Modeled from live base + Sep-2026 quality ratio</x:v>
      </x:c>
      <x:c r="K3267" s="67" t="str">
        <x:v>https://www.stonealgo.com/diamond-prices/</x:v>
      </x:c>
      <x:c r="L3267" s="67" t="str">
        <x:v>https://www.pricescope.com/blog/natural-diamond-prices-september-2026</x:v>
      </x:c>
    </x:row>
    <x:row r="3268">
      <x:c r="A3268" t="n">
        <x:v>6</x:v>
      </x:c>
      <x:c r="B3268" t="str">
        <x:v>Oval</x:v>
      </x:c>
      <x:c r="C3268" t="str">
        <x:v>D</x:v>
      </x:c>
      <x:c r="D3268" t="str">
        <x:v>VVS1</x:v>
      </x:c>
      <x:c r="E3268" s="36" t="n">
        <x:v>182501</x:v>
      </x:c>
      <x:c r="F3268" s="36" t="n">
        <x:v>9555</x:v>
      </x:c>
      <x:c r="G3268" s="42" t="n">
        <x:v>2.0495495495495497</x:v>
      </x:c>
      <x:c r="H3268" s="36" t="n">
        <x:f>E3268*G3268</x:f>
        <x:v>374044.84234234237</x:v>
      </x:c>
      <x:c r="I3268" s="36" t="n">
        <x:f>IFERROR(H3268/A3268,0)</x:f>
        <x:v>62340.80705705706</x:v>
      </x:c>
      <x:c r="J3268" s="67" t="str">
        <x:v>Modeled from live base + Sep-2026 quality ratio</x:v>
      </x:c>
      <x:c r="K3268" s="67" t="str">
        <x:v>https://www.stonealgo.com/diamond-prices/</x:v>
      </x:c>
      <x:c r="L3268" s="67" t="str">
        <x:v>https://www.pricescope.com/blog/natural-diamond-prices-september-2026</x:v>
      </x:c>
    </x:row>
    <x:row r="3269">
      <x:c r="A3269" t="n">
        <x:v>6</x:v>
      </x:c>
      <x:c r="B3269" t="str">
        <x:v>Oval</x:v>
      </x:c>
      <x:c r="C3269" t="str">
        <x:v>D</x:v>
      </x:c>
      <x:c r="D3269" t="str">
        <x:v>VVS2</x:v>
      </x:c>
      <x:c r="E3269" s="36" t="n">
        <x:v>182501</x:v>
      </x:c>
      <x:c r="F3269" s="36" t="n">
        <x:v>6660</x:v>
      </x:c>
      <x:c r="G3269" s="42" t="n">
        <x:v>1.4285714285714286</x:v>
      </x:c>
      <x:c r="H3269" s="36" t="n">
        <x:f>E3269*G3269</x:f>
        <x:v>260715.7142857143</x:v>
      </x:c>
      <x:c r="I3269" s="36" t="n">
        <x:f>IFERROR(H3269/A3269,0)</x:f>
        <x:v>43452.619047619046</x:v>
      </x:c>
      <x:c r="J3269" s="67" t="str">
        <x:v>Modeled from live base + Sep-2026 quality ratio</x:v>
      </x:c>
      <x:c r="K3269" s="67" t="str">
        <x:v>https://www.stonealgo.com/diamond-prices/</x:v>
      </x:c>
      <x:c r="L3269" s="67" t="str">
        <x:v>https://www.pricescope.com/blog/natural-diamond-prices-september-2026</x:v>
      </x:c>
    </x:row>
    <x:row r="3270">
      <x:c r="A3270" t="n">
        <x:v>6</x:v>
      </x:c>
      <x:c r="B3270" t="str">
        <x:v>Oval</x:v>
      </x:c>
      <x:c r="C3270" t="str">
        <x:v>D</x:v>
      </x:c>
      <x:c r="D3270" t="str">
        <x:v>VS1</x:v>
      </x:c>
      <x:c r="E3270" s="36" t="n">
        <x:v>182501</x:v>
      </x:c>
      <x:c r="F3270" s="36" t="n">
        <x:v>6247</x:v>
      </x:c>
      <x:c r="G3270" s="42" t="n">
        <x:v>1.33998283998284</x:v>
      </x:c>
      <x:c r="H3270" s="36" t="n">
        <x:f>E3270*G3270</x:f>
        <x:v>244548.20827970828</x:v>
      </x:c>
      <x:c r="I3270" s="36" t="n">
        <x:f>IFERROR(H3270/A3270,0)</x:f>
        <x:v>40758.03471328472</x:v>
      </x:c>
      <x:c r="J3270" s="67" t="str">
        <x:v>Modeled from live base + Sep-2026 quality ratio</x:v>
      </x:c>
      <x:c r="K3270" s="67" t="str">
        <x:v>https://www.stonealgo.com/diamond-prices/</x:v>
      </x:c>
      <x:c r="L3270" s="67" t="str">
        <x:v>https://www.pricescope.com/blog/natural-diamond-prices-september-2026</x:v>
      </x:c>
    </x:row>
    <x:row r="3271">
      <x:c r="A3271" t="n">
        <x:v>6</x:v>
      </x:c>
      <x:c r="B3271" t="str">
        <x:v>Oval</x:v>
      </x:c>
      <x:c r="C3271" t="str">
        <x:v>D</x:v>
      </x:c>
      <x:c r="D3271" t="str">
        <x:v>VS2</x:v>
      </x:c>
      <x:c r="E3271" s="36" t="n">
        <x:v>182501</x:v>
      </x:c>
      <x:c r="F3271" s="36" t="n">
        <x:v>5841</x:v>
      </x:c>
      <x:c r="G3271" s="42" t="n">
        <x:v>1.252895752895753</x:v>
      </x:c>
      <x:c r="H3271" s="36" t="n">
        <x:f>E3271*G3271</x:f>
        <x:v>228654.7277992278</x:v>
      </x:c>
      <x:c r="I3271" s="36" t="n">
        <x:f>IFERROR(H3271/A3271,0)</x:f>
        <x:v>38109.1212998713</x:v>
      </x:c>
      <x:c r="J3271" s="67" t="str">
        <x:v>Modeled from live base + Sep-2026 quality ratio</x:v>
      </x:c>
      <x:c r="K3271" s="67" t="str">
        <x:v>https://www.stonealgo.com/diamond-prices/</x:v>
      </x:c>
      <x:c r="L3271" s="67" t="str">
        <x:v>https://www.pricescope.com/blog/natural-diamond-prices-september-2026</x:v>
      </x:c>
    </x:row>
    <x:row r="3272">
      <x:c r="A3272" t="n">
        <x:v>6</x:v>
      </x:c>
      <x:c r="B3272" t="str">
        <x:v>Oval</x:v>
      </x:c>
      <x:c r="C3272" t="str">
        <x:v>D</x:v>
      </x:c>
      <x:c r="D3272" t="str">
        <x:v>SI1</x:v>
      </x:c>
      <x:c r="E3272" s="36" t="n">
        <x:v>182501</x:v>
      </x:c>
      <x:c r="F3272" s="36" t="n">
        <x:v>3762</x:v>
      </x:c>
      <x:c r="G3272" s="42" t="n">
        <x:v>0.806949806949807</x:v>
      </x:c>
      <x:c r="H3272" s="36" t="n">
        <x:f>E3272*G3272</x:f>
        <x:v>147269.14671814672</x:v>
      </x:c>
      <x:c r="I3272" s="36" t="n">
        <x:f>IFERROR(H3272/A3272,0)</x:f>
        <x:v>24544.857786357785</x:v>
      </x:c>
      <x:c r="J3272" s="67" t="str">
        <x:v>Modeled from live base + Sep-2026 quality ratio</x:v>
      </x:c>
      <x:c r="K3272" s="67" t="str">
        <x:v>https://www.stonealgo.com/diamond-prices/</x:v>
      </x:c>
      <x:c r="L3272" s="67" t="str">
        <x:v>https://www.pricescope.com/blog/natural-diamond-prices-september-2026</x:v>
      </x:c>
    </x:row>
    <x:row r="3273">
      <x:c r="A3273" t="n">
        <x:v>6</x:v>
      </x:c>
      <x:c r="B3273" t="str">
        <x:v>Oval</x:v>
      </x:c>
      <x:c r="C3273" t="str">
        <x:v>D</x:v>
      </x:c>
      <x:c r="D3273" t="str">
        <x:v>SI2</x:v>
      </x:c>
      <x:c r="E3273" s="36" t="n">
        <x:v>182501</x:v>
      </x:c>
      <x:c r="F3273" s="36" t="n">
        <x:v>3026</x:v>
      </x:c>
      <x:c r="G3273" s="42" t="n">
        <x:v>0.6490776490776491</x:v>
      </x:c>
      <x:c r="H3273" s="36" t="n">
        <x:f>E3273*G3273</x:f>
        <x:v>118457.32003432003</x:v>
      </x:c>
      <x:c r="I3273" s="36" t="n">
        <x:f>IFERROR(H3273/A3273,0)</x:f>
        <x:v>19742.88667238667</x:v>
      </x:c>
      <x:c r="J3273" s="67" t="str">
        <x:v>Modeled from live base + Sep-2026 quality ratio</x:v>
      </x:c>
      <x:c r="K3273" s="67" t="str">
        <x:v>https://www.stonealgo.com/diamond-prices/</x:v>
      </x:c>
      <x:c r="L3273" s="67" t="str">
        <x:v>https://www.pricescope.com/blog/natural-diamond-prices-september-2026</x:v>
      </x:c>
    </x:row>
    <x:row r="3274">
      <x:c r="A3274" t="n">
        <x:v>6</x:v>
      </x:c>
      <x:c r="B3274" t="str">
        <x:v>Oval</x:v>
      </x:c>
      <x:c r="C3274" t="str">
        <x:v>E</x:v>
      </x:c>
      <x:c r="D3274" t="str">
        <x:v>FL</x:v>
      </x:c>
      <x:c r="E3274" s="36" t="n">
        <x:v>182501</x:v>
      </x:c>
      <x:c r="F3274" s="36" t="n">
        <x:v>10072</x:v>
      </x:c>
      <x:c r="G3274" s="42" t="n">
        <x:v>2.1604461604461602</x:v>
      </x:c>
      <x:c r="H3274" s="36" t="n">
        <x:f>E3274*G3274</x:f>
        <x:v>394283.5847275847</x:v>
      </x:c>
      <x:c r="I3274" s="36" t="n">
        <x:f>IFERROR(H3274/A3274,0)</x:f>
        <x:v>65713.93078793077</x:v>
      </x:c>
      <x:c r="J3274" s="67" t="str">
        <x:v>Modeled from live base + Sep-2026 quality ratio</x:v>
      </x:c>
      <x:c r="K3274" s="67" t="str">
        <x:v>https://www.stonealgo.com/diamond-prices/</x:v>
      </x:c>
      <x:c r="L3274" s="67" t="str">
        <x:v>https://www.pricescope.com/blog/natural-diamond-prices-september-2026</x:v>
      </x:c>
    </x:row>
    <x:row r="3275">
      <x:c r="A3275" t="n">
        <x:v>6</x:v>
      </x:c>
      <x:c r="B3275" t="str">
        <x:v>Oval</x:v>
      </x:c>
      <x:c r="C3275" t="str">
        <x:v>E</x:v>
      </x:c>
      <x:c r="D3275" t="str">
        <x:v>IF</x:v>
      </x:c>
      <x:c r="E3275" s="36" t="n">
        <x:v>182501</x:v>
      </x:c>
      <x:c r="F3275" s="36" t="n">
        <x:v>8672</x:v>
      </x:c>
      <x:c r="G3275" s="42" t="n">
        <x:v>1.8601458601458603</x:v>
      </x:c>
      <x:c r="H3275" s="36" t="n">
        <x:f>E3275*G3275</x:f>
        <x:v>339478.47962247964</x:v>
      </x:c>
      <x:c r="I3275" s="36" t="n">
        <x:f>IFERROR(H3275/A3275,0)</x:f>
        <x:v>56579.74660374661</x:v>
      </x:c>
      <x:c r="J3275" s="67" t="str">
        <x:v>Modeled from live base + Sep-2026 quality ratio</x:v>
      </x:c>
      <x:c r="K3275" s="67" t="str">
        <x:v>https://www.stonealgo.com/diamond-prices/</x:v>
      </x:c>
      <x:c r="L3275" s="67" t="str">
        <x:v>https://www.pricescope.com/blog/natural-diamond-prices-september-2026</x:v>
      </x:c>
    </x:row>
    <x:row r="3276">
      <x:c r="A3276" t="n">
        <x:v>6</x:v>
      </x:c>
      <x:c r="B3276" t="str">
        <x:v>Oval</x:v>
      </x:c>
      <x:c r="C3276" t="str">
        <x:v>E</x:v>
      </x:c>
      <x:c r="D3276" t="str">
        <x:v>VVS1</x:v>
      </x:c>
      <x:c r="E3276" s="36" t="n">
        <x:v>182501</x:v>
      </x:c>
      <x:c r="F3276" s="36" t="n">
        <x:v>7842</x:v>
      </x:c>
      <x:c r="G3276" s="42" t="n">
        <x:v>1.6821106821106822</x:v>
      </x:c>
      <x:c r="H3276" s="36" t="n">
        <x:f>E3276*G3276</x:f>
        <x:v>306986.8815958816</x:v>
      </x:c>
      <x:c r="I3276" s="36" t="n">
        <x:f>IFERROR(H3276/A3276,0)</x:f>
        <x:v>51164.480265980266</x:v>
      </x:c>
      <x:c r="J3276" s="67" t="str">
        <x:v>Modeled from live base + Sep-2026 quality ratio</x:v>
      </x:c>
      <x:c r="K3276" s="67" t="str">
        <x:v>https://www.stonealgo.com/diamond-prices/</x:v>
      </x:c>
      <x:c r="L3276" s="67" t="str">
        <x:v>https://www.pricescope.com/blog/natural-diamond-prices-september-2026</x:v>
      </x:c>
    </x:row>
    <x:row r="3277">
      <x:c r="A3277" t="n">
        <x:v>6</x:v>
      </x:c>
      <x:c r="B3277" t="str">
        <x:v>Oval</x:v>
      </x:c>
      <x:c r="C3277" t="str">
        <x:v>E</x:v>
      </x:c>
      <x:c r="D3277" t="str">
        <x:v>VVS2</x:v>
      </x:c>
      <x:c r="E3277" s="36" t="n">
        <x:v>182501</x:v>
      </x:c>
      <x:c r="F3277" s="36" t="n">
        <x:v>6880</x:v>
      </x:c>
      <x:c r="G3277" s="42" t="n">
        <x:v>1.4757614757614759</x:v>
      </x:c>
      <x:c r="H3277" s="36" t="n">
        <x:f>E3277*G3277</x:f>
        <x:v>269327.9450879451</x:v>
      </x:c>
      <x:c r="I3277" s="36" t="n">
        <x:f>IFERROR(H3277/A3277,0)</x:f>
        <x:v>44887.99084799085</x:v>
      </x:c>
      <x:c r="J3277" s="67" t="str">
        <x:v>Modeled from live base + Sep-2026 quality ratio</x:v>
      </x:c>
      <x:c r="K3277" s="67" t="str">
        <x:v>https://www.stonealgo.com/diamond-prices/</x:v>
      </x:c>
      <x:c r="L3277" s="67" t="str">
        <x:v>https://www.pricescope.com/blog/natural-diamond-prices-september-2026</x:v>
      </x:c>
    </x:row>
    <x:row r="3278">
      <x:c r="A3278" t="n">
        <x:v>6</x:v>
      </x:c>
      <x:c r="B3278" t="str">
        <x:v>Oval</x:v>
      </x:c>
      <x:c r="C3278" t="str">
        <x:v>E</x:v>
      </x:c>
      <x:c r="D3278" t="str">
        <x:v>VS1</x:v>
      </x:c>
      <x:c r="E3278" s="36" t="n">
        <x:v>182501</x:v>
      </x:c>
      <x:c r="F3278" s="36" t="n">
        <x:v>6307</x:v>
      </x:c>
      <x:c r="G3278" s="42" t="n">
        <x:v>1.352852852852853</x:v>
      </x:c>
      <x:c r="H3278" s="36" t="n">
        <x:f>E3278*G3278</x:f>
        <x:v>246896.99849849852</x:v>
      </x:c>
      <x:c r="I3278" s="36" t="n">
        <x:f>IFERROR(H3278/A3278,0)</x:f>
        <x:v>41149.49974974975</x:v>
      </x:c>
      <x:c r="J3278" s="67" t="str">
        <x:v>Modeled from live base + Sep-2026 quality ratio</x:v>
      </x:c>
      <x:c r="K3278" s="67" t="str">
        <x:v>https://www.stonealgo.com/diamond-prices/</x:v>
      </x:c>
      <x:c r="L3278" s="67" t="str">
        <x:v>https://www.pricescope.com/blog/natural-diamond-prices-september-2026</x:v>
      </x:c>
    </x:row>
    <x:row r="3279">
      <x:c r="A3279" t="n">
        <x:v>6</x:v>
      </x:c>
      <x:c r="B3279" t="str">
        <x:v>Oval</x:v>
      </x:c>
      <x:c r="C3279" t="str">
        <x:v>E</x:v>
      </x:c>
      <x:c r="D3279" t="str">
        <x:v>VS2</x:v>
      </x:c>
      <x:c r="E3279" s="36" t="n">
        <x:v>182501</x:v>
      </x:c>
      <x:c r="F3279" s="36" t="n">
        <x:v>5249</x:v>
      </x:c>
      <x:c r="G3279" s="42" t="n">
        <x:v>1.125911625911626</x:v>
      </x:c>
      <x:c r="H3279" s="36" t="n">
        <x:f>E3279*G3279</x:f>
        <x:v>205479.99764049766</x:v>
      </x:c>
      <x:c r="I3279" s="36" t="n">
        <x:f>IFERROR(H3279/A3279,0)</x:f>
        <x:v>34246.666273416275</x:v>
      </x:c>
      <x:c r="J3279" s="67" t="str">
        <x:v>Modeled from live base + Sep-2026 quality ratio</x:v>
      </x:c>
      <x:c r="K3279" s="67" t="str">
        <x:v>https://www.stonealgo.com/diamond-prices/</x:v>
      </x:c>
      <x:c r="L3279" s="67" t="str">
        <x:v>https://www.pricescope.com/blog/natural-diamond-prices-september-2026</x:v>
      </x:c>
    </x:row>
    <x:row r="3280">
      <x:c r="A3280" t="n">
        <x:v>6</x:v>
      </x:c>
      <x:c r="B3280" t="str">
        <x:v>Oval</x:v>
      </x:c>
      <x:c r="C3280" t="str">
        <x:v>E</x:v>
      </x:c>
      <x:c r="D3280" t="str">
        <x:v>SI1</x:v>
      </x:c>
      <x:c r="E3280" s="36" t="n">
        <x:v>182501</x:v>
      </x:c>
      <x:c r="F3280" s="36" t="n">
        <x:v>3551</x:v>
      </x:c>
      <x:c r="G3280" s="42" t="n">
        <x:v>0.7616902616902617</x:v>
      </x:c>
      <x:c r="H3280" s="36" t="n">
        <x:f>E3280*G3280</x:f>
        <x:v>139009.23444873444</x:v>
      </x:c>
      <x:c r="I3280" s="36" t="n">
        <x:f>IFERROR(H3280/A3280,0)</x:f>
        <x:v>23168.20574145574</x:v>
      </x:c>
      <x:c r="J3280" s="67" t="str">
        <x:v>Modeled from live base + Sep-2026 quality ratio</x:v>
      </x:c>
      <x:c r="K3280" s="67" t="str">
        <x:v>https://www.stonealgo.com/diamond-prices/</x:v>
      </x:c>
      <x:c r="L3280" s="67" t="str">
        <x:v>https://www.pricescope.com/blog/natural-diamond-prices-september-2026</x:v>
      </x:c>
    </x:row>
    <x:row r="3281">
      <x:c r="A3281" t="n">
        <x:v>6</x:v>
      </x:c>
      <x:c r="B3281" t="str">
        <x:v>Oval</x:v>
      </x:c>
      <x:c r="C3281" t="str">
        <x:v>E</x:v>
      </x:c>
      <x:c r="D3281" t="str">
        <x:v>SI2</x:v>
      </x:c>
      <x:c r="E3281" s="36" t="n">
        <x:v>182501</x:v>
      </x:c>
      <x:c r="F3281" s="36" t="n">
        <x:v>2993</x:v>
      </x:c>
      <x:c r="G3281" s="42" t="n">
        <x:v>0.641999141999142</x:v>
      </x:c>
      <x:c r="H3281" s="36" t="n">
        <x:f>E3281*G3281</x:f>
        <x:v>117165.48541398541</x:v>
      </x:c>
      <x:c r="I3281" s="36" t="n">
        <x:f>IFERROR(H3281/A3281,0)</x:f>
        <x:v>19527.5809023309</x:v>
      </x:c>
      <x:c r="J3281" s="67" t="str">
        <x:v>Modeled from live base + Sep-2026 quality ratio</x:v>
      </x:c>
      <x:c r="K3281" s="67" t="str">
        <x:v>https://www.stonealgo.com/diamond-prices/</x:v>
      </x:c>
      <x:c r="L3281" s="67" t="str">
        <x:v>https://www.pricescope.com/blog/natural-diamond-prices-september-2026</x:v>
      </x:c>
    </x:row>
    <x:row r="3282">
      <x:c r="A3282" t="n">
        <x:v>6</x:v>
      </x:c>
      <x:c r="B3282" t="str">
        <x:v>Oval</x:v>
      </x:c>
      <x:c r="C3282" t="str">
        <x:v>F</x:v>
      </x:c>
      <x:c r="D3282" t="str">
        <x:v>FL</x:v>
      </x:c>
      <x:c r="E3282" s="36" t="n">
        <x:v>182501</x:v>
      </x:c>
      <x:c r="F3282" s="36" t="n">
        <x:v>6830</x:v>
      </x:c>
      <x:c r="G3282" s="42" t="n">
        <x:v>1.4650364650364651</x:v>
      </x:c>
      <x:c r="H3282" s="36" t="n">
        <x:f>E3282*G3282</x:f>
        <x:v>267370.61990561994</x:v>
      </x:c>
      <x:c r="I3282" s="36" t="n">
        <x:f>IFERROR(H3282/A3282,0)</x:f>
        <x:v>44561.76998426999</x:v>
      </x:c>
      <x:c r="J3282" s="67" t="str">
        <x:v>Modeled from live base + Sep-2026 quality ratio</x:v>
      </x:c>
      <x:c r="K3282" s="67" t="str">
        <x:v>https://www.stonealgo.com/diamond-prices/</x:v>
      </x:c>
      <x:c r="L3282" s="67" t="str">
        <x:v>https://www.pricescope.com/blog/natural-diamond-prices-september-2026</x:v>
      </x:c>
    </x:row>
    <x:row r="3283">
      <x:c r="A3283" t="n">
        <x:v>6</x:v>
      </x:c>
      <x:c r="B3283" t="str">
        <x:v>Oval</x:v>
      </x:c>
      <x:c r="C3283" t="str">
        <x:v>F</x:v>
      </x:c>
      <x:c r="D3283" t="str">
        <x:v>IF</x:v>
      </x:c>
      <x:c r="E3283" s="36" t="n">
        <x:v>182501</x:v>
      </x:c>
      <x:c r="F3283" s="36" t="n">
        <x:v>7302</x:v>
      </x:c>
      <x:c r="G3283" s="42" t="n">
        <x:v>1.5662805662805663</x:v>
      </x:c>
      <x:c r="H3283" s="36" t="n">
        <x:f>E3283*G3283</x:f>
        <x:v>285847.76962676964</x:v>
      </x:c>
      <x:c r="I3283" s="36" t="n">
        <x:f>IFERROR(H3283/A3283,0)</x:f>
        <x:v>47641.29493779494</x:v>
      </x:c>
      <x:c r="J3283" s="67" t="str">
        <x:v>Modeled from live base + Sep-2026 quality ratio</x:v>
      </x:c>
      <x:c r="K3283" s="67" t="str">
        <x:v>https://www.stonealgo.com/diamond-prices/</x:v>
      </x:c>
      <x:c r="L3283" s="67" t="str">
        <x:v>https://www.pricescope.com/blog/natural-diamond-prices-september-2026</x:v>
      </x:c>
    </x:row>
    <x:row r="3284">
      <x:c r="A3284" t="n">
        <x:v>6</x:v>
      </x:c>
      <x:c r="B3284" t="str">
        <x:v>Oval</x:v>
      </x:c>
      <x:c r="C3284" t="str">
        <x:v>F</x:v>
      </x:c>
      <x:c r="D3284" t="str">
        <x:v>VVS1</x:v>
      </x:c>
      <x:c r="E3284" s="36" t="n">
        <x:v>182501</x:v>
      </x:c>
      <x:c r="F3284" s="36" t="n">
        <x:v>7542</x:v>
      </x:c>
      <x:c r="G3284" s="42" t="n">
        <x:v>1.6177606177606179</x:v>
      </x:c>
      <x:c r="H3284" s="36" t="n">
        <x:f>E3284*G3284</x:f>
        <x:v>295242.93050193053</x:v>
      </x:c>
      <x:c r="I3284" s="36" t="n">
        <x:f>IFERROR(H3284/A3284,0)</x:f>
        <x:v>49207.15508365509</x:v>
      </x:c>
      <x:c r="J3284" s="67" t="str">
        <x:v>Modeled from live base + Sep-2026 quality ratio</x:v>
      </x:c>
      <x:c r="K3284" s="67" t="str">
        <x:v>https://www.stonealgo.com/diamond-prices/</x:v>
      </x:c>
      <x:c r="L3284" s="67" t="str">
        <x:v>https://www.pricescope.com/blog/natural-diamond-prices-september-2026</x:v>
      </x:c>
    </x:row>
    <x:row r="3285">
      <x:c r="A3285" t="n">
        <x:v>6</x:v>
      </x:c>
      <x:c r="B3285" t="str">
        <x:v>Oval</x:v>
      </x:c>
      <x:c r="C3285" t="str">
        <x:v>F</x:v>
      </x:c>
      <x:c r="D3285" t="str">
        <x:v>VVS2</x:v>
      </x:c>
      <x:c r="E3285" s="36" t="n">
        <x:v>182501</x:v>
      </x:c>
      <x:c r="F3285" s="36" t="n">
        <x:v>6352</x:v>
      </x:c>
      <x:c r="G3285" s="42" t="n">
        <x:v>1.3625053625053625</x:v>
      </x:c>
      <x:c r="H3285" s="36" t="n">
        <x:f>E3285*G3285</x:f>
        <x:v>248658.59116259115</x:v>
      </x:c>
      <x:c r="I3285" s="36" t="n">
        <x:f>IFERROR(H3285/A3285,0)</x:f>
        <x:v>41443.098527098526</x:v>
      </x:c>
      <x:c r="J3285" s="67" t="str">
        <x:v>Modeled from live base + Sep-2026 quality ratio</x:v>
      </x:c>
      <x:c r="K3285" s="67" t="str">
        <x:v>https://www.stonealgo.com/diamond-prices/</x:v>
      </x:c>
      <x:c r="L3285" s="67" t="str">
        <x:v>https://www.pricescope.com/blog/natural-diamond-prices-september-2026</x:v>
      </x:c>
    </x:row>
    <x:row r="3286">
      <x:c r="A3286" t="n">
        <x:v>6</x:v>
      </x:c>
      <x:c r="B3286" t="str">
        <x:v>Oval</x:v>
      </x:c>
      <x:c r="C3286" t="str">
        <x:v>F</x:v>
      </x:c>
      <x:c r="D3286" t="str">
        <x:v>VS1</x:v>
      </x:c>
      <x:c r="E3286" s="36" t="n">
        <x:v>182501</x:v>
      </x:c>
      <x:c r="F3286" s="36" t="n">
        <x:v>5647</x:v>
      </x:c>
      <x:c r="G3286" s="42" t="n">
        <x:v>1.2112827112827114</x:v>
      </x:c>
      <x:c r="H3286" s="36" t="n">
        <x:f>E3286*G3286</x:f>
        <x:v>221060.3060918061</x:v>
      </x:c>
      <x:c r="I3286" s="36" t="n">
        <x:f>IFERROR(H3286/A3286,0)</x:f>
        <x:v>36843.38434863435</x:v>
      </x:c>
      <x:c r="J3286" s="67" t="str">
        <x:v>Modeled from live base + Sep-2026 quality ratio</x:v>
      </x:c>
      <x:c r="K3286" s="67" t="str">
        <x:v>https://www.stonealgo.com/diamond-prices/</x:v>
      </x:c>
      <x:c r="L3286" s="67" t="str">
        <x:v>https://www.pricescope.com/blog/natural-diamond-prices-september-2026</x:v>
      </x:c>
    </x:row>
    <x:row r="3287">
      <x:c r="A3287" t="n">
        <x:v>6</x:v>
      </x:c>
      <x:c r="B3287" t="str">
        <x:v>Oval</x:v>
      </x:c>
      <x:c r="C3287" t="str">
        <x:v>F</x:v>
      </x:c>
      <x:c r="D3287" t="str">
        <x:v>VS2</x:v>
      </x:c>
      <x:c r="E3287" s="36" t="n">
        <x:v>182501</x:v>
      </x:c>
      <x:c r="F3287" s="36" t="n">
        <x:v>4730</x:v>
      </x:c>
      <x:c r="G3287" s="42" t="n">
        <x:v>1.0145860145860146</x:v>
      </x:c>
      <x:c r="H3287" s="36" t="n">
        <x:f>E3287*G3287</x:f>
        <x:v>185162.96224796225</x:v>
      </x:c>
      <x:c r="I3287" s="36" t="n">
        <x:f>IFERROR(H3287/A3287,0)</x:f>
        <x:v>30860.493707993708</x:v>
      </x:c>
      <x:c r="J3287" s="67" t="str">
        <x:v>Modeled from live base + Sep-2026 quality ratio</x:v>
      </x:c>
      <x:c r="K3287" s="67" t="str">
        <x:v>https://www.stonealgo.com/diamond-prices/</x:v>
      </x:c>
      <x:c r="L3287" s="67" t="str">
        <x:v>https://www.pricescope.com/blog/natural-diamond-prices-september-2026</x:v>
      </x:c>
    </x:row>
    <x:row r="3288">
      <x:c r="A3288" t="n">
        <x:v>6</x:v>
      </x:c>
      <x:c r="B3288" t="str">
        <x:v>Oval</x:v>
      </x:c>
      <x:c r="C3288" t="str">
        <x:v>F</x:v>
      </x:c>
      <x:c r="D3288" t="str">
        <x:v>SI1</x:v>
      </x:c>
      <x:c r="E3288" s="36" t="n">
        <x:v>182501</x:v>
      </x:c>
      <x:c r="F3288" s="36" t="n">
        <x:v>3331</x:v>
      </x:c>
      <x:c r="G3288" s="42" t="n">
        <x:v>0.7145002145002145</x:v>
      </x:c>
      <x:c r="H3288" s="36" t="n">
        <x:f>E3288*G3288</x:f>
        <x:v>130397.00364650365</x:v>
      </x:c>
      <x:c r="I3288" s="36" t="n">
        <x:f>IFERROR(H3288/A3288,0)</x:f>
        <x:v>21732.833941083944</x:v>
      </x:c>
      <x:c r="J3288" s="67" t="str">
        <x:v>Modeled from live base + Sep-2026 quality ratio</x:v>
      </x:c>
      <x:c r="K3288" s="67" t="str">
        <x:v>https://www.stonealgo.com/diamond-prices/</x:v>
      </x:c>
      <x:c r="L3288" s="67" t="str">
        <x:v>https://www.pricescope.com/blog/natural-diamond-prices-september-2026</x:v>
      </x:c>
    </x:row>
    <x:row r="3289">
      <x:c r="A3289" t="n">
        <x:v>6</x:v>
      </x:c>
      <x:c r="B3289" t="str">
        <x:v>Oval</x:v>
      </x:c>
      <x:c r="C3289" t="str">
        <x:v>F</x:v>
      </x:c>
      <x:c r="D3289" t="str">
        <x:v>SI2</x:v>
      </x:c>
      <x:c r="E3289" s="36" t="n">
        <x:v>182501</x:v>
      </x:c>
      <x:c r="F3289" s="36" t="n">
        <x:v>2733</x:v>
      </x:c>
      <x:c r="G3289" s="42" t="n">
        <x:v>0.5862290862290862</x:v>
      </x:c>
      <x:c r="H3289" s="36" t="n">
        <x:f>E3289*G3289</x:f>
        <x:v>106987.39446589447</x:v>
      </x:c>
      <x:c r="I3289" s="36" t="n">
        <x:f>IFERROR(H3289/A3289,0)</x:f>
        <x:v>17831.23241098241</x:v>
      </x:c>
      <x:c r="J3289" s="67" t="str">
        <x:v>Modeled from live base + Sep-2026 quality ratio</x:v>
      </x:c>
      <x:c r="K3289" s="67" t="str">
        <x:v>https://www.stonealgo.com/diamond-prices/</x:v>
      </x:c>
      <x:c r="L3289" s="67" t="str">
        <x:v>https://www.pricescope.com/blog/natural-diamond-prices-september-2026</x:v>
      </x:c>
    </x:row>
    <x:row r="3290">
      <x:c r="A3290" t="n">
        <x:v>6</x:v>
      </x:c>
      <x:c r="B3290" t="str">
        <x:v>Oval</x:v>
      </x:c>
      <x:c r="C3290" t="str">
        <x:v>G</x:v>
      </x:c>
      <x:c r="D3290" t="str">
        <x:v>FL</x:v>
      </x:c>
      <x:c r="E3290" s="36" t="n">
        <x:v>182501</x:v>
      </x:c>
      <x:c r="F3290" s="36" t="n">
        <x:v>5905</x:v>
      </x:c>
      <x:c r="G3290" s="42" t="n">
        <x:v>1.2666237666237665</x:v>
      </x:c>
      <x:c r="H3290" s="36" t="n">
        <x:f>E3290*G3290</x:f>
        <x:v>231160.10403260402</x:v>
      </x:c>
      <x:c r="I3290" s="36" t="n">
        <x:f>IFERROR(H3290/A3290,0)</x:f>
        <x:v>38526.68400543401</x:v>
      </x:c>
      <x:c r="J3290" s="67" t="str">
        <x:v>Modeled from live base + Sep-2026 quality ratio</x:v>
      </x:c>
      <x:c r="K3290" s="67" t="str">
        <x:v>https://www.stonealgo.com/diamond-prices/</x:v>
      </x:c>
      <x:c r="L3290" s="67" t="str">
        <x:v>https://www.pricescope.com/blog/natural-diamond-prices-september-2026</x:v>
      </x:c>
    </x:row>
    <x:row r="3291">
      <x:c r="A3291" t="n">
        <x:v>6</x:v>
      </x:c>
      <x:c r="B3291" t="str">
        <x:v>Oval</x:v>
      </x:c>
      <x:c r="C3291" t="str">
        <x:v>G</x:v>
      </x:c>
      <x:c r="D3291" t="str">
        <x:v>IF</x:v>
      </x:c>
      <x:c r="E3291" s="36" t="n">
        <x:v>182501</x:v>
      </x:c>
      <x:c r="F3291" s="36" t="n">
        <x:v>5601</x:v>
      </x:c>
      <x:c r="G3291" s="42" t="n">
        <x:v>1.2014157014157014</x:v>
      </x:c>
      <x:c r="H3291" s="36" t="n">
        <x:f>E3291*G3291</x:f>
        <x:v>219259.56692406692</x:v>
      </x:c>
      <x:c r="I3291" s="36" t="n">
        <x:f>IFERROR(H3291/A3291,0)</x:f>
        <x:v>36543.261154011154</x:v>
      </x:c>
      <x:c r="J3291" s="67" t="str">
        <x:v>Modeled from live base + Sep-2026 quality ratio</x:v>
      </x:c>
      <x:c r="K3291" s="67" t="str">
        <x:v>https://www.stonealgo.com/diamond-prices/</x:v>
      </x:c>
      <x:c r="L3291" s="67" t="str">
        <x:v>https://www.pricescope.com/blog/natural-diamond-prices-september-2026</x:v>
      </x:c>
    </x:row>
    <x:row r="3292">
      <x:c r="A3292" t="n">
        <x:v>6</x:v>
      </x:c>
      <x:c r="B3292" t="str">
        <x:v>Oval</x:v>
      </x:c>
      <x:c r="C3292" t="str">
        <x:v>G</x:v>
      </x:c>
      <x:c r="D3292" t="str">
        <x:v>VVS1</x:v>
      </x:c>
      <x:c r="E3292" s="36" t="n">
        <x:v>182501</x:v>
      </x:c>
      <x:c r="F3292" s="36" t="n">
        <x:v>5124</x:v>
      </x:c>
      <x:c r="G3292" s="42" t="n">
        <x:v>1.0990990990990992</x:v>
      </x:c>
      <x:c r="H3292" s="36" t="n">
        <x:f>E3292*G3292</x:f>
        <x:v>200586.6846846847</x:v>
      </x:c>
      <x:c r="I3292" s="36" t="n">
        <x:f>IFERROR(H3292/A3292,0)</x:f>
        <x:v>33431.11411411412</x:v>
      </x:c>
      <x:c r="J3292" s="67" t="str">
        <x:v>Modeled from live base + Sep-2026 quality ratio</x:v>
      </x:c>
      <x:c r="K3292" s="67" t="str">
        <x:v>https://www.stonealgo.com/diamond-prices/</x:v>
      </x:c>
      <x:c r="L3292" s="67" t="str">
        <x:v>https://www.pricescope.com/blog/natural-diamond-prices-september-2026</x:v>
      </x:c>
    </x:row>
    <x:row r="3293">
      <x:c r="A3293" t="n">
        <x:v>6</x:v>
      </x:c>
      <x:c r="B3293" t="str">
        <x:v>Oval</x:v>
      </x:c>
      <x:c r="C3293" t="str">
        <x:v>G</x:v>
      </x:c>
      <x:c r="D3293" t="str">
        <x:v>VVS2</x:v>
      </x:c>
      <x:c r="E3293" s="36" t="n">
        <x:v>182501</x:v>
      </x:c>
      <x:c r="F3293" s="36" t="n">
        <x:v>4962</x:v>
      </x:c>
      <x:c r="G3293" s="42" t="n">
        <x:v>1.0643500643500643</x:v>
      </x:c>
      <x:c r="H3293" s="36" t="n">
        <x:f>E3293*G3293</x:f>
        <x:v>194244.9510939511</x:v>
      </x:c>
      <x:c r="I3293" s="36" t="n">
        <x:f>IFERROR(H3293/A3293,0)</x:f>
        <x:v>32374.158515658517</x:v>
      </x:c>
      <x:c r="J3293" s="67" t="str">
        <x:v>Modeled from live base + Sep-2026 quality ratio</x:v>
      </x:c>
      <x:c r="K3293" s="67" t="str">
        <x:v>https://www.stonealgo.com/diamond-prices/</x:v>
      </x:c>
      <x:c r="L3293" s="67" t="str">
        <x:v>https://www.pricescope.com/blog/natural-diamond-prices-september-2026</x:v>
      </x:c>
    </x:row>
    <x:row r="3294">
      <x:c r="A3294" t="n">
        <x:v>6</x:v>
      </x:c>
      <x:c r="B3294" t="str">
        <x:v>Oval</x:v>
      </x:c>
      <x:c r="C3294" t="str">
        <x:v>G</x:v>
      </x:c>
      <x:c r="D3294" t="str">
        <x:v>VS1</x:v>
      </x:c>
      <x:c r="E3294" s="36" t="n">
        <x:v>182501</x:v>
      </x:c>
      <x:c r="F3294" s="36" t="n">
        <x:v>4615</x:v>
      </x:c>
      <x:c r="G3294" s="42" t="n">
        <x:v>0.98991848991849</x:v>
      </x:c>
      <x:c r="H3294" s="36" t="n">
        <x:f>E3294*G3294</x:f>
        <x:v>180661.11432861435</x:v>
      </x:c>
      <x:c r="I3294" s="36" t="n">
        <x:f>IFERROR(H3294/A3294,0)</x:f>
        <x:v>30110.185721435726</x:v>
      </x:c>
      <x:c r="J3294" s="67" t="str">
        <x:v>Modeled from live base + Sep-2026 quality ratio</x:v>
      </x:c>
      <x:c r="K3294" s="67" t="str">
        <x:v>https://www.stonealgo.com/diamond-prices/</x:v>
      </x:c>
      <x:c r="L3294" s="67" t="str">
        <x:v>https://www.pricescope.com/blog/natural-diamond-prices-september-2026</x:v>
      </x:c>
    </x:row>
    <x:row r="3295">
      <x:c r="A3295" t="n">
        <x:v>6</x:v>
      </x:c>
      <x:c r="B3295" t="str">
        <x:v>Oval</x:v>
      </x:c>
      <x:c r="C3295" t="str">
        <x:v>G</x:v>
      </x:c>
      <x:c r="D3295" t="str">
        <x:v>VS2</x:v>
      </x:c>
      <x:c r="E3295" s="36" t="n">
        <x:v>182501</x:v>
      </x:c>
      <x:c r="F3295" s="36" t="n">
        <x:v>4585</x:v>
      </x:c>
      <x:c r="G3295" s="42" t="n">
        <x:v>0.9834834834834835</x:v>
      </x:c>
      <x:c r="H3295" s="36" t="n">
        <x:f>E3295*G3295</x:f>
        <x:v>179486.71921921923</x:v>
      </x:c>
      <x:c r="I3295" s="36" t="n">
        <x:f>IFERROR(H3295/A3295,0)</x:f>
        <x:v>29914.453203203204</x:v>
      </x:c>
      <x:c r="J3295" s="67" t="str">
        <x:v>Modeled from live base + Sep-2026 quality ratio</x:v>
      </x:c>
      <x:c r="K3295" s="67" t="str">
        <x:v>https://www.stonealgo.com/diamond-prices/</x:v>
      </x:c>
      <x:c r="L3295" s="67" t="str">
        <x:v>https://www.pricescope.com/blog/natural-diamond-prices-september-2026</x:v>
      </x:c>
    </x:row>
    <x:row r="3296">
      <x:c r="A3296" t="n">
        <x:v>6</x:v>
      </x:c>
      <x:c r="B3296" t="str">
        <x:v>Oval</x:v>
      </x:c>
      <x:c r="C3296" t="str">
        <x:v>G</x:v>
      </x:c>
      <x:c r="D3296" t="str">
        <x:v>SI1</x:v>
      </x:c>
      <x:c r="E3296" s="36" t="n">
        <x:v>182501</x:v>
      </x:c>
      <x:c r="F3296" s="36" t="n">
        <x:v>3664</x:v>
      </x:c>
      <x:c r="G3296" s="42" t="n">
        <x:v>0.7859287859287859</x:v>
      </x:c>
      <x:c r="H3296" s="36" t="n">
        <x:f>E3296*G3296</x:f>
        <x:v>143432.78936078935</x:v>
      </x:c>
      <x:c r="I3296" s="36" t="n">
        <x:f>IFERROR(H3296/A3296,0)</x:f>
        <x:v>23905.46489346489</x:v>
      </x:c>
      <x:c r="J3296" s="67" t="str">
        <x:v>Modeled from live base + Sep-2026 quality ratio</x:v>
      </x:c>
      <x:c r="K3296" s="67" t="str">
        <x:v>https://www.stonealgo.com/diamond-prices/</x:v>
      </x:c>
      <x:c r="L3296" s="67" t="str">
        <x:v>https://www.pricescope.com/blog/natural-diamond-prices-september-2026</x:v>
      </x:c>
    </x:row>
    <x:row r="3297">
      <x:c r="A3297" t="n">
        <x:v>6</x:v>
      </x:c>
      <x:c r="B3297" t="str">
        <x:v>Oval</x:v>
      </x:c>
      <x:c r="C3297" t="str">
        <x:v>G</x:v>
      </x:c>
      <x:c r="D3297" t="str">
        <x:v>SI2</x:v>
      </x:c>
      <x:c r="E3297" s="36" t="n">
        <x:v>182501</x:v>
      </x:c>
      <x:c r="F3297" s="36" t="n">
        <x:v>2537</x:v>
      </x:c>
      <x:c r="G3297" s="42" t="n">
        <x:v>0.5441870441870442</x:v>
      </x:c>
      <x:c r="H3297" s="36" t="n">
        <x:f>E3297*G3297</x:f>
        <x:v>99314.67975117976</x:v>
      </x:c>
      <x:c r="I3297" s="36" t="n">
        <x:f>IFERROR(H3297/A3297,0)</x:f>
        <x:v>16552.446625196626</x:v>
      </x:c>
      <x:c r="J3297" s="67" t="str">
        <x:v>Modeled from live base + Sep-2026 quality ratio</x:v>
      </x:c>
      <x:c r="K3297" s="67" t="str">
        <x:v>https://www.stonealgo.com/diamond-prices/</x:v>
      </x:c>
      <x:c r="L3297" s="67" t="str">
        <x:v>https://www.pricescope.com/blog/natural-diamond-prices-september-2026</x:v>
      </x:c>
    </x:row>
    <x:row r="3298">
      <x:c r="A3298" t="n">
        <x:v>6</x:v>
      </x:c>
      <x:c r="B3298" t="str">
        <x:v>Oval</x:v>
      </x:c>
      <x:c r="C3298" t="str">
        <x:v>H</x:v>
      </x:c>
      <x:c r="D3298" t="str">
        <x:v>FL</x:v>
      </x:c>
      <x:c r="E3298" s="36" t="n">
        <x:v>182501</x:v>
      </x:c>
      <x:c r="F3298" s="36" t="n">
        <x:v>4563</x:v>
      </x:c>
      <x:c r="G3298" s="42" t="n">
        <x:v>0.9787644787644788</x:v>
      </x:c>
      <x:c r="H3298" s="36" t="n">
        <x:f>E3298*G3298</x:f>
        <x:v>178625.49613899615</x:v>
      </x:c>
      <x:c r="I3298" s="36" t="n">
        <x:f>IFERROR(H3298/A3298,0)</x:f>
        <x:v>29770.916023166024</x:v>
      </x:c>
      <x:c r="J3298" s="67" t="str">
        <x:v>Modeled from live base + Sep-2026 quality ratio</x:v>
      </x:c>
      <x:c r="K3298" s="67" t="str">
        <x:v>https://www.stonealgo.com/diamond-prices/</x:v>
      </x:c>
      <x:c r="L3298" s="67" t="str">
        <x:v>https://www.pricescope.com/blog/natural-diamond-prices-september-2026</x:v>
      </x:c>
    </x:row>
    <x:row r="3299">
      <x:c r="A3299" t="n">
        <x:v>6</x:v>
      </x:c>
      <x:c r="B3299" t="str">
        <x:v>Oval</x:v>
      </x:c>
      <x:c r="C3299" t="str">
        <x:v>H</x:v>
      </x:c>
      <x:c r="D3299" t="str">
        <x:v>IF</x:v>
      </x:c>
      <x:c r="E3299" s="36" t="n">
        <x:v>182501</x:v>
      </x:c>
      <x:c r="F3299" s="36" t="n">
        <x:v>4809</x:v>
      </x:c>
      <x:c r="G3299" s="42" t="n">
        <x:v>1.0315315315315314</x:v>
      </x:c>
      <x:c r="H3299" s="36" t="n">
        <x:f>E3299*G3299</x:f>
        <x:v>188255.536036036</x:v>
      </x:c>
      <x:c r="I3299" s="36" t="n">
        <x:f>IFERROR(H3299/A3299,0)</x:f>
        <x:v>31375.922672672667</x:v>
      </x:c>
      <x:c r="J3299" s="67" t="str">
        <x:v>Modeled from live base + Sep-2026 quality ratio</x:v>
      </x:c>
      <x:c r="K3299" s="67" t="str">
        <x:v>https://www.stonealgo.com/diamond-prices/</x:v>
      </x:c>
      <x:c r="L3299" s="67" t="str">
        <x:v>https://www.pricescope.com/blog/natural-diamond-prices-september-2026</x:v>
      </x:c>
    </x:row>
    <x:row r="3300">
      <x:c r="A3300" t="n">
        <x:v>6</x:v>
      </x:c>
      <x:c r="B3300" t="str">
        <x:v>Oval</x:v>
      </x:c>
      <x:c r="C3300" t="str">
        <x:v>H</x:v>
      </x:c>
      <x:c r="D3300" t="str">
        <x:v>VVS1</x:v>
      </x:c>
      <x:c r="E3300" s="36" t="n">
        <x:v>182501</x:v>
      </x:c>
      <x:c r="F3300" s="36" t="n">
        <x:v>4911</x:v>
      </x:c>
      <x:c r="G3300" s="42" t="n">
        <x:v>1.0534105534105533</x:v>
      </x:c>
      <x:c r="H3300" s="36" t="n">
        <x:f>E3300*G3300</x:f>
        <x:v>192248.4794079794</x:v>
      </x:c>
      <x:c r="I3300" s="36" t="n">
        <x:f>IFERROR(H3300/A3300,0)</x:f>
        <x:v>32041.413234663236</x:v>
      </x:c>
      <x:c r="J3300" s="67" t="str">
        <x:v>Modeled from live base + Sep-2026 quality ratio</x:v>
      </x:c>
      <x:c r="K3300" s="67" t="str">
        <x:v>https://www.stonealgo.com/diamond-prices/</x:v>
      </x:c>
      <x:c r="L3300" s="67" t="str">
        <x:v>https://www.pricescope.com/blog/natural-diamond-prices-september-2026</x:v>
      </x:c>
    </x:row>
    <x:row r="3301">
      <x:c r="A3301" t="n">
        <x:v>6</x:v>
      </x:c>
      <x:c r="B3301" t="str">
        <x:v>Oval</x:v>
      </x:c>
      <x:c r="C3301" t="str">
        <x:v>H</x:v>
      </x:c>
      <x:c r="D3301" t="str">
        <x:v>VVS2</x:v>
      </x:c>
      <x:c r="E3301" s="36" t="n">
        <x:v>182501</x:v>
      </x:c>
      <x:c r="F3301" s="36" t="n">
        <x:v>4046</x:v>
      </x:c>
      <x:c r="G3301" s="42" t="n">
        <x:v>0.8678678678678678</x:v>
      </x:c>
      <x:c r="H3301" s="36" t="n">
        <x:f>E3301*G3301</x:f>
        <x:v>158386.75375375376</x:v>
      </x:c>
      <x:c r="I3301" s="36" t="n">
        <x:f>IFERROR(H3301/A3301,0)</x:f>
        <x:v>26397.79229229229</x:v>
      </x:c>
      <x:c r="J3301" s="67" t="str">
        <x:v>Modeled from live base + Sep-2026 quality ratio</x:v>
      </x:c>
      <x:c r="K3301" s="67" t="str">
        <x:v>https://www.stonealgo.com/diamond-prices/</x:v>
      </x:c>
      <x:c r="L3301" s="67" t="str">
        <x:v>https://www.pricescope.com/blog/natural-diamond-prices-september-2026</x:v>
      </x:c>
    </x:row>
    <x:row r="3302">
      <x:c r="A3302" t="n">
        <x:v>6</x:v>
      </x:c>
      <x:c r="B3302" t="str">
        <x:v>Oval</x:v>
      </x:c>
      <x:c r="C3302" t="str">
        <x:v>H</x:v>
      </x:c>
      <x:c r="D3302" t="str">
        <x:v>VS1</x:v>
      </x:c>
      <x:c r="E3302" s="36" t="n">
        <x:v>182501</x:v>
      </x:c>
      <x:c r="F3302" s="36" t="n">
        <x:v>3893</x:v>
      </x:c>
      <x:c r="G3302" s="42" t="n">
        <x:v>0.8350493350493351</x:v>
      </x:c>
      <x:c r="H3302" s="36" t="n">
        <x:f>E3302*G3302</x:f>
        <x:v>152397.3386958387</x:v>
      </x:c>
      <x:c r="I3302" s="36" t="n">
        <x:f>IFERROR(H3302/A3302,0)</x:f>
        <x:v>25399.55644930645</x:v>
      </x:c>
      <x:c r="J3302" s="67" t="str">
        <x:v>Modeled from live base + Sep-2026 quality ratio</x:v>
      </x:c>
      <x:c r="K3302" s="67" t="str">
        <x:v>https://www.stonealgo.com/diamond-prices/</x:v>
      </x:c>
      <x:c r="L3302" s="67" t="str">
        <x:v>https://www.pricescope.com/blog/natural-diamond-prices-september-2026</x:v>
      </x:c>
    </x:row>
    <x:row r="3303">
      <x:c r="A3303" t="n">
        <x:v>6</x:v>
      </x:c>
      <x:c r="B3303" t="str">
        <x:v>Oval</x:v>
      </x:c>
      <x:c r="C3303" t="str">
        <x:v>H</x:v>
      </x:c>
      <x:c r="D3303" t="str">
        <x:v>VS2</x:v>
      </x:c>
      <x:c r="E3303" s="36" t="n">
        <x:v>182501</x:v>
      </x:c>
      <x:c r="F3303" s="36" t="n">
        <x:v>3989</x:v>
      </x:c>
      <x:c r="G3303" s="42" t="n">
        <x:v>0.8556413556413557</x:v>
      </x:c>
      <x:c r="H3303" s="36" t="n">
        <x:f>E3303*G3303</x:f>
        <x:v>156155.40304590305</x:v>
      </x:c>
      <x:c r="I3303" s="36" t="n">
        <x:f>IFERROR(H3303/A3303,0)</x:f>
        <x:v>26025.90050765051</x:v>
      </x:c>
      <x:c r="J3303" s="67" t="str">
        <x:v>Modeled from live base + Sep-2026 quality ratio</x:v>
      </x:c>
      <x:c r="K3303" s="67" t="str">
        <x:v>https://www.stonealgo.com/diamond-prices/</x:v>
      </x:c>
      <x:c r="L3303" s="67" t="str">
        <x:v>https://www.pricescope.com/blog/natural-diamond-prices-september-2026</x:v>
      </x:c>
    </x:row>
    <x:row r="3304">
      <x:c r="A3304" t="n">
        <x:v>6</x:v>
      </x:c>
      <x:c r="B3304" t="str">
        <x:v>Oval</x:v>
      </x:c>
      <x:c r="C3304" t="str">
        <x:v>H</x:v>
      </x:c>
      <x:c r="D3304" t="str">
        <x:v>SI1</x:v>
      </x:c>
      <x:c r="E3304" s="36" t="n">
        <x:v>182501</x:v>
      </x:c>
      <x:c r="F3304" s="36" t="n">
        <x:v>2828</x:v>
      </x:c>
      <x:c r="G3304" s="42" t="n">
        <x:v>0.6066066066066066</x:v>
      </x:c>
      <x:c r="H3304" s="36" t="n">
        <x:f>E3304*G3304</x:f>
        <x:v>110706.31231231231</x:v>
      </x:c>
      <x:c r="I3304" s="36" t="n">
        <x:f>IFERROR(H3304/A3304,0)</x:f>
        <x:v>18451.05205205205</x:v>
      </x:c>
      <x:c r="J3304" s="67" t="str">
        <x:v>Modeled from live base + Sep-2026 quality ratio</x:v>
      </x:c>
      <x:c r="K3304" s="67" t="str">
        <x:v>https://www.stonealgo.com/diamond-prices/</x:v>
      </x:c>
      <x:c r="L3304" s="67" t="str">
        <x:v>https://www.pricescope.com/blog/natural-diamond-prices-september-2026</x:v>
      </x:c>
    </x:row>
    <x:row r="3305">
      <x:c r="A3305" t="n">
        <x:v>6</x:v>
      </x:c>
      <x:c r="B3305" t="str">
        <x:v>Oval</x:v>
      </x:c>
      <x:c r="C3305" t="str">
        <x:v>H</x:v>
      </x:c>
      <x:c r="D3305" t="str">
        <x:v>SI2</x:v>
      </x:c>
      <x:c r="E3305" s="36" t="n">
        <x:v>182501</x:v>
      </x:c>
      <x:c r="F3305" s="36" t="n">
        <x:v>2328</x:v>
      </x:c>
      <x:c r="G3305" s="42" t="n">
        <x:v>0.49935649935649934</x:v>
      </x:c>
      <x:c r="H3305" s="36" t="n">
        <x:f>E3305*G3305</x:f>
        <x:v>91133.06048906049</x:v>
      </x:c>
      <x:c r="I3305" s="36" t="n">
        <x:f>IFERROR(H3305/A3305,0)</x:f>
        <x:v>15188.843414843415</x:v>
      </x:c>
      <x:c r="J3305" s="67" t="str">
        <x:v>Modeled from live base + Sep-2026 quality ratio</x:v>
      </x:c>
      <x:c r="K3305" s="67" t="str">
        <x:v>https://www.stonealgo.com/diamond-prices/</x:v>
      </x:c>
      <x:c r="L3305" s="67" t="str">
        <x:v>https://www.pricescope.com/blog/natural-diamond-prices-september-2026</x:v>
      </x:c>
    </x:row>
    <x:row r="3306">
      <x:c r="A3306" t="n">
        <x:v>6</x:v>
      </x:c>
      <x:c r="B3306" t="str">
        <x:v>Oval</x:v>
      </x:c>
      <x:c r="C3306" t="str">
        <x:v>I</x:v>
      </x:c>
      <x:c r="D3306" t="str">
        <x:v>FL</x:v>
      </x:c>
      <x:c r="E3306" s="36" t="n">
        <x:v>182501</x:v>
      </x:c>
      <x:c r="F3306" s="36" t="n">
        <x:v>4623</x:v>
      </x:c>
      <x:c r="G3306" s="42" t="n">
        <x:v>0.9916344916344917</x:v>
      </x:c>
      <x:c r="H3306" s="36" t="n">
        <x:f>E3306*G3306</x:f>
        <x:v>180974.28635778636</x:v>
      </x:c>
      <x:c r="I3306" s="36" t="n">
        <x:f>IFERROR(H3306/A3306,0)</x:f>
        <x:v>30162.38105963106</x:v>
      </x:c>
      <x:c r="J3306" s="67" t="str">
        <x:v>Modeled from live base + Sep-2026 quality ratio</x:v>
      </x:c>
      <x:c r="K3306" s="67" t="str">
        <x:v>https://www.stonealgo.com/diamond-prices/</x:v>
      </x:c>
      <x:c r="L3306" s="67" t="str">
        <x:v>https://www.pricescope.com/blog/natural-diamond-prices-september-2026</x:v>
      </x:c>
    </x:row>
    <x:row r="3307">
      <x:c r="A3307" t="n">
        <x:v>6</x:v>
      </x:c>
      <x:c r="B3307" t="str">
        <x:v>Oval</x:v>
      </x:c>
      <x:c r="C3307" t="str">
        <x:v>I</x:v>
      </x:c>
      <x:c r="D3307" t="str">
        <x:v>IF</x:v>
      </x:c>
      <x:c r="E3307" s="36" t="n">
        <x:v>182501</x:v>
      </x:c>
      <x:c r="F3307" s="36" t="n">
        <x:v>4005</x:v>
      </x:c>
      <x:c r="G3307" s="42" t="n">
        <x:v>0.859073359073359</x:v>
      </x:c>
      <x:c r="H3307" s="36" t="n">
        <x:f>E3307*G3307</x:f>
        <x:v>156781.7471042471</x:v>
      </x:c>
      <x:c r="I3307" s="36" t="n">
        <x:f>IFERROR(H3307/A3307,0)</x:f>
        <x:v>26130.291184041183</x:v>
      </x:c>
      <x:c r="J3307" s="67" t="str">
        <x:v>Modeled from live base + Sep-2026 quality ratio</x:v>
      </x:c>
      <x:c r="K3307" s="67" t="str">
        <x:v>https://www.stonealgo.com/diamond-prices/</x:v>
      </x:c>
      <x:c r="L3307" s="67" t="str">
        <x:v>https://www.pricescope.com/blog/natural-diamond-prices-september-2026</x:v>
      </x:c>
    </x:row>
    <x:row r="3308">
      <x:c r="A3308" t="n">
        <x:v>6</x:v>
      </x:c>
      <x:c r="B3308" t="str">
        <x:v>Oval</x:v>
      </x:c>
      <x:c r="C3308" t="str">
        <x:v>I</x:v>
      </x:c>
      <x:c r="D3308" t="str">
        <x:v>VVS1</x:v>
      </x:c>
      <x:c r="E3308" s="36" t="n">
        <x:v>182501</x:v>
      </x:c>
      <x:c r="F3308" s="36" t="n">
        <x:v>3670</x:v>
      </x:c>
      <x:c r="G3308" s="42" t="n">
        <x:v>0.7872157872157872</x:v>
      </x:c>
      <x:c r="H3308" s="36" t="n">
        <x:f>E3308*G3308</x:f>
        <x:v>143667.66838266837</x:v>
      </x:c>
      <x:c r="I3308" s="36" t="n">
        <x:f>IFERROR(H3308/A3308,0)</x:f>
        <x:v>23944.611397111395</x:v>
      </x:c>
      <x:c r="J3308" s="67" t="str">
        <x:v>Modeled from live base + Sep-2026 quality ratio</x:v>
      </x:c>
      <x:c r="K3308" s="67" t="str">
        <x:v>https://www.stonealgo.com/diamond-prices/</x:v>
      </x:c>
      <x:c r="L3308" s="67" t="str">
        <x:v>https://www.pricescope.com/blog/natural-diamond-prices-september-2026</x:v>
      </x:c>
    </x:row>
    <x:row r="3309">
      <x:c r="A3309" t="n">
        <x:v>6</x:v>
      </x:c>
      <x:c r="B3309" t="str">
        <x:v>Oval</x:v>
      </x:c>
      <x:c r="C3309" t="str">
        <x:v>I</x:v>
      </x:c>
      <x:c r="D3309" t="str">
        <x:v>VVS2</x:v>
      </x:c>
      <x:c r="E3309" s="36" t="n">
        <x:v>182501</x:v>
      </x:c>
      <x:c r="F3309" s="36" t="n">
        <x:v>3447</x:v>
      </x:c>
      <x:c r="G3309" s="42" t="n">
        <x:v>0.7393822393822393</x:v>
      </x:c>
      <x:c r="H3309" s="36" t="n">
        <x:f>E3309*G3309</x:f>
        <x:v>134937.99806949808</x:v>
      </x:c>
      <x:c r="I3309" s="36" t="n">
        <x:f>IFERROR(H3309/A3309,0)</x:f>
        <x:v>22489.666344916346</x:v>
      </x:c>
      <x:c r="J3309" s="67" t="str">
        <x:v>Modeled from live base + Sep-2026 quality ratio</x:v>
      </x:c>
      <x:c r="K3309" s="67" t="str">
        <x:v>https://www.stonealgo.com/diamond-prices/</x:v>
      </x:c>
      <x:c r="L3309" s="67" t="str">
        <x:v>https://www.pricescope.com/blog/natural-diamond-prices-september-2026</x:v>
      </x:c>
    </x:row>
    <x:row r="3310">
      <x:c r="A3310" t="n">
        <x:v>6</x:v>
      </x:c>
      <x:c r="B3310" t="str">
        <x:v>Oval</x:v>
      </x:c>
      <x:c r="C3310" t="str">
        <x:v>I</x:v>
      </x:c>
      <x:c r="D3310" t="str">
        <x:v>VS1</x:v>
      </x:c>
      <x:c r="E3310" s="36" t="n">
        <x:v>182501</x:v>
      </x:c>
      <x:c r="F3310" s="36" t="n">
        <x:v>3313</x:v>
      </x:c>
      <x:c r="G3310" s="42" t="n">
        <x:v>0.7106392106392107</x:v>
      </x:c>
      <x:c r="H3310" s="36" t="n">
        <x:f>E3310*G3310</x:f>
        <x:v>129692.36658086658</x:v>
      </x:c>
      <x:c r="I3310" s="36" t="n">
        <x:f>IFERROR(H3310/A3310,0)</x:f>
        <x:v>21615.39443014443</x:v>
      </x:c>
      <x:c r="J3310" s="67" t="str">
        <x:v>Modeled from live base + Sep-2026 quality ratio</x:v>
      </x:c>
      <x:c r="K3310" s="67" t="str">
        <x:v>https://www.stonealgo.com/diamond-prices/</x:v>
      </x:c>
      <x:c r="L3310" s="67" t="str">
        <x:v>https://www.pricescope.com/blog/natural-diamond-prices-september-2026</x:v>
      </x:c>
    </x:row>
    <x:row r="3311">
      <x:c r="A3311" t="n">
        <x:v>6</x:v>
      </x:c>
      <x:c r="B3311" t="str">
        <x:v>Oval</x:v>
      </x:c>
      <x:c r="C3311" t="str">
        <x:v>I</x:v>
      </x:c>
      <x:c r="D3311" t="str">
        <x:v>VS2</x:v>
      </x:c>
      <x:c r="E3311" s="36" t="n">
        <x:v>182501</x:v>
      </x:c>
      <x:c r="F3311" s="36" t="n">
        <x:v>3240</x:v>
      </x:c>
      <x:c r="G3311" s="42" t="n">
        <x:v>0.694980694980695</x:v>
      </x:c>
      <x:c r="H3311" s="36" t="n">
        <x:f>E3311*G3311</x:f>
        <x:v>126834.67181467182</x:v>
      </x:c>
      <x:c r="I3311" s="36" t="n">
        <x:f>IFERROR(H3311/A3311,0)</x:f>
        <x:v>21139.11196911197</x:v>
      </x:c>
      <x:c r="J3311" s="67" t="str">
        <x:v>Modeled from live base + Sep-2026 quality ratio</x:v>
      </x:c>
      <x:c r="K3311" s="67" t="str">
        <x:v>https://www.stonealgo.com/diamond-prices/</x:v>
      </x:c>
      <x:c r="L3311" s="67" t="str">
        <x:v>https://www.pricescope.com/blog/natural-diamond-prices-september-2026</x:v>
      </x:c>
    </x:row>
    <x:row r="3312">
      <x:c r="A3312" t="n">
        <x:v>6</x:v>
      </x:c>
      <x:c r="B3312" t="str">
        <x:v>Oval</x:v>
      </x:c>
      <x:c r="C3312" t="str">
        <x:v>I</x:v>
      </x:c>
      <x:c r="D3312" t="str">
        <x:v>SI1</x:v>
      </x:c>
      <x:c r="E3312" s="36" t="n">
        <x:v>182501</x:v>
      </x:c>
      <x:c r="F3312" s="36" t="n">
        <x:v>3199</x:v>
      </x:c>
      <x:c r="G3312" s="42" t="n">
        <x:v>0.6861861861861862</x:v>
      </x:c>
      <x:c r="H3312" s="36" t="n">
        <x:f>E3312*G3312</x:f>
        <x:v>125229.66516516516</x:v>
      </x:c>
      <x:c r="I3312" s="36" t="n">
        <x:f>IFERROR(H3312/A3312,0)</x:f>
        <x:v>20871.61086086086</x:v>
      </x:c>
      <x:c r="J3312" s="67" t="str">
        <x:v>Modeled from live base + Sep-2026 quality ratio</x:v>
      </x:c>
      <x:c r="K3312" s="67" t="str">
        <x:v>https://www.stonealgo.com/diamond-prices/</x:v>
      </x:c>
      <x:c r="L3312" s="67" t="str">
        <x:v>https://www.pricescope.com/blog/natural-diamond-prices-september-2026</x:v>
      </x:c>
    </x:row>
    <x:row r="3313">
      <x:c r="A3313" t="n">
        <x:v>6</x:v>
      </x:c>
      <x:c r="B3313" t="str">
        <x:v>Oval</x:v>
      </x:c>
      <x:c r="C3313" t="str">
        <x:v>I</x:v>
      </x:c>
      <x:c r="D3313" t="str">
        <x:v>SI2</x:v>
      </x:c>
      <x:c r="E3313" s="36" t="n">
        <x:v>182501</x:v>
      </x:c>
      <x:c r="F3313" s="36" t="n">
        <x:v>2874</x:v>
      </x:c>
      <x:c r="G3313" s="42" t="n">
        <x:v>0.6164736164736164</x:v>
      </x:c>
      <x:c r="H3313" s="36" t="n">
        <x:f>E3313*G3313</x:f>
        <x:v>112507.05148005146</x:v>
      </x:c>
      <x:c r="I3313" s="36" t="n">
        <x:f>IFERROR(H3313/A3313,0)</x:f>
        <x:v>18751.175246675244</x:v>
      </x:c>
      <x:c r="J3313" s="67" t="str">
        <x:v>Modeled from live base + Sep-2026 quality ratio</x:v>
      </x:c>
      <x:c r="K3313" s="67" t="str">
        <x:v>https://www.stonealgo.com/diamond-prices/</x:v>
      </x:c>
      <x:c r="L3313" s="67" t="str">
        <x:v>https://www.pricescope.com/blog/natural-diamond-prices-september-2026</x:v>
      </x:c>
    </x:row>
    <x:row r="3314">
      <x:c r="A3314" t="n">
        <x:v>6</x:v>
      </x:c>
      <x:c r="B3314" t="str">
        <x:v>Oval</x:v>
      </x:c>
      <x:c r="C3314" t="str">
        <x:v>J</x:v>
      </x:c>
      <x:c r="D3314" t="str">
        <x:v>FL</x:v>
      </x:c>
      <x:c r="E3314" s="36" t="n">
        <x:v>182501</x:v>
      </x:c>
      <x:c r="F3314" s="36" t="n">
        <x:v>3646</x:v>
      </x:c>
      <x:c r="G3314" s="42" t="n">
        <x:v>0.782067782067782</x:v>
      </x:c>
      <x:c r="H3314" s="36" t="n">
        <x:f>E3314*G3314</x:f>
        <x:v>142728.15229515228</x:v>
      </x:c>
      <x:c r="I3314" s="36" t="n">
        <x:f>IFERROR(H3314/A3314,0)</x:f>
        <x:v>23788.02538252538</x:v>
      </x:c>
      <x:c r="J3314" s="67" t="str">
        <x:v>Modeled from live base + Sep-2026 quality ratio</x:v>
      </x:c>
      <x:c r="K3314" s="67" t="str">
        <x:v>https://www.stonealgo.com/diamond-prices/</x:v>
      </x:c>
      <x:c r="L3314" s="67" t="str">
        <x:v>https://www.pricescope.com/blog/natural-diamond-prices-september-2026</x:v>
      </x:c>
    </x:row>
    <x:row r="3315">
      <x:c r="A3315" t="n">
        <x:v>6</x:v>
      </x:c>
      <x:c r="B3315" t="str">
        <x:v>Oval</x:v>
      </x:c>
      <x:c r="C3315" t="str">
        <x:v>J</x:v>
      </x:c>
      <x:c r="D3315" t="str">
        <x:v>IF</x:v>
      </x:c>
      <x:c r="E3315" s="36" t="n">
        <x:v>182501</x:v>
      </x:c>
      <x:c r="F3315" s="36" t="n">
        <x:v>3368</x:v>
      </x:c>
      <x:c r="G3315" s="42" t="n">
        <x:v>0.7224367224367224</x:v>
      </x:c>
      <x:c r="H3315" s="36" t="n">
        <x:f>E3315*G3315</x:f>
        <x:v>131845.4242814243</x:v>
      </x:c>
      <x:c r="I3315" s="36" t="n">
        <x:f>IFERROR(H3315/A3315,0)</x:f>
        <x:v>21974.23738023738</x:v>
      </x:c>
      <x:c r="J3315" s="67" t="str">
        <x:v>Modeled from live base + Sep-2026 quality ratio</x:v>
      </x:c>
      <x:c r="K3315" s="67" t="str">
        <x:v>https://www.stonealgo.com/diamond-prices/</x:v>
      </x:c>
      <x:c r="L3315" s="67" t="str">
        <x:v>https://www.pricescope.com/blog/natural-diamond-prices-september-2026</x:v>
      </x:c>
    </x:row>
    <x:row r="3316">
      <x:c r="A3316" t="n">
        <x:v>6</x:v>
      </x:c>
      <x:c r="B3316" t="str">
        <x:v>Oval</x:v>
      </x:c>
      <x:c r="C3316" t="str">
        <x:v>J</x:v>
      </x:c>
      <x:c r="D3316" t="str">
        <x:v>VVS1</x:v>
      </x:c>
      <x:c r="E3316" s="36" t="n">
        <x:v>182501</x:v>
      </x:c>
      <x:c r="F3316" s="36" t="n">
        <x:v>2956</x:v>
      </x:c>
      <x:c r="G3316" s="42" t="n">
        <x:v>0.6340626340626341</x:v>
      </x:c>
      <x:c r="H3316" s="36" t="n">
        <x:f>E3316*G3316</x:f>
        <x:v>115717.06477906478</x:v>
      </x:c>
      <x:c r="I3316" s="36" t="n">
        <x:f>IFERROR(H3316/A3316,0)</x:f>
        <x:v>19286.177463177464</x:v>
      </x:c>
      <x:c r="J3316" s="67" t="str">
        <x:v>Modeled from live base + Sep-2026 quality ratio</x:v>
      </x:c>
      <x:c r="K3316" s="67" t="str">
        <x:v>https://www.stonealgo.com/diamond-prices/</x:v>
      </x:c>
      <x:c r="L3316" s="67" t="str">
        <x:v>https://www.pricescope.com/blog/natural-diamond-prices-september-2026</x:v>
      </x:c>
    </x:row>
    <x:row r="3317">
      <x:c r="A3317" t="n">
        <x:v>6</x:v>
      </x:c>
      <x:c r="B3317" t="str">
        <x:v>Oval</x:v>
      </x:c>
      <x:c r="C3317" t="str">
        <x:v>J</x:v>
      </x:c>
      <x:c r="D3317" t="str">
        <x:v>VVS2</x:v>
      </x:c>
      <x:c r="E3317" s="36" t="n">
        <x:v>182501</x:v>
      </x:c>
      <x:c r="F3317" s="36" t="n">
        <x:v>2612</x:v>
      </x:c>
      <x:c r="G3317" s="42" t="n">
        <x:v>0.5602745602745602</x:v>
      </x:c>
      <x:c r="H3317" s="36" t="n">
        <x:f>E3317*G3317</x:f>
        <x:v>102250.66752466751</x:v>
      </x:c>
      <x:c r="I3317" s="36" t="n">
        <x:f>IFERROR(H3317/A3317,0)</x:f>
        <x:v>17041.77792077792</x:v>
      </x:c>
      <x:c r="J3317" s="67" t="str">
        <x:v>Modeled from live base + Sep-2026 quality ratio</x:v>
      </x:c>
      <x:c r="K3317" s="67" t="str">
        <x:v>https://www.stonealgo.com/diamond-prices/</x:v>
      </x:c>
      <x:c r="L3317" s="67" t="str">
        <x:v>https://www.pricescope.com/blog/natural-diamond-prices-september-2026</x:v>
      </x:c>
    </x:row>
    <x:row r="3318">
      <x:c r="A3318" t="n">
        <x:v>6</x:v>
      </x:c>
      <x:c r="B3318" t="str">
        <x:v>Oval</x:v>
      </x:c>
      <x:c r="C3318" t="str">
        <x:v>J</x:v>
      </x:c>
      <x:c r="D3318" t="str">
        <x:v>VS1</x:v>
      </x:c>
      <x:c r="E3318" s="36" t="n">
        <x:v>182501</x:v>
      </x:c>
      <x:c r="F3318" s="36" t="n">
        <x:v>3002</x:v>
      </x:c>
      <x:c r="G3318" s="42" t="n">
        <x:v>0.6439296439296439</x:v>
      </x:c>
      <x:c r="H3318" s="36" t="n">
        <x:f>E3318*G3318</x:f>
        <x:v>117517.80394680395</x:v>
      </x:c>
      <x:c r="I3318" s="36" t="n">
        <x:f>IFERROR(H3318/A3318,0)</x:f>
        <x:v>19586.300657800657</x:v>
      </x:c>
      <x:c r="J3318" s="67" t="str">
        <x:v>Modeled from live base + Sep-2026 quality ratio</x:v>
      </x:c>
      <x:c r="K3318" s="67" t="str">
        <x:v>https://www.stonealgo.com/diamond-prices/</x:v>
      </x:c>
      <x:c r="L3318" s="67" t="str">
        <x:v>https://www.pricescope.com/blog/natural-diamond-prices-september-2026</x:v>
      </x:c>
    </x:row>
    <x:row r="3319">
      <x:c r="A3319" t="n">
        <x:v>6</x:v>
      </x:c>
      <x:c r="B3319" t="str">
        <x:v>Oval</x:v>
      </x:c>
      <x:c r="C3319" t="str">
        <x:v>J</x:v>
      </x:c>
      <x:c r="D3319" t="str">
        <x:v>VS2</x:v>
      </x:c>
      <x:c r="E3319" s="36" t="n">
        <x:v>182501</x:v>
      </x:c>
      <x:c r="F3319" s="36" t="n">
        <x:v>2559</x:v>
      </x:c>
      <x:c r="G3319" s="42" t="n">
        <x:v>0.5489060489060489</x:v>
      </x:c>
      <x:c r="H3319" s="36" t="n">
        <x:f>E3319*G3319</x:f>
        <x:v>100175.90283140283</x:v>
      </x:c>
      <x:c r="I3319" s="36" t="n">
        <x:f>IFERROR(H3319/A3319,0)</x:f>
        <x:v>16695.983805233805</x:v>
      </x:c>
      <x:c r="J3319" s="67" t="str">
        <x:v>Modeled from live base + Sep-2026 quality ratio</x:v>
      </x:c>
      <x:c r="K3319" s="67" t="str">
        <x:v>https://www.stonealgo.com/diamond-prices/</x:v>
      </x:c>
      <x:c r="L3319" s="67" t="str">
        <x:v>https://www.pricescope.com/blog/natural-diamond-prices-september-2026</x:v>
      </x:c>
    </x:row>
    <x:row r="3320">
      <x:c r="A3320" t="n">
        <x:v>6</x:v>
      </x:c>
      <x:c r="B3320" t="str">
        <x:v>Oval</x:v>
      </x:c>
      <x:c r="C3320" t="str">
        <x:v>J</x:v>
      </x:c>
      <x:c r="D3320" t="str">
        <x:v>SI1</x:v>
      </x:c>
      <x:c r="E3320" s="36" t="n">
        <x:v>182501</x:v>
      </x:c>
      <x:c r="F3320" s="36" t="n">
        <x:v>2195</x:v>
      </x:c>
      <x:c r="G3320" s="42" t="n">
        <x:v>0.47082797082797084</x:v>
      </x:c>
      <x:c r="H3320" s="36" t="n">
        <x:f>E3320*G3320</x:f>
        <x:v>85926.5755040755</x:v>
      </x:c>
      <x:c r="I3320" s="36" t="n">
        <x:f>IFERROR(H3320/A3320,0)</x:f>
        <x:v>14321.095917345918</x:v>
      </x:c>
      <x:c r="J3320" s="67" t="str">
        <x:v>Modeled from live base + Sep-2026 quality ratio</x:v>
      </x:c>
      <x:c r="K3320" s="67" t="str">
        <x:v>https://www.stonealgo.com/diamond-prices/</x:v>
      </x:c>
      <x:c r="L3320" s="67" t="str">
        <x:v>https://www.pricescope.com/blog/natural-diamond-prices-september-2026</x:v>
      </x:c>
    </x:row>
    <x:row r="3321">
      <x:c r="A3321" t="n">
        <x:v>6</x:v>
      </x:c>
      <x:c r="B3321" t="str">
        <x:v>Oval</x:v>
      </x:c>
      <x:c r="C3321" t="str">
        <x:v>J</x:v>
      </x:c>
      <x:c r="D3321" t="str">
        <x:v>SI2</x:v>
      </x:c>
      <x:c r="E3321" s="36" t="n">
        <x:v>182501</x:v>
      </x:c>
      <x:c r="F3321" s="36" t="n">
        <x:v>2079</x:v>
      </x:c>
      <x:c r="G3321" s="42" t="n">
        <x:v>0.44594594594594594</x:v>
      </x:c>
      <x:c r="H3321" s="36" t="n">
        <x:f>E3321*G3321</x:f>
        <x:v>81385.58108108108</x:v>
      </x:c>
      <x:c r="I3321" s="36" t="n">
        <x:f>IFERROR(H3321/A3321,0)</x:f>
        <x:v>13564.263513513513</x:v>
      </x:c>
      <x:c r="J3321" s="67" t="str">
        <x:v>Modeled from live base + Sep-2026 quality ratio</x:v>
      </x:c>
      <x:c r="K3321" s="67" t="str">
        <x:v>https://www.stonealgo.com/diamond-prices/</x:v>
      </x:c>
      <x:c r="L3321" s="67" t="str">
        <x:v>https://www.pricescope.com/blog/natural-diamond-prices-september-2026</x:v>
      </x:c>
    </x:row>
    <x:row r="3322">
      <x:c r="A3322" t="n">
        <x:v>6</x:v>
      </x:c>
      <x:c r="B3322" t="str">
        <x:v>Oval</x:v>
      </x:c>
      <x:c r="C3322" t="str">
        <x:v>K</x:v>
      </x:c>
      <x:c r="D3322" t="str">
        <x:v>FL</x:v>
      </x:c>
      <x:c r="E3322" s="36" t="n">
        <x:v>182501</x:v>
      </x:c>
      <x:c r="F3322" s="36" t="n">
        <x:v>2858</x:v>
      </x:c>
      <x:c r="G3322" s="42" t="n">
        <x:v>0.6130416130416131</x:v>
      </x:c>
      <x:c r="H3322" s="36" t="n">
        <x:f>E3322*G3322</x:f>
        <x:v>111880.70742170743</x:v>
      </x:c>
      <x:c r="I3322" s="36" t="n">
        <x:f>IFERROR(H3322/A3322,0)</x:f>
        <x:v>18646.78457028457</x:v>
      </x:c>
      <x:c r="J3322" s="67" t="str">
        <x:v>Modeled from live base + Sep-2026 quality ratio; K/FL quality cell modeled</x:v>
      </x:c>
      <x:c r="K3322" s="67" t="str">
        <x:v>https://www.stonealgo.com/diamond-prices/</x:v>
      </x:c>
      <x:c r="L3322" s="67" t="str">
        <x:v>https://www.pricescope.com/blog/natural-diamond-prices-september-2026</x:v>
      </x:c>
    </x:row>
    <x:row r="3323">
      <x:c r="A3323" t="n">
        <x:v>6</x:v>
      </x:c>
      <x:c r="B3323" t="str">
        <x:v>Oval</x:v>
      </x:c>
      <x:c r="C3323" t="str">
        <x:v>K</x:v>
      </x:c>
      <x:c r="D3323" t="str">
        <x:v>IF</x:v>
      </x:c>
      <x:c r="E3323" s="36" t="n">
        <x:v>182501</x:v>
      </x:c>
      <x:c r="F3323" s="36" t="n">
        <x:v>2743</x:v>
      </x:c>
      <x:c r="G3323" s="42" t="n">
        <x:v>0.5883740883740883</x:v>
      </x:c>
      <x:c r="H3323" s="36" t="n">
        <x:f>E3323*G3323</x:f>
        <x:v>107378.8595023595</x:v>
      </x:c>
      <x:c r="I3323" s="36" t="n">
        <x:f>IFERROR(H3323/A3323,0)</x:f>
        <x:v>17896.476583726584</x:v>
      </x:c>
      <x:c r="J3323" s="67" t="str">
        <x:v>Modeled from live base + Sep-2026 quality ratio</x:v>
      </x:c>
      <x:c r="K3323" s="67" t="str">
        <x:v>https://www.stonealgo.com/diamond-prices/</x:v>
      </x:c>
      <x:c r="L3323" s="67" t="str">
        <x:v>https://www.pricescope.com/blog/natural-diamond-prices-september-2026</x:v>
      </x:c>
    </x:row>
    <x:row r="3324">
      <x:c r="A3324" t="n">
        <x:v>6</x:v>
      </x:c>
      <x:c r="B3324" t="str">
        <x:v>Oval</x:v>
      </x:c>
      <x:c r="C3324" t="str">
        <x:v>K</x:v>
      </x:c>
      <x:c r="D3324" t="str">
        <x:v>VVS1</x:v>
      </x:c>
      <x:c r="E3324" s="36" t="n">
        <x:v>182501</x:v>
      </x:c>
      <x:c r="F3324" s="36" t="n">
        <x:v>2529</x:v>
      </x:c>
      <x:c r="G3324" s="42" t="n">
        <x:v>0.5424710424710425</x:v>
      </x:c>
      <x:c r="H3324" s="36" t="n">
        <x:f>E3324*G3324</x:f>
        <x:v>99001.50772200772</x:v>
      </x:c>
      <x:c r="I3324" s="36" t="n">
        <x:f>IFERROR(H3324/A3324,0)</x:f>
        <x:v>16500.251287001287</x:v>
      </x:c>
      <x:c r="J3324" s="67" t="str">
        <x:v>Modeled from live base + Sep-2026 quality ratio</x:v>
      </x:c>
      <x:c r="K3324" s="67" t="str">
        <x:v>https://www.stonealgo.com/diamond-prices/</x:v>
      </x:c>
      <x:c r="L3324" s="67" t="str">
        <x:v>https://www.pricescope.com/blog/natural-diamond-prices-september-2026</x:v>
      </x:c>
    </x:row>
    <x:row r="3325">
      <x:c r="A3325" t="n">
        <x:v>6</x:v>
      </x:c>
      <x:c r="B3325" t="str">
        <x:v>Oval</x:v>
      </x:c>
      <x:c r="C3325" t="str">
        <x:v>K</x:v>
      </x:c>
      <x:c r="D3325" t="str">
        <x:v>VVS2</x:v>
      </x:c>
      <x:c r="E3325" s="36" t="n">
        <x:v>182501</x:v>
      </x:c>
      <x:c r="F3325" s="36" t="n">
        <x:v>2374</x:v>
      </x:c>
      <x:c r="G3325" s="42" t="n">
        <x:v>0.5092235092235092</x:v>
      </x:c>
      <x:c r="H3325" s="36" t="n">
        <x:f>E3325*G3325</x:f>
        <x:v>92933.79965679966</x:v>
      </x:c>
      <x:c r="I3325" s="36" t="n">
        <x:f>IFERROR(H3325/A3325,0)</x:f>
        <x:v>15488.96660946661</x:v>
      </x:c>
      <x:c r="J3325" s="67" t="str">
        <x:v>Modeled from live base + Sep-2026 quality ratio</x:v>
      </x:c>
      <x:c r="K3325" s="67" t="str">
        <x:v>https://www.stonealgo.com/diamond-prices/</x:v>
      </x:c>
      <x:c r="L3325" s="67" t="str">
        <x:v>https://www.pricescope.com/blog/natural-diamond-prices-september-2026</x:v>
      </x:c>
    </x:row>
    <x:row r="3326">
      <x:c r="A3326" t="n">
        <x:v>6</x:v>
      </x:c>
      <x:c r="B3326" t="str">
        <x:v>Oval</x:v>
      </x:c>
      <x:c r="C3326" t="str">
        <x:v>K</x:v>
      </x:c>
      <x:c r="D3326" t="str">
        <x:v>VS1</x:v>
      </x:c>
      <x:c r="E3326" s="36" t="n">
        <x:v>182501</x:v>
      </x:c>
      <x:c r="F3326" s="36" t="n">
        <x:v>2223</x:v>
      </x:c>
      <x:c r="G3326" s="42" t="n">
        <x:v>0.4768339768339768</x:v>
      </x:c>
      <x:c r="H3326" s="36" t="n">
        <x:f>E3326*G3326</x:f>
        <x:v>87022.6776061776</x:v>
      </x:c>
      <x:c r="I3326" s="36" t="n">
        <x:f>IFERROR(H3326/A3326,0)</x:f>
        <x:v>14503.7796010296</x:v>
      </x:c>
      <x:c r="J3326" s="67" t="str">
        <x:v>Modeled from live base + Sep-2026 quality ratio</x:v>
      </x:c>
      <x:c r="K3326" s="67" t="str">
        <x:v>https://www.stonealgo.com/diamond-prices/</x:v>
      </x:c>
      <x:c r="L3326" s="67" t="str">
        <x:v>https://www.pricescope.com/blog/natural-diamond-prices-september-2026</x:v>
      </x:c>
    </x:row>
    <x:row r="3327">
      <x:c r="A3327" t="n">
        <x:v>6</x:v>
      </x:c>
      <x:c r="B3327" t="str">
        <x:v>Oval</x:v>
      </x:c>
      <x:c r="C3327" t="str">
        <x:v>K</x:v>
      </x:c>
      <x:c r="D3327" t="str">
        <x:v>VS2</x:v>
      </x:c>
      <x:c r="E3327" s="36" t="n">
        <x:v>182501</x:v>
      </x:c>
      <x:c r="F3327" s="36" t="n">
        <x:v>2098</x:v>
      </x:c>
      <x:c r="G3327" s="42" t="n">
        <x:v>0.45002145002145</x:v>
      </x:c>
      <x:c r="H3327" s="36" t="n">
        <x:f>E3327*G3327</x:f>
        <x:v>82129.36465036465</x:v>
      </x:c>
      <x:c r="I3327" s="36" t="n">
        <x:f>IFERROR(H3327/A3327,0)</x:f>
        <x:v>13688.22744172744</x:v>
      </x:c>
      <x:c r="J3327" s="67" t="str">
        <x:v>Modeled from live base + Sep-2026 quality ratio</x:v>
      </x:c>
      <x:c r="K3327" s="67" t="str">
        <x:v>https://www.stonealgo.com/diamond-prices/</x:v>
      </x:c>
      <x:c r="L3327" s="67" t="str">
        <x:v>https://www.pricescope.com/blog/natural-diamond-prices-september-2026</x:v>
      </x:c>
    </x:row>
    <x:row r="3328">
      <x:c r="A3328" t="n">
        <x:v>6</x:v>
      </x:c>
      <x:c r="B3328" t="str">
        <x:v>Oval</x:v>
      </x:c>
      <x:c r="C3328" t="str">
        <x:v>K</x:v>
      </x:c>
      <x:c r="D3328" t="str">
        <x:v>SI1</x:v>
      </x:c>
      <x:c r="E3328" s="36" t="n">
        <x:v>182501</x:v>
      </x:c>
      <x:c r="F3328" s="36" t="n">
        <x:v>1922</x:v>
      </x:c>
      <x:c r="G3328" s="42" t="n">
        <x:v>0.41226941226941227</x:v>
      </x:c>
      <x:c r="H3328" s="36" t="n">
        <x:f>E3328*G3328</x:f>
        <x:v>75239.58000858001</x:v>
      </x:c>
      <x:c r="I3328" s="36" t="n">
        <x:f>IFERROR(H3328/A3328,0)</x:f>
        <x:v>12539.930001430002</x:v>
      </x:c>
      <x:c r="J3328" s="67" t="str">
        <x:v>Modeled from live base + Sep-2026 quality ratio</x:v>
      </x:c>
      <x:c r="K3328" s="67" t="str">
        <x:v>https://www.stonealgo.com/diamond-prices/</x:v>
      </x:c>
      <x:c r="L3328" s="67" t="str">
        <x:v>https://www.pricescope.com/blog/natural-diamond-prices-september-2026</x:v>
      </x:c>
    </x:row>
    <x:row r="3329">
      <x:c r="A3329" t="n">
        <x:v>6</x:v>
      </x:c>
      <x:c r="B3329" t="str">
        <x:v>Oval</x:v>
      </x:c>
      <x:c r="C3329" t="str">
        <x:v>K</x:v>
      </x:c>
      <x:c r="D3329" t="str">
        <x:v>SI2</x:v>
      </x:c>
      <x:c r="E3329" s="36" t="n">
        <x:v>182501</x:v>
      </x:c>
      <x:c r="F3329" s="36" t="n">
        <x:v>1764</x:v>
      </x:c>
      <x:c r="G3329" s="42" t="n">
        <x:v>0.3783783783783784</x:v>
      </x:c>
      <x:c r="H3329" s="36" t="n">
        <x:f>E3329*G3329</x:f>
        <x:v>69054.43243243244</x:v>
      </x:c>
      <x:c r="I3329" s="36" t="n">
        <x:f>IFERROR(H3329/A3329,0)</x:f>
        <x:v>11509.072072072073</x:v>
      </x:c>
      <x:c r="J3329" s="67" t="str">
        <x:v>Modeled from live base + Sep-2026 quality ratio</x:v>
      </x:c>
      <x:c r="K3329" s="67" t="str">
        <x:v>https://www.stonealgo.com/diamond-prices/</x:v>
      </x:c>
      <x:c r="L3329" s="67" t="str">
        <x:v>https://www.pricescope.com/blog/natural-diamond-prices-september-2026</x:v>
      </x:c>
    </x:row>
    <x:row r="3330">
      <x:c r="A3330" t="n">
        <x:v>6</x:v>
      </x:c>
      <x:c r="B3330" t="str">
        <x:v>Princess</x:v>
      </x:c>
      <x:c r="C3330" t="str">
        <x:v>D</x:v>
      </x:c>
      <x:c r="D3330" t="str">
        <x:v>FL</x:v>
      </x:c>
      <x:c r="E3330" s="36" t="n">
        <x:v>112000</x:v>
      </x:c>
      <x:c r="F3330" s="36" t="n">
        <x:v>12665</x:v>
      </x:c>
      <x:c r="G3330" s="42" t="n">
        <x:v>2.7166452166452166</x:v>
      </x:c>
      <x:c r="H3330" s="36" t="n">
        <x:f>E3330*G3330</x:f>
        <x:v>304264.26426426426</x:v>
      </x:c>
      <x:c r="I3330" s="36" t="n">
        <x:f>IFERROR(H3330/A3330,0)</x:f>
        <x:v>50710.71071071071</x:v>
      </x:c>
      <x:c r="J3330" s="67" t="str">
        <x:v>Modeled from live base + Sep-2026 quality ratio</x:v>
      </x:c>
      <x:c r="K3330" s="67" t="str">
        <x:v>https://www.stonealgo.com/diamond-prices/</x:v>
      </x:c>
      <x:c r="L3330" s="67" t="str">
        <x:v>https://www.pricescope.com/blog/natural-diamond-prices-september-2026</x:v>
      </x:c>
    </x:row>
    <x:row r="3331">
      <x:c r="A3331" t="n">
        <x:v>6</x:v>
      </x:c>
      <x:c r="B3331" t="str">
        <x:v>Princess</x:v>
      </x:c>
      <x:c r="C3331" t="str">
        <x:v>D</x:v>
      </x:c>
      <x:c r="D3331" t="str">
        <x:v>IF</x:v>
      </x:c>
      <x:c r="E3331" s="36" t="n">
        <x:v>112000</x:v>
      </x:c>
      <x:c r="F3331" s="36" t="n">
        <x:v>13240</x:v>
      </x:c>
      <x:c r="G3331" s="42" t="n">
        <x:v>2.83998283998284</x:v>
      </x:c>
      <x:c r="H3331" s="36" t="n">
        <x:f>E3331*G3331</x:f>
        <x:v>318078.0780780781</x:v>
      </x:c>
      <x:c r="I3331" s="36" t="n">
        <x:f>IFERROR(H3331/A3331,0)</x:f>
        <x:v>53013.01301301302</x:v>
      </x:c>
      <x:c r="J3331" s="67" t="str">
        <x:v>Modeled from live base + Sep-2026 quality ratio</x:v>
      </x:c>
      <x:c r="K3331" s="67" t="str">
        <x:v>https://www.stonealgo.com/diamond-prices/</x:v>
      </x:c>
      <x:c r="L3331" s="67" t="str">
        <x:v>https://www.pricescope.com/blog/natural-diamond-prices-september-2026</x:v>
      </x:c>
    </x:row>
    <x:row r="3332">
      <x:c r="A3332" t="n">
        <x:v>6</x:v>
      </x:c>
      <x:c r="B3332" t="str">
        <x:v>Princess</x:v>
      </x:c>
      <x:c r="C3332" t="str">
        <x:v>D</x:v>
      </x:c>
      <x:c r="D3332" t="str">
        <x:v>VVS1</x:v>
      </x:c>
      <x:c r="E3332" s="36" t="n">
        <x:v>112000</x:v>
      </x:c>
      <x:c r="F3332" s="36" t="n">
        <x:v>9555</x:v>
      </x:c>
      <x:c r="G3332" s="42" t="n">
        <x:v>2.0495495495495497</x:v>
      </x:c>
      <x:c r="H3332" s="36" t="n">
        <x:f>E3332*G3332</x:f>
        <x:v>229549.54954954956</x:v>
      </x:c>
      <x:c r="I3332" s="36" t="n">
        <x:f>IFERROR(H3332/A3332,0)</x:f>
        <x:v>38258.25825825826</x:v>
      </x:c>
      <x:c r="J3332" s="67" t="str">
        <x:v>Modeled from live base + Sep-2026 quality ratio</x:v>
      </x:c>
      <x:c r="K3332" s="67" t="str">
        <x:v>https://www.stonealgo.com/diamond-prices/</x:v>
      </x:c>
      <x:c r="L3332" s="67" t="str">
        <x:v>https://www.pricescope.com/blog/natural-diamond-prices-september-2026</x:v>
      </x:c>
    </x:row>
    <x:row r="3333">
      <x:c r="A3333" t="n">
        <x:v>6</x:v>
      </x:c>
      <x:c r="B3333" t="str">
        <x:v>Princess</x:v>
      </x:c>
      <x:c r="C3333" t="str">
        <x:v>D</x:v>
      </x:c>
      <x:c r="D3333" t="str">
        <x:v>VVS2</x:v>
      </x:c>
      <x:c r="E3333" s="36" t="n">
        <x:v>112000</x:v>
      </x:c>
      <x:c r="F3333" s="36" t="n">
        <x:v>6660</x:v>
      </x:c>
      <x:c r="G3333" s="42" t="n">
        <x:v>1.4285714285714286</x:v>
      </x:c>
      <x:c r="H3333" s="36" t="n">
        <x:f>E3333*G3333</x:f>
        <x:v>160000</x:v>
      </x:c>
      <x:c r="I3333" s="36" t="n">
        <x:f>IFERROR(H3333/A3333,0)</x:f>
        <x:v>26666.666666666668</x:v>
      </x:c>
      <x:c r="J3333" s="67" t="str">
        <x:v>Modeled from live base + Sep-2026 quality ratio</x:v>
      </x:c>
      <x:c r="K3333" s="67" t="str">
        <x:v>https://www.stonealgo.com/diamond-prices/</x:v>
      </x:c>
      <x:c r="L3333" s="67" t="str">
        <x:v>https://www.pricescope.com/blog/natural-diamond-prices-september-2026</x:v>
      </x:c>
    </x:row>
    <x:row r="3334">
      <x:c r="A3334" t="n">
        <x:v>6</x:v>
      </x:c>
      <x:c r="B3334" t="str">
        <x:v>Princess</x:v>
      </x:c>
      <x:c r="C3334" t="str">
        <x:v>D</x:v>
      </x:c>
      <x:c r="D3334" t="str">
        <x:v>VS1</x:v>
      </x:c>
      <x:c r="E3334" s="36" t="n">
        <x:v>112000</x:v>
      </x:c>
      <x:c r="F3334" s="36" t="n">
        <x:v>6247</x:v>
      </x:c>
      <x:c r="G3334" s="42" t="n">
        <x:v>1.33998283998284</x:v>
      </x:c>
      <x:c r="H3334" s="36" t="n">
        <x:f>E3334*G3334</x:f>
        <x:v>150078.07807807808</x:v>
      </x:c>
      <x:c r="I3334" s="36" t="n">
        <x:f>IFERROR(H3334/A3334,0)</x:f>
        <x:v>25013.013013013013</x:v>
      </x:c>
      <x:c r="J3334" s="67" t="str">
        <x:v>Modeled from live base + Sep-2026 quality ratio</x:v>
      </x:c>
      <x:c r="K3334" s="67" t="str">
        <x:v>https://www.stonealgo.com/diamond-prices/</x:v>
      </x:c>
      <x:c r="L3334" s="67" t="str">
        <x:v>https://www.pricescope.com/blog/natural-diamond-prices-september-2026</x:v>
      </x:c>
    </x:row>
    <x:row r="3335">
      <x:c r="A3335" t="n">
        <x:v>6</x:v>
      </x:c>
      <x:c r="B3335" t="str">
        <x:v>Princess</x:v>
      </x:c>
      <x:c r="C3335" t="str">
        <x:v>D</x:v>
      </x:c>
      <x:c r="D3335" t="str">
        <x:v>VS2</x:v>
      </x:c>
      <x:c r="E3335" s="36" t="n">
        <x:v>112000</x:v>
      </x:c>
      <x:c r="F3335" s="36" t="n">
        <x:v>5841</x:v>
      </x:c>
      <x:c r="G3335" s="42" t="n">
        <x:v>1.252895752895753</x:v>
      </x:c>
      <x:c r="H3335" s="36" t="n">
        <x:f>E3335*G3335</x:f>
        <x:v>140324.32432432432</x:v>
      </x:c>
      <x:c r="I3335" s="36" t="n">
        <x:f>IFERROR(H3335/A3335,0)</x:f>
        <x:v>23387.387387387385</x:v>
      </x:c>
      <x:c r="J3335" s="67" t="str">
        <x:v>Modeled from live base + Sep-2026 quality ratio</x:v>
      </x:c>
      <x:c r="K3335" s="67" t="str">
        <x:v>https://www.stonealgo.com/diamond-prices/</x:v>
      </x:c>
      <x:c r="L3335" s="67" t="str">
        <x:v>https://www.pricescope.com/blog/natural-diamond-prices-september-2026</x:v>
      </x:c>
    </x:row>
    <x:row r="3336">
      <x:c r="A3336" t="n">
        <x:v>6</x:v>
      </x:c>
      <x:c r="B3336" t="str">
        <x:v>Princess</x:v>
      </x:c>
      <x:c r="C3336" t="str">
        <x:v>D</x:v>
      </x:c>
      <x:c r="D3336" t="str">
        <x:v>SI1</x:v>
      </x:c>
      <x:c r="E3336" s="36" t="n">
        <x:v>112000</x:v>
      </x:c>
      <x:c r="F3336" s="36" t="n">
        <x:v>3762</x:v>
      </x:c>
      <x:c r="G3336" s="42" t="n">
        <x:v>0.806949806949807</x:v>
      </x:c>
      <x:c r="H3336" s="36" t="n">
        <x:f>E3336*G3336</x:f>
        <x:v>90378.37837837839</x:v>
      </x:c>
      <x:c r="I3336" s="36" t="n">
        <x:f>IFERROR(H3336/A3336,0)</x:f>
        <x:v>15063.063063063064</x:v>
      </x:c>
      <x:c r="J3336" s="67" t="str">
        <x:v>Modeled from live base + Sep-2026 quality ratio</x:v>
      </x:c>
      <x:c r="K3336" s="67" t="str">
        <x:v>https://www.stonealgo.com/diamond-prices/</x:v>
      </x:c>
      <x:c r="L3336" s="67" t="str">
        <x:v>https://www.pricescope.com/blog/natural-diamond-prices-september-2026</x:v>
      </x:c>
    </x:row>
    <x:row r="3337">
      <x:c r="A3337" t="n">
        <x:v>6</x:v>
      </x:c>
      <x:c r="B3337" t="str">
        <x:v>Princess</x:v>
      </x:c>
      <x:c r="C3337" t="str">
        <x:v>D</x:v>
      </x:c>
      <x:c r="D3337" t="str">
        <x:v>SI2</x:v>
      </x:c>
      <x:c r="E3337" s="36" t="n">
        <x:v>112000</x:v>
      </x:c>
      <x:c r="F3337" s="36" t="n">
        <x:v>3026</x:v>
      </x:c>
      <x:c r="G3337" s="42" t="n">
        <x:v>0.6490776490776491</x:v>
      </x:c>
      <x:c r="H3337" s="36" t="n">
        <x:f>E3337*G3337</x:f>
        <x:v>72696.6966966967</x:v>
      </x:c>
      <x:c r="I3337" s="36" t="n">
        <x:f>IFERROR(H3337/A3337,0)</x:f>
        <x:v>12116.116116116116</x:v>
      </x:c>
      <x:c r="J3337" s="67" t="str">
        <x:v>Modeled from live base + Sep-2026 quality ratio</x:v>
      </x:c>
      <x:c r="K3337" s="67" t="str">
        <x:v>https://www.stonealgo.com/diamond-prices/</x:v>
      </x:c>
      <x:c r="L3337" s="67" t="str">
        <x:v>https://www.pricescope.com/blog/natural-diamond-prices-september-2026</x:v>
      </x:c>
    </x:row>
    <x:row r="3338">
      <x:c r="A3338" t="n">
        <x:v>6</x:v>
      </x:c>
      <x:c r="B3338" t="str">
        <x:v>Princess</x:v>
      </x:c>
      <x:c r="C3338" t="str">
        <x:v>E</x:v>
      </x:c>
      <x:c r="D3338" t="str">
        <x:v>FL</x:v>
      </x:c>
      <x:c r="E3338" s="36" t="n">
        <x:v>112000</x:v>
      </x:c>
      <x:c r="F3338" s="36" t="n">
        <x:v>10072</x:v>
      </x:c>
      <x:c r="G3338" s="42" t="n">
        <x:v>2.1604461604461602</x:v>
      </x:c>
      <x:c r="H3338" s="36" t="n">
        <x:f>E3338*G3338</x:f>
        <x:v>241969.96996996994</x:v>
      </x:c>
      <x:c r="I3338" s="36" t="n">
        <x:f>IFERROR(H3338/A3338,0)</x:f>
        <x:v>40328.32832832832</x:v>
      </x:c>
      <x:c r="J3338" s="67" t="str">
        <x:v>Modeled from live base + Sep-2026 quality ratio</x:v>
      </x:c>
      <x:c r="K3338" s="67" t="str">
        <x:v>https://www.stonealgo.com/diamond-prices/</x:v>
      </x:c>
      <x:c r="L3338" s="67" t="str">
        <x:v>https://www.pricescope.com/blog/natural-diamond-prices-september-2026</x:v>
      </x:c>
    </x:row>
    <x:row r="3339">
      <x:c r="A3339" t="n">
        <x:v>6</x:v>
      </x:c>
      <x:c r="B3339" t="str">
        <x:v>Princess</x:v>
      </x:c>
      <x:c r="C3339" t="str">
        <x:v>E</x:v>
      </x:c>
      <x:c r="D3339" t="str">
        <x:v>IF</x:v>
      </x:c>
      <x:c r="E3339" s="36" t="n">
        <x:v>112000</x:v>
      </x:c>
      <x:c r="F3339" s="36" t="n">
        <x:v>8672</x:v>
      </x:c>
      <x:c r="G3339" s="42" t="n">
        <x:v>1.8601458601458603</x:v>
      </x:c>
      <x:c r="H3339" s="36" t="n">
        <x:f>E3339*G3339</x:f>
        <x:v>208336.33633633636</x:v>
      </x:c>
      <x:c r="I3339" s="36" t="n">
        <x:f>IFERROR(H3339/A3339,0)</x:f>
        <x:v>34722.72272272273</x:v>
      </x:c>
      <x:c r="J3339" s="67" t="str">
        <x:v>Modeled from live base + Sep-2026 quality ratio</x:v>
      </x:c>
      <x:c r="K3339" s="67" t="str">
        <x:v>https://www.stonealgo.com/diamond-prices/</x:v>
      </x:c>
      <x:c r="L3339" s="67" t="str">
        <x:v>https://www.pricescope.com/blog/natural-diamond-prices-september-2026</x:v>
      </x:c>
    </x:row>
    <x:row r="3340">
      <x:c r="A3340" t="n">
        <x:v>6</x:v>
      </x:c>
      <x:c r="B3340" t="str">
        <x:v>Princess</x:v>
      </x:c>
      <x:c r="C3340" t="str">
        <x:v>E</x:v>
      </x:c>
      <x:c r="D3340" t="str">
        <x:v>VVS1</x:v>
      </x:c>
      <x:c r="E3340" s="36" t="n">
        <x:v>112000</x:v>
      </x:c>
      <x:c r="F3340" s="36" t="n">
        <x:v>7842</x:v>
      </x:c>
      <x:c r="G3340" s="42" t="n">
        <x:v>1.6821106821106822</x:v>
      </x:c>
      <x:c r="H3340" s="36" t="n">
        <x:f>E3340*G3340</x:f>
        <x:v>188396.3963963964</x:v>
      </x:c>
      <x:c r="I3340" s="36" t="n">
        <x:f>IFERROR(H3340/A3340,0)</x:f>
        <x:v>31399.399399399397</x:v>
      </x:c>
      <x:c r="J3340" s="67" t="str">
        <x:v>Modeled from live base + Sep-2026 quality ratio</x:v>
      </x:c>
      <x:c r="K3340" s="67" t="str">
        <x:v>https://www.stonealgo.com/diamond-prices/</x:v>
      </x:c>
      <x:c r="L3340" s="67" t="str">
        <x:v>https://www.pricescope.com/blog/natural-diamond-prices-september-2026</x:v>
      </x:c>
    </x:row>
    <x:row r="3341">
      <x:c r="A3341" t="n">
        <x:v>6</x:v>
      </x:c>
      <x:c r="B3341" t="str">
        <x:v>Princess</x:v>
      </x:c>
      <x:c r="C3341" t="str">
        <x:v>E</x:v>
      </x:c>
      <x:c r="D3341" t="str">
        <x:v>VVS2</x:v>
      </x:c>
      <x:c r="E3341" s="36" t="n">
        <x:v>112000</x:v>
      </x:c>
      <x:c r="F3341" s="36" t="n">
        <x:v>6880</x:v>
      </x:c>
      <x:c r="G3341" s="42" t="n">
        <x:v>1.4757614757614759</x:v>
      </x:c>
      <x:c r="H3341" s="36" t="n">
        <x:f>E3341*G3341</x:f>
        <x:v>165285.2852852853</x:v>
      </x:c>
      <x:c r="I3341" s="36" t="n">
        <x:f>IFERROR(H3341/A3341,0)</x:f>
        <x:v>27547.54754754755</x:v>
      </x:c>
      <x:c r="J3341" s="67" t="str">
        <x:v>Modeled from live base + Sep-2026 quality ratio</x:v>
      </x:c>
      <x:c r="K3341" s="67" t="str">
        <x:v>https://www.stonealgo.com/diamond-prices/</x:v>
      </x:c>
      <x:c r="L3341" s="67" t="str">
        <x:v>https://www.pricescope.com/blog/natural-diamond-prices-september-2026</x:v>
      </x:c>
    </x:row>
    <x:row r="3342">
      <x:c r="A3342" t="n">
        <x:v>6</x:v>
      </x:c>
      <x:c r="B3342" t="str">
        <x:v>Princess</x:v>
      </x:c>
      <x:c r="C3342" t="str">
        <x:v>E</x:v>
      </x:c>
      <x:c r="D3342" t="str">
        <x:v>VS1</x:v>
      </x:c>
      <x:c r="E3342" s="36" t="n">
        <x:v>112000</x:v>
      </x:c>
      <x:c r="F3342" s="36" t="n">
        <x:v>6307</x:v>
      </x:c>
      <x:c r="G3342" s="42" t="n">
        <x:v>1.352852852852853</x:v>
      </x:c>
      <x:c r="H3342" s="36" t="n">
        <x:f>E3342*G3342</x:f>
        <x:v>151519.51951951953</x:v>
      </x:c>
      <x:c r="I3342" s="36" t="n">
        <x:f>IFERROR(H3342/A3342,0)</x:f>
        <x:v>25253.253253253253</x:v>
      </x:c>
      <x:c r="J3342" s="67" t="str">
        <x:v>Modeled from live base + Sep-2026 quality ratio</x:v>
      </x:c>
      <x:c r="K3342" s="67" t="str">
        <x:v>https://www.stonealgo.com/diamond-prices/</x:v>
      </x:c>
      <x:c r="L3342" s="67" t="str">
        <x:v>https://www.pricescope.com/blog/natural-diamond-prices-september-2026</x:v>
      </x:c>
    </x:row>
    <x:row r="3343">
      <x:c r="A3343" t="n">
        <x:v>6</x:v>
      </x:c>
      <x:c r="B3343" t="str">
        <x:v>Princess</x:v>
      </x:c>
      <x:c r="C3343" t="str">
        <x:v>E</x:v>
      </x:c>
      <x:c r="D3343" t="str">
        <x:v>VS2</x:v>
      </x:c>
      <x:c r="E3343" s="36" t="n">
        <x:v>112000</x:v>
      </x:c>
      <x:c r="F3343" s="36" t="n">
        <x:v>5249</x:v>
      </x:c>
      <x:c r="G3343" s="42" t="n">
        <x:v>1.125911625911626</x:v>
      </x:c>
      <x:c r="H3343" s="36" t="n">
        <x:f>E3343*G3343</x:f>
        <x:v>126102.10210210212</x:v>
      </x:c>
      <x:c r="I3343" s="36" t="n">
        <x:f>IFERROR(H3343/A3343,0)</x:f>
        <x:v>21017.01701701702</x:v>
      </x:c>
      <x:c r="J3343" s="67" t="str">
        <x:v>Modeled from live base + Sep-2026 quality ratio</x:v>
      </x:c>
      <x:c r="K3343" s="67" t="str">
        <x:v>https://www.stonealgo.com/diamond-prices/</x:v>
      </x:c>
      <x:c r="L3343" s="67" t="str">
        <x:v>https://www.pricescope.com/blog/natural-diamond-prices-september-2026</x:v>
      </x:c>
    </x:row>
    <x:row r="3344">
      <x:c r="A3344" t="n">
        <x:v>6</x:v>
      </x:c>
      <x:c r="B3344" t="str">
        <x:v>Princess</x:v>
      </x:c>
      <x:c r="C3344" t="str">
        <x:v>E</x:v>
      </x:c>
      <x:c r="D3344" t="str">
        <x:v>SI1</x:v>
      </x:c>
      <x:c r="E3344" s="36" t="n">
        <x:v>112000</x:v>
      </x:c>
      <x:c r="F3344" s="36" t="n">
        <x:v>3551</x:v>
      </x:c>
      <x:c r="G3344" s="42" t="n">
        <x:v>0.7616902616902617</x:v>
      </x:c>
      <x:c r="H3344" s="36" t="n">
        <x:f>E3344*G3344</x:f>
        <x:v>85309.3093093093</x:v>
      </x:c>
      <x:c r="I3344" s="36" t="n">
        <x:f>IFERROR(H3344/A3344,0)</x:f>
        <x:v>14218.218218218217</x:v>
      </x:c>
      <x:c r="J3344" s="67" t="str">
        <x:v>Modeled from live base + Sep-2026 quality ratio</x:v>
      </x:c>
      <x:c r="K3344" s="67" t="str">
        <x:v>https://www.stonealgo.com/diamond-prices/</x:v>
      </x:c>
      <x:c r="L3344" s="67" t="str">
        <x:v>https://www.pricescope.com/blog/natural-diamond-prices-september-2026</x:v>
      </x:c>
    </x:row>
    <x:row r="3345">
      <x:c r="A3345" t="n">
        <x:v>6</x:v>
      </x:c>
      <x:c r="B3345" t="str">
        <x:v>Princess</x:v>
      </x:c>
      <x:c r="C3345" t="str">
        <x:v>E</x:v>
      </x:c>
      <x:c r="D3345" t="str">
        <x:v>SI2</x:v>
      </x:c>
      <x:c r="E3345" s="36" t="n">
        <x:v>112000</x:v>
      </x:c>
      <x:c r="F3345" s="36" t="n">
        <x:v>2993</x:v>
      </x:c>
      <x:c r="G3345" s="42" t="n">
        <x:v>0.641999141999142</x:v>
      </x:c>
      <x:c r="H3345" s="36" t="n">
        <x:f>E3345*G3345</x:f>
        <x:v>71903.9039039039</x:v>
      </x:c>
      <x:c r="I3345" s="36" t="n">
        <x:f>IFERROR(H3345/A3345,0)</x:f>
        <x:v>11983.983983983984</x:v>
      </x:c>
      <x:c r="J3345" s="67" t="str">
        <x:v>Modeled from live base + Sep-2026 quality ratio</x:v>
      </x:c>
      <x:c r="K3345" s="67" t="str">
        <x:v>https://www.stonealgo.com/diamond-prices/</x:v>
      </x:c>
      <x:c r="L3345" s="67" t="str">
        <x:v>https://www.pricescope.com/blog/natural-diamond-prices-september-2026</x:v>
      </x:c>
    </x:row>
    <x:row r="3346">
      <x:c r="A3346" t="n">
        <x:v>6</x:v>
      </x:c>
      <x:c r="B3346" t="str">
        <x:v>Princess</x:v>
      </x:c>
      <x:c r="C3346" t="str">
        <x:v>F</x:v>
      </x:c>
      <x:c r="D3346" t="str">
        <x:v>FL</x:v>
      </x:c>
      <x:c r="E3346" s="36" t="n">
        <x:v>112000</x:v>
      </x:c>
      <x:c r="F3346" s="36" t="n">
        <x:v>6830</x:v>
      </x:c>
      <x:c r="G3346" s="42" t="n">
        <x:v>1.4650364650364651</x:v>
      </x:c>
      <x:c r="H3346" s="36" t="n">
        <x:f>E3346*G3346</x:f>
        <x:v>164084.08408408408</x:v>
      </x:c>
      <x:c r="I3346" s="36" t="n">
        <x:f>IFERROR(H3346/A3346,0)</x:f>
        <x:v>27347.347347347346</x:v>
      </x:c>
      <x:c r="J3346" s="67" t="str">
        <x:v>Modeled from live base + Sep-2026 quality ratio</x:v>
      </x:c>
      <x:c r="K3346" s="67" t="str">
        <x:v>https://www.stonealgo.com/diamond-prices/</x:v>
      </x:c>
      <x:c r="L3346" s="67" t="str">
        <x:v>https://www.pricescope.com/blog/natural-diamond-prices-september-2026</x:v>
      </x:c>
    </x:row>
    <x:row r="3347">
      <x:c r="A3347" t="n">
        <x:v>6</x:v>
      </x:c>
      <x:c r="B3347" t="str">
        <x:v>Princess</x:v>
      </x:c>
      <x:c r="C3347" t="str">
        <x:v>F</x:v>
      </x:c>
      <x:c r="D3347" t="str">
        <x:v>IF</x:v>
      </x:c>
      <x:c r="E3347" s="36" t="n">
        <x:v>112000</x:v>
      </x:c>
      <x:c r="F3347" s="36" t="n">
        <x:v>7302</x:v>
      </x:c>
      <x:c r="G3347" s="42" t="n">
        <x:v>1.5662805662805663</x:v>
      </x:c>
      <x:c r="H3347" s="36" t="n">
        <x:f>E3347*G3347</x:f>
        <x:v>175423.42342342343</x:v>
      </x:c>
      <x:c r="I3347" s="36" t="n">
        <x:f>IFERROR(H3347/A3347,0)</x:f>
        <x:v>29237.237237237237</x:v>
      </x:c>
      <x:c r="J3347" s="67" t="str">
        <x:v>Modeled from live base + Sep-2026 quality ratio</x:v>
      </x:c>
      <x:c r="K3347" s="67" t="str">
        <x:v>https://www.stonealgo.com/diamond-prices/</x:v>
      </x:c>
      <x:c r="L3347" s="67" t="str">
        <x:v>https://www.pricescope.com/blog/natural-diamond-prices-september-2026</x:v>
      </x:c>
    </x:row>
    <x:row r="3348">
      <x:c r="A3348" t="n">
        <x:v>6</x:v>
      </x:c>
      <x:c r="B3348" t="str">
        <x:v>Princess</x:v>
      </x:c>
      <x:c r="C3348" t="str">
        <x:v>F</x:v>
      </x:c>
      <x:c r="D3348" t="str">
        <x:v>VVS1</x:v>
      </x:c>
      <x:c r="E3348" s="36" t="n">
        <x:v>112000</x:v>
      </x:c>
      <x:c r="F3348" s="36" t="n">
        <x:v>7542</x:v>
      </x:c>
      <x:c r="G3348" s="42" t="n">
        <x:v>1.6177606177606179</x:v>
      </x:c>
      <x:c r="H3348" s="36" t="n">
        <x:f>E3348*G3348</x:f>
        <x:v>181189.1891891892</x:v>
      </x:c>
      <x:c r="I3348" s="36" t="n">
        <x:f>IFERROR(H3348/A3348,0)</x:f>
        <x:v>30198.1981981982</x:v>
      </x:c>
      <x:c r="J3348" s="67" t="str">
        <x:v>Modeled from live base + Sep-2026 quality ratio</x:v>
      </x:c>
      <x:c r="K3348" s="67" t="str">
        <x:v>https://www.stonealgo.com/diamond-prices/</x:v>
      </x:c>
      <x:c r="L3348" s="67" t="str">
        <x:v>https://www.pricescope.com/blog/natural-diamond-prices-september-2026</x:v>
      </x:c>
    </x:row>
    <x:row r="3349">
      <x:c r="A3349" t="n">
        <x:v>6</x:v>
      </x:c>
      <x:c r="B3349" t="str">
        <x:v>Princess</x:v>
      </x:c>
      <x:c r="C3349" t="str">
        <x:v>F</x:v>
      </x:c>
      <x:c r="D3349" t="str">
        <x:v>VVS2</x:v>
      </x:c>
      <x:c r="E3349" s="36" t="n">
        <x:v>112000</x:v>
      </x:c>
      <x:c r="F3349" s="36" t="n">
        <x:v>6352</x:v>
      </x:c>
      <x:c r="G3349" s="42" t="n">
        <x:v>1.3625053625053625</x:v>
      </x:c>
      <x:c r="H3349" s="36" t="n">
        <x:f>E3349*G3349</x:f>
        <x:v>152600.6006006006</x:v>
      </x:c>
      <x:c r="I3349" s="36" t="n">
        <x:f>IFERROR(H3349/A3349,0)</x:f>
        <x:v>25433.43343343343</x:v>
      </x:c>
      <x:c r="J3349" s="67" t="str">
        <x:v>Modeled from live base + Sep-2026 quality ratio</x:v>
      </x:c>
      <x:c r="K3349" s="67" t="str">
        <x:v>https://www.stonealgo.com/diamond-prices/</x:v>
      </x:c>
      <x:c r="L3349" s="67" t="str">
        <x:v>https://www.pricescope.com/blog/natural-diamond-prices-september-2026</x:v>
      </x:c>
    </x:row>
    <x:row r="3350">
      <x:c r="A3350" t="n">
        <x:v>6</x:v>
      </x:c>
      <x:c r="B3350" t="str">
        <x:v>Princess</x:v>
      </x:c>
      <x:c r="C3350" t="str">
        <x:v>F</x:v>
      </x:c>
      <x:c r="D3350" t="str">
        <x:v>VS1</x:v>
      </x:c>
      <x:c r="E3350" s="36" t="n">
        <x:v>112000</x:v>
      </x:c>
      <x:c r="F3350" s="36" t="n">
        <x:v>5647</x:v>
      </x:c>
      <x:c r="G3350" s="42" t="n">
        <x:v>1.2112827112827114</x:v>
      </x:c>
      <x:c r="H3350" s="36" t="n">
        <x:f>E3350*G3350</x:f>
        <x:v>135663.66366366367</x:v>
      </x:c>
      <x:c r="I3350" s="36" t="n">
        <x:f>IFERROR(H3350/A3350,0)</x:f>
        <x:v>22610.610610610613</x:v>
      </x:c>
      <x:c r="J3350" s="67" t="str">
        <x:v>Modeled from live base + Sep-2026 quality ratio</x:v>
      </x:c>
      <x:c r="K3350" s="67" t="str">
        <x:v>https://www.stonealgo.com/diamond-prices/</x:v>
      </x:c>
      <x:c r="L3350" s="67" t="str">
        <x:v>https://www.pricescope.com/blog/natural-diamond-prices-september-2026</x:v>
      </x:c>
    </x:row>
    <x:row r="3351">
      <x:c r="A3351" t="n">
        <x:v>6</x:v>
      </x:c>
      <x:c r="B3351" t="str">
        <x:v>Princess</x:v>
      </x:c>
      <x:c r="C3351" t="str">
        <x:v>F</x:v>
      </x:c>
      <x:c r="D3351" t="str">
        <x:v>VS2</x:v>
      </x:c>
      <x:c r="E3351" s="36" t="n">
        <x:v>112000</x:v>
      </x:c>
      <x:c r="F3351" s="36" t="n">
        <x:v>4730</x:v>
      </x:c>
      <x:c r="G3351" s="42" t="n">
        <x:v>1.0145860145860146</x:v>
      </x:c>
      <x:c r="H3351" s="36" t="n">
        <x:f>E3351*G3351</x:f>
        <x:v>113633.63363363364</x:v>
      </x:c>
      <x:c r="I3351" s="36" t="n">
        <x:f>IFERROR(H3351/A3351,0)</x:f>
        <x:v>18938.93893893894</x:v>
      </x:c>
      <x:c r="J3351" s="67" t="str">
        <x:v>Modeled from live base + Sep-2026 quality ratio</x:v>
      </x:c>
      <x:c r="K3351" s="67" t="str">
        <x:v>https://www.stonealgo.com/diamond-prices/</x:v>
      </x:c>
      <x:c r="L3351" s="67" t="str">
        <x:v>https://www.pricescope.com/blog/natural-diamond-prices-september-2026</x:v>
      </x:c>
    </x:row>
    <x:row r="3352">
      <x:c r="A3352" t="n">
        <x:v>6</x:v>
      </x:c>
      <x:c r="B3352" t="str">
        <x:v>Princess</x:v>
      </x:c>
      <x:c r="C3352" t="str">
        <x:v>F</x:v>
      </x:c>
      <x:c r="D3352" t="str">
        <x:v>SI1</x:v>
      </x:c>
      <x:c r="E3352" s="36" t="n">
        <x:v>112000</x:v>
      </x:c>
      <x:c r="F3352" s="36" t="n">
        <x:v>3331</x:v>
      </x:c>
      <x:c r="G3352" s="42" t="n">
        <x:v>0.7145002145002145</x:v>
      </x:c>
      <x:c r="H3352" s="36" t="n">
        <x:f>E3352*G3352</x:f>
        <x:v>80024.02402402402</x:v>
      </x:c>
      <x:c r="I3352" s="36" t="n">
        <x:f>IFERROR(H3352/A3352,0)</x:f>
        <x:v>13337.337337337338</x:v>
      </x:c>
      <x:c r="J3352" s="67" t="str">
        <x:v>Modeled from live base + Sep-2026 quality ratio</x:v>
      </x:c>
      <x:c r="K3352" s="67" t="str">
        <x:v>https://www.stonealgo.com/diamond-prices/</x:v>
      </x:c>
      <x:c r="L3352" s="67" t="str">
        <x:v>https://www.pricescope.com/blog/natural-diamond-prices-september-2026</x:v>
      </x:c>
    </x:row>
    <x:row r="3353">
      <x:c r="A3353" t="n">
        <x:v>6</x:v>
      </x:c>
      <x:c r="B3353" t="str">
        <x:v>Princess</x:v>
      </x:c>
      <x:c r="C3353" t="str">
        <x:v>F</x:v>
      </x:c>
      <x:c r="D3353" t="str">
        <x:v>SI2</x:v>
      </x:c>
      <x:c r="E3353" s="36" t="n">
        <x:v>112000</x:v>
      </x:c>
      <x:c r="F3353" s="36" t="n">
        <x:v>2733</x:v>
      </x:c>
      <x:c r="G3353" s="42" t="n">
        <x:v>0.5862290862290862</x:v>
      </x:c>
      <x:c r="H3353" s="36" t="n">
        <x:f>E3353*G3353</x:f>
        <x:v>65657.65765765765</x:v>
      </x:c>
      <x:c r="I3353" s="36" t="n">
        <x:f>IFERROR(H3353/A3353,0)</x:f>
        <x:v>10942.942942942942</x:v>
      </x:c>
      <x:c r="J3353" s="67" t="str">
        <x:v>Modeled from live base + Sep-2026 quality ratio</x:v>
      </x:c>
      <x:c r="K3353" s="67" t="str">
        <x:v>https://www.stonealgo.com/diamond-prices/</x:v>
      </x:c>
      <x:c r="L3353" s="67" t="str">
        <x:v>https://www.pricescope.com/blog/natural-diamond-prices-september-2026</x:v>
      </x:c>
    </x:row>
    <x:row r="3354">
      <x:c r="A3354" t="n">
        <x:v>6</x:v>
      </x:c>
      <x:c r="B3354" t="str">
        <x:v>Princess</x:v>
      </x:c>
      <x:c r="C3354" t="str">
        <x:v>G</x:v>
      </x:c>
      <x:c r="D3354" t="str">
        <x:v>FL</x:v>
      </x:c>
      <x:c r="E3354" s="36" t="n">
        <x:v>112000</x:v>
      </x:c>
      <x:c r="F3354" s="36" t="n">
        <x:v>5905</x:v>
      </x:c>
      <x:c r="G3354" s="42" t="n">
        <x:v>1.2666237666237665</x:v>
      </x:c>
      <x:c r="H3354" s="36" t="n">
        <x:f>E3354*G3354</x:f>
        <x:v>141861.86186186186</x:v>
      </x:c>
      <x:c r="I3354" s="36" t="n">
        <x:f>IFERROR(H3354/A3354,0)</x:f>
        <x:v>23643.643643643645</x:v>
      </x:c>
      <x:c r="J3354" s="67" t="str">
        <x:v>Modeled from live base + Sep-2026 quality ratio</x:v>
      </x:c>
      <x:c r="K3354" s="67" t="str">
        <x:v>https://www.stonealgo.com/diamond-prices/</x:v>
      </x:c>
      <x:c r="L3354" s="67" t="str">
        <x:v>https://www.pricescope.com/blog/natural-diamond-prices-september-2026</x:v>
      </x:c>
    </x:row>
    <x:row r="3355">
      <x:c r="A3355" t="n">
        <x:v>6</x:v>
      </x:c>
      <x:c r="B3355" t="str">
        <x:v>Princess</x:v>
      </x:c>
      <x:c r="C3355" t="str">
        <x:v>G</x:v>
      </x:c>
      <x:c r="D3355" t="str">
        <x:v>IF</x:v>
      </x:c>
      <x:c r="E3355" s="36" t="n">
        <x:v>112000</x:v>
      </x:c>
      <x:c r="F3355" s="36" t="n">
        <x:v>5601</x:v>
      </x:c>
      <x:c r="G3355" s="42" t="n">
        <x:v>1.2014157014157014</x:v>
      </x:c>
      <x:c r="H3355" s="36" t="n">
        <x:f>E3355*G3355</x:f>
        <x:v>134558.55855855855</x:v>
      </x:c>
      <x:c r="I3355" s="36" t="n">
        <x:f>IFERROR(H3355/A3355,0)</x:f>
        <x:v>22426.426426426424</x:v>
      </x:c>
      <x:c r="J3355" s="67" t="str">
        <x:v>Modeled from live base + Sep-2026 quality ratio</x:v>
      </x:c>
      <x:c r="K3355" s="67" t="str">
        <x:v>https://www.stonealgo.com/diamond-prices/</x:v>
      </x:c>
      <x:c r="L3355" s="67" t="str">
        <x:v>https://www.pricescope.com/blog/natural-diamond-prices-september-2026</x:v>
      </x:c>
    </x:row>
    <x:row r="3356">
      <x:c r="A3356" t="n">
        <x:v>6</x:v>
      </x:c>
      <x:c r="B3356" t="str">
        <x:v>Princess</x:v>
      </x:c>
      <x:c r="C3356" t="str">
        <x:v>G</x:v>
      </x:c>
      <x:c r="D3356" t="str">
        <x:v>VVS1</x:v>
      </x:c>
      <x:c r="E3356" s="36" t="n">
        <x:v>112000</x:v>
      </x:c>
      <x:c r="F3356" s="36" t="n">
        <x:v>5124</x:v>
      </x:c>
      <x:c r="G3356" s="42" t="n">
        <x:v>1.0990990990990992</x:v>
      </x:c>
      <x:c r="H3356" s="36" t="n">
        <x:f>E3356*G3356</x:f>
        <x:v>123099.09909909911</x:v>
      </x:c>
      <x:c r="I3356" s="36" t="n">
        <x:f>IFERROR(H3356/A3356,0)</x:f>
        <x:v>20516.51651651652</x:v>
      </x:c>
      <x:c r="J3356" s="67" t="str">
        <x:v>Modeled from live base + Sep-2026 quality ratio</x:v>
      </x:c>
      <x:c r="K3356" s="67" t="str">
        <x:v>https://www.stonealgo.com/diamond-prices/</x:v>
      </x:c>
      <x:c r="L3356" s="67" t="str">
        <x:v>https://www.pricescope.com/blog/natural-diamond-prices-september-2026</x:v>
      </x:c>
    </x:row>
    <x:row r="3357">
      <x:c r="A3357" t="n">
        <x:v>6</x:v>
      </x:c>
      <x:c r="B3357" t="str">
        <x:v>Princess</x:v>
      </x:c>
      <x:c r="C3357" t="str">
        <x:v>G</x:v>
      </x:c>
      <x:c r="D3357" t="str">
        <x:v>VVS2</x:v>
      </x:c>
      <x:c r="E3357" s="36" t="n">
        <x:v>112000</x:v>
      </x:c>
      <x:c r="F3357" s="36" t="n">
        <x:v>4962</x:v>
      </x:c>
      <x:c r="G3357" s="42" t="n">
        <x:v>1.0643500643500643</x:v>
      </x:c>
      <x:c r="H3357" s="36" t="n">
        <x:f>E3357*G3357</x:f>
        <x:v>119207.2072072072</x:v>
      </x:c>
      <x:c r="I3357" s="36" t="n">
        <x:f>IFERROR(H3357/A3357,0)</x:f>
        <x:v>19867.867867867866</x:v>
      </x:c>
      <x:c r="J3357" s="67" t="str">
        <x:v>Modeled from live base + Sep-2026 quality ratio</x:v>
      </x:c>
      <x:c r="K3357" s="67" t="str">
        <x:v>https://www.stonealgo.com/diamond-prices/</x:v>
      </x:c>
      <x:c r="L3357" s="67" t="str">
        <x:v>https://www.pricescope.com/blog/natural-diamond-prices-september-2026</x:v>
      </x:c>
    </x:row>
    <x:row r="3358">
      <x:c r="A3358" t="n">
        <x:v>6</x:v>
      </x:c>
      <x:c r="B3358" t="str">
        <x:v>Princess</x:v>
      </x:c>
      <x:c r="C3358" t="str">
        <x:v>G</x:v>
      </x:c>
      <x:c r="D3358" t="str">
        <x:v>VS1</x:v>
      </x:c>
      <x:c r="E3358" s="36" t="n">
        <x:v>112000</x:v>
      </x:c>
      <x:c r="F3358" s="36" t="n">
        <x:v>4615</x:v>
      </x:c>
      <x:c r="G3358" s="42" t="n">
        <x:v>0.98991848991849</x:v>
      </x:c>
      <x:c r="H3358" s="36" t="n">
        <x:f>E3358*G3358</x:f>
        <x:v>110870.87087087087</x:v>
      </x:c>
      <x:c r="I3358" s="36" t="n">
        <x:f>IFERROR(H3358/A3358,0)</x:f>
        <x:v>18478.47847847848</x:v>
      </x:c>
      <x:c r="J3358" s="67" t="str">
        <x:v>Modeled from live base + Sep-2026 quality ratio</x:v>
      </x:c>
      <x:c r="K3358" s="67" t="str">
        <x:v>https://www.stonealgo.com/diamond-prices/</x:v>
      </x:c>
      <x:c r="L3358" s="67" t="str">
        <x:v>https://www.pricescope.com/blog/natural-diamond-prices-september-2026</x:v>
      </x:c>
    </x:row>
    <x:row r="3359">
      <x:c r="A3359" t="n">
        <x:v>6</x:v>
      </x:c>
      <x:c r="B3359" t="str">
        <x:v>Princess</x:v>
      </x:c>
      <x:c r="C3359" t="str">
        <x:v>G</x:v>
      </x:c>
      <x:c r="D3359" t="str">
        <x:v>VS2</x:v>
      </x:c>
      <x:c r="E3359" s="36" t="n">
        <x:v>112000</x:v>
      </x:c>
      <x:c r="F3359" s="36" t="n">
        <x:v>4585</x:v>
      </x:c>
      <x:c r="G3359" s="42" t="n">
        <x:v>0.9834834834834835</x:v>
      </x:c>
      <x:c r="H3359" s="36" t="n">
        <x:f>E3359*G3359</x:f>
        <x:v>110150.15015015015</x:v>
      </x:c>
      <x:c r="I3359" s="36" t="n">
        <x:f>IFERROR(H3359/A3359,0)</x:f>
        <x:v>18358.358358358357</x:v>
      </x:c>
      <x:c r="J3359" s="67" t="str">
        <x:v>Modeled from live base + Sep-2026 quality ratio</x:v>
      </x:c>
      <x:c r="K3359" s="67" t="str">
        <x:v>https://www.stonealgo.com/diamond-prices/</x:v>
      </x:c>
      <x:c r="L3359" s="67" t="str">
        <x:v>https://www.pricescope.com/blog/natural-diamond-prices-september-2026</x:v>
      </x:c>
    </x:row>
    <x:row r="3360">
      <x:c r="A3360" t="n">
        <x:v>6</x:v>
      </x:c>
      <x:c r="B3360" t="str">
        <x:v>Princess</x:v>
      </x:c>
      <x:c r="C3360" t="str">
        <x:v>G</x:v>
      </x:c>
      <x:c r="D3360" t="str">
        <x:v>SI1</x:v>
      </x:c>
      <x:c r="E3360" s="36" t="n">
        <x:v>112000</x:v>
      </x:c>
      <x:c r="F3360" s="36" t="n">
        <x:v>3664</x:v>
      </x:c>
      <x:c r="G3360" s="42" t="n">
        <x:v>0.7859287859287859</x:v>
      </x:c>
      <x:c r="H3360" s="36" t="n">
        <x:f>E3360*G3360</x:f>
        <x:v>88024.02402402402</x:v>
      </x:c>
      <x:c r="I3360" s="36" t="n">
        <x:f>IFERROR(H3360/A3360,0)</x:f>
        <x:v>14670.67067067067</x:v>
      </x:c>
      <x:c r="J3360" s="67" t="str">
        <x:v>Modeled from live base + Sep-2026 quality ratio</x:v>
      </x:c>
      <x:c r="K3360" s="67" t="str">
        <x:v>https://www.stonealgo.com/diamond-prices/</x:v>
      </x:c>
      <x:c r="L3360" s="67" t="str">
        <x:v>https://www.pricescope.com/blog/natural-diamond-prices-september-2026</x:v>
      </x:c>
    </x:row>
    <x:row r="3361">
      <x:c r="A3361" t="n">
        <x:v>6</x:v>
      </x:c>
      <x:c r="B3361" t="str">
        <x:v>Princess</x:v>
      </x:c>
      <x:c r="C3361" t="str">
        <x:v>G</x:v>
      </x:c>
      <x:c r="D3361" t="str">
        <x:v>SI2</x:v>
      </x:c>
      <x:c r="E3361" s="36" t="n">
        <x:v>112000</x:v>
      </x:c>
      <x:c r="F3361" s="36" t="n">
        <x:v>2537</x:v>
      </x:c>
      <x:c r="G3361" s="42" t="n">
        <x:v>0.5441870441870442</x:v>
      </x:c>
      <x:c r="H3361" s="36" t="n">
        <x:f>E3361*G3361</x:f>
        <x:v>60948.94894894895</x:v>
      </x:c>
      <x:c r="I3361" s="36" t="n">
        <x:f>IFERROR(H3361/A3361,0)</x:f>
        <x:v>10158.158158158158</x:v>
      </x:c>
      <x:c r="J3361" s="67" t="str">
        <x:v>Modeled from live base + Sep-2026 quality ratio</x:v>
      </x:c>
      <x:c r="K3361" s="67" t="str">
        <x:v>https://www.stonealgo.com/diamond-prices/</x:v>
      </x:c>
      <x:c r="L3361" s="67" t="str">
        <x:v>https://www.pricescope.com/blog/natural-diamond-prices-september-2026</x:v>
      </x:c>
    </x:row>
    <x:row r="3362">
      <x:c r="A3362" t="n">
        <x:v>6</x:v>
      </x:c>
      <x:c r="B3362" t="str">
        <x:v>Princess</x:v>
      </x:c>
      <x:c r="C3362" t="str">
        <x:v>H</x:v>
      </x:c>
      <x:c r="D3362" t="str">
        <x:v>FL</x:v>
      </x:c>
      <x:c r="E3362" s="36" t="n">
        <x:v>112000</x:v>
      </x:c>
      <x:c r="F3362" s="36" t="n">
        <x:v>4563</x:v>
      </x:c>
      <x:c r="G3362" s="42" t="n">
        <x:v>0.9787644787644788</x:v>
      </x:c>
      <x:c r="H3362" s="36" t="n">
        <x:f>E3362*G3362</x:f>
        <x:v>109621.62162162163</x:v>
      </x:c>
      <x:c r="I3362" s="36" t="n">
        <x:f>IFERROR(H3362/A3362,0)</x:f>
        <x:v>18270.27027027027</x:v>
      </x:c>
      <x:c r="J3362" s="67" t="str">
        <x:v>Modeled from live base + Sep-2026 quality ratio</x:v>
      </x:c>
      <x:c r="K3362" s="67" t="str">
        <x:v>https://www.stonealgo.com/diamond-prices/</x:v>
      </x:c>
      <x:c r="L3362" s="67" t="str">
        <x:v>https://www.pricescope.com/blog/natural-diamond-prices-september-2026</x:v>
      </x:c>
    </x:row>
    <x:row r="3363">
      <x:c r="A3363" t="n">
        <x:v>6</x:v>
      </x:c>
      <x:c r="B3363" t="str">
        <x:v>Princess</x:v>
      </x:c>
      <x:c r="C3363" t="str">
        <x:v>H</x:v>
      </x:c>
      <x:c r="D3363" t="str">
        <x:v>IF</x:v>
      </x:c>
      <x:c r="E3363" s="36" t="n">
        <x:v>112000</x:v>
      </x:c>
      <x:c r="F3363" s="36" t="n">
        <x:v>4809</x:v>
      </x:c>
      <x:c r="G3363" s="42" t="n">
        <x:v>1.0315315315315314</x:v>
      </x:c>
      <x:c r="H3363" s="36" t="n">
        <x:f>E3363*G3363</x:f>
        <x:v>115531.53153153152</x:v>
      </x:c>
      <x:c r="I3363" s="36" t="n">
        <x:f>IFERROR(H3363/A3363,0)</x:f>
        <x:v>19255.255255255255</x:v>
      </x:c>
      <x:c r="J3363" s="67" t="str">
        <x:v>Modeled from live base + Sep-2026 quality ratio</x:v>
      </x:c>
      <x:c r="K3363" s="67" t="str">
        <x:v>https://www.stonealgo.com/diamond-prices/</x:v>
      </x:c>
      <x:c r="L3363" s="67" t="str">
        <x:v>https://www.pricescope.com/blog/natural-diamond-prices-september-2026</x:v>
      </x:c>
    </x:row>
    <x:row r="3364">
      <x:c r="A3364" t="n">
        <x:v>6</x:v>
      </x:c>
      <x:c r="B3364" t="str">
        <x:v>Princess</x:v>
      </x:c>
      <x:c r="C3364" t="str">
        <x:v>H</x:v>
      </x:c>
      <x:c r="D3364" t="str">
        <x:v>VVS1</x:v>
      </x:c>
      <x:c r="E3364" s="36" t="n">
        <x:v>112000</x:v>
      </x:c>
      <x:c r="F3364" s="36" t="n">
        <x:v>4911</x:v>
      </x:c>
      <x:c r="G3364" s="42" t="n">
        <x:v>1.0534105534105533</x:v>
      </x:c>
      <x:c r="H3364" s="36" t="n">
        <x:f>E3364*G3364</x:f>
        <x:v>117981.98198198197</x:v>
      </x:c>
      <x:c r="I3364" s="36" t="n">
        <x:f>IFERROR(H3364/A3364,0)</x:f>
        <x:v>19663.66366366366</x:v>
      </x:c>
      <x:c r="J3364" s="67" t="str">
        <x:v>Modeled from live base + Sep-2026 quality ratio</x:v>
      </x:c>
      <x:c r="K3364" s="67" t="str">
        <x:v>https://www.stonealgo.com/diamond-prices/</x:v>
      </x:c>
      <x:c r="L3364" s="67" t="str">
        <x:v>https://www.pricescope.com/blog/natural-diamond-prices-september-2026</x:v>
      </x:c>
    </x:row>
    <x:row r="3365">
      <x:c r="A3365" t="n">
        <x:v>6</x:v>
      </x:c>
      <x:c r="B3365" t="str">
        <x:v>Princess</x:v>
      </x:c>
      <x:c r="C3365" t="str">
        <x:v>H</x:v>
      </x:c>
      <x:c r="D3365" t="str">
        <x:v>VVS2</x:v>
      </x:c>
      <x:c r="E3365" s="36" t="n">
        <x:v>112000</x:v>
      </x:c>
      <x:c r="F3365" s="36" t="n">
        <x:v>4046</x:v>
      </x:c>
      <x:c r="G3365" s="42" t="n">
        <x:v>0.8678678678678678</x:v>
      </x:c>
      <x:c r="H3365" s="36" t="n">
        <x:f>E3365*G3365</x:f>
        <x:v>97201.2012012012</x:v>
      </x:c>
      <x:c r="I3365" s="36" t="n">
        <x:f>IFERROR(H3365/A3365,0)</x:f>
        <x:v>16200.2002002002</x:v>
      </x:c>
      <x:c r="J3365" s="67" t="str">
        <x:v>Modeled from live base + Sep-2026 quality ratio</x:v>
      </x:c>
      <x:c r="K3365" s="67" t="str">
        <x:v>https://www.stonealgo.com/diamond-prices/</x:v>
      </x:c>
      <x:c r="L3365" s="67" t="str">
        <x:v>https://www.pricescope.com/blog/natural-diamond-prices-september-2026</x:v>
      </x:c>
    </x:row>
    <x:row r="3366">
      <x:c r="A3366" t="n">
        <x:v>6</x:v>
      </x:c>
      <x:c r="B3366" t="str">
        <x:v>Princess</x:v>
      </x:c>
      <x:c r="C3366" t="str">
        <x:v>H</x:v>
      </x:c>
      <x:c r="D3366" t="str">
        <x:v>VS1</x:v>
      </x:c>
      <x:c r="E3366" s="36" t="n">
        <x:v>112000</x:v>
      </x:c>
      <x:c r="F3366" s="36" t="n">
        <x:v>3893</x:v>
      </x:c>
      <x:c r="G3366" s="42" t="n">
        <x:v>0.8350493350493351</x:v>
      </x:c>
      <x:c r="H3366" s="36" t="n">
        <x:f>E3366*G3366</x:f>
        <x:v>93525.52552552553</x:v>
      </x:c>
      <x:c r="I3366" s="36" t="n">
        <x:f>IFERROR(H3366/A3366,0)</x:f>
        <x:v>15587.587587587588</x:v>
      </x:c>
      <x:c r="J3366" s="67" t="str">
        <x:v>Modeled from live base + Sep-2026 quality ratio</x:v>
      </x:c>
      <x:c r="K3366" s="67" t="str">
        <x:v>https://www.stonealgo.com/diamond-prices/</x:v>
      </x:c>
      <x:c r="L3366" s="67" t="str">
        <x:v>https://www.pricescope.com/blog/natural-diamond-prices-september-2026</x:v>
      </x:c>
    </x:row>
    <x:row r="3367">
      <x:c r="A3367" t="n">
        <x:v>6</x:v>
      </x:c>
      <x:c r="B3367" t="str">
        <x:v>Princess</x:v>
      </x:c>
      <x:c r="C3367" t="str">
        <x:v>H</x:v>
      </x:c>
      <x:c r="D3367" t="str">
        <x:v>VS2</x:v>
      </x:c>
      <x:c r="E3367" s="36" t="n">
        <x:v>112000</x:v>
      </x:c>
      <x:c r="F3367" s="36" t="n">
        <x:v>3989</x:v>
      </x:c>
      <x:c r="G3367" s="42" t="n">
        <x:v>0.8556413556413557</x:v>
      </x:c>
      <x:c r="H3367" s="36" t="n">
        <x:f>E3367*G3367</x:f>
        <x:v>95831.83183183183</x:v>
      </x:c>
      <x:c r="I3367" s="36" t="n">
        <x:f>IFERROR(H3367/A3367,0)</x:f>
        <x:v>15971.971971971972</x:v>
      </x:c>
      <x:c r="J3367" s="67" t="str">
        <x:v>Modeled from live base + Sep-2026 quality ratio</x:v>
      </x:c>
      <x:c r="K3367" s="67" t="str">
        <x:v>https://www.stonealgo.com/diamond-prices/</x:v>
      </x:c>
      <x:c r="L3367" s="67" t="str">
        <x:v>https://www.pricescope.com/blog/natural-diamond-prices-september-2026</x:v>
      </x:c>
    </x:row>
    <x:row r="3368">
      <x:c r="A3368" t="n">
        <x:v>6</x:v>
      </x:c>
      <x:c r="B3368" t="str">
        <x:v>Princess</x:v>
      </x:c>
      <x:c r="C3368" t="str">
        <x:v>H</x:v>
      </x:c>
      <x:c r="D3368" t="str">
        <x:v>SI1</x:v>
      </x:c>
      <x:c r="E3368" s="36" t="n">
        <x:v>112000</x:v>
      </x:c>
      <x:c r="F3368" s="36" t="n">
        <x:v>2828</x:v>
      </x:c>
      <x:c r="G3368" s="42" t="n">
        <x:v>0.6066066066066066</x:v>
      </x:c>
      <x:c r="H3368" s="36" t="n">
        <x:f>E3368*G3368</x:f>
        <x:v>67939.93993993994</x:v>
      </x:c>
      <x:c r="I3368" s="36" t="n">
        <x:f>IFERROR(H3368/A3368,0)</x:f>
        <x:v>11323.323323323324</x:v>
      </x:c>
      <x:c r="J3368" s="67" t="str">
        <x:v>Modeled from live base + Sep-2026 quality ratio</x:v>
      </x:c>
      <x:c r="K3368" s="67" t="str">
        <x:v>https://www.stonealgo.com/diamond-prices/</x:v>
      </x:c>
      <x:c r="L3368" s="67" t="str">
        <x:v>https://www.pricescope.com/blog/natural-diamond-prices-september-2026</x:v>
      </x:c>
    </x:row>
    <x:row r="3369">
      <x:c r="A3369" t="n">
        <x:v>6</x:v>
      </x:c>
      <x:c r="B3369" t="str">
        <x:v>Princess</x:v>
      </x:c>
      <x:c r="C3369" t="str">
        <x:v>H</x:v>
      </x:c>
      <x:c r="D3369" t="str">
        <x:v>SI2</x:v>
      </x:c>
      <x:c r="E3369" s="36" t="n">
        <x:v>112000</x:v>
      </x:c>
      <x:c r="F3369" s="36" t="n">
        <x:v>2328</x:v>
      </x:c>
      <x:c r="G3369" s="42" t="n">
        <x:v>0.49935649935649934</x:v>
      </x:c>
      <x:c r="H3369" s="36" t="n">
        <x:f>E3369*G3369</x:f>
        <x:v>55927.92792792793</x:v>
      </x:c>
      <x:c r="I3369" s="36" t="n">
        <x:f>IFERROR(H3369/A3369,0)</x:f>
        <x:v>9321.321321321322</x:v>
      </x:c>
      <x:c r="J3369" s="67" t="str">
        <x:v>Modeled from live base + Sep-2026 quality ratio</x:v>
      </x:c>
      <x:c r="K3369" s="67" t="str">
        <x:v>https://www.stonealgo.com/diamond-prices/</x:v>
      </x:c>
      <x:c r="L3369" s="67" t="str">
        <x:v>https://www.pricescope.com/blog/natural-diamond-prices-september-2026</x:v>
      </x:c>
    </x:row>
    <x:row r="3370">
      <x:c r="A3370" t="n">
        <x:v>6</x:v>
      </x:c>
      <x:c r="B3370" t="str">
        <x:v>Princess</x:v>
      </x:c>
      <x:c r="C3370" t="str">
        <x:v>I</x:v>
      </x:c>
      <x:c r="D3370" t="str">
        <x:v>FL</x:v>
      </x:c>
      <x:c r="E3370" s="36" t="n">
        <x:v>112000</x:v>
      </x:c>
      <x:c r="F3370" s="36" t="n">
        <x:v>4623</x:v>
      </x:c>
      <x:c r="G3370" s="42" t="n">
        <x:v>0.9916344916344917</x:v>
      </x:c>
      <x:c r="H3370" s="36" t="n">
        <x:f>E3370*G3370</x:f>
        <x:v>111063.06306306306</x:v>
      </x:c>
      <x:c r="I3370" s="36" t="n">
        <x:f>IFERROR(H3370/A3370,0)</x:f>
        <x:v>18510.51051051051</x:v>
      </x:c>
      <x:c r="J3370" s="67" t="str">
        <x:v>Modeled from live base + Sep-2026 quality ratio</x:v>
      </x:c>
      <x:c r="K3370" s="67" t="str">
        <x:v>https://www.stonealgo.com/diamond-prices/</x:v>
      </x:c>
      <x:c r="L3370" s="67" t="str">
        <x:v>https://www.pricescope.com/blog/natural-diamond-prices-september-2026</x:v>
      </x:c>
    </x:row>
    <x:row r="3371">
      <x:c r="A3371" t="n">
        <x:v>6</x:v>
      </x:c>
      <x:c r="B3371" t="str">
        <x:v>Princess</x:v>
      </x:c>
      <x:c r="C3371" t="str">
        <x:v>I</x:v>
      </x:c>
      <x:c r="D3371" t="str">
        <x:v>IF</x:v>
      </x:c>
      <x:c r="E3371" s="36" t="n">
        <x:v>112000</x:v>
      </x:c>
      <x:c r="F3371" s="36" t="n">
        <x:v>4005</x:v>
      </x:c>
      <x:c r="G3371" s="42" t="n">
        <x:v>0.859073359073359</x:v>
      </x:c>
      <x:c r="H3371" s="36" t="n">
        <x:f>E3371*G3371</x:f>
        <x:v>96216.21621621621</x:v>
      </x:c>
      <x:c r="I3371" s="36" t="n">
        <x:f>IFERROR(H3371/A3371,0)</x:f>
        <x:v>16036.036036036036</x:v>
      </x:c>
      <x:c r="J3371" s="67" t="str">
        <x:v>Modeled from live base + Sep-2026 quality ratio</x:v>
      </x:c>
      <x:c r="K3371" s="67" t="str">
        <x:v>https://www.stonealgo.com/diamond-prices/</x:v>
      </x:c>
      <x:c r="L3371" s="67" t="str">
        <x:v>https://www.pricescope.com/blog/natural-diamond-prices-september-2026</x:v>
      </x:c>
    </x:row>
    <x:row r="3372">
      <x:c r="A3372" t="n">
        <x:v>6</x:v>
      </x:c>
      <x:c r="B3372" t="str">
        <x:v>Princess</x:v>
      </x:c>
      <x:c r="C3372" t="str">
        <x:v>I</x:v>
      </x:c>
      <x:c r="D3372" t="str">
        <x:v>VVS1</x:v>
      </x:c>
      <x:c r="E3372" s="36" t="n">
        <x:v>112000</x:v>
      </x:c>
      <x:c r="F3372" s="36" t="n">
        <x:v>3670</x:v>
      </x:c>
      <x:c r="G3372" s="42" t="n">
        <x:v>0.7872157872157872</x:v>
      </x:c>
      <x:c r="H3372" s="36" t="n">
        <x:f>E3372*G3372</x:f>
        <x:v>88168.16816816817</x:v>
      </x:c>
      <x:c r="I3372" s="36" t="n">
        <x:f>IFERROR(H3372/A3372,0)</x:f>
        <x:v>14694.694694694694</x:v>
      </x:c>
      <x:c r="J3372" s="67" t="str">
        <x:v>Modeled from live base + Sep-2026 quality ratio</x:v>
      </x:c>
      <x:c r="K3372" s="67" t="str">
        <x:v>https://www.stonealgo.com/diamond-prices/</x:v>
      </x:c>
      <x:c r="L3372" s="67" t="str">
        <x:v>https://www.pricescope.com/blog/natural-diamond-prices-september-2026</x:v>
      </x:c>
    </x:row>
    <x:row r="3373">
      <x:c r="A3373" t="n">
        <x:v>6</x:v>
      </x:c>
      <x:c r="B3373" t="str">
        <x:v>Princess</x:v>
      </x:c>
      <x:c r="C3373" t="str">
        <x:v>I</x:v>
      </x:c>
      <x:c r="D3373" t="str">
        <x:v>VVS2</x:v>
      </x:c>
      <x:c r="E3373" s="36" t="n">
        <x:v>112000</x:v>
      </x:c>
      <x:c r="F3373" s="36" t="n">
        <x:v>3447</x:v>
      </x:c>
      <x:c r="G3373" s="42" t="n">
        <x:v>0.7393822393822393</x:v>
      </x:c>
      <x:c r="H3373" s="36" t="n">
        <x:f>E3373*G3373</x:f>
        <x:v>82810.81081081081</x:v>
      </x:c>
      <x:c r="I3373" s="36" t="n">
        <x:f>IFERROR(H3373/A3373,0)</x:f>
        <x:v>13801.801801801803</x:v>
      </x:c>
      <x:c r="J3373" s="67" t="str">
        <x:v>Modeled from live base + Sep-2026 quality ratio</x:v>
      </x:c>
      <x:c r="K3373" s="67" t="str">
        <x:v>https://www.stonealgo.com/diamond-prices/</x:v>
      </x:c>
      <x:c r="L3373" s="67" t="str">
        <x:v>https://www.pricescope.com/blog/natural-diamond-prices-september-2026</x:v>
      </x:c>
    </x:row>
    <x:row r="3374">
      <x:c r="A3374" t="n">
        <x:v>6</x:v>
      </x:c>
      <x:c r="B3374" t="str">
        <x:v>Princess</x:v>
      </x:c>
      <x:c r="C3374" t="str">
        <x:v>I</x:v>
      </x:c>
      <x:c r="D3374" t="str">
        <x:v>VS1</x:v>
      </x:c>
      <x:c r="E3374" s="36" t="n">
        <x:v>112000</x:v>
      </x:c>
      <x:c r="F3374" s="36" t="n">
        <x:v>3313</x:v>
      </x:c>
      <x:c r="G3374" s="42" t="n">
        <x:v>0.7106392106392107</x:v>
      </x:c>
      <x:c r="H3374" s="36" t="n">
        <x:f>E3374*G3374</x:f>
        <x:v>79591.5915915916</x:v>
      </x:c>
      <x:c r="I3374" s="36" t="n">
        <x:f>IFERROR(H3374/A3374,0)</x:f>
        <x:v>13265.265265265267</x:v>
      </x:c>
      <x:c r="J3374" s="67" t="str">
        <x:v>Modeled from live base + Sep-2026 quality ratio</x:v>
      </x:c>
      <x:c r="K3374" s="67" t="str">
        <x:v>https://www.stonealgo.com/diamond-prices/</x:v>
      </x:c>
      <x:c r="L3374" s="67" t="str">
        <x:v>https://www.pricescope.com/blog/natural-diamond-prices-september-2026</x:v>
      </x:c>
    </x:row>
    <x:row r="3375">
      <x:c r="A3375" t="n">
        <x:v>6</x:v>
      </x:c>
      <x:c r="B3375" t="str">
        <x:v>Princess</x:v>
      </x:c>
      <x:c r="C3375" t="str">
        <x:v>I</x:v>
      </x:c>
      <x:c r="D3375" t="str">
        <x:v>VS2</x:v>
      </x:c>
      <x:c r="E3375" s="36" t="n">
        <x:v>112000</x:v>
      </x:c>
      <x:c r="F3375" s="36" t="n">
        <x:v>3240</x:v>
      </x:c>
      <x:c r="G3375" s="42" t="n">
        <x:v>0.694980694980695</x:v>
      </x:c>
      <x:c r="H3375" s="36" t="n">
        <x:f>E3375*G3375</x:f>
        <x:v>77837.83783783784</x:v>
      </x:c>
      <x:c r="I3375" s="36" t="n">
        <x:f>IFERROR(H3375/A3375,0)</x:f>
        <x:v>12972.972972972973</x:v>
      </x:c>
      <x:c r="J3375" s="67" t="str">
        <x:v>Modeled from live base + Sep-2026 quality ratio</x:v>
      </x:c>
      <x:c r="K3375" s="67" t="str">
        <x:v>https://www.stonealgo.com/diamond-prices/</x:v>
      </x:c>
      <x:c r="L3375" s="67" t="str">
        <x:v>https://www.pricescope.com/blog/natural-diamond-prices-september-2026</x:v>
      </x:c>
    </x:row>
    <x:row r="3376">
      <x:c r="A3376" t="n">
        <x:v>6</x:v>
      </x:c>
      <x:c r="B3376" t="str">
        <x:v>Princess</x:v>
      </x:c>
      <x:c r="C3376" t="str">
        <x:v>I</x:v>
      </x:c>
      <x:c r="D3376" t="str">
        <x:v>SI1</x:v>
      </x:c>
      <x:c r="E3376" s="36" t="n">
        <x:v>112000</x:v>
      </x:c>
      <x:c r="F3376" s="36" t="n">
        <x:v>3199</x:v>
      </x:c>
      <x:c r="G3376" s="42" t="n">
        <x:v>0.6861861861861862</x:v>
      </x:c>
      <x:c r="H3376" s="36" t="n">
        <x:f>E3376*G3376</x:f>
        <x:v>76852.85285285285</x:v>
      </x:c>
      <x:c r="I3376" s="36" t="n">
        <x:f>IFERROR(H3376/A3376,0)</x:f>
        <x:v>12808.80880880881</x:v>
      </x:c>
      <x:c r="J3376" s="67" t="str">
        <x:v>Modeled from live base + Sep-2026 quality ratio</x:v>
      </x:c>
      <x:c r="K3376" s="67" t="str">
        <x:v>https://www.stonealgo.com/diamond-prices/</x:v>
      </x:c>
      <x:c r="L3376" s="67" t="str">
        <x:v>https://www.pricescope.com/blog/natural-diamond-prices-september-2026</x:v>
      </x:c>
    </x:row>
    <x:row r="3377">
      <x:c r="A3377" t="n">
        <x:v>6</x:v>
      </x:c>
      <x:c r="B3377" t="str">
        <x:v>Princess</x:v>
      </x:c>
      <x:c r="C3377" t="str">
        <x:v>I</x:v>
      </x:c>
      <x:c r="D3377" t="str">
        <x:v>SI2</x:v>
      </x:c>
      <x:c r="E3377" s="36" t="n">
        <x:v>112000</x:v>
      </x:c>
      <x:c r="F3377" s="36" t="n">
        <x:v>2874</x:v>
      </x:c>
      <x:c r="G3377" s="42" t="n">
        <x:v>0.6164736164736164</x:v>
      </x:c>
      <x:c r="H3377" s="36" t="n">
        <x:f>E3377*G3377</x:f>
        <x:v>69045.04504504504</x:v>
      </x:c>
      <x:c r="I3377" s="36" t="n">
        <x:f>IFERROR(H3377/A3377,0)</x:f>
        <x:v>11507.507507507507</x:v>
      </x:c>
      <x:c r="J3377" s="67" t="str">
        <x:v>Modeled from live base + Sep-2026 quality ratio</x:v>
      </x:c>
      <x:c r="K3377" s="67" t="str">
        <x:v>https://www.stonealgo.com/diamond-prices/</x:v>
      </x:c>
      <x:c r="L3377" s="67" t="str">
        <x:v>https://www.pricescope.com/blog/natural-diamond-prices-september-2026</x:v>
      </x:c>
    </x:row>
    <x:row r="3378">
      <x:c r="A3378" t="n">
        <x:v>6</x:v>
      </x:c>
      <x:c r="B3378" t="str">
        <x:v>Princess</x:v>
      </x:c>
      <x:c r="C3378" t="str">
        <x:v>J</x:v>
      </x:c>
      <x:c r="D3378" t="str">
        <x:v>FL</x:v>
      </x:c>
      <x:c r="E3378" s="36" t="n">
        <x:v>112000</x:v>
      </x:c>
      <x:c r="F3378" s="36" t="n">
        <x:v>3646</x:v>
      </x:c>
      <x:c r="G3378" s="42" t="n">
        <x:v>0.782067782067782</x:v>
      </x:c>
      <x:c r="H3378" s="36" t="n">
        <x:f>E3378*G3378</x:f>
        <x:v>87591.59159159158</x:v>
      </x:c>
      <x:c r="I3378" s="36" t="n">
        <x:f>IFERROR(H3378/A3378,0)</x:f>
        <x:v>14598.598598598597</x:v>
      </x:c>
      <x:c r="J3378" s="67" t="str">
        <x:v>Modeled from live base + Sep-2026 quality ratio</x:v>
      </x:c>
      <x:c r="K3378" s="67" t="str">
        <x:v>https://www.stonealgo.com/diamond-prices/</x:v>
      </x:c>
      <x:c r="L3378" s="67" t="str">
        <x:v>https://www.pricescope.com/blog/natural-diamond-prices-september-2026</x:v>
      </x:c>
    </x:row>
    <x:row r="3379">
      <x:c r="A3379" t="n">
        <x:v>6</x:v>
      </x:c>
      <x:c r="B3379" t="str">
        <x:v>Princess</x:v>
      </x:c>
      <x:c r="C3379" t="str">
        <x:v>J</x:v>
      </x:c>
      <x:c r="D3379" t="str">
        <x:v>IF</x:v>
      </x:c>
      <x:c r="E3379" s="36" t="n">
        <x:v>112000</x:v>
      </x:c>
      <x:c r="F3379" s="36" t="n">
        <x:v>3368</x:v>
      </x:c>
      <x:c r="G3379" s="42" t="n">
        <x:v>0.7224367224367224</x:v>
      </x:c>
      <x:c r="H3379" s="36" t="n">
        <x:f>E3379*G3379</x:f>
        <x:v>80912.91291291291</x:v>
      </x:c>
      <x:c r="I3379" s="36" t="n">
        <x:f>IFERROR(H3379/A3379,0)</x:f>
        <x:v>13485.485485485486</x:v>
      </x:c>
      <x:c r="J3379" s="67" t="str">
        <x:v>Modeled from live base + Sep-2026 quality ratio</x:v>
      </x:c>
      <x:c r="K3379" s="67" t="str">
        <x:v>https://www.stonealgo.com/diamond-prices/</x:v>
      </x:c>
      <x:c r="L3379" s="67" t="str">
        <x:v>https://www.pricescope.com/blog/natural-diamond-prices-september-2026</x:v>
      </x:c>
    </x:row>
    <x:row r="3380">
      <x:c r="A3380" t="n">
        <x:v>6</x:v>
      </x:c>
      <x:c r="B3380" t="str">
        <x:v>Princess</x:v>
      </x:c>
      <x:c r="C3380" t="str">
        <x:v>J</x:v>
      </x:c>
      <x:c r="D3380" t="str">
        <x:v>VVS1</x:v>
      </x:c>
      <x:c r="E3380" s="36" t="n">
        <x:v>112000</x:v>
      </x:c>
      <x:c r="F3380" s="36" t="n">
        <x:v>2956</x:v>
      </x:c>
      <x:c r="G3380" s="42" t="n">
        <x:v>0.6340626340626341</x:v>
      </x:c>
      <x:c r="H3380" s="36" t="n">
        <x:f>E3380*G3380</x:f>
        <x:v>71015.01501501501</x:v>
      </x:c>
      <x:c r="I3380" s="36" t="n">
        <x:f>IFERROR(H3380/A3380,0)</x:f>
        <x:v>11835.835835835836</x:v>
      </x:c>
      <x:c r="J3380" s="67" t="str">
        <x:v>Modeled from live base + Sep-2026 quality ratio</x:v>
      </x:c>
      <x:c r="K3380" s="67" t="str">
        <x:v>https://www.stonealgo.com/diamond-prices/</x:v>
      </x:c>
      <x:c r="L3380" s="67" t="str">
        <x:v>https://www.pricescope.com/blog/natural-diamond-prices-september-2026</x:v>
      </x:c>
    </x:row>
    <x:row r="3381">
      <x:c r="A3381" t="n">
        <x:v>6</x:v>
      </x:c>
      <x:c r="B3381" t="str">
        <x:v>Princess</x:v>
      </x:c>
      <x:c r="C3381" t="str">
        <x:v>J</x:v>
      </x:c>
      <x:c r="D3381" t="str">
        <x:v>VVS2</x:v>
      </x:c>
      <x:c r="E3381" s="36" t="n">
        <x:v>112000</x:v>
      </x:c>
      <x:c r="F3381" s="36" t="n">
        <x:v>2612</x:v>
      </x:c>
      <x:c r="G3381" s="42" t="n">
        <x:v>0.5602745602745602</x:v>
      </x:c>
      <x:c r="H3381" s="36" t="n">
        <x:f>E3381*G3381</x:f>
        <x:v>62750.75075075075</x:v>
      </x:c>
      <x:c r="I3381" s="36" t="n">
        <x:f>IFERROR(H3381/A3381,0)</x:f>
        <x:v>10458.458458458457</x:v>
      </x:c>
      <x:c r="J3381" s="67" t="str">
        <x:v>Modeled from live base + Sep-2026 quality ratio</x:v>
      </x:c>
      <x:c r="K3381" s="67" t="str">
        <x:v>https://www.stonealgo.com/diamond-prices/</x:v>
      </x:c>
      <x:c r="L3381" s="67" t="str">
        <x:v>https://www.pricescope.com/blog/natural-diamond-prices-september-2026</x:v>
      </x:c>
    </x:row>
    <x:row r="3382">
      <x:c r="A3382" t="n">
        <x:v>6</x:v>
      </x:c>
      <x:c r="B3382" t="str">
        <x:v>Princess</x:v>
      </x:c>
      <x:c r="C3382" t="str">
        <x:v>J</x:v>
      </x:c>
      <x:c r="D3382" t="str">
        <x:v>VS1</x:v>
      </x:c>
      <x:c r="E3382" s="36" t="n">
        <x:v>112000</x:v>
      </x:c>
      <x:c r="F3382" s="36" t="n">
        <x:v>3002</x:v>
      </x:c>
      <x:c r="G3382" s="42" t="n">
        <x:v>0.6439296439296439</x:v>
      </x:c>
      <x:c r="H3382" s="36" t="n">
        <x:f>E3382*G3382</x:f>
        <x:v>72120.12012012012</x:v>
      </x:c>
      <x:c r="I3382" s="36" t="n">
        <x:f>IFERROR(H3382/A3382,0)</x:f>
        <x:v>12020.02002002002</x:v>
      </x:c>
      <x:c r="J3382" s="67" t="str">
        <x:v>Modeled from live base + Sep-2026 quality ratio</x:v>
      </x:c>
      <x:c r="K3382" s="67" t="str">
        <x:v>https://www.stonealgo.com/diamond-prices/</x:v>
      </x:c>
      <x:c r="L3382" s="67" t="str">
        <x:v>https://www.pricescope.com/blog/natural-diamond-prices-september-2026</x:v>
      </x:c>
    </x:row>
    <x:row r="3383">
      <x:c r="A3383" t="n">
        <x:v>6</x:v>
      </x:c>
      <x:c r="B3383" t="str">
        <x:v>Princess</x:v>
      </x:c>
      <x:c r="C3383" t="str">
        <x:v>J</x:v>
      </x:c>
      <x:c r="D3383" t="str">
        <x:v>VS2</x:v>
      </x:c>
      <x:c r="E3383" s="36" t="n">
        <x:v>112000</x:v>
      </x:c>
      <x:c r="F3383" s="36" t="n">
        <x:v>2559</x:v>
      </x:c>
      <x:c r="G3383" s="42" t="n">
        <x:v>0.5489060489060489</x:v>
      </x:c>
      <x:c r="H3383" s="36" t="n">
        <x:f>E3383*G3383</x:f>
        <x:v>61477.47747747748</x:v>
      </x:c>
      <x:c r="I3383" s="36" t="n">
        <x:f>IFERROR(H3383/A3383,0)</x:f>
        <x:v>10246.246246246246</x:v>
      </x:c>
      <x:c r="J3383" s="67" t="str">
        <x:v>Modeled from live base + Sep-2026 quality ratio</x:v>
      </x:c>
      <x:c r="K3383" s="67" t="str">
        <x:v>https://www.stonealgo.com/diamond-prices/</x:v>
      </x:c>
      <x:c r="L3383" s="67" t="str">
        <x:v>https://www.pricescope.com/blog/natural-diamond-prices-september-2026</x:v>
      </x:c>
    </x:row>
    <x:row r="3384">
      <x:c r="A3384" t="n">
        <x:v>6</x:v>
      </x:c>
      <x:c r="B3384" t="str">
        <x:v>Princess</x:v>
      </x:c>
      <x:c r="C3384" t="str">
        <x:v>J</x:v>
      </x:c>
      <x:c r="D3384" t="str">
        <x:v>SI1</x:v>
      </x:c>
      <x:c r="E3384" s="36" t="n">
        <x:v>112000</x:v>
      </x:c>
      <x:c r="F3384" s="36" t="n">
        <x:v>2195</x:v>
      </x:c>
      <x:c r="G3384" s="42" t="n">
        <x:v>0.47082797082797084</x:v>
      </x:c>
      <x:c r="H3384" s="36" t="n">
        <x:f>E3384*G3384</x:f>
        <x:v>52732.73273273274</x:v>
      </x:c>
      <x:c r="I3384" s="36" t="n">
        <x:f>IFERROR(H3384/A3384,0)</x:f>
        <x:v>8788.78878878879</x:v>
      </x:c>
      <x:c r="J3384" s="67" t="str">
        <x:v>Modeled from live base + Sep-2026 quality ratio</x:v>
      </x:c>
      <x:c r="K3384" s="67" t="str">
        <x:v>https://www.stonealgo.com/diamond-prices/</x:v>
      </x:c>
      <x:c r="L3384" s="67" t="str">
        <x:v>https://www.pricescope.com/blog/natural-diamond-prices-september-2026</x:v>
      </x:c>
    </x:row>
    <x:row r="3385">
      <x:c r="A3385" t="n">
        <x:v>6</x:v>
      </x:c>
      <x:c r="B3385" t="str">
        <x:v>Princess</x:v>
      </x:c>
      <x:c r="C3385" t="str">
        <x:v>J</x:v>
      </x:c>
      <x:c r="D3385" t="str">
        <x:v>SI2</x:v>
      </x:c>
      <x:c r="E3385" s="36" t="n">
        <x:v>112000</x:v>
      </x:c>
      <x:c r="F3385" s="36" t="n">
        <x:v>2079</x:v>
      </x:c>
      <x:c r="G3385" s="42" t="n">
        <x:v>0.44594594594594594</x:v>
      </x:c>
      <x:c r="H3385" s="36" t="n">
        <x:f>E3385*G3385</x:f>
        <x:v>49945.94594594595</x:v>
      </x:c>
      <x:c r="I3385" s="36" t="n">
        <x:f>IFERROR(H3385/A3385,0)</x:f>
        <x:v>8324.324324324325</x:v>
      </x:c>
      <x:c r="J3385" s="67" t="str">
        <x:v>Modeled from live base + Sep-2026 quality ratio</x:v>
      </x:c>
      <x:c r="K3385" s="67" t="str">
        <x:v>https://www.stonealgo.com/diamond-prices/</x:v>
      </x:c>
      <x:c r="L3385" s="67" t="str">
        <x:v>https://www.pricescope.com/blog/natural-diamond-prices-september-2026</x:v>
      </x:c>
    </x:row>
    <x:row r="3386">
      <x:c r="A3386" t="n">
        <x:v>6</x:v>
      </x:c>
      <x:c r="B3386" t="str">
        <x:v>Princess</x:v>
      </x:c>
      <x:c r="C3386" t="str">
        <x:v>K</x:v>
      </x:c>
      <x:c r="D3386" t="str">
        <x:v>FL</x:v>
      </x:c>
      <x:c r="E3386" s="36" t="n">
        <x:v>112000</x:v>
      </x:c>
      <x:c r="F3386" s="36" t="n">
        <x:v>2858</x:v>
      </x:c>
      <x:c r="G3386" s="42" t="n">
        <x:v>0.6130416130416131</x:v>
      </x:c>
      <x:c r="H3386" s="36" t="n">
        <x:f>E3386*G3386</x:f>
        <x:v>68660.66066066067</x:v>
      </x:c>
      <x:c r="I3386" s="36" t="n">
        <x:f>IFERROR(H3386/A3386,0)</x:f>
        <x:v>11443.443443443444</x:v>
      </x:c>
      <x:c r="J3386" s="67" t="str">
        <x:v>Modeled from live base + Sep-2026 quality ratio; K/FL quality cell modeled</x:v>
      </x:c>
      <x:c r="K3386" s="67" t="str">
        <x:v>https://www.stonealgo.com/diamond-prices/</x:v>
      </x:c>
      <x:c r="L3386" s="67" t="str">
        <x:v>https://www.pricescope.com/blog/natural-diamond-prices-september-2026</x:v>
      </x:c>
    </x:row>
    <x:row r="3387">
      <x:c r="A3387" t="n">
        <x:v>6</x:v>
      </x:c>
      <x:c r="B3387" t="str">
        <x:v>Princess</x:v>
      </x:c>
      <x:c r="C3387" t="str">
        <x:v>K</x:v>
      </x:c>
      <x:c r="D3387" t="str">
        <x:v>IF</x:v>
      </x:c>
      <x:c r="E3387" s="36" t="n">
        <x:v>112000</x:v>
      </x:c>
      <x:c r="F3387" s="36" t="n">
        <x:v>2743</x:v>
      </x:c>
      <x:c r="G3387" s="42" t="n">
        <x:v>0.5883740883740883</x:v>
      </x:c>
      <x:c r="H3387" s="36" t="n">
        <x:f>E3387*G3387</x:f>
        <x:v>65897.8978978979</x:v>
      </x:c>
      <x:c r="I3387" s="36" t="n">
        <x:f>IFERROR(H3387/A3387,0)</x:f>
        <x:v>10982.982982982983</x:v>
      </x:c>
      <x:c r="J3387" s="67" t="str">
        <x:v>Modeled from live base + Sep-2026 quality ratio</x:v>
      </x:c>
      <x:c r="K3387" s="67" t="str">
        <x:v>https://www.stonealgo.com/diamond-prices/</x:v>
      </x:c>
      <x:c r="L3387" s="67" t="str">
        <x:v>https://www.pricescope.com/blog/natural-diamond-prices-september-2026</x:v>
      </x:c>
    </x:row>
    <x:row r="3388">
      <x:c r="A3388" t="n">
        <x:v>6</x:v>
      </x:c>
      <x:c r="B3388" t="str">
        <x:v>Princess</x:v>
      </x:c>
      <x:c r="C3388" t="str">
        <x:v>K</x:v>
      </x:c>
      <x:c r="D3388" t="str">
        <x:v>VVS1</x:v>
      </x:c>
      <x:c r="E3388" s="36" t="n">
        <x:v>112000</x:v>
      </x:c>
      <x:c r="F3388" s="36" t="n">
        <x:v>2529</x:v>
      </x:c>
      <x:c r="G3388" s="42" t="n">
        <x:v>0.5424710424710425</x:v>
      </x:c>
      <x:c r="H3388" s="36" t="n">
        <x:f>E3388*G3388</x:f>
        <x:v>60756.75675675676</x:v>
      </x:c>
      <x:c r="I3388" s="36" t="n">
        <x:f>IFERROR(H3388/A3388,0)</x:f>
        <x:v>10126.126126126126</x:v>
      </x:c>
      <x:c r="J3388" s="67" t="str">
        <x:v>Modeled from live base + Sep-2026 quality ratio</x:v>
      </x:c>
      <x:c r="K3388" s="67" t="str">
        <x:v>https://www.stonealgo.com/diamond-prices/</x:v>
      </x:c>
      <x:c r="L3388" s="67" t="str">
        <x:v>https://www.pricescope.com/blog/natural-diamond-prices-september-2026</x:v>
      </x:c>
    </x:row>
    <x:row r="3389">
      <x:c r="A3389" t="n">
        <x:v>6</x:v>
      </x:c>
      <x:c r="B3389" t="str">
        <x:v>Princess</x:v>
      </x:c>
      <x:c r="C3389" t="str">
        <x:v>K</x:v>
      </x:c>
      <x:c r="D3389" t="str">
        <x:v>VVS2</x:v>
      </x:c>
      <x:c r="E3389" s="36" t="n">
        <x:v>112000</x:v>
      </x:c>
      <x:c r="F3389" s="36" t="n">
        <x:v>2374</x:v>
      </x:c>
      <x:c r="G3389" s="42" t="n">
        <x:v>0.5092235092235092</x:v>
      </x:c>
      <x:c r="H3389" s="36" t="n">
        <x:f>E3389*G3389</x:f>
        <x:v>57033.03303303303</x:v>
      </x:c>
      <x:c r="I3389" s="36" t="n">
        <x:f>IFERROR(H3389/A3389,0)</x:f>
        <x:v>9505.505505505505</x:v>
      </x:c>
      <x:c r="J3389" s="67" t="str">
        <x:v>Modeled from live base + Sep-2026 quality ratio</x:v>
      </x:c>
      <x:c r="K3389" s="67" t="str">
        <x:v>https://www.stonealgo.com/diamond-prices/</x:v>
      </x:c>
      <x:c r="L3389" s="67" t="str">
        <x:v>https://www.pricescope.com/blog/natural-diamond-prices-september-2026</x:v>
      </x:c>
    </x:row>
    <x:row r="3390">
      <x:c r="A3390" t="n">
        <x:v>6</x:v>
      </x:c>
      <x:c r="B3390" t="str">
        <x:v>Princess</x:v>
      </x:c>
      <x:c r="C3390" t="str">
        <x:v>K</x:v>
      </x:c>
      <x:c r="D3390" t="str">
        <x:v>VS1</x:v>
      </x:c>
      <x:c r="E3390" s="36" t="n">
        <x:v>112000</x:v>
      </x:c>
      <x:c r="F3390" s="36" t="n">
        <x:v>2223</x:v>
      </x:c>
      <x:c r="G3390" s="42" t="n">
        <x:v>0.4768339768339768</x:v>
      </x:c>
      <x:c r="H3390" s="36" t="n">
        <x:f>E3390*G3390</x:f>
        <x:v>53405.40540540541</x:v>
      </x:c>
      <x:c r="I3390" s="36" t="n">
        <x:f>IFERROR(H3390/A3390,0)</x:f>
        <x:v>8900.9009009009</x:v>
      </x:c>
      <x:c r="J3390" s="67" t="str">
        <x:v>Modeled from live base + Sep-2026 quality ratio</x:v>
      </x:c>
      <x:c r="K3390" s="67" t="str">
        <x:v>https://www.stonealgo.com/diamond-prices/</x:v>
      </x:c>
      <x:c r="L3390" s="67" t="str">
        <x:v>https://www.pricescope.com/blog/natural-diamond-prices-september-2026</x:v>
      </x:c>
    </x:row>
    <x:row r="3391">
      <x:c r="A3391" t="n">
        <x:v>6</x:v>
      </x:c>
      <x:c r="B3391" t="str">
        <x:v>Princess</x:v>
      </x:c>
      <x:c r="C3391" t="str">
        <x:v>K</x:v>
      </x:c>
      <x:c r="D3391" t="str">
        <x:v>VS2</x:v>
      </x:c>
      <x:c r="E3391" s="36" t="n">
        <x:v>112000</x:v>
      </x:c>
      <x:c r="F3391" s="36" t="n">
        <x:v>2098</x:v>
      </x:c>
      <x:c r="G3391" s="42" t="n">
        <x:v>0.45002145002145</x:v>
      </x:c>
      <x:c r="H3391" s="36" t="n">
        <x:f>E3391*G3391</x:f>
        <x:v>50402.4024024024</x:v>
      </x:c>
      <x:c r="I3391" s="36" t="n">
        <x:f>IFERROR(H3391/A3391,0)</x:f>
        <x:v>8400.4004004004</x:v>
      </x:c>
      <x:c r="J3391" s="67" t="str">
        <x:v>Modeled from live base + Sep-2026 quality ratio</x:v>
      </x:c>
      <x:c r="K3391" s="67" t="str">
        <x:v>https://www.stonealgo.com/diamond-prices/</x:v>
      </x:c>
      <x:c r="L3391" s="67" t="str">
        <x:v>https://www.pricescope.com/blog/natural-diamond-prices-september-2026</x:v>
      </x:c>
    </x:row>
    <x:row r="3392">
      <x:c r="A3392" t="n">
        <x:v>6</x:v>
      </x:c>
      <x:c r="B3392" t="str">
        <x:v>Princess</x:v>
      </x:c>
      <x:c r="C3392" t="str">
        <x:v>K</x:v>
      </x:c>
      <x:c r="D3392" t="str">
        <x:v>SI1</x:v>
      </x:c>
      <x:c r="E3392" s="36" t="n">
        <x:v>112000</x:v>
      </x:c>
      <x:c r="F3392" s="36" t="n">
        <x:v>1922</x:v>
      </x:c>
      <x:c r="G3392" s="42" t="n">
        <x:v>0.41226941226941227</x:v>
      </x:c>
      <x:c r="H3392" s="36" t="n">
        <x:f>E3392*G3392</x:f>
        <x:v>46174.17417417417</x:v>
      </x:c>
      <x:c r="I3392" s="36" t="n">
        <x:f>IFERROR(H3392/A3392,0)</x:f>
        <x:v>7695.695695695696</x:v>
      </x:c>
      <x:c r="J3392" s="67" t="str">
        <x:v>Modeled from live base + Sep-2026 quality ratio</x:v>
      </x:c>
      <x:c r="K3392" s="67" t="str">
        <x:v>https://www.stonealgo.com/diamond-prices/</x:v>
      </x:c>
      <x:c r="L3392" s="67" t="str">
        <x:v>https://www.pricescope.com/blog/natural-diamond-prices-september-2026</x:v>
      </x:c>
    </x:row>
    <x:row r="3393">
      <x:c r="A3393" t="n">
        <x:v>6</x:v>
      </x:c>
      <x:c r="B3393" t="str">
        <x:v>Princess</x:v>
      </x:c>
      <x:c r="C3393" t="str">
        <x:v>K</x:v>
      </x:c>
      <x:c r="D3393" t="str">
        <x:v>SI2</x:v>
      </x:c>
      <x:c r="E3393" s="36" t="n">
        <x:v>112000</x:v>
      </x:c>
      <x:c r="F3393" s="36" t="n">
        <x:v>1764</x:v>
      </x:c>
      <x:c r="G3393" s="42" t="n">
        <x:v>0.3783783783783784</x:v>
      </x:c>
      <x:c r="H3393" s="36" t="n">
        <x:f>E3393*G3393</x:f>
        <x:v>42378.37837837838</x:v>
      </x:c>
      <x:c r="I3393" s="36" t="n">
        <x:f>IFERROR(H3393/A3393,0)</x:f>
        <x:v>7063.063063063063</x:v>
      </x:c>
      <x:c r="J3393" s="67" t="str">
        <x:v>Modeled from live base + Sep-2026 quality ratio</x:v>
      </x:c>
      <x:c r="K3393" s="67" t="str">
        <x:v>https://www.stonealgo.com/diamond-prices/</x:v>
      </x:c>
      <x:c r="L3393" s="67" t="str">
        <x:v>https://www.pricescope.com/blog/natural-diamond-prices-september-2026</x:v>
      </x:c>
    </x:row>
    <x:row r="3394">
      <x:c r="A3394" t="n">
        <x:v>6</x:v>
      </x:c>
      <x:c r="B3394" t="str">
        <x:v>Emerald</x:v>
      </x:c>
      <x:c r="C3394" t="str">
        <x:v>D</x:v>
      </x:c>
      <x:c r="D3394" t="str">
        <x:v>FL</x:v>
      </x:c>
      <x:c r="E3394" s="36" t="n">
        <x:v>157000</x:v>
      </x:c>
      <x:c r="F3394" s="36" t="n">
        <x:v>12665</x:v>
      </x:c>
      <x:c r="G3394" s="42" t="n">
        <x:v>2.7166452166452166</x:v>
      </x:c>
      <x:c r="H3394" s="36" t="n">
        <x:f>E3394*G3394</x:f>
        <x:v>426513.299013299</x:v>
      </x:c>
      <x:c r="I3394" s="36" t="n">
        <x:f>IFERROR(H3394/A3394,0)</x:f>
        <x:v>71085.54983554983</x:v>
      </x:c>
      <x:c r="J3394" s="67" t="str">
        <x:v>Modeled from live base + Sep-2026 quality ratio</x:v>
      </x:c>
      <x:c r="K3394" s="67" t="str">
        <x:v>https://www.stonealgo.com/diamond-prices/</x:v>
      </x:c>
      <x:c r="L3394" s="67" t="str">
        <x:v>https://www.pricescope.com/blog/natural-diamond-prices-september-2026</x:v>
      </x:c>
    </x:row>
    <x:row r="3395">
      <x:c r="A3395" t="n">
        <x:v>6</x:v>
      </x:c>
      <x:c r="B3395" t="str">
        <x:v>Emerald</x:v>
      </x:c>
      <x:c r="C3395" t="str">
        <x:v>D</x:v>
      </x:c>
      <x:c r="D3395" t="str">
        <x:v>IF</x:v>
      </x:c>
      <x:c r="E3395" s="36" t="n">
        <x:v>157000</x:v>
      </x:c>
      <x:c r="F3395" s="36" t="n">
        <x:v>13240</x:v>
      </x:c>
      <x:c r="G3395" s="42" t="n">
        <x:v>2.83998283998284</x:v>
      </x:c>
      <x:c r="H3395" s="36" t="n">
        <x:f>E3395*G3395</x:f>
        <x:v>445877.3058773059</x:v>
      </x:c>
      <x:c r="I3395" s="36" t="n">
        <x:f>IFERROR(H3395/A3395,0)</x:f>
        <x:v>74312.88431288431</x:v>
      </x:c>
      <x:c r="J3395" s="67" t="str">
        <x:v>Modeled from live base + Sep-2026 quality ratio</x:v>
      </x:c>
      <x:c r="K3395" s="67" t="str">
        <x:v>https://www.stonealgo.com/diamond-prices/</x:v>
      </x:c>
      <x:c r="L3395" s="67" t="str">
        <x:v>https://www.pricescope.com/blog/natural-diamond-prices-september-2026</x:v>
      </x:c>
    </x:row>
    <x:row r="3396">
      <x:c r="A3396" t="n">
        <x:v>6</x:v>
      </x:c>
      <x:c r="B3396" t="str">
        <x:v>Emerald</x:v>
      </x:c>
      <x:c r="C3396" t="str">
        <x:v>D</x:v>
      </x:c>
      <x:c r="D3396" t="str">
        <x:v>VVS1</x:v>
      </x:c>
      <x:c r="E3396" s="36" t="n">
        <x:v>157000</x:v>
      </x:c>
      <x:c r="F3396" s="36" t="n">
        <x:v>9555</x:v>
      </x:c>
      <x:c r="G3396" s="42" t="n">
        <x:v>2.0495495495495497</x:v>
      </x:c>
      <x:c r="H3396" s="36" t="n">
        <x:f>E3396*G3396</x:f>
        <x:v>321779.2792792793</x:v>
      </x:c>
      <x:c r="I3396" s="36" t="n">
        <x:f>IFERROR(H3396/A3396,0)</x:f>
        <x:v>53629.87987987988</x:v>
      </x:c>
      <x:c r="J3396" s="67" t="str">
        <x:v>Modeled from live base + Sep-2026 quality ratio</x:v>
      </x:c>
      <x:c r="K3396" s="67" t="str">
        <x:v>https://www.stonealgo.com/diamond-prices/</x:v>
      </x:c>
      <x:c r="L3396" s="67" t="str">
        <x:v>https://www.pricescope.com/blog/natural-diamond-prices-september-2026</x:v>
      </x:c>
    </x:row>
    <x:row r="3397">
      <x:c r="A3397" t="n">
        <x:v>6</x:v>
      </x:c>
      <x:c r="B3397" t="str">
        <x:v>Emerald</x:v>
      </x:c>
      <x:c r="C3397" t="str">
        <x:v>D</x:v>
      </x:c>
      <x:c r="D3397" t="str">
        <x:v>VVS2</x:v>
      </x:c>
      <x:c r="E3397" s="36" t="n">
        <x:v>157000</x:v>
      </x:c>
      <x:c r="F3397" s="36" t="n">
        <x:v>6660</x:v>
      </x:c>
      <x:c r="G3397" s="42" t="n">
        <x:v>1.4285714285714286</x:v>
      </x:c>
      <x:c r="H3397" s="36" t="n">
        <x:f>E3397*G3397</x:f>
        <x:v>224285.7142857143</x:v>
      </x:c>
      <x:c r="I3397" s="36" t="n">
        <x:f>IFERROR(H3397/A3397,0)</x:f>
        <x:v>37380.95238095238</x:v>
      </x:c>
      <x:c r="J3397" s="67" t="str">
        <x:v>Modeled from live base + Sep-2026 quality ratio</x:v>
      </x:c>
      <x:c r="K3397" s="67" t="str">
        <x:v>https://www.stonealgo.com/diamond-prices/</x:v>
      </x:c>
      <x:c r="L3397" s="67" t="str">
        <x:v>https://www.pricescope.com/blog/natural-diamond-prices-september-2026</x:v>
      </x:c>
    </x:row>
    <x:row r="3398">
      <x:c r="A3398" t="n">
        <x:v>6</x:v>
      </x:c>
      <x:c r="B3398" t="str">
        <x:v>Emerald</x:v>
      </x:c>
      <x:c r="C3398" t="str">
        <x:v>D</x:v>
      </x:c>
      <x:c r="D3398" t="str">
        <x:v>VS1</x:v>
      </x:c>
      <x:c r="E3398" s="36" t="n">
        <x:v>157000</x:v>
      </x:c>
      <x:c r="F3398" s="36" t="n">
        <x:v>6247</x:v>
      </x:c>
      <x:c r="G3398" s="42" t="n">
        <x:v>1.33998283998284</x:v>
      </x:c>
      <x:c r="H3398" s="36" t="n">
        <x:f>E3398*G3398</x:f>
        <x:v>210377.3058773059</x:v>
      </x:c>
      <x:c r="I3398" s="36" t="n">
        <x:f>IFERROR(H3398/A3398,0)</x:f>
        <x:v>35062.884312884315</x:v>
      </x:c>
      <x:c r="J3398" s="67" t="str">
        <x:v>Modeled from live base + Sep-2026 quality ratio</x:v>
      </x:c>
      <x:c r="K3398" s="67" t="str">
        <x:v>https://www.stonealgo.com/diamond-prices/</x:v>
      </x:c>
      <x:c r="L3398" s="67" t="str">
        <x:v>https://www.pricescope.com/blog/natural-diamond-prices-september-2026</x:v>
      </x:c>
    </x:row>
    <x:row r="3399">
      <x:c r="A3399" t="n">
        <x:v>6</x:v>
      </x:c>
      <x:c r="B3399" t="str">
        <x:v>Emerald</x:v>
      </x:c>
      <x:c r="C3399" t="str">
        <x:v>D</x:v>
      </x:c>
      <x:c r="D3399" t="str">
        <x:v>VS2</x:v>
      </x:c>
      <x:c r="E3399" s="36" t="n">
        <x:v>157000</x:v>
      </x:c>
      <x:c r="F3399" s="36" t="n">
        <x:v>5841</x:v>
      </x:c>
      <x:c r="G3399" s="42" t="n">
        <x:v>1.252895752895753</x:v>
      </x:c>
      <x:c r="H3399" s="36" t="n">
        <x:f>E3399*G3399</x:f>
        <x:v>196704.63320463322</x:v>
      </x:c>
      <x:c r="I3399" s="36" t="n">
        <x:f>IFERROR(H3399/A3399,0)</x:f>
        <x:v>32784.10553410554</x:v>
      </x:c>
      <x:c r="J3399" s="67" t="str">
        <x:v>Modeled from live base + Sep-2026 quality ratio</x:v>
      </x:c>
      <x:c r="K3399" s="67" t="str">
        <x:v>https://www.stonealgo.com/diamond-prices/</x:v>
      </x:c>
      <x:c r="L3399" s="67" t="str">
        <x:v>https://www.pricescope.com/blog/natural-diamond-prices-september-2026</x:v>
      </x:c>
    </x:row>
    <x:row r="3400">
      <x:c r="A3400" t="n">
        <x:v>6</x:v>
      </x:c>
      <x:c r="B3400" t="str">
        <x:v>Emerald</x:v>
      </x:c>
      <x:c r="C3400" t="str">
        <x:v>D</x:v>
      </x:c>
      <x:c r="D3400" t="str">
        <x:v>SI1</x:v>
      </x:c>
      <x:c r="E3400" s="36" t="n">
        <x:v>157000</x:v>
      </x:c>
      <x:c r="F3400" s="36" t="n">
        <x:v>3762</x:v>
      </x:c>
      <x:c r="G3400" s="42" t="n">
        <x:v>0.806949806949807</x:v>
      </x:c>
      <x:c r="H3400" s="36" t="n">
        <x:f>E3400*G3400</x:f>
        <x:v>126691.1196911197</x:v>
      </x:c>
      <x:c r="I3400" s="36" t="n">
        <x:f>IFERROR(H3400/A3400,0)</x:f>
        <x:v>21115.186615186616</x:v>
      </x:c>
      <x:c r="J3400" s="67" t="str">
        <x:v>Modeled from live base + Sep-2026 quality ratio</x:v>
      </x:c>
      <x:c r="K3400" s="67" t="str">
        <x:v>https://www.stonealgo.com/diamond-prices/</x:v>
      </x:c>
      <x:c r="L3400" s="67" t="str">
        <x:v>https://www.pricescope.com/blog/natural-diamond-prices-september-2026</x:v>
      </x:c>
    </x:row>
    <x:row r="3401">
      <x:c r="A3401" t="n">
        <x:v>6</x:v>
      </x:c>
      <x:c r="B3401" t="str">
        <x:v>Emerald</x:v>
      </x:c>
      <x:c r="C3401" t="str">
        <x:v>D</x:v>
      </x:c>
      <x:c r="D3401" t="str">
        <x:v>SI2</x:v>
      </x:c>
      <x:c r="E3401" s="36" t="n">
        <x:v>157000</x:v>
      </x:c>
      <x:c r="F3401" s="36" t="n">
        <x:v>3026</x:v>
      </x:c>
      <x:c r="G3401" s="42" t="n">
        <x:v>0.6490776490776491</x:v>
      </x:c>
      <x:c r="H3401" s="36" t="n">
        <x:f>E3401*G3401</x:f>
        <x:v>101905.1909051909</x:v>
      </x:c>
      <x:c r="I3401" s="36" t="n">
        <x:f>IFERROR(H3401/A3401,0)</x:f>
        <x:v>16984.198484198485</x:v>
      </x:c>
      <x:c r="J3401" s="67" t="str">
        <x:v>Modeled from live base + Sep-2026 quality ratio</x:v>
      </x:c>
      <x:c r="K3401" s="67" t="str">
        <x:v>https://www.stonealgo.com/diamond-prices/</x:v>
      </x:c>
      <x:c r="L3401" s="67" t="str">
        <x:v>https://www.pricescope.com/blog/natural-diamond-prices-september-2026</x:v>
      </x:c>
    </x:row>
    <x:row r="3402">
      <x:c r="A3402" t="n">
        <x:v>6</x:v>
      </x:c>
      <x:c r="B3402" t="str">
        <x:v>Emerald</x:v>
      </x:c>
      <x:c r="C3402" t="str">
        <x:v>E</x:v>
      </x:c>
      <x:c r="D3402" t="str">
        <x:v>FL</x:v>
      </x:c>
      <x:c r="E3402" s="36" t="n">
        <x:v>157000</x:v>
      </x:c>
      <x:c r="F3402" s="36" t="n">
        <x:v>10072</x:v>
      </x:c>
      <x:c r="G3402" s="42" t="n">
        <x:v>2.1604461604461602</x:v>
      </x:c>
      <x:c r="H3402" s="36" t="n">
        <x:f>E3402*G3402</x:f>
        <x:v>339190.04719004716</x:v>
      </x:c>
      <x:c r="I3402" s="36" t="n">
        <x:f>IFERROR(H3402/A3402,0)</x:f>
        <x:v>56531.67453167453</x:v>
      </x:c>
      <x:c r="J3402" s="67" t="str">
        <x:v>Modeled from live base + Sep-2026 quality ratio</x:v>
      </x:c>
      <x:c r="K3402" s="67" t="str">
        <x:v>https://www.stonealgo.com/diamond-prices/</x:v>
      </x:c>
      <x:c r="L3402" s="67" t="str">
        <x:v>https://www.pricescope.com/blog/natural-diamond-prices-september-2026</x:v>
      </x:c>
    </x:row>
    <x:row r="3403">
      <x:c r="A3403" t="n">
        <x:v>6</x:v>
      </x:c>
      <x:c r="B3403" t="str">
        <x:v>Emerald</x:v>
      </x:c>
      <x:c r="C3403" t="str">
        <x:v>E</x:v>
      </x:c>
      <x:c r="D3403" t="str">
        <x:v>IF</x:v>
      </x:c>
      <x:c r="E3403" s="36" t="n">
        <x:v>157000</x:v>
      </x:c>
      <x:c r="F3403" s="36" t="n">
        <x:v>8672</x:v>
      </x:c>
      <x:c r="G3403" s="42" t="n">
        <x:v>1.8601458601458603</x:v>
      </x:c>
      <x:c r="H3403" s="36" t="n">
        <x:f>E3403*G3403</x:f>
        <x:v>292042.90004290006</x:v>
      </x:c>
      <x:c r="I3403" s="36" t="n">
        <x:f>IFERROR(H3403/A3403,0)</x:f>
        <x:v>48673.81667381668</x:v>
      </x:c>
      <x:c r="J3403" s="67" t="str">
        <x:v>Modeled from live base + Sep-2026 quality ratio</x:v>
      </x:c>
      <x:c r="K3403" s="67" t="str">
        <x:v>https://www.stonealgo.com/diamond-prices/</x:v>
      </x:c>
      <x:c r="L3403" s="67" t="str">
        <x:v>https://www.pricescope.com/blog/natural-diamond-prices-september-2026</x:v>
      </x:c>
    </x:row>
    <x:row r="3404">
      <x:c r="A3404" t="n">
        <x:v>6</x:v>
      </x:c>
      <x:c r="B3404" t="str">
        <x:v>Emerald</x:v>
      </x:c>
      <x:c r="C3404" t="str">
        <x:v>E</x:v>
      </x:c>
      <x:c r="D3404" t="str">
        <x:v>VVS1</x:v>
      </x:c>
      <x:c r="E3404" s="36" t="n">
        <x:v>157000</x:v>
      </x:c>
      <x:c r="F3404" s="36" t="n">
        <x:v>7842</x:v>
      </x:c>
      <x:c r="G3404" s="42" t="n">
        <x:v>1.6821106821106822</x:v>
      </x:c>
      <x:c r="H3404" s="36" t="n">
        <x:f>E3404*G3404</x:f>
        <x:v>264091.3770913771</x:v>
      </x:c>
      <x:c r="I3404" s="36" t="n">
        <x:f>IFERROR(H3404/A3404,0)</x:f>
        <x:v>44015.22951522952</x:v>
      </x:c>
      <x:c r="J3404" s="67" t="str">
        <x:v>Modeled from live base + Sep-2026 quality ratio</x:v>
      </x:c>
      <x:c r="K3404" s="67" t="str">
        <x:v>https://www.stonealgo.com/diamond-prices/</x:v>
      </x:c>
      <x:c r="L3404" s="67" t="str">
        <x:v>https://www.pricescope.com/blog/natural-diamond-prices-september-2026</x:v>
      </x:c>
    </x:row>
    <x:row r="3405">
      <x:c r="A3405" t="n">
        <x:v>6</x:v>
      </x:c>
      <x:c r="B3405" t="str">
        <x:v>Emerald</x:v>
      </x:c>
      <x:c r="C3405" t="str">
        <x:v>E</x:v>
      </x:c>
      <x:c r="D3405" t="str">
        <x:v>VVS2</x:v>
      </x:c>
      <x:c r="E3405" s="36" t="n">
        <x:v>157000</x:v>
      </x:c>
      <x:c r="F3405" s="36" t="n">
        <x:v>6880</x:v>
      </x:c>
      <x:c r="G3405" s="42" t="n">
        <x:v>1.4757614757614759</x:v>
      </x:c>
      <x:c r="H3405" s="36" t="n">
        <x:f>E3405*G3405</x:f>
        <x:v>231694.55169455172</x:v>
      </x:c>
      <x:c r="I3405" s="36" t="n">
        <x:f>IFERROR(H3405/A3405,0)</x:f>
        <x:v>38615.75861575862</x:v>
      </x:c>
      <x:c r="J3405" s="67" t="str">
        <x:v>Modeled from live base + Sep-2026 quality ratio</x:v>
      </x:c>
      <x:c r="K3405" s="67" t="str">
        <x:v>https://www.stonealgo.com/diamond-prices/</x:v>
      </x:c>
      <x:c r="L3405" s="67" t="str">
        <x:v>https://www.pricescope.com/blog/natural-diamond-prices-september-2026</x:v>
      </x:c>
    </x:row>
    <x:row r="3406">
      <x:c r="A3406" t="n">
        <x:v>6</x:v>
      </x:c>
      <x:c r="B3406" t="str">
        <x:v>Emerald</x:v>
      </x:c>
      <x:c r="C3406" t="str">
        <x:v>E</x:v>
      </x:c>
      <x:c r="D3406" t="str">
        <x:v>VS1</x:v>
      </x:c>
      <x:c r="E3406" s="36" t="n">
        <x:v>157000</x:v>
      </x:c>
      <x:c r="F3406" s="36" t="n">
        <x:v>6307</x:v>
      </x:c>
      <x:c r="G3406" s="42" t="n">
        <x:v>1.352852852852853</x:v>
      </x:c>
      <x:c r="H3406" s="36" t="n">
        <x:f>E3406*G3406</x:f>
        <x:v>212397.8978978979</x:v>
      </x:c>
      <x:c r="I3406" s="36" t="n">
        <x:f>IFERROR(H3406/A3406,0)</x:f>
        <x:v>35399.64964964965</x:v>
      </x:c>
      <x:c r="J3406" s="67" t="str">
        <x:v>Modeled from live base + Sep-2026 quality ratio</x:v>
      </x:c>
      <x:c r="K3406" s="67" t="str">
        <x:v>https://www.stonealgo.com/diamond-prices/</x:v>
      </x:c>
      <x:c r="L3406" s="67" t="str">
        <x:v>https://www.pricescope.com/blog/natural-diamond-prices-september-2026</x:v>
      </x:c>
    </x:row>
    <x:row r="3407">
      <x:c r="A3407" t="n">
        <x:v>6</x:v>
      </x:c>
      <x:c r="B3407" t="str">
        <x:v>Emerald</x:v>
      </x:c>
      <x:c r="C3407" t="str">
        <x:v>E</x:v>
      </x:c>
      <x:c r="D3407" t="str">
        <x:v>VS2</x:v>
      </x:c>
      <x:c r="E3407" s="36" t="n">
        <x:v>157000</x:v>
      </x:c>
      <x:c r="F3407" s="36" t="n">
        <x:v>5249</x:v>
      </x:c>
      <x:c r="G3407" s="42" t="n">
        <x:v>1.125911625911626</x:v>
      </x:c>
      <x:c r="H3407" s="36" t="n">
        <x:f>E3407*G3407</x:f>
        <x:v>176768.12526812527</x:v>
      </x:c>
      <x:c r="I3407" s="36" t="n">
        <x:f>IFERROR(H3407/A3407,0)</x:f>
        <x:v>29461.35421135421</x:v>
      </x:c>
      <x:c r="J3407" s="67" t="str">
        <x:v>Modeled from live base + Sep-2026 quality ratio</x:v>
      </x:c>
      <x:c r="K3407" s="67" t="str">
        <x:v>https://www.stonealgo.com/diamond-prices/</x:v>
      </x:c>
      <x:c r="L3407" s="67" t="str">
        <x:v>https://www.pricescope.com/blog/natural-diamond-prices-september-2026</x:v>
      </x:c>
    </x:row>
    <x:row r="3408">
      <x:c r="A3408" t="n">
        <x:v>6</x:v>
      </x:c>
      <x:c r="B3408" t="str">
        <x:v>Emerald</x:v>
      </x:c>
      <x:c r="C3408" t="str">
        <x:v>E</x:v>
      </x:c>
      <x:c r="D3408" t="str">
        <x:v>SI1</x:v>
      </x:c>
      <x:c r="E3408" s="36" t="n">
        <x:v>157000</x:v>
      </x:c>
      <x:c r="F3408" s="36" t="n">
        <x:v>3551</x:v>
      </x:c>
      <x:c r="G3408" s="42" t="n">
        <x:v>0.7616902616902617</x:v>
      </x:c>
      <x:c r="H3408" s="36" t="n">
        <x:f>E3408*G3408</x:f>
        <x:v>119585.37108537108</x:v>
      </x:c>
      <x:c r="I3408" s="36" t="n">
        <x:f>IFERROR(H3408/A3408,0)</x:f>
        <x:v>19930.89518089518</x:v>
      </x:c>
      <x:c r="J3408" s="67" t="str">
        <x:v>Modeled from live base + Sep-2026 quality ratio</x:v>
      </x:c>
      <x:c r="K3408" s="67" t="str">
        <x:v>https://www.stonealgo.com/diamond-prices/</x:v>
      </x:c>
      <x:c r="L3408" s="67" t="str">
        <x:v>https://www.pricescope.com/blog/natural-diamond-prices-september-2026</x:v>
      </x:c>
    </x:row>
    <x:row r="3409">
      <x:c r="A3409" t="n">
        <x:v>6</x:v>
      </x:c>
      <x:c r="B3409" t="str">
        <x:v>Emerald</x:v>
      </x:c>
      <x:c r="C3409" t="str">
        <x:v>E</x:v>
      </x:c>
      <x:c r="D3409" t="str">
        <x:v>SI2</x:v>
      </x:c>
      <x:c r="E3409" s="36" t="n">
        <x:v>157000</x:v>
      </x:c>
      <x:c r="F3409" s="36" t="n">
        <x:v>2993</x:v>
      </x:c>
      <x:c r="G3409" s="42" t="n">
        <x:v>0.641999141999142</x:v>
      </x:c>
      <x:c r="H3409" s="36" t="n">
        <x:f>E3409*G3409</x:f>
        <x:v>100793.8652938653</x:v>
      </x:c>
      <x:c r="I3409" s="36" t="n">
        <x:f>IFERROR(H3409/A3409,0)</x:f>
        <x:v>16798.97754897755</x:v>
      </x:c>
      <x:c r="J3409" s="67" t="str">
        <x:v>Modeled from live base + Sep-2026 quality ratio</x:v>
      </x:c>
      <x:c r="K3409" s="67" t="str">
        <x:v>https://www.stonealgo.com/diamond-prices/</x:v>
      </x:c>
      <x:c r="L3409" s="67" t="str">
        <x:v>https://www.pricescope.com/blog/natural-diamond-prices-september-2026</x:v>
      </x:c>
    </x:row>
    <x:row r="3410">
      <x:c r="A3410" t="n">
        <x:v>6</x:v>
      </x:c>
      <x:c r="B3410" t="str">
        <x:v>Emerald</x:v>
      </x:c>
      <x:c r="C3410" t="str">
        <x:v>F</x:v>
      </x:c>
      <x:c r="D3410" t="str">
        <x:v>FL</x:v>
      </x:c>
      <x:c r="E3410" s="36" t="n">
        <x:v>157000</x:v>
      </x:c>
      <x:c r="F3410" s="36" t="n">
        <x:v>6830</x:v>
      </x:c>
      <x:c r="G3410" s="42" t="n">
        <x:v>1.4650364650364651</x:v>
      </x:c>
      <x:c r="H3410" s="36" t="n">
        <x:f>E3410*G3410</x:f>
        <x:v>230010.72501072503</x:v>
      </x:c>
      <x:c r="I3410" s="36" t="n">
        <x:f>IFERROR(H3410/A3410,0)</x:f>
        <x:v>38335.12083512084</x:v>
      </x:c>
      <x:c r="J3410" s="67" t="str">
        <x:v>Modeled from live base + Sep-2026 quality ratio</x:v>
      </x:c>
      <x:c r="K3410" s="67" t="str">
        <x:v>https://www.stonealgo.com/diamond-prices/</x:v>
      </x:c>
      <x:c r="L3410" s="67" t="str">
        <x:v>https://www.pricescope.com/blog/natural-diamond-prices-september-2026</x:v>
      </x:c>
    </x:row>
    <x:row r="3411">
      <x:c r="A3411" t="n">
        <x:v>6</x:v>
      </x:c>
      <x:c r="B3411" t="str">
        <x:v>Emerald</x:v>
      </x:c>
      <x:c r="C3411" t="str">
        <x:v>F</x:v>
      </x:c>
      <x:c r="D3411" t="str">
        <x:v>IF</x:v>
      </x:c>
      <x:c r="E3411" s="36" t="n">
        <x:v>157000</x:v>
      </x:c>
      <x:c r="F3411" s="36" t="n">
        <x:v>7302</x:v>
      </x:c>
      <x:c r="G3411" s="42" t="n">
        <x:v>1.5662805662805663</x:v>
      </x:c>
      <x:c r="H3411" s="36" t="n">
        <x:f>E3411*G3411</x:f>
        <x:v>245906.0489060489</x:v>
      </x:c>
      <x:c r="I3411" s="36" t="n">
        <x:f>IFERROR(H3411/A3411,0)</x:f>
        <x:v>40984.34148434149</x:v>
      </x:c>
      <x:c r="J3411" s="67" t="str">
        <x:v>Modeled from live base + Sep-2026 quality ratio</x:v>
      </x:c>
      <x:c r="K3411" s="67" t="str">
        <x:v>https://www.stonealgo.com/diamond-prices/</x:v>
      </x:c>
      <x:c r="L3411" s="67" t="str">
        <x:v>https://www.pricescope.com/blog/natural-diamond-prices-september-2026</x:v>
      </x:c>
    </x:row>
    <x:row r="3412">
      <x:c r="A3412" t="n">
        <x:v>6</x:v>
      </x:c>
      <x:c r="B3412" t="str">
        <x:v>Emerald</x:v>
      </x:c>
      <x:c r="C3412" t="str">
        <x:v>F</x:v>
      </x:c>
      <x:c r="D3412" t="str">
        <x:v>VVS1</x:v>
      </x:c>
      <x:c r="E3412" s="36" t="n">
        <x:v>157000</x:v>
      </x:c>
      <x:c r="F3412" s="36" t="n">
        <x:v>7542</x:v>
      </x:c>
      <x:c r="G3412" s="42" t="n">
        <x:v>1.6177606177606179</x:v>
      </x:c>
      <x:c r="H3412" s="36" t="n">
        <x:f>E3412*G3412</x:f>
        <x:v>253988.416988417</x:v>
      </x:c>
      <x:c r="I3412" s="36" t="n">
        <x:f>IFERROR(H3412/A3412,0)</x:f>
        <x:v>42331.40283140283</x:v>
      </x:c>
      <x:c r="J3412" s="67" t="str">
        <x:v>Modeled from live base + Sep-2026 quality ratio</x:v>
      </x:c>
      <x:c r="K3412" s="67" t="str">
        <x:v>https://www.stonealgo.com/diamond-prices/</x:v>
      </x:c>
      <x:c r="L3412" s="67" t="str">
        <x:v>https://www.pricescope.com/blog/natural-diamond-prices-september-2026</x:v>
      </x:c>
    </x:row>
    <x:row r="3413">
      <x:c r="A3413" t="n">
        <x:v>6</x:v>
      </x:c>
      <x:c r="B3413" t="str">
        <x:v>Emerald</x:v>
      </x:c>
      <x:c r="C3413" t="str">
        <x:v>F</x:v>
      </x:c>
      <x:c r="D3413" t="str">
        <x:v>VVS2</x:v>
      </x:c>
      <x:c r="E3413" s="36" t="n">
        <x:v>157000</x:v>
      </x:c>
      <x:c r="F3413" s="36" t="n">
        <x:v>6352</x:v>
      </x:c>
      <x:c r="G3413" s="42" t="n">
        <x:v>1.3625053625053625</x:v>
      </x:c>
      <x:c r="H3413" s="36" t="n">
        <x:f>E3413*G3413</x:f>
        <x:v>213913.3419133419</x:v>
      </x:c>
      <x:c r="I3413" s="36" t="n">
        <x:f>IFERROR(H3413/A3413,0)</x:f>
        <x:v>35652.22365222365</x:v>
      </x:c>
      <x:c r="J3413" s="67" t="str">
        <x:v>Modeled from live base + Sep-2026 quality ratio</x:v>
      </x:c>
      <x:c r="K3413" s="67" t="str">
        <x:v>https://www.stonealgo.com/diamond-prices/</x:v>
      </x:c>
      <x:c r="L3413" s="67" t="str">
        <x:v>https://www.pricescope.com/blog/natural-diamond-prices-september-2026</x:v>
      </x:c>
    </x:row>
    <x:row r="3414">
      <x:c r="A3414" t="n">
        <x:v>6</x:v>
      </x:c>
      <x:c r="B3414" t="str">
        <x:v>Emerald</x:v>
      </x:c>
      <x:c r="C3414" t="str">
        <x:v>F</x:v>
      </x:c>
      <x:c r="D3414" t="str">
        <x:v>VS1</x:v>
      </x:c>
      <x:c r="E3414" s="36" t="n">
        <x:v>157000</x:v>
      </x:c>
      <x:c r="F3414" s="36" t="n">
        <x:v>5647</x:v>
      </x:c>
      <x:c r="G3414" s="42" t="n">
        <x:v>1.2112827112827114</x:v>
      </x:c>
      <x:c r="H3414" s="36" t="n">
        <x:f>E3414*G3414</x:f>
        <x:v>190171.38567138568</x:v>
      </x:c>
      <x:c r="I3414" s="36" t="n">
        <x:f>IFERROR(H3414/A3414,0)</x:f>
        <x:v>31695.230945230946</x:v>
      </x:c>
      <x:c r="J3414" s="67" t="str">
        <x:v>Modeled from live base + Sep-2026 quality ratio</x:v>
      </x:c>
      <x:c r="K3414" s="67" t="str">
        <x:v>https://www.stonealgo.com/diamond-prices/</x:v>
      </x:c>
      <x:c r="L3414" s="67" t="str">
        <x:v>https://www.pricescope.com/blog/natural-diamond-prices-september-2026</x:v>
      </x:c>
    </x:row>
    <x:row r="3415">
      <x:c r="A3415" t="n">
        <x:v>6</x:v>
      </x:c>
      <x:c r="B3415" t="str">
        <x:v>Emerald</x:v>
      </x:c>
      <x:c r="C3415" t="str">
        <x:v>F</x:v>
      </x:c>
      <x:c r="D3415" t="str">
        <x:v>VS2</x:v>
      </x:c>
      <x:c r="E3415" s="36" t="n">
        <x:v>157000</x:v>
      </x:c>
      <x:c r="F3415" s="36" t="n">
        <x:v>4730</x:v>
      </x:c>
      <x:c r="G3415" s="42" t="n">
        <x:v>1.0145860145860146</x:v>
      </x:c>
      <x:c r="H3415" s="36" t="n">
        <x:f>E3415*G3415</x:f>
        <x:v>159290.0042900043</x:v>
      </x:c>
      <x:c r="I3415" s="36" t="n">
        <x:f>IFERROR(H3415/A3415,0)</x:f>
        <x:v>26548.334048334047</x:v>
      </x:c>
      <x:c r="J3415" s="67" t="str">
        <x:v>Modeled from live base + Sep-2026 quality ratio</x:v>
      </x:c>
      <x:c r="K3415" s="67" t="str">
        <x:v>https://www.stonealgo.com/diamond-prices/</x:v>
      </x:c>
      <x:c r="L3415" s="67" t="str">
        <x:v>https://www.pricescope.com/blog/natural-diamond-prices-september-2026</x:v>
      </x:c>
    </x:row>
    <x:row r="3416">
      <x:c r="A3416" t="n">
        <x:v>6</x:v>
      </x:c>
      <x:c r="B3416" t="str">
        <x:v>Emerald</x:v>
      </x:c>
      <x:c r="C3416" t="str">
        <x:v>F</x:v>
      </x:c>
      <x:c r="D3416" t="str">
        <x:v>SI1</x:v>
      </x:c>
      <x:c r="E3416" s="36" t="n">
        <x:v>157000</x:v>
      </x:c>
      <x:c r="F3416" s="36" t="n">
        <x:v>3331</x:v>
      </x:c>
      <x:c r="G3416" s="42" t="n">
        <x:v>0.7145002145002145</x:v>
      </x:c>
      <x:c r="H3416" s="36" t="n">
        <x:f>E3416*G3416</x:f>
        <x:v>112176.53367653368</x:v>
      </x:c>
      <x:c r="I3416" s="36" t="n">
        <x:f>IFERROR(H3416/A3416,0)</x:f>
        <x:v>18696.08894608895</x:v>
      </x:c>
      <x:c r="J3416" s="67" t="str">
        <x:v>Modeled from live base + Sep-2026 quality ratio</x:v>
      </x:c>
      <x:c r="K3416" s="67" t="str">
        <x:v>https://www.stonealgo.com/diamond-prices/</x:v>
      </x:c>
      <x:c r="L3416" s="67" t="str">
        <x:v>https://www.pricescope.com/blog/natural-diamond-prices-september-2026</x:v>
      </x:c>
    </x:row>
    <x:row r="3417">
      <x:c r="A3417" t="n">
        <x:v>6</x:v>
      </x:c>
      <x:c r="B3417" t="str">
        <x:v>Emerald</x:v>
      </x:c>
      <x:c r="C3417" t="str">
        <x:v>F</x:v>
      </x:c>
      <x:c r="D3417" t="str">
        <x:v>SI2</x:v>
      </x:c>
      <x:c r="E3417" s="36" t="n">
        <x:v>157000</x:v>
      </x:c>
      <x:c r="F3417" s="36" t="n">
        <x:v>2733</x:v>
      </x:c>
      <x:c r="G3417" s="42" t="n">
        <x:v>0.5862290862290862</x:v>
      </x:c>
      <x:c r="H3417" s="36" t="n">
        <x:f>E3417*G3417</x:f>
        <x:v>92037.96653796654</x:v>
      </x:c>
      <x:c r="I3417" s="36" t="n">
        <x:f>IFERROR(H3417/A3417,0)</x:f>
        <x:v>15339.66108966109</x:v>
      </x:c>
      <x:c r="J3417" s="67" t="str">
        <x:v>Modeled from live base + Sep-2026 quality ratio</x:v>
      </x:c>
      <x:c r="K3417" s="67" t="str">
        <x:v>https://www.stonealgo.com/diamond-prices/</x:v>
      </x:c>
      <x:c r="L3417" s="67" t="str">
        <x:v>https://www.pricescope.com/blog/natural-diamond-prices-september-2026</x:v>
      </x:c>
    </x:row>
    <x:row r="3418">
      <x:c r="A3418" t="n">
        <x:v>6</x:v>
      </x:c>
      <x:c r="B3418" t="str">
        <x:v>Emerald</x:v>
      </x:c>
      <x:c r="C3418" t="str">
        <x:v>G</x:v>
      </x:c>
      <x:c r="D3418" t="str">
        <x:v>FL</x:v>
      </x:c>
      <x:c r="E3418" s="36" t="n">
        <x:v>157000</x:v>
      </x:c>
      <x:c r="F3418" s="36" t="n">
        <x:v>5905</x:v>
      </x:c>
      <x:c r="G3418" s="42" t="n">
        <x:v>1.2666237666237665</x:v>
      </x:c>
      <x:c r="H3418" s="36" t="n">
        <x:f>E3418*G3418</x:f>
        <x:v>198859.93135993133</x:v>
      </x:c>
      <x:c r="I3418" s="36" t="n">
        <x:f>IFERROR(H3418/A3418,0)</x:f>
        <x:v>33143.32189332189</x:v>
      </x:c>
      <x:c r="J3418" s="67" t="str">
        <x:v>Modeled from live base + Sep-2026 quality ratio</x:v>
      </x:c>
      <x:c r="K3418" s="67" t="str">
        <x:v>https://www.stonealgo.com/diamond-prices/</x:v>
      </x:c>
      <x:c r="L3418" s="67" t="str">
        <x:v>https://www.pricescope.com/blog/natural-diamond-prices-september-2026</x:v>
      </x:c>
    </x:row>
    <x:row r="3419">
      <x:c r="A3419" t="n">
        <x:v>6</x:v>
      </x:c>
      <x:c r="B3419" t="str">
        <x:v>Emerald</x:v>
      </x:c>
      <x:c r="C3419" t="str">
        <x:v>G</x:v>
      </x:c>
      <x:c r="D3419" t="str">
        <x:v>IF</x:v>
      </x:c>
      <x:c r="E3419" s="36" t="n">
        <x:v>157000</x:v>
      </x:c>
      <x:c r="F3419" s="36" t="n">
        <x:v>5601</x:v>
      </x:c>
      <x:c r="G3419" s="42" t="n">
        <x:v>1.2014157014157014</x:v>
      </x:c>
      <x:c r="H3419" s="36" t="n">
        <x:f>E3419*G3419</x:f>
        <x:v>188622.26512226512</x:v>
      </x:c>
      <x:c r="I3419" s="36" t="n">
        <x:f>IFERROR(H3419/A3419,0)</x:f>
        <x:v>31437.044187044186</x:v>
      </x:c>
      <x:c r="J3419" s="67" t="str">
        <x:v>Modeled from live base + Sep-2026 quality ratio</x:v>
      </x:c>
      <x:c r="K3419" s="67" t="str">
        <x:v>https://www.stonealgo.com/diamond-prices/</x:v>
      </x:c>
      <x:c r="L3419" s="67" t="str">
        <x:v>https://www.pricescope.com/blog/natural-diamond-prices-september-2026</x:v>
      </x:c>
    </x:row>
    <x:row r="3420">
      <x:c r="A3420" t="n">
        <x:v>6</x:v>
      </x:c>
      <x:c r="B3420" t="str">
        <x:v>Emerald</x:v>
      </x:c>
      <x:c r="C3420" t="str">
        <x:v>G</x:v>
      </x:c>
      <x:c r="D3420" t="str">
        <x:v>VVS1</x:v>
      </x:c>
      <x:c r="E3420" s="36" t="n">
        <x:v>157000</x:v>
      </x:c>
      <x:c r="F3420" s="36" t="n">
        <x:v>5124</x:v>
      </x:c>
      <x:c r="G3420" s="42" t="n">
        <x:v>1.0990990990990992</x:v>
      </x:c>
      <x:c r="H3420" s="36" t="n">
        <x:f>E3420*G3420</x:f>
        <x:v>172558.55855855858</x:v>
      </x:c>
      <x:c r="I3420" s="36" t="n">
        <x:f>IFERROR(H3420/A3420,0)</x:f>
        <x:v>28759.759759759763</x:v>
      </x:c>
      <x:c r="J3420" s="67" t="str">
        <x:v>Modeled from live base + Sep-2026 quality ratio</x:v>
      </x:c>
      <x:c r="K3420" s="67" t="str">
        <x:v>https://www.stonealgo.com/diamond-prices/</x:v>
      </x:c>
      <x:c r="L3420" s="67" t="str">
        <x:v>https://www.pricescope.com/blog/natural-diamond-prices-september-2026</x:v>
      </x:c>
    </x:row>
    <x:row r="3421">
      <x:c r="A3421" t="n">
        <x:v>6</x:v>
      </x:c>
      <x:c r="B3421" t="str">
        <x:v>Emerald</x:v>
      </x:c>
      <x:c r="C3421" t="str">
        <x:v>G</x:v>
      </x:c>
      <x:c r="D3421" t="str">
        <x:v>VVS2</x:v>
      </x:c>
      <x:c r="E3421" s="36" t="n">
        <x:v>157000</x:v>
      </x:c>
      <x:c r="F3421" s="36" t="n">
        <x:v>4962</x:v>
      </x:c>
      <x:c r="G3421" s="42" t="n">
        <x:v>1.0643500643500643</x:v>
      </x:c>
      <x:c r="H3421" s="36" t="n">
        <x:f>E3421*G3421</x:f>
        <x:v>167102.9601029601</x:v>
      </x:c>
      <x:c r="I3421" s="36" t="n">
        <x:f>IFERROR(H3421/A3421,0)</x:f>
        <x:v>27850.493350493347</x:v>
      </x:c>
      <x:c r="J3421" s="67" t="str">
        <x:v>Modeled from live base + Sep-2026 quality ratio</x:v>
      </x:c>
      <x:c r="K3421" s="67" t="str">
        <x:v>https://www.stonealgo.com/diamond-prices/</x:v>
      </x:c>
      <x:c r="L3421" s="67" t="str">
        <x:v>https://www.pricescope.com/blog/natural-diamond-prices-september-2026</x:v>
      </x:c>
    </x:row>
    <x:row r="3422">
      <x:c r="A3422" t="n">
        <x:v>6</x:v>
      </x:c>
      <x:c r="B3422" t="str">
        <x:v>Emerald</x:v>
      </x:c>
      <x:c r="C3422" t="str">
        <x:v>G</x:v>
      </x:c>
      <x:c r="D3422" t="str">
        <x:v>VS1</x:v>
      </x:c>
      <x:c r="E3422" s="36" t="n">
        <x:v>157000</x:v>
      </x:c>
      <x:c r="F3422" s="36" t="n">
        <x:v>4615</x:v>
      </x:c>
      <x:c r="G3422" s="42" t="n">
        <x:v>0.98991848991849</x:v>
      </x:c>
      <x:c r="H3422" s="36" t="n">
        <x:f>E3422*G3422</x:f>
        <x:v>155417.20291720293</x:v>
      </x:c>
      <x:c r="I3422" s="36" t="n">
        <x:f>IFERROR(H3422/A3422,0)</x:f>
        <x:v>25902.867152867155</x:v>
      </x:c>
      <x:c r="J3422" s="67" t="str">
        <x:v>Modeled from live base + Sep-2026 quality ratio</x:v>
      </x:c>
      <x:c r="K3422" s="67" t="str">
        <x:v>https://www.stonealgo.com/diamond-prices/</x:v>
      </x:c>
      <x:c r="L3422" s="67" t="str">
        <x:v>https://www.pricescope.com/blog/natural-diamond-prices-september-2026</x:v>
      </x:c>
    </x:row>
    <x:row r="3423">
      <x:c r="A3423" t="n">
        <x:v>6</x:v>
      </x:c>
      <x:c r="B3423" t="str">
        <x:v>Emerald</x:v>
      </x:c>
      <x:c r="C3423" t="str">
        <x:v>G</x:v>
      </x:c>
      <x:c r="D3423" t="str">
        <x:v>VS2</x:v>
      </x:c>
      <x:c r="E3423" s="36" t="n">
        <x:v>157000</x:v>
      </x:c>
      <x:c r="F3423" s="36" t="n">
        <x:v>4585</x:v>
      </x:c>
      <x:c r="G3423" s="42" t="n">
        <x:v>0.9834834834834835</x:v>
      </x:c>
      <x:c r="H3423" s="36" t="n">
        <x:f>E3423*G3423</x:f>
        <x:v>154406.9069069069</x:v>
      </x:c>
      <x:c r="I3423" s="36" t="n">
        <x:f>IFERROR(H3423/A3423,0)</x:f>
        <x:v>25734.48448448448</x:v>
      </x:c>
      <x:c r="J3423" s="67" t="str">
        <x:v>Modeled from live base + Sep-2026 quality ratio</x:v>
      </x:c>
      <x:c r="K3423" s="67" t="str">
        <x:v>https://www.stonealgo.com/diamond-prices/</x:v>
      </x:c>
      <x:c r="L3423" s="67" t="str">
        <x:v>https://www.pricescope.com/blog/natural-diamond-prices-september-2026</x:v>
      </x:c>
    </x:row>
    <x:row r="3424">
      <x:c r="A3424" t="n">
        <x:v>6</x:v>
      </x:c>
      <x:c r="B3424" t="str">
        <x:v>Emerald</x:v>
      </x:c>
      <x:c r="C3424" t="str">
        <x:v>G</x:v>
      </x:c>
      <x:c r="D3424" t="str">
        <x:v>SI1</x:v>
      </x:c>
      <x:c r="E3424" s="36" t="n">
        <x:v>157000</x:v>
      </x:c>
      <x:c r="F3424" s="36" t="n">
        <x:v>3664</x:v>
      </x:c>
      <x:c r="G3424" s="42" t="n">
        <x:v>0.7859287859287859</x:v>
      </x:c>
      <x:c r="H3424" s="36" t="n">
        <x:f>E3424*G3424</x:f>
        <x:v>123390.8193908194</x:v>
      </x:c>
      <x:c r="I3424" s="36" t="n">
        <x:f>IFERROR(H3424/A3424,0)</x:f>
        <x:v>20565.136565136567</x:v>
      </x:c>
      <x:c r="J3424" s="67" t="str">
        <x:v>Modeled from live base + Sep-2026 quality ratio</x:v>
      </x:c>
      <x:c r="K3424" s="67" t="str">
        <x:v>https://www.stonealgo.com/diamond-prices/</x:v>
      </x:c>
      <x:c r="L3424" s="67" t="str">
        <x:v>https://www.pricescope.com/blog/natural-diamond-prices-september-2026</x:v>
      </x:c>
    </x:row>
    <x:row r="3425">
      <x:c r="A3425" t="n">
        <x:v>6</x:v>
      </x:c>
      <x:c r="B3425" t="str">
        <x:v>Emerald</x:v>
      </x:c>
      <x:c r="C3425" t="str">
        <x:v>G</x:v>
      </x:c>
      <x:c r="D3425" t="str">
        <x:v>SI2</x:v>
      </x:c>
      <x:c r="E3425" s="36" t="n">
        <x:v>157000</x:v>
      </x:c>
      <x:c r="F3425" s="36" t="n">
        <x:v>2537</x:v>
      </x:c>
      <x:c r="G3425" s="42" t="n">
        <x:v>0.5441870441870442</x:v>
      </x:c>
      <x:c r="H3425" s="36" t="n">
        <x:f>E3425*G3425</x:f>
        <x:v>85437.36593736595</x:v>
      </x:c>
      <x:c r="I3425" s="36" t="n">
        <x:f>IFERROR(H3425/A3425,0)</x:f>
        <x:v>14239.56098956099</x:v>
      </x:c>
      <x:c r="J3425" s="67" t="str">
        <x:v>Modeled from live base + Sep-2026 quality ratio</x:v>
      </x:c>
      <x:c r="K3425" s="67" t="str">
        <x:v>https://www.stonealgo.com/diamond-prices/</x:v>
      </x:c>
      <x:c r="L3425" s="67" t="str">
        <x:v>https://www.pricescope.com/blog/natural-diamond-prices-september-2026</x:v>
      </x:c>
    </x:row>
    <x:row r="3426">
      <x:c r="A3426" t="n">
        <x:v>6</x:v>
      </x:c>
      <x:c r="B3426" t="str">
        <x:v>Emerald</x:v>
      </x:c>
      <x:c r="C3426" t="str">
        <x:v>H</x:v>
      </x:c>
      <x:c r="D3426" t="str">
        <x:v>FL</x:v>
      </x:c>
      <x:c r="E3426" s="36" t="n">
        <x:v>157000</x:v>
      </x:c>
      <x:c r="F3426" s="36" t="n">
        <x:v>4563</x:v>
      </x:c>
      <x:c r="G3426" s="42" t="n">
        <x:v>0.9787644787644788</x:v>
      </x:c>
      <x:c r="H3426" s="36" t="n">
        <x:f>E3426*G3426</x:f>
        <x:v>153666.02316602317</x:v>
      </x:c>
      <x:c r="I3426" s="36" t="n">
        <x:f>IFERROR(H3426/A3426,0)</x:f>
        <x:v>25611.00386100386</x:v>
      </x:c>
      <x:c r="J3426" s="67" t="str">
        <x:v>Modeled from live base + Sep-2026 quality ratio</x:v>
      </x:c>
      <x:c r="K3426" s="67" t="str">
        <x:v>https://www.stonealgo.com/diamond-prices/</x:v>
      </x:c>
      <x:c r="L3426" s="67" t="str">
        <x:v>https://www.pricescope.com/blog/natural-diamond-prices-september-2026</x:v>
      </x:c>
    </x:row>
    <x:row r="3427">
      <x:c r="A3427" t="n">
        <x:v>6</x:v>
      </x:c>
      <x:c r="B3427" t="str">
        <x:v>Emerald</x:v>
      </x:c>
      <x:c r="C3427" t="str">
        <x:v>H</x:v>
      </x:c>
      <x:c r="D3427" t="str">
        <x:v>IF</x:v>
      </x:c>
      <x:c r="E3427" s="36" t="n">
        <x:v>157000</x:v>
      </x:c>
      <x:c r="F3427" s="36" t="n">
        <x:v>4809</x:v>
      </x:c>
      <x:c r="G3427" s="42" t="n">
        <x:v>1.0315315315315314</x:v>
      </x:c>
      <x:c r="H3427" s="36" t="n">
        <x:f>E3427*G3427</x:f>
        <x:v>161950.45045045044</x:v>
      </x:c>
      <x:c r="I3427" s="36" t="n">
        <x:f>IFERROR(H3427/A3427,0)</x:f>
        <x:v>26991.741741741742</x:v>
      </x:c>
      <x:c r="J3427" s="67" t="str">
        <x:v>Modeled from live base + Sep-2026 quality ratio</x:v>
      </x:c>
      <x:c r="K3427" s="67" t="str">
        <x:v>https://www.stonealgo.com/diamond-prices/</x:v>
      </x:c>
      <x:c r="L3427" s="67" t="str">
        <x:v>https://www.pricescope.com/blog/natural-diamond-prices-september-2026</x:v>
      </x:c>
    </x:row>
    <x:row r="3428">
      <x:c r="A3428" t="n">
        <x:v>6</x:v>
      </x:c>
      <x:c r="B3428" t="str">
        <x:v>Emerald</x:v>
      </x:c>
      <x:c r="C3428" t="str">
        <x:v>H</x:v>
      </x:c>
      <x:c r="D3428" t="str">
        <x:v>VVS1</x:v>
      </x:c>
      <x:c r="E3428" s="36" t="n">
        <x:v>157000</x:v>
      </x:c>
      <x:c r="F3428" s="36" t="n">
        <x:v>4911</x:v>
      </x:c>
      <x:c r="G3428" s="42" t="n">
        <x:v>1.0534105534105533</x:v>
      </x:c>
      <x:c r="H3428" s="36" t="n">
        <x:f>E3428*G3428</x:f>
        <x:v>165385.45688545686</x:v>
      </x:c>
      <x:c r="I3428" s="36" t="n">
        <x:f>IFERROR(H3428/A3428,0)</x:f>
        <x:v>27564.24281424281</x:v>
      </x:c>
      <x:c r="J3428" s="67" t="str">
        <x:v>Modeled from live base + Sep-2026 quality ratio</x:v>
      </x:c>
      <x:c r="K3428" s="67" t="str">
        <x:v>https://www.stonealgo.com/diamond-prices/</x:v>
      </x:c>
      <x:c r="L3428" s="67" t="str">
        <x:v>https://www.pricescope.com/blog/natural-diamond-prices-september-2026</x:v>
      </x:c>
    </x:row>
    <x:row r="3429">
      <x:c r="A3429" t="n">
        <x:v>6</x:v>
      </x:c>
      <x:c r="B3429" t="str">
        <x:v>Emerald</x:v>
      </x:c>
      <x:c r="C3429" t="str">
        <x:v>H</x:v>
      </x:c>
      <x:c r="D3429" t="str">
        <x:v>VVS2</x:v>
      </x:c>
      <x:c r="E3429" s="36" t="n">
        <x:v>157000</x:v>
      </x:c>
      <x:c r="F3429" s="36" t="n">
        <x:v>4046</x:v>
      </x:c>
      <x:c r="G3429" s="42" t="n">
        <x:v>0.8678678678678678</x:v>
      </x:c>
      <x:c r="H3429" s="36" t="n">
        <x:f>E3429*G3429</x:f>
        <x:v>136255.25525525527</x:v>
      </x:c>
      <x:c r="I3429" s="36" t="n">
        <x:f>IFERROR(H3429/A3429,0)</x:f>
        <x:v>22709.20920920921</x:v>
      </x:c>
      <x:c r="J3429" s="67" t="str">
        <x:v>Modeled from live base + Sep-2026 quality ratio</x:v>
      </x:c>
      <x:c r="K3429" s="67" t="str">
        <x:v>https://www.stonealgo.com/diamond-prices/</x:v>
      </x:c>
      <x:c r="L3429" s="67" t="str">
        <x:v>https://www.pricescope.com/blog/natural-diamond-prices-september-2026</x:v>
      </x:c>
    </x:row>
    <x:row r="3430">
      <x:c r="A3430" t="n">
        <x:v>6</x:v>
      </x:c>
      <x:c r="B3430" t="str">
        <x:v>Emerald</x:v>
      </x:c>
      <x:c r="C3430" t="str">
        <x:v>H</x:v>
      </x:c>
      <x:c r="D3430" t="str">
        <x:v>VS1</x:v>
      </x:c>
      <x:c r="E3430" s="36" t="n">
        <x:v>157000</x:v>
      </x:c>
      <x:c r="F3430" s="36" t="n">
        <x:v>3893</x:v>
      </x:c>
      <x:c r="G3430" s="42" t="n">
        <x:v>0.8350493350493351</x:v>
      </x:c>
      <x:c r="H3430" s="36" t="n">
        <x:f>E3430*G3430</x:f>
        <x:v>131102.74560274562</x:v>
      </x:c>
      <x:c r="I3430" s="36" t="n">
        <x:f>IFERROR(H3430/A3430,0)</x:f>
        <x:v>21850.457600457605</x:v>
      </x:c>
      <x:c r="J3430" s="67" t="str">
        <x:v>Modeled from live base + Sep-2026 quality ratio</x:v>
      </x:c>
      <x:c r="K3430" s="67" t="str">
        <x:v>https://www.stonealgo.com/diamond-prices/</x:v>
      </x:c>
      <x:c r="L3430" s="67" t="str">
        <x:v>https://www.pricescope.com/blog/natural-diamond-prices-september-2026</x:v>
      </x:c>
    </x:row>
    <x:row r="3431">
      <x:c r="A3431" t="n">
        <x:v>6</x:v>
      </x:c>
      <x:c r="B3431" t="str">
        <x:v>Emerald</x:v>
      </x:c>
      <x:c r="C3431" t="str">
        <x:v>H</x:v>
      </x:c>
      <x:c r="D3431" t="str">
        <x:v>VS2</x:v>
      </x:c>
      <x:c r="E3431" s="36" t="n">
        <x:v>157000</x:v>
      </x:c>
      <x:c r="F3431" s="36" t="n">
        <x:v>3989</x:v>
      </x:c>
      <x:c r="G3431" s="42" t="n">
        <x:v>0.8556413556413557</x:v>
      </x:c>
      <x:c r="H3431" s="36" t="n">
        <x:f>E3431*G3431</x:f>
        <x:v>134335.69283569284</x:v>
      </x:c>
      <x:c r="I3431" s="36" t="n">
        <x:f>IFERROR(H3431/A3431,0)</x:f>
        <x:v>22389.28213928214</x:v>
      </x:c>
      <x:c r="J3431" s="67" t="str">
        <x:v>Modeled from live base + Sep-2026 quality ratio</x:v>
      </x:c>
      <x:c r="K3431" s="67" t="str">
        <x:v>https://www.stonealgo.com/diamond-prices/</x:v>
      </x:c>
      <x:c r="L3431" s="67" t="str">
        <x:v>https://www.pricescope.com/blog/natural-diamond-prices-september-2026</x:v>
      </x:c>
    </x:row>
    <x:row r="3432">
      <x:c r="A3432" t="n">
        <x:v>6</x:v>
      </x:c>
      <x:c r="B3432" t="str">
        <x:v>Emerald</x:v>
      </x:c>
      <x:c r="C3432" t="str">
        <x:v>H</x:v>
      </x:c>
      <x:c r="D3432" t="str">
        <x:v>SI1</x:v>
      </x:c>
      <x:c r="E3432" s="36" t="n">
        <x:v>157000</x:v>
      </x:c>
      <x:c r="F3432" s="36" t="n">
        <x:v>2828</x:v>
      </x:c>
      <x:c r="G3432" s="42" t="n">
        <x:v>0.6066066066066066</x:v>
      </x:c>
      <x:c r="H3432" s="36" t="n">
        <x:f>E3432*G3432</x:f>
        <x:v>95237.23723723723</x:v>
      </x:c>
      <x:c r="I3432" s="36" t="n">
        <x:f>IFERROR(H3432/A3432,0)</x:f>
        <x:v>15872.872872872873</x:v>
      </x:c>
      <x:c r="J3432" s="67" t="str">
        <x:v>Modeled from live base + Sep-2026 quality ratio</x:v>
      </x:c>
      <x:c r="K3432" s="67" t="str">
        <x:v>https://www.stonealgo.com/diamond-prices/</x:v>
      </x:c>
      <x:c r="L3432" s="67" t="str">
        <x:v>https://www.pricescope.com/blog/natural-diamond-prices-september-2026</x:v>
      </x:c>
    </x:row>
    <x:row r="3433">
      <x:c r="A3433" t="n">
        <x:v>6</x:v>
      </x:c>
      <x:c r="B3433" t="str">
        <x:v>Emerald</x:v>
      </x:c>
      <x:c r="C3433" t="str">
        <x:v>H</x:v>
      </x:c>
      <x:c r="D3433" t="str">
        <x:v>SI2</x:v>
      </x:c>
      <x:c r="E3433" s="36" t="n">
        <x:v>157000</x:v>
      </x:c>
      <x:c r="F3433" s="36" t="n">
        <x:v>2328</x:v>
      </x:c>
      <x:c r="G3433" s="42" t="n">
        <x:v>0.49935649935649934</x:v>
      </x:c>
      <x:c r="H3433" s="36" t="n">
        <x:f>E3433*G3433</x:f>
        <x:v>78398.9703989704</x:v>
      </x:c>
      <x:c r="I3433" s="36" t="n">
        <x:f>IFERROR(H3433/A3433,0)</x:f>
        <x:v>13066.495066495067</x:v>
      </x:c>
      <x:c r="J3433" s="67" t="str">
        <x:v>Modeled from live base + Sep-2026 quality ratio</x:v>
      </x:c>
      <x:c r="K3433" s="67" t="str">
        <x:v>https://www.stonealgo.com/diamond-prices/</x:v>
      </x:c>
      <x:c r="L3433" s="67" t="str">
        <x:v>https://www.pricescope.com/blog/natural-diamond-prices-september-2026</x:v>
      </x:c>
    </x:row>
    <x:row r="3434">
      <x:c r="A3434" t="n">
        <x:v>6</x:v>
      </x:c>
      <x:c r="B3434" t="str">
        <x:v>Emerald</x:v>
      </x:c>
      <x:c r="C3434" t="str">
        <x:v>I</x:v>
      </x:c>
      <x:c r="D3434" t="str">
        <x:v>FL</x:v>
      </x:c>
      <x:c r="E3434" s="36" t="n">
        <x:v>157000</x:v>
      </x:c>
      <x:c r="F3434" s="36" t="n">
        <x:v>4623</x:v>
      </x:c>
      <x:c r="G3434" s="42" t="n">
        <x:v>0.9916344916344917</x:v>
      </x:c>
      <x:c r="H3434" s="36" t="n">
        <x:f>E3434*G3434</x:f>
        <x:v>155686.6151866152</x:v>
      </x:c>
      <x:c r="I3434" s="36" t="n">
        <x:f>IFERROR(H3434/A3434,0)</x:f>
        <x:v>25947.7691977692</x:v>
      </x:c>
      <x:c r="J3434" s="67" t="str">
        <x:v>Modeled from live base + Sep-2026 quality ratio</x:v>
      </x:c>
      <x:c r="K3434" s="67" t="str">
        <x:v>https://www.stonealgo.com/diamond-prices/</x:v>
      </x:c>
      <x:c r="L3434" s="67" t="str">
        <x:v>https://www.pricescope.com/blog/natural-diamond-prices-september-2026</x:v>
      </x:c>
    </x:row>
    <x:row r="3435">
      <x:c r="A3435" t="n">
        <x:v>6</x:v>
      </x:c>
      <x:c r="B3435" t="str">
        <x:v>Emerald</x:v>
      </x:c>
      <x:c r="C3435" t="str">
        <x:v>I</x:v>
      </x:c>
      <x:c r="D3435" t="str">
        <x:v>IF</x:v>
      </x:c>
      <x:c r="E3435" s="36" t="n">
        <x:v>157000</x:v>
      </x:c>
      <x:c r="F3435" s="36" t="n">
        <x:v>4005</x:v>
      </x:c>
      <x:c r="G3435" s="42" t="n">
        <x:v>0.859073359073359</x:v>
      </x:c>
      <x:c r="H3435" s="36" t="n">
        <x:f>E3435*G3435</x:f>
        <x:v>134874.51737451737</x:v>
      </x:c>
      <x:c r="I3435" s="36" t="n">
        <x:f>IFERROR(H3435/A3435,0)</x:f>
        <x:v>22479.086229086228</x:v>
      </x:c>
      <x:c r="J3435" s="67" t="str">
        <x:v>Modeled from live base + Sep-2026 quality ratio</x:v>
      </x:c>
      <x:c r="K3435" s="67" t="str">
        <x:v>https://www.stonealgo.com/diamond-prices/</x:v>
      </x:c>
      <x:c r="L3435" s="67" t="str">
        <x:v>https://www.pricescope.com/blog/natural-diamond-prices-september-2026</x:v>
      </x:c>
    </x:row>
    <x:row r="3436">
      <x:c r="A3436" t="n">
        <x:v>6</x:v>
      </x:c>
      <x:c r="B3436" t="str">
        <x:v>Emerald</x:v>
      </x:c>
      <x:c r="C3436" t="str">
        <x:v>I</x:v>
      </x:c>
      <x:c r="D3436" t="str">
        <x:v>VVS1</x:v>
      </x:c>
      <x:c r="E3436" s="36" t="n">
        <x:v>157000</x:v>
      </x:c>
      <x:c r="F3436" s="36" t="n">
        <x:v>3670</x:v>
      </x:c>
      <x:c r="G3436" s="42" t="n">
        <x:v>0.7872157872157872</x:v>
      </x:c>
      <x:c r="H3436" s="36" t="n">
        <x:f>E3436*G3436</x:f>
        <x:v>123592.8785928786</x:v>
      </x:c>
      <x:c r="I3436" s="36" t="n">
        <x:f>IFERROR(H3436/A3436,0)</x:f>
        <x:v>20598.813098813098</x:v>
      </x:c>
      <x:c r="J3436" s="67" t="str">
        <x:v>Modeled from live base + Sep-2026 quality ratio</x:v>
      </x:c>
      <x:c r="K3436" s="67" t="str">
        <x:v>https://www.stonealgo.com/diamond-prices/</x:v>
      </x:c>
      <x:c r="L3436" s="67" t="str">
        <x:v>https://www.pricescope.com/blog/natural-diamond-prices-september-2026</x:v>
      </x:c>
    </x:row>
    <x:row r="3437">
      <x:c r="A3437" t="n">
        <x:v>6</x:v>
      </x:c>
      <x:c r="B3437" t="str">
        <x:v>Emerald</x:v>
      </x:c>
      <x:c r="C3437" t="str">
        <x:v>I</x:v>
      </x:c>
      <x:c r="D3437" t="str">
        <x:v>VVS2</x:v>
      </x:c>
      <x:c r="E3437" s="36" t="n">
        <x:v>157000</x:v>
      </x:c>
      <x:c r="F3437" s="36" t="n">
        <x:v>3447</x:v>
      </x:c>
      <x:c r="G3437" s="42" t="n">
        <x:v>0.7393822393822393</x:v>
      </x:c>
      <x:c r="H3437" s="36" t="n">
        <x:f>E3437*G3437</x:f>
        <x:v>116083.01158301158</x:v>
      </x:c>
      <x:c r="I3437" s="36" t="n">
        <x:f>IFERROR(H3437/A3437,0)</x:f>
        <x:v>19347.1685971686</x:v>
      </x:c>
      <x:c r="J3437" s="67" t="str">
        <x:v>Modeled from live base + Sep-2026 quality ratio</x:v>
      </x:c>
      <x:c r="K3437" s="67" t="str">
        <x:v>https://www.stonealgo.com/diamond-prices/</x:v>
      </x:c>
      <x:c r="L3437" s="67" t="str">
        <x:v>https://www.pricescope.com/blog/natural-diamond-prices-september-2026</x:v>
      </x:c>
    </x:row>
    <x:row r="3438">
      <x:c r="A3438" t="n">
        <x:v>6</x:v>
      </x:c>
      <x:c r="B3438" t="str">
        <x:v>Emerald</x:v>
      </x:c>
      <x:c r="C3438" t="str">
        <x:v>I</x:v>
      </x:c>
      <x:c r="D3438" t="str">
        <x:v>VS1</x:v>
      </x:c>
      <x:c r="E3438" s="36" t="n">
        <x:v>157000</x:v>
      </x:c>
      <x:c r="F3438" s="36" t="n">
        <x:v>3313</x:v>
      </x:c>
      <x:c r="G3438" s="42" t="n">
        <x:v>0.7106392106392107</x:v>
      </x:c>
      <x:c r="H3438" s="36" t="n">
        <x:f>E3438*G3438</x:f>
        <x:v>111570.35607035607</x:v>
      </x:c>
      <x:c r="I3438" s="36" t="n">
        <x:f>IFERROR(H3438/A3438,0)</x:f>
        <x:v>18595.059345059344</x:v>
      </x:c>
      <x:c r="J3438" s="67" t="str">
        <x:v>Modeled from live base + Sep-2026 quality ratio</x:v>
      </x:c>
      <x:c r="K3438" s="67" t="str">
        <x:v>https://www.stonealgo.com/diamond-prices/</x:v>
      </x:c>
      <x:c r="L3438" s="67" t="str">
        <x:v>https://www.pricescope.com/blog/natural-diamond-prices-september-2026</x:v>
      </x:c>
    </x:row>
    <x:row r="3439">
      <x:c r="A3439" t="n">
        <x:v>6</x:v>
      </x:c>
      <x:c r="B3439" t="str">
        <x:v>Emerald</x:v>
      </x:c>
      <x:c r="C3439" t="str">
        <x:v>I</x:v>
      </x:c>
      <x:c r="D3439" t="str">
        <x:v>VS2</x:v>
      </x:c>
      <x:c r="E3439" s="36" t="n">
        <x:v>157000</x:v>
      </x:c>
      <x:c r="F3439" s="36" t="n">
        <x:v>3240</x:v>
      </x:c>
      <x:c r="G3439" s="42" t="n">
        <x:v>0.694980694980695</x:v>
      </x:c>
      <x:c r="H3439" s="36" t="n">
        <x:f>E3439*G3439</x:f>
        <x:v>109111.96911196913</x:v>
      </x:c>
      <x:c r="I3439" s="36" t="n">
        <x:f>IFERROR(H3439/A3439,0)</x:f>
        <x:v>18185.328185328188</x:v>
      </x:c>
      <x:c r="J3439" s="67" t="str">
        <x:v>Modeled from live base + Sep-2026 quality ratio</x:v>
      </x:c>
      <x:c r="K3439" s="67" t="str">
        <x:v>https://www.stonealgo.com/diamond-prices/</x:v>
      </x:c>
      <x:c r="L3439" s="67" t="str">
        <x:v>https://www.pricescope.com/blog/natural-diamond-prices-september-2026</x:v>
      </x:c>
    </x:row>
    <x:row r="3440">
      <x:c r="A3440" t="n">
        <x:v>6</x:v>
      </x:c>
      <x:c r="B3440" t="str">
        <x:v>Emerald</x:v>
      </x:c>
      <x:c r="C3440" t="str">
        <x:v>I</x:v>
      </x:c>
      <x:c r="D3440" t="str">
        <x:v>SI1</x:v>
      </x:c>
      <x:c r="E3440" s="36" t="n">
        <x:v>157000</x:v>
      </x:c>
      <x:c r="F3440" s="36" t="n">
        <x:v>3199</x:v>
      </x:c>
      <x:c r="G3440" s="42" t="n">
        <x:v>0.6861861861861862</x:v>
      </x:c>
      <x:c r="H3440" s="36" t="n">
        <x:f>E3440*G3440</x:f>
        <x:v>107731.23123123123</x:v>
      </x:c>
      <x:c r="I3440" s="36" t="n">
        <x:f>IFERROR(H3440/A3440,0)</x:f>
        <x:v>17955.205205205206</x:v>
      </x:c>
      <x:c r="J3440" s="67" t="str">
        <x:v>Modeled from live base + Sep-2026 quality ratio</x:v>
      </x:c>
      <x:c r="K3440" s="67" t="str">
        <x:v>https://www.stonealgo.com/diamond-prices/</x:v>
      </x:c>
      <x:c r="L3440" s="67" t="str">
        <x:v>https://www.pricescope.com/blog/natural-diamond-prices-september-2026</x:v>
      </x:c>
    </x:row>
    <x:row r="3441">
      <x:c r="A3441" t="n">
        <x:v>6</x:v>
      </x:c>
      <x:c r="B3441" t="str">
        <x:v>Emerald</x:v>
      </x:c>
      <x:c r="C3441" t="str">
        <x:v>I</x:v>
      </x:c>
      <x:c r="D3441" t="str">
        <x:v>SI2</x:v>
      </x:c>
      <x:c r="E3441" s="36" t="n">
        <x:v>157000</x:v>
      </x:c>
      <x:c r="F3441" s="36" t="n">
        <x:v>2874</x:v>
      </x:c>
      <x:c r="G3441" s="42" t="n">
        <x:v>0.6164736164736164</x:v>
      </x:c>
      <x:c r="H3441" s="36" t="n">
        <x:f>E3441*G3441</x:f>
        <x:v>96786.35778635778</x:v>
      </x:c>
      <x:c r="I3441" s="36" t="n">
        <x:f>IFERROR(H3441/A3441,0)</x:f>
        <x:v>16131.05963105963</x:v>
      </x:c>
      <x:c r="J3441" s="67" t="str">
        <x:v>Modeled from live base + Sep-2026 quality ratio</x:v>
      </x:c>
      <x:c r="K3441" s="67" t="str">
        <x:v>https://www.stonealgo.com/diamond-prices/</x:v>
      </x:c>
      <x:c r="L3441" s="67" t="str">
        <x:v>https://www.pricescope.com/blog/natural-diamond-prices-september-2026</x:v>
      </x:c>
    </x:row>
    <x:row r="3442">
      <x:c r="A3442" t="n">
        <x:v>6</x:v>
      </x:c>
      <x:c r="B3442" t="str">
        <x:v>Emerald</x:v>
      </x:c>
      <x:c r="C3442" t="str">
        <x:v>J</x:v>
      </x:c>
      <x:c r="D3442" t="str">
        <x:v>FL</x:v>
      </x:c>
      <x:c r="E3442" s="36" t="n">
        <x:v>157000</x:v>
      </x:c>
      <x:c r="F3442" s="36" t="n">
        <x:v>3646</x:v>
      </x:c>
      <x:c r="G3442" s="42" t="n">
        <x:v>0.782067782067782</x:v>
      </x:c>
      <x:c r="H3442" s="36" t="n">
        <x:f>E3442*G3442</x:f>
        <x:v>122784.64178464178</x:v>
      </x:c>
      <x:c r="I3442" s="36" t="n">
        <x:f>IFERROR(H3442/A3442,0)</x:f>
        <x:v>20464.106964106963</x:v>
      </x:c>
      <x:c r="J3442" s="67" t="str">
        <x:v>Modeled from live base + Sep-2026 quality ratio</x:v>
      </x:c>
      <x:c r="K3442" s="67" t="str">
        <x:v>https://www.stonealgo.com/diamond-prices/</x:v>
      </x:c>
      <x:c r="L3442" s="67" t="str">
        <x:v>https://www.pricescope.com/blog/natural-diamond-prices-september-2026</x:v>
      </x:c>
    </x:row>
    <x:row r="3443">
      <x:c r="A3443" t="n">
        <x:v>6</x:v>
      </x:c>
      <x:c r="B3443" t="str">
        <x:v>Emerald</x:v>
      </x:c>
      <x:c r="C3443" t="str">
        <x:v>J</x:v>
      </x:c>
      <x:c r="D3443" t="str">
        <x:v>IF</x:v>
      </x:c>
      <x:c r="E3443" s="36" t="n">
        <x:v>157000</x:v>
      </x:c>
      <x:c r="F3443" s="36" t="n">
        <x:v>3368</x:v>
      </x:c>
      <x:c r="G3443" s="42" t="n">
        <x:v>0.7224367224367224</x:v>
      </x:c>
      <x:c r="H3443" s="36" t="n">
        <x:f>E3443*G3443</x:f>
        <x:v>113422.56542256541</x:v>
      </x:c>
      <x:c r="I3443" s="36" t="n">
        <x:f>IFERROR(H3443/A3443,0)</x:f>
        <x:v>18903.760903760904</x:v>
      </x:c>
      <x:c r="J3443" s="67" t="str">
        <x:v>Modeled from live base + Sep-2026 quality ratio</x:v>
      </x:c>
      <x:c r="K3443" s="67" t="str">
        <x:v>https://www.stonealgo.com/diamond-prices/</x:v>
      </x:c>
      <x:c r="L3443" s="67" t="str">
        <x:v>https://www.pricescope.com/blog/natural-diamond-prices-september-2026</x:v>
      </x:c>
    </x:row>
    <x:row r="3444">
      <x:c r="A3444" t="n">
        <x:v>6</x:v>
      </x:c>
      <x:c r="B3444" t="str">
        <x:v>Emerald</x:v>
      </x:c>
      <x:c r="C3444" t="str">
        <x:v>J</x:v>
      </x:c>
      <x:c r="D3444" t="str">
        <x:v>VVS1</x:v>
      </x:c>
      <x:c r="E3444" s="36" t="n">
        <x:v>157000</x:v>
      </x:c>
      <x:c r="F3444" s="36" t="n">
        <x:v>2956</x:v>
      </x:c>
      <x:c r="G3444" s="42" t="n">
        <x:v>0.6340626340626341</x:v>
      </x:c>
      <x:c r="H3444" s="36" t="n">
        <x:f>E3444*G3444</x:f>
        <x:v>99547.83354783355</x:v>
      </x:c>
      <x:c r="I3444" s="36" t="n">
        <x:f>IFERROR(H3444/A3444,0)</x:f>
        <x:v>16591.30559130559</x:v>
      </x:c>
      <x:c r="J3444" s="67" t="str">
        <x:v>Modeled from live base + Sep-2026 quality ratio</x:v>
      </x:c>
      <x:c r="K3444" s="67" t="str">
        <x:v>https://www.stonealgo.com/diamond-prices/</x:v>
      </x:c>
      <x:c r="L3444" s="67" t="str">
        <x:v>https://www.pricescope.com/blog/natural-diamond-prices-september-2026</x:v>
      </x:c>
    </x:row>
    <x:row r="3445">
      <x:c r="A3445" t="n">
        <x:v>6</x:v>
      </x:c>
      <x:c r="B3445" t="str">
        <x:v>Emerald</x:v>
      </x:c>
      <x:c r="C3445" t="str">
        <x:v>J</x:v>
      </x:c>
      <x:c r="D3445" t="str">
        <x:v>VVS2</x:v>
      </x:c>
      <x:c r="E3445" s="36" t="n">
        <x:v>157000</x:v>
      </x:c>
      <x:c r="F3445" s="36" t="n">
        <x:v>2612</x:v>
      </x:c>
      <x:c r="G3445" s="42" t="n">
        <x:v>0.5602745602745602</x:v>
      </x:c>
      <x:c r="H3445" s="36" t="n">
        <x:f>E3445*G3445</x:f>
        <x:v>87963.10596310596</x:v>
      </x:c>
      <x:c r="I3445" s="36" t="n">
        <x:f>IFERROR(H3445/A3445,0)</x:f>
        <x:v>14660.51766051766</x:v>
      </x:c>
      <x:c r="J3445" s="67" t="str">
        <x:v>Modeled from live base + Sep-2026 quality ratio</x:v>
      </x:c>
      <x:c r="K3445" s="67" t="str">
        <x:v>https://www.stonealgo.com/diamond-prices/</x:v>
      </x:c>
      <x:c r="L3445" s="67" t="str">
        <x:v>https://www.pricescope.com/blog/natural-diamond-prices-september-2026</x:v>
      </x:c>
    </x:row>
    <x:row r="3446">
      <x:c r="A3446" t="n">
        <x:v>6</x:v>
      </x:c>
      <x:c r="B3446" t="str">
        <x:v>Emerald</x:v>
      </x:c>
      <x:c r="C3446" t="str">
        <x:v>J</x:v>
      </x:c>
      <x:c r="D3446" t="str">
        <x:v>VS1</x:v>
      </x:c>
      <x:c r="E3446" s="36" t="n">
        <x:v>157000</x:v>
      </x:c>
      <x:c r="F3446" s="36" t="n">
        <x:v>3002</x:v>
      </x:c>
      <x:c r="G3446" s="42" t="n">
        <x:v>0.6439296439296439</x:v>
      </x:c>
      <x:c r="H3446" s="36" t="n">
        <x:f>E3446*G3446</x:f>
        <x:v>101096.9540969541</x:v>
      </x:c>
      <x:c r="I3446" s="36" t="n">
        <x:f>IFERROR(H3446/A3446,0)</x:f>
        <x:v>16849.49234949235</x:v>
      </x:c>
      <x:c r="J3446" s="67" t="str">
        <x:v>Modeled from live base + Sep-2026 quality ratio</x:v>
      </x:c>
      <x:c r="K3446" s="67" t="str">
        <x:v>https://www.stonealgo.com/diamond-prices/</x:v>
      </x:c>
      <x:c r="L3446" s="67" t="str">
        <x:v>https://www.pricescope.com/blog/natural-diamond-prices-september-2026</x:v>
      </x:c>
    </x:row>
    <x:row r="3447">
      <x:c r="A3447" t="n">
        <x:v>6</x:v>
      </x:c>
      <x:c r="B3447" t="str">
        <x:v>Emerald</x:v>
      </x:c>
      <x:c r="C3447" t="str">
        <x:v>J</x:v>
      </x:c>
      <x:c r="D3447" t="str">
        <x:v>VS2</x:v>
      </x:c>
      <x:c r="E3447" s="36" t="n">
        <x:v>157000</x:v>
      </x:c>
      <x:c r="F3447" s="36" t="n">
        <x:v>2559</x:v>
      </x:c>
      <x:c r="G3447" s="42" t="n">
        <x:v>0.5489060489060489</x:v>
      </x:c>
      <x:c r="H3447" s="36" t="n">
        <x:f>E3447*G3447</x:f>
        <x:v>86178.24967824967</x:v>
      </x:c>
      <x:c r="I3447" s="36" t="n">
        <x:f>IFERROR(H3447/A3447,0)</x:f>
        <x:v>14363.041613041612</x:v>
      </x:c>
      <x:c r="J3447" s="67" t="str">
        <x:v>Modeled from live base + Sep-2026 quality ratio</x:v>
      </x:c>
      <x:c r="K3447" s="67" t="str">
        <x:v>https://www.stonealgo.com/diamond-prices/</x:v>
      </x:c>
      <x:c r="L3447" s="67" t="str">
        <x:v>https://www.pricescope.com/blog/natural-diamond-prices-september-2026</x:v>
      </x:c>
    </x:row>
    <x:row r="3448">
      <x:c r="A3448" t="n">
        <x:v>6</x:v>
      </x:c>
      <x:c r="B3448" t="str">
        <x:v>Emerald</x:v>
      </x:c>
      <x:c r="C3448" t="str">
        <x:v>J</x:v>
      </x:c>
      <x:c r="D3448" t="str">
        <x:v>SI1</x:v>
      </x:c>
      <x:c r="E3448" s="36" t="n">
        <x:v>157000</x:v>
      </x:c>
      <x:c r="F3448" s="36" t="n">
        <x:v>2195</x:v>
      </x:c>
      <x:c r="G3448" s="42" t="n">
        <x:v>0.47082797082797084</x:v>
      </x:c>
      <x:c r="H3448" s="36" t="n">
        <x:f>E3448*G3448</x:f>
        <x:v>73919.99141999142</x:v>
      </x:c>
      <x:c r="I3448" s="36" t="n">
        <x:f>IFERROR(H3448/A3448,0)</x:f>
        <x:v>12319.99856999857</x:v>
      </x:c>
      <x:c r="J3448" s="67" t="str">
        <x:v>Modeled from live base + Sep-2026 quality ratio</x:v>
      </x:c>
      <x:c r="K3448" s="67" t="str">
        <x:v>https://www.stonealgo.com/diamond-prices/</x:v>
      </x:c>
      <x:c r="L3448" s="67" t="str">
        <x:v>https://www.pricescope.com/blog/natural-diamond-prices-september-2026</x:v>
      </x:c>
    </x:row>
    <x:row r="3449">
      <x:c r="A3449" t="n">
        <x:v>6</x:v>
      </x:c>
      <x:c r="B3449" t="str">
        <x:v>Emerald</x:v>
      </x:c>
      <x:c r="C3449" t="str">
        <x:v>J</x:v>
      </x:c>
      <x:c r="D3449" t="str">
        <x:v>SI2</x:v>
      </x:c>
      <x:c r="E3449" s="36" t="n">
        <x:v>157000</x:v>
      </x:c>
      <x:c r="F3449" s="36" t="n">
        <x:v>2079</x:v>
      </x:c>
      <x:c r="G3449" s="42" t="n">
        <x:v>0.44594594594594594</x:v>
      </x:c>
      <x:c r="H3449" s="36" t="n">
        <x:f>E3449*G3449</x:f>
        <x:v>70013.5135135135</x:v>
      </x:c>
      <x:c r="I3449" s="36" t="n">
        <x:f>IFERROR(H3449/A3449,0)</x:f>
        <x:v>11668.918918918918</x:v>
      </x:c>
      <x:c r="J3449" s="67" t="str">
        <x:v>Modeled from live base + Sep-2026 quality ratio</x:v>
      </x:c>
      <x:c r="K3449" s="67" t="str">
        <x:v>https://www.stonealgo.com/diamond-prices/</x:v>
      </x:c>
      <x:c r="L3449" s="67" t="str">
        <x:v>https://www.pricescope.com/blog/natural-diamond-prices-september-2026</x:v>
      </x:c>
    </x:row>
    <x:row r="3450">
      <x:c r="A3450" t="n">
        <x:v>6</x:v>
      </x:c>
      <x:c r="B3450" t="str">
        <x:v>Emerald</x:v>
      </x:c>
      <x:c r="C3450" t="str">
        <x:v>K</x:v>
      </x:c>
      <x:c r="D3450" t="str">
        <x:v>FL</x:v>
      </x:c>
      <x:c r="E3450" s="36" t="n">
        <x:v>157000</x:v>
      </x:c>
      <x:c r="F3450" s="36" t="n">
        <x:v>2858</x:v>
      </x:c>
      <x:c r="G3450" s="42" t="n">
        <x:v>0.6130416130416131</x:v>
      </x:c>
      <x:c r="H3450" s="36" t="n">
        <x:f>E3450*G3450</x:f>
        <x:v>96247.53324753325</x:v>
      </x:c>
      <x:c r="I3450" s="36" t="n">
        <x:f>IFERROR(H3450/A3450,0)</x:f>
        <x:v>16041.255541255543</x:v>
      </x:c>
      <x:c r="J3450" s="67" t="str">
        <x:v>Modeled from live base + Sep-2026 quality ratio; K/FL quality cell modeled</x:v>
      </x:c>
      <x:c r="K3450" s="67" t="str">
        <x:v>https://www.stonealgo.com/diamond-prices/</x:v>
      </x:c>
      <x:c r="L3450" s="67" t="str">
        <x:v>https://www.pricescope.com/blog/natural-diamond-prices-september-2026</x:v>
      </x:c>
    </x:row>
    <x:row r="3451">
      <x:c r="A3451" t="n">
        <x:v>6</x:v>
      </x:c>
      <x:c r="B3451" t="str">
        <x:v>Emerald</x:v>
      </x:c>
      <x:c r="C3451" t="str">
        <x:v>K</x:v>
      </x:c>
      <x:c r="D3451" t="str">
        <x:v>IF</x:v>
      </x:c>
      <x:c r="E3451" s="36" t="n">
        <x:v>157000</x:v>
      </x:c>
      <x:c r="F3451" s="36" t="n">
        <x:v>2743</x:v>
      </x:c>
      <x:c r="G3451" s="42" t="n">
        <x:v>0.5883740883740883</x:v>
      </x:c>
      <x:c r="H3451" s="36" t="n">
        <x:f>E3451*G3451</x:f>
        <x:v>92374.73187473186</x:v>
      </x:c>
      <x:c r="I3451" s="36" t="n">
        <x:f>IFERROR(H3451/A3451,0)</x:f>
        <x:v>15395.788645788643</x:v>
      </x:c>
      <x:c r="J3451" s="67" t="str">
        <x:v>Modeled from live base + Sep-2026 quality ratio</x:v>
      </x:c>
      <x:c r="K3451" s="67" t="str">
        <x:v>https://www.stonealgo.com/diamond-prices/</x:v>
      </x:c>
      <x:c r="L3451" s="67" t="str">
        <x:v>https://www.pricescope.com/blog/natural-diamond-prices-september-2026</x:v>
      </x:c>
    </x:row>
    <x:row r="3452">
      <x:c r="A3452" t="n">
        <x:v>6</x:v>
      </x:c>
      <x:c r="B3452" t="str">
        <x:v>Emerald</x:v>
      </x:c>
      <x:c r="C3452" t="str">
        <x:v>K</x:v>
      </x:c>
      <x:c r="D3452" t="str">
        <x:v>VVS1</x:v>
      </x:c>
      <x:c r="E3452" s="36" t="n">
        <x:v>157000</x:v>
      </x:c>
      <x:c r="F3452" s="36" t="n">
        <x:v>2529</x:v>
      </x:c>
      <x:c r="G3452" s="42" t="n">
        <x:v>0.5424710424710425</x:v>
      </x:c>
      <x:c r="H3452" s="36" t="n">
        <x:f>E3452*G3452</x:f>
        <x:v>85167.95366795367</x:v>
      </x:c>
      <x:c r="I3452" s="36" t="n">
        <x:f>IFERROR(H3452/A3452,0)</x:f>
        <x:v>14194.658944658944</x:v>
      </x:c>
      <x:c r="J3452" s="67" t="str">
        <x:v>Modeled from live base + Sep-2026 quality ratio</x:v>
      </x:c>
      <x:c r="K3452" s="67" t="str">
        <x:v>https://www.stonealgo.com/diamond-prices/</x:v>
      </x:c>
      <x:c r="L3452" s="67" t="str">
        <x:v>https://www.pricescope.com/blog/natural-diamond-prices-september-2026</x:v>
      </x:c>
    </x:row>
    <x:row r="3453">
      <x:c r="A3453" t="n">
        <x:v>6</x:v>
      </x:c>
      <x:c r="B3453" t="str">
        <x:v>Emerald</x:v>
      </x:c>
      <x:c r="C3453" t="str">
        <x:v>K</x:v>
      </x:c>
      <x:c r="D3453" t="str">
        <x:v>VVS2</x:v>
      </x:c>
      <x:c r="E3453" s="36" t="n">
        <x:v>157000</x:v>
      </x:c>
      <x:c r="F3453" s="36" t="n">
        <x:v>2374</x:v>
      </x:c>
      <x:c r="G3453" s="42" t="n">
        <x:v>0.5092235092235092</x:v>
      </x:c>
      <x:c r="H3453" s="36" t="n">
        <x:f>E3453*G3453</x:f>
        <x:v>79948.09094809095</x:v>
      </x:c>
      <x:c r="I3453" s="36" t="n">
        <x:f>IFERROR(H3453/A3453,0)</x:f>
        <x:v>13324.681824681824</x:v>
      </x:c>
      <x:c r="J3453" s="67" t="str">
        <x:v>Modeled from live base + Sep-2026 quality ratio</x:v>
      </x:c>
      <x:c r="K3453" s="67" t="str">
        <x:v>https://www.stonealgo.com/diamond-prices/</x:v>
      </x:c>
      <x:c r="L3453" s="67" t="str">
        <x:v>https://www.pricescope.com/blog/natural-diamond-prices-september-2026</x:v>
      </x:c>
    </x:row>
    <x:row r="3454">
      <x:c r="A3454" t="n">
        <x:v>6</x:v>
      </x:c>
      <x:c r="B3454" t="str">
        <x:v>Emerald</x:v>
      </x:c>
      <x:c r="C3454" t="str">
        <x:v>K</x:v>
      </x:c>
      <x:c r="D3454" t="str">
        <x:v>VS1</x:v>
      </x:c>
      <x:c r="E3454" s="36" t="n">
        <x:v>157000</x:v>
      </x:c>
      <x:c r="F3454" s="36" t="n">
        <x:v>2223</x:v>
      </x:c>
      <x:c r="G3454" s="42" t="n">
        <x:v>0.4768339768339768</x:v>
      </x:c>
      <x:c r="H3454" s="36" t="n">
        <x:f>E3454*G3454</x:f>
        <x:v>74862.93436293436</x:v>
      </x:c>
      <x:c r="I3454" s="36" t="n">
        <x:f>IFERROR(H3454/A3454,0)</x:f>
        <x:v>12477.155727155727</x:v>
      </x:c>
      <x:c r="J3454" s="67" t="str">
        <x:v>Modeled from live base + Sep-2026 quality ratio</x:v>
      </x:c>
      <x:c r="K3454" s="67" t="str">
        <x:v>https://www.stonealgo.com/diamond-prices/</x:v>
      </x:c>
      <x:c r="L3454" s="67" t="str">
        <x:v>https://www.pricescope.com/blog/natural-diamond-prices-september-2026</x:v>
      </x:c>
    </x:row>
    <x:row r="3455">
      <x:c r="A3455" t="n">
        <x:v>6</x:v>
      </x:c>
      <x:c r="B3455" t="str">
        <x:v>Emerald</x:v>
      </x:c>
      <x:c r="C3455" t="str">
        <x:v>K</x:v>
      </x:c>
      <x:c r="D3455" t="str">
        <x:v>VS2</x:v>
      </x:c>
      <x:c r="E3455" s="36" t="n">
        <x:v>157000</x:v>
      </x:c>
      <x:c r="F3455" s="36" t="n">
        <x:v>2098</x:v>
      </x:c>
      <x:c r="G3455" s="42" t="n">
        <x:v>0.45002145002145</x:v>
      </x:c>
      <x:c r="H3455" s="36" t="n">
        <x:f>E3455*G3455</x:f>
        <x:v>70653.36765336765</x:v>
      </x:c>
      <x:c r="I3455" s="36" t="n">
        <x:f>IFERROR(H3455/A3455,0)</x:f>
        <x:v>11775.561275561275</x:v>
      </x:c>
      <x:c r="J3455" s="67" t="str">
        <x:v>Modeled from live base + Sep-2026 quality ratio</x:v>
      </x:c>
      <x:c r="K3455" s="67" t="str">
        <x:v>https://www.stonealgo.com/diamond-prices/</x:v>
      </x:c>
      <x:c r="L3455" s="67" t="str">
        <x:v>https://www.pricescope.com/blog/natural-diamond-prices-september-2026</x:v>
      </x:c>
    </x:row>
    <x:row r="3456">
      <x:c r="A3456" t="n">
        <x:v>6</x:v>
      </x:c>
      <x:c r="B3456" t="str">
        <x:v>Emerald</x:v>
      </x:c>
      <x:c r="C3456" t="str">
        <x:v>K</x:v>
      </x:c>
      <x:c r="D3456" t="str">
        <x:v>SI1</x:v>
      </x:c>
      <x:c r="E3456" s="36" t="n">
        <x:v>157000</x:v>
      </x:c>
      <x:c r="F3456" s="36" t="n">
        <x:v>1922</x:v>
      </x:c>
      <x:c r="G3456" s="42" t="n">
        <x:v>0.41226941226941227</x:v>
      </x:c>
      <x:c r="H3456" s="36" t="n">
        <x:f>E3456*G3456</x:f>
        <x:v>64726.29772629773</x:v>
      </x:c>
      <x:c r="I3456" s="36" t="n">
        <x:f>IFERROR(H3456/A3456,0)</x:f>
        <x:v>10787.716287716288</x:v>
      </x:c>
      <x:c r="J3456" s="67" t="str">
        <x:v>Modeled from live base + Sep-2026 quality ratio</x:v>
      </x:c>
      <x:c r="K3456" s="67" t="str">
        <x:v>https://www.stonealgo.com/diamond-prices/</x:v>
      </x:c>
      <x:c r="L3456" s="67" t="str">
        <x:v>https://www.pricescope.com/blog/natural-diamond-prices-september-2026</x:v>
      </x:c>
    </x:row>
    <x:row r="3457">
      <x:c r="A3457" t="n">
        <x:v>6</x:v>
      </x:c>
      <x:c r="B3457" t="str">
        <x:v>Emerald</x:v>
      </x:c>
      <x:c r="C3457" t="str">
        <x:v>K</x:v>
      </x:c>
      <x:c r="D3457" t="str">
        <x:v>SI2</x:v>
      </x:c>
      <x:c r="E3457" s="36" t="n">
        <x:v>157000</x:v>
      </x:c>
      <x:c r="F3457" s="36" t="n">
        <x:v>1764</x:v>
      </x:c>
      <x:c r="G3457" s="42" t="n">
        <x:v>0.3783783783783784</x:v>
      </x:c>
      <x:c r="H3457" s="36" t="n">
        <x:f>E3457*G3457</x:f>
        <x:v>59405.40540540541</x:v>
      </x:c>
      <x:c r="I3457" s="36" t="n">
        <x:f>IFERROR(H3457/A3457,0)</x:f>
        <x:v>9900.9009009009</x:v>
      </x:c>
      <x:c r="J3457" s="67" t="str">
        <x:v>Modeled from live base + Sep-2026 quality ratio</x:v>
      </x:c>
      <x:c r="K3457" s="67" t="str">
        <x:v>https://www.stonealgo.com/diamond-prices/</x:v>
      </x:c>
      <x:c r="L3457" s="67" t="str">
        <x:v>https://www.pricescope.com/blog/natural-diamond-prices-september-2026</x:v>
      </x:c>
    </x:row>
    <x:row r="3458">
      <x:c r="A3458" t="n">
        <x:v>6</x:v>
      </x:c>
      <x:c r="B3458" t="str">
        <x:v>Cushion</x:v>
      </x:c>
      <x:c r="C3458" t="str">
        <x:v>D</x:v>
      </x:c>
      <x:c r="D3458" t="str">
        <x:v>FL</x:v>
      </x:c>
      <x:c r="E3458" s="36" t="n">
        <x:v>129000</x:v>
      </x:c>
      <x:c r="F3458" s="36" t="n">
        <x:v>12665</x:v>
      </x:c>
      <x:c r="G3458" s="42" t="n">
        <x:v>2.7166452166452166</x:v>
      </x:c>
      <x:c r="H3458" s="36" t="n">
        <x:f>E3458*G3458</x:f>
        <x:v>350447.23294723296</x:v>
      </x:c>
      <x:c r="I3458" s="36" t="n">
        <x:f>IFERROR(H3458/A3458,0)</x:f>
        <x:v>58407.87215787216</x:v>
      </x:c>
      <x:c r="J3458" s="67" t="str">
        <x:v>Modeled from live base + Sep-2026 quality ratio</x:v>
      </x:c>
      <x:c r="K3458" s="67" t="str">
        <x:v>https://www.stonealgo.com/diamond-prices/</x:v>
      </x:c>
      <x:c r="L3458" s="67" t="str">
        <x:v>https://www.pricescope.com/blog/natural-diamond-prices-september-2026</x:v>
      </x:c>
    </x:row>
    <x:row r="3459">
      <x:c r="A3459" t="n">
        <x:v>6</x:v>
      </x:c>
      <x:c r="B3459" t="str">
        <x:v>Cushion</x:v>
      </x:c>
      <x:c r="C3459" t="str">
        <x:v>D</x:v>
      </x:c>
      <x:c r="D3459" t="str">
        <x:v>IF</x:v>
      </x:c>
      <x:c r="E3459" s="36" t="n">
        <x:v>129000</x:v>
      </x:c>
      <x:c r="F3459" s="36" t="n">
        <x:v>13240</x:v>
      </x:c>
      <x:c r="G3459" s="42" t="n">
        <x:v>2.83998283998284</x:v>
      </x:c>
      <x:c r="H3459" s="36" t="n">
        <x:f>E3459*G3459</x:f>
        <x:v>366357.7863577864</x:v>
      </x:c>
      <x:c r="I3459" s="36" t="n">
        <x:f>IFERROR(H3459/A3459,0)</x:f>
        <x:v>61059.631059631065</x:v>
      </x:c>
      <x:c r="J3459" s="67" t="str">
        <x:v>Modeled from live base + Sep-2026 quality ratio</x:v>
      </x:c>
      <x:c r="K3459" s="67" t="str">
        <x:v>https://www.stonealgo.com/diamond-prices/</x:v>
      </x:c>
      <x:c r="L3459" s="67" t="str">
        <x:v>https://www.pricescope.com/blog/natural-diamond-prices-september-2026</x:v>
      </x:c>
    </x:row>
    <x:row r="3460">
      <x:c r="A3460" t="n">
        <x:v>6</x:v>
      </x:c>
      <x:c r="B3460" t="str">
        <x:v>Cushion</x:v>
      </x:c>
      <x:c r="C3460" t="str">
        <x:v>D</x:v>
      </x:c>
      <x:c r="D3460" t="str">
        <x:v>VVS1</x:v>
      </x:c>
      <x:c r="E3460" s="36" t="n">
        <x:v>129000</x:v>
      </x:c>
      <x:c r="F3460" s="36" t="n">
        <x:v>9555</x:v>
      </x:c>
      <x:c r="G3460" s="42" t="n">
        <x:v>2.0495495495495497</x:v>
      </x:c>
      <x:c r="H3460" s="36" t="n">
        <x:f>E3460*G3460</x:f>
        <x:v>264391.8918918919</x:v>
      </x:c>
      <x:c r="I3460" s="36" t="n">
        <x:f>IFERROR(H3460/A3460,0)</x:f>
        <x:v>44065.31531531532</x:v>
      </x:c>
      <x:c r="J3460" s="67" t="str">
        <x:v>Modeled from live base + Sep-2026 quality ratio</x:v>
      </x:c>
      <x:c r="K3460" s="67" t="str">
        <x:v>https://www.stonealgo.com/diamond-prices/</x:v>
      </x:c>
      <x:c r="L3460" s="67" t="str">
        <x:v>https://www.pricescope.com/blog/natural-diamond-prices-september-2026</x:v>
      </x:c>
    </x:row>
    <x:row r="3461">
      <x:c r="A3461" t="n">
        <x:v>6</x:v>
      </x:c>
      <x:c r="B3461" t="str">
        <x:v>Cushion</x:v>
      </x:c>
      <x:c r="C3461" t="str">
        <x:v>D</x:v>
      </x:c>
      <x:c r="D3461" t="str">
        <x:v>VVS2</x:v>
      </x:c>
      <x:c r="E3461" s="36" t="n">
        <x:v>129000</x:v>
      </x:c>
      <x:c r="F3461" s="36" t="n">
        <x:v>6660</x:v>
      </x:c>
      <x:c r="G3461" s="42" t="n">
        <x:v>1.4285714285714286</x:v>
      </x:c>
      <x:c r="H3461" s="36" t="n">
        <x:f>E3461*G3461</x:f>
        <x:v>184285.7142857143</x:v>
      </x:c>
      <x:c r="I3461" s="36" t="n">
        <x:f>IFERROR(H3461/A3461,0)</x:f>
        <x:v>30714.285714285714</x:v>
      </x:c>
      <x:c r="J3461" s="67" t="str">
        <x:v>Modeled from live base + Sep-2026 quality ratio</x:v>
      </x:c>
      <x:c r="K3461" s="67" t="str">
        <x:v>https://www.stonealgo.com/diamond-prices/</x:v>
      </x:c>
      <x:c r="L3461" s="67" t="str">
        <x:v>https://www.pricescope.com/blog/natural-diamond-prices-september-2026</x:v>
      </x:c>
    </x:row>
    <x:row r="3462">
      <x:c r="A3462" t="n">
        <x:v>6</x:v>
      </x:c>
      <x:c r="B3462" t="str">
        <x:v>Cushion</x:v>
      </x:c>
      <x:c r="C3462" t="str">
        <x:v>D</x:v>
      </x:c>
      <x:c r="D3462" t="str">
        <x:v>VS1</x:v>
      </x:c>
      <x:c r="E3462" s="36" t="n">
        <x:v>129000</x:v>
      </x:c>
      <x:c r="F3462" s="36" t="n">
        <x:v>6247</x:v>
      </x:c>
      <x:c r="G3462" s="42" t="n">
        <x:v>1.33998283998284</x:v>
      </x:c>
      <x:c r="H3462" s="36" t="n">
        <x:f>E3462*G3462</x:f>
        <x:v>172857.78635778636</x:v>
      </x:c>
      <x:c r="I3462" s="36" t="n">
        <x:f>IFERROR(H3462/A3462,0)</x:f>
        <x:v>28809.63105963106</x:v>
      </x:c>
      <x:c r="J3462" s="67" t="str">
        <x:v>Modeled from live base + Sep-2026 quality ratio</x:v>
      </x:c>
      <x:c r="K3462" s="67" t="str">
        <x:v>https://www.stonealgo.com/diamond-prices/</x:v>
      </x:c>
      <x:c r="L3462" s="67" t="str">
        <x:v>https://www.pricescope.com/blog/natural-diamond-prices-september-2026</x:v>
      </x:c>
    </x:row>
    <x:row r="3463">
      <x:c r="A3463" t="n">
        <x:v>6</x:v>
      </x:c>
      <x:c r="B3463" t="str">
        <x:v>Cushion</x:v>
      </x:c>
      <x:c r="C3463" t="str">
        <x:v>D</x:v>
      </x:c>
      <x:c r="D3463" t="str">
        <x:v>VS2</x:v>
      </x:c>
      <x:c r="E3463" s="36" t="n">
        <x:v>129000</x:v>
      </x:c>
      <x:c r="F3463" s="36" t="n">
        <x:v>5841</x:v>
      </x:c>
      <x:c r="G3463" s="42" t="n">
        <x:v>1.252895752895753</x:v>
      </x:c>
      <x:c r="H3463" s="36" t="n">
        <x:f>E3463*G3463</x:f>
        <x:v>161623.55212355213</x:v>
      </x:c>
      <x:c r="I3463" s="36" t="n">
        <x:f>IFERROR(H3463/A3463,0)</x:f>
        <x:v>26937.258687258687</x:v>
      </x:c>
      <x:c r="J3463" s="67" t="str">
        <x:v>Modeled from live base + Sep-2026 quality ratio</x:v>
      </x:c>
      <x:c r="K3463" s="67" t="str">
        <x:v>https://www.stonealgo.com/diamond-prices/</x:v>
      </x:c>
      <x:c r="L3463" s="67" t="str">
        <x:v>https://www.pricescope.com/blog/natural-diamond-prices-september-2026</x:v>
      </x:c>
    </x:row>
    <x:row r="3464">
      <x:c r="A3464" t="n">
        <x:v>6</x:v>
      </x:c>
      <x:c r="B3464" t="str">
        <x:v>Cushion</x:v>
      </x:c>
      <x:c r="C3464" t="str">
        <x:v>D</x:v>
      </x:c>
      <x:c r="D3464" t="str">
        <x:v>SI1</x:v>
      </x:c>
      <x:c r="E3464" s="36" t="n">
        <x:v>129000</x:v>
      </x:c>
      <x:c r="F3464" s="36" t="n">
        <x:v>3762</x:v>
      </x:c>
      <x:c r="G3464" s="42" t="n">
        <x:v>0.806949806949807</x:v>
      </x:c>
      <x:c r="H3464" s="36" t="n">
        <x:f>E3464*G3464</x:f>
        <x:v>104096.5250965251</x:v>
      </x:c>
      <x:c r="I3464" s="36" t="n">
        <x:f>IFERROR(H3464/A3464,0)</x:f>
        <x:v>17349.42084942085</x:v>
      </x:c>
      <x:c r="J3464" s="67" t="str">
        <x:v>Modeled from live base + Sep-2026 quality ratio</x:v>
      </x:c>
      <x:c r="K3464" s="67" t="str">
        <x:v>https://www.stonealgo.com/diamond-prices/</x:v>
      </x:c>
      <x:c r="L3464" s="67" t="str">
        <x:v>https://www.pricescope.com/blog/natural-diamond-prices-september-2026</x:v>
      </x:c>
    </x:row>
    <x:row r="3465">
      <x:c r="A3465" t="n">
        <x:v>6</x:v>
      </x:c>
      <x:c r="B3465" t="str">
        <x:v>Cushion</x:v>
      </x:c>
      <x:c r="C3465" t="str">
        <x:v>D</x:v>
      </x:c>
      <x:c r="D3465" t="str">
        <x:v>SI2</x:v>
      </x:c>
      <x:c r="E3465" s="36" t="n">
        <x:v>129000</x:v>
      </x:c>
      <x:c r="F3465" s="36" t="n">
        <x:v>3026</x:v>
      </x:c>
      <x:c r="G3465" s="42" t="n">
        <x:v>0.6490776490776491</x:v>
      </x:c>
      <x:c r="H3465" s="36" t="n">
        <x:f>E3465*G3465</x:f>
        <x:v>83731.01673101673</x:v>
      </x:c>
      <x:c r="I3465" s="36" t="n">
        <x:f>IFERROR(H3465/A3465,0)</x:f>
        <x:v>13955.169455169455</x:v>
      </x:c>
      <x:c r="J3465" s="67" t="str">
        <x:v>Modeled from live base + Sep-2026 quality ratio</x:v>
      </x:c>
      <x:c r="K3465" s="67" t="str">
        <x:v>https://www.stonealgo.com/diamond-prices/</x:v>
      </x:c>
      <x:c r="L3465" s="67" t="str">
        <x:v>https://www.pricescope.com/blog/natural-diamond-prices-september-2026</x:v>
      </x:c>
    </x:row>
    <x:row r="3466">
      <x:c r="A3466" t="n">
        <x:v>6</x:v>
      </x:c>
      <x:c r="B3466" t="str">
        <x:v>Cushion</x:v>
      </x:c>
      <x:c r="C3466" t="str">
        <x:v>E</x:v>
      </x:c>
      <x:c r="D3466" t="str">
        <x:v>FL</x:v>
      </x:c>
      <x:c r="E3466" s="36" t="n">
        <x:v>129000</x:v>
      </x:c>
      <x:c r="F3466" s="36" t="n">
        <x:v>10072</x:v>
      </x:c>
      <x:c r="G3466" s="42" t="n">
        <x:v>2.1604461604461602</x:v>
      </x:c>
      <x:c r="H3466" s="36" t="n">
        <x:f>E3466*G3466</x:f>
        <x:v>278697.5546975547</x:v>
      </x:c>
      <x:c r="I3466" s="36" t="n">
        <x:f>IFERROR(H3466/A3466,0)</x:f>
        <x:v>46449.59244959245</x:v>
      </x:c>
      <x:c r="J3466" s="67" t="str">
        <x:v>Modeled from live base + Sep-2026 quality ratio</x:v>
      </x:c>
      <x:c r="K3466" s="67" t="str">
        <x:v>https://www.stonealgo.com/diamond-prices/</x:v>
      </x:c>
      <x:c r="L3466" s="67" t="str">
        <x:v>https://www.pricescope.com/blog/natural-diamond-prices-september-2026</x:v>
      </x:c>
    </x:row>
    <x:row r="3467">
      <x:c r="A3467" t="n">
        <x:v>6</x:v>
      </x:c>
      <x:c r="B3467" t="str">
        <x:v>Cushion</x:v>
      </x:c>
      <x:c r="C3467" t="str">
        <x:v>E</x:v>
      </x:c>
      <x:c r="D3467" t="str">
        <x:v>IF</x:v>
      </x:c>
      <x:c r="E3467" s="36" t="n">
        <x:v>129000</x:v>
      </x:c>
      <x:c r="F3467" s="36" t="n">
        <x:v>8672</x:v>
      </x:c>
      <x:c r="G3467" s="42" t="n">
        <x:v>1.8601458601458603</x:v>
      </x:c>
      <x:c r="H3467" s="36" t="n">
        <x:f>E3467*G3467</x:f>
        <x:v>239958.81595881598</x:v>
      </x:c>
      <x:c r="I3467" s="36" t="n">
        <x:f>IFERROR(H3467/A3467,0)</x:f>
        <x:v>39993.135993136</x:v>
      </x:c>
      <x:c r="J3467" s="67" t="str">
        <x:v>Modeled from live base + Sep-2026 quality ratio</x:v>
      </x:c>
      <x:c r="K3467" s="67" t="str">
        <x:v>https://www.stonealgo.com/diamond-prices/</x:v>
      </x:c>
      <x:c r="L3467" s="67" t="str">
        <x:v>https://www.pricescope.com/blog/natural-diamond-prices-september-2026</x:v>
      </x:c>
    </x:row>
    <x:row r="3468">
      <x:c r="A3468" t="n">
        <x:v>6</x:v>
      </x:c>
      <x:c r="B3468" t="str">
        <x:v>Cushion</x:v>
      </x:c>
      <x:c r="C3468" t="str">
        <x:v>E</x:v>
      </x:c>
      <x:c r="D3468" t="str">
        <x:v>VVS1</x:v>
      </x:c>
      <x:c r="E3468" s="36" t="n">
        <x:v>129000</x:v>
      </x:c>
      <x:c r="F3468" s="36" t="n">
        <x:v>7842</x:v>
      </x:c>
      <x:c r="G3468" s="42" t="n">
        <x:v>1.6821106821106822</x:v>
      </x:c>
      <x:c r="H3468" s="36" t="n">
        <x:f>E3468*G3468</x:f>
        <x:v>216992.277992278</x:v>
      </x:c>
      <x:c r="I3468" s="36" t="n">
        <x:f>IFERROR(H3468/A3468,0)</x:f>
        <x:v>36165.37966537967</x:v>
      </x:c>
      <x:c r="J3468" s="67" t="str">
        <x:v>Modeled from live base + Sep-2026 quality ratio</x:v>
      </x:c>
      <x:c r="K3468" s="67" t="str">
        <x:v>https://www.stonealgo.com/diamond-prices/</x:v>
      </x:c>
      <x:c r="L3468" s="67" t="str">
        <x:v>https://www.pricescope.com/blog/natural-diamond-prices-september-2026</x:v>
      </x:c>
    </x:row>
    <x:row r="3469">
      <x:c r="A3469" t="n">
        <x:v>6</x:v>
      </x:c>
      <x:c r="B3469" t="str">
        <x:v>Cushion</x:v>
      </x:c>
      <x:c r="C3469" t="str">
        <x:v>E</x:v>
      </x:c>
      <x:c r="D3469" t="str">
        <x:v>VVS2</x:v>
      </x:c>
      <x:c r="E3469" s="36" t="n">
        <x:v>129000</x:v>
      </x:c>
      <x:c r="F3469" s="36" t="n">
        <x:v>6880</x:v>
      </x:c>
      <x:c r="G3469" s="42" t="n">
        <x:v>1.4757614757614759</x:v>
      </x:c>
      <x:c r="H3469" s="36" t="n">
        <x:f>E3469*G3469</x:f>
        <x:v>190373.23037323038</x:v>
      </x:c>
      <x:c r="I3469" s="36" t="n">
        <x:f>IFERROR(H3469/A3469,0)</x:f>
        <x:v>31728.87172887173</x:v>
      </x:c>
      <x:c r="J3469" s="67" t="str">
        <x:v>Modeled from live base + Sep-2026 quality ratio</x:v>
      </x:c>
      <x:c r="K3469" s="67" t="str">
        <x:v>https://www.stonealgo.com/diamond-prices/</x:v>
      </x:c>
      <x:c r="L3469" s="67" t="str">
        <x:v>https://www.pricescope.com/blog/natural-diamond-prices-september-2026</x:v>
      </x:c>
    </x:row>
    <x:row r="3470">
      <x:c r="A3470" t="n">
        <x:v>6</x:v>
      </x:c>
      <x:c r="B3470" t="str">
        <x:v>Cushion</x:v>
      </x:c>
      <x:c r="C3470" t="str">
        <x:v>E</x:v>
      </x:c>
      <x:c r="D3470" t="str">
        <x:v>VS1</x:v>
      </x:c>
      <x:c r="E3470" s="36" t="n">
        <x:v>129000</x:v>
      </x:c>
      <x:c r="F3470" s="36" t="n">
        <x:v>6307</x:v>
      </x:c>
      <x:c r="G3470" s="42" t="n">
        <x:v>1.352852852852853</x:v>
      </x:c>
      <x:c r="H3470" s="36" t="n">
        <x:f>E3470*G3470</x:f>
        <x:v>174518.01801801802</x:v>
      </x:c>
      <x:c r="I3470" s="36" t="n">
        <x:f>IFERROR(H3470/A3470,0)</x:f>
        <x:v>29086.336336336335</x:v>
      </x:c>
      <x:c r="J3470" s="67" t="str">
        <x:v>Modeled from live base + Sep-2026 quality ratio</x:v>
      </x:c>
      <x:c r="K3470" s="67" t="str">
        <x:v>https://www.stonealgo.com/diamond-prices/</x:v>
      </x:c>
      <x:c r="L3470" s="67" t="str">
        <x:v>https://www.pricescope.com/blog/natural-diamond-prices-september-2026</x:v>
      </x:c>
    </x:row>
    <x:row r="3471">
      <x:c r="A3471" t="n">
        <x:v>6</x:v>
      </x:c>
      <x:c r="B3471" t="str">
        <x:v>Cushion</x:v>
      </x:c>
      <x:c r="C3471" t="str">
        <x:v>E</x:v>
      </x:c>
      <x:c r="D3471" t="str">
        <x:v>VS2</x:v>
      </x:c>
      <x:c r="E3471" s="36" t="n">
        <x:v>129000</x:v>
      </x:c>
      <x:c r="F3471" s="36" t="n">
        <x:v>5249</x:v>
      </x:c>
      <x:c r="G3471" s="42" t="n">
        <x:v>1.125911625911626</x:v>
      </x:c>
      <x:c r="H3471" s="36" t="n">
        <x:f>E3471*G3471</x:f>
        <x:v>145242.59974259976</x:v>
      </x:c>
      <x:c r="I3471" s="36" t="n">
        <x:f>IFERROR(H3471/A3471,0)</x:f>
        <x:v>24207.09995709996</x:v>
      </x:c>
      <x:c r="J3471" s="67" t="str">
        <x:v>Modeled from live base + Sep-2026 quality ratio</x:v>
      </x:c>
      <x:c r="K3471" s="67" t="str">
        <x:v>https://www.stonealgo.com/diamond-prices/</x:v>
      </x:c>
      <x:c r="L3471" s="67" t="str">
        <x:v>https://www.pricescope.com/blog/natural-diamond-prices-september-2026</x:v>
      </x:c>
    </x:row>
    <x:row r="3472">
      <x:c r="A3472" t="n">
        <x:v>6</x:v>
      </x:c>
      <x:c r="B3472" t="str">
        <x:v>Cushion</x:v>
      </x:c>
      <x:c r="C3472" t="str">
        <x:v>E</x:v>
      </x:c>
      <x:c r="D3472" t="str">
        <x:v>SI1</x:v>
      </x:c>
      <x:c r="E3472" s="36" t="n">
        <x:v>129000</x:v>
      </x:c>
      <x:c r="F3472" s="36" t="n">
        <x:v>3551</x:v>
      </x:c>
      <x:c r="G3472" s="42" t="n">
        <x:v>0.7616902616902617</x:v>
      </x:c>
      <x:c r="H3472" s="36" t="n">
        <x:f>E3472*G3472</x:f>
        <x:v>98258.04375804376</x:v>
      </x:c>
      <x:c r="I3472" s="36" t="n">
        <x:f>IFERROR(H3472/A3472,0)</x:f>
        <x:v>16376.340626340627</x:v>
      </x:c>
      <x:c r="J3472" s="67" t="str">
        <x:v>Modeled from live base + Sep-2026 quality ratio</x:v>
      </x:c>
      <x:c r="K3472" s="67" t="str">
        <x:v>https://www.stonealgo.com/diamond-prices/</x:v>
      </x:c>
      <x:c r="L3472" s="67" t="str">
        <x:v>https://www.pricescope.com/blog/natural-diamond-prices-september-2026</x:v>
      </x:c>
    </x:row>
    <x:row r="3473">
      <x:c r="A3473" t="n">
        <x:v>6</x:v>
      </x:c>
      <x:c r="B3473" t="str">
        <x:v>Cushion</x:v>
      </x:c>
      <x:c r="C3473" t="str">
        <x:v>E</x:v>
      </x:c>
      <x:c r="D3473" t="str">
        <x:v>SI2</x:v>
      </x:c>
      <x:c r="E3473" s="36" t="n">
        <x:v>129000</x:v>
      </x:c>
      <x:c r="F3473" s="36" t="n">
        <x:v>2993</x:v>
      </x:c>
      <x:c r="G3473" s="42" t="n">
        <x:v>0.641999141999142</x:v>
      </x:c>
      <x:c r="H3473" s="36" t="n">
        <x:f>E3473*G3473</x:f>
        <x:v>82817.88931788932</x:v>
      </x:c>
      <x:c r="I3473" s="36" t="n">
        <x:f>IFERROR(H3473/A3473,0)</x:f>
        <x:v>13802.981552981553</x:v>
      </x:c>
      <x:c r="J3473" s="67" t="str">
        <x:v>Modeled from live base + Sep-2026 quality ratio</x:v>
      </x:c>
      <x:c r="K3473" s="67" t="str">
        <x:v>https://www.stonealgo.com/diamond-prices/</x:v>
      </x:c>
      <x:c r="L3473" s="67" t="str">
        <x:v>https://www.pricescope.com/blog/natural-diamond-prices-september-2026</x:v>
      </x:c>
    </x:row>
    <x:row r="3474">
      <x:c r="A3474" t="n">
        <x:v>6</x:v>
      </x:c>
      <x:c r="B3474" t="str">
        <x:v>Cushion</x:v>
      </x:c>
      <x:c r="C3474" t="str">
        <x:v>F</x:v>
      </x:c>
      <x:c r="D3474" t="str">
        <x:v>FL</x:v>
      </x:c>
      <x:c r="E3474" s="36" t="n">
        <x:v>129000</x:v>
      </x:c>
      <x:c r="F3474" s="36" t="n">
        <x:v>6830</x:v>
      </x:c>
      <x:c r="G3474" s="42" t="n">
        <x:v>1.4650364650364651</x:v>
      </x:c>
      <x:c r="H3474" s="36" t="n">
        <x:f>E3474*G3474</x:f>
        <x:v>188989.703989704</x:v>
      </x:c>
      <x:c r="I3474" s="36" t="n">
        <x:f>IFERROR(H3474/A3474,0)</x:f>
        <x:v>31498.283998283998</x:v>
      </x:c>
      <x:c r="J3474" s="67" t="str">
        <x:v>Modeled from live base + Sep-2026 quality ratio</x:v>
      </x:c>
      <x:c r="K3474" s="67" t="str">
        <x:v>https://www.stonealgo.com/diamond-prices/</x:v>
      </x:c>
      <x:c r="L3474" s="67" t="str">
        <x:v>https://www.pricescope.com/blog/natural-diamond-prices-september-2026</x:v>
      </x:c>
    </x:row>
    <x:row r="3475">
      <x:c r="A3475" t="n">
        <x:v>6</x:v>
      </x:c>
      <x:c r="B3475" t="str">
        <x:v>Cushion</x:v>
      </x:c>
      <x:c r="C3475" t="str">
        <x:v>F</x:v>
      </x:c>
      <x:c r="D3475" t="str">
        <x:v>IF</x:v>
      </x:c>
      <x:c r="E3475" s="36" t="n">
        <x:v>129000</x:v>
      </x:c>
      <x:c r="F3475" s="36" t="n">
        <x:v>7302</x:v>
      </x:c>
      <x:c r="G3475" s="42" t="n">
        <x:v>1.5662805662805663</x:v>
      </x:c>
      <x:c r="H3475" s="36" t="n">
        <x:f>E3475*G3475</x:f>
        <x:v>202050.19305019305</x:v>
      </x:c>
      <x:c r="I3475" s="36" t="n">
        <x:f>IFERROR(H3475/A3475,0)</x:f>
        <x:v>33675.032175032175</x:v>
      </x:c>
      <x:c r="J3475" s="67" t="str">
        <x:v>Modeled from live base + Sep-2026 quality ratio</x:v>
      </x:c>
      <x:c r="K3475" s="67" t="str">
        <x:v>https://www.stonealgo.com/diamond-prices/</x:v>
      </x:c>
      <x:c r="L3475" s="67" t="str">
        <x:v>https://www.pricescope.com/blog/natural-diamond-prices-september-2026</x:v>
      </x:c>
    </x:row>
    <x:row r="3476">
      <x:c r="A3476" t="n">
        <x:v>6</x:v>
      </x:c>
      <x:c r="B3476" t="str">
        <x:v>Cushion</x:v>
      </x:c>
      <x:c r="C3476" t="str">
        <x:v>F</x:v>
      </x:c>
      <x:c r="D3476" t="str">
        <x:v>VVS1</x:v>
      </x:c>
      <x:c r="E3476" s="36" t="n">
        <x:v>129000</x:v>
      </x:c>
      <x:c r="F3476" s="36" t="n">
        <x:v>7542</x:v>
      </x:c>
      <x:c r="G3476" s="42" t="n">
        <x:v>1.6177606177606179</x:v>
      </x:c>
      <x:c r="H3476" s="36" t="n">
        <x:f>E3476*G3476</x:f>
        <x:v>208691.1196911197</x:v>
      </x:c>
      <x:c r="I3476" s="36" t="n">
        <x:f>IFERROR(H3476/A3476,0)</x:f>
        <x:v>34781.853281853284</x:v>
      </x:c>
      <x:c r="J3476" s="67" t="str">
        <x:v>Modeled from live base + Sep-2026 quality ratio</x:v>
      </x:c>
      <x:c r="K3476" s="67" t="str">
        <x:v>https://www.stonealgo.com/diamond-prices/</x:v>
      </x:c>
      <x:c r="L3476" s="67" t="str">
        <x:v>https://www.pricescope.com/blog/natural-diamond-prices-september-2026</x:v>
      </x:c>
    </x:row>
    <x:row r="3477">
      <x:c r="A3477" t="n">
        <x:v>6</x:v>
      </x:c>
      <x:c r="B3477" t="str">
        <x:v>Cushion</x:v>
      </x:c>
      <x:c r="C3477" t="str">
        <x:v>F</x:v>
      </x:c>
      <x:c r="D3477" t="str">
        <x:v>VVS2</x:v>
      </x:c>
      <x:c r="E3477" s="36" t="n">
        <x:v>129000</x:v>
      </x:c>
      <x:c r="F3477" s="36" t="n">
        <x:v>6352</x:v>
      </x:c>
      <x:c r="G3477" s="42" t="n">
        <x:v>1.3625053625053625</x:v>
      </x:c>
      <x:c r="H3477" s="36" t="n">
        <x:f>E3477*G3477</x:f>
        <x:v>175763.19176319175</x:v>
      </x:c>
      <x:c r="I3477" s="36" t="n">
        <x:f>IFERROR(H3477/A3477,0)</x:f>
        <x:v>29293.865293865292</x:v>
      </x:c>
      <x:c r="J3477" s="67" t="str">
        <x:v>Modeled from live base + Sep-2026 quality ratio</x:v>
      </x:c>
      <x:c r="K3477" s="67" t="str">
        <x:v>https://www.stonealgo.com/diamond-prices/</x:v>
      </x:c>
      <x:c r="L3477" s="67" t="str">
        <x:v>https://www.pricescope.com/blog/natural-diamond-prices-september-2026</x:v>
      </x:c>
    </x:row>
    <x:row r="3478">
      <x:c r="A3478" t="n">
        <x:v>6</x:v>
      </x:c>
      <x:c r="B3478" t="str">
        <x:v>Cushion</x:v>
      </x:c>
      <x:c r="C3478" t="str">
        <x:v>F</x:v>
      </x:c>
      <x:c r="D3478" t="str">
        <x:v>VS1</x:v>
      </x:c>
      <x:c r="E3478" s="36" t="n">
        <x:v>129000</x:v>
      </x:c>
      <x:c r="F3478" s="36" t="n">
        <x:v>5647</x:v>
      </x:c>
      <x:c r="G3478" s="42" t="n">
        <x:v>1.2112827112827114</x:v>
      </x:c>
      <x:c r="H3478" s="36" t="n">
        <x:f>E3478*G3478</x:f>
        <x:v>156255.46975546976</x:v>
      </x:c>
      <x:c r="I3478" s="36" t="n">
        <x:f>IFERROR(H3478/A3478,0)</x:f>
        <x:v>26042.578292578295</x:v>
      </x:c>
      <x:c r="J3478" s="67" t="str">
        <x:v>Modeled from live base + Sep-2026 quality ratio</x:v>
      </x:c>
      <x:c r="K3478" s="67" t="str">
        <x:v>https://www.stonealgo.com/diamond-prices/</x:v>
      </x:c>
      <x:c r="L3478" s="67" t="str">
        <x:v>https://www.pricescope.com/blog/natural-diamond-prices-september-2026</x:v>
      </x:c>
    </x:row>
    <x:row r="3479">
      <x:c r="A3479" t="n">
        <x:v>6</x:v>
      </x:c>
      <x:c r="B3479" t="str">
        <x:v>Cushion</x:v>
      </x:c>
      <x:c r="C3479" t="str">
        <x:v>F</x:v>
      </x:c>
      <x:c r="D3479" t="str">
        <x:v>VS2</x:v>
      </x:c>
      <x:c r="E3479" s="36" t="n">
        <x:v>129000</x:v>
      </x:c>
      <x:c r="F3479" s="36" t="n">
        <x:v>4730</x:v>
      </x:c>
      <x:c r="G3479" s="42" t="n">
        <x:v>1.0145860145860146</x:v>
      </x:c>
      <x:c r="H3479" s="36" t="n">
        <x:f>E3479*G3479</x:f>
        <x:v>130881.59588159589</x:v>
      </x:c>
      <x:c r="I3479" s="36" t="n">
        <x:f>IFERROR(H3479/A3479,0)</x:f>
        <x:v>21813.599313599316</x:v>
      </x:c>
      <x:c r="J3479" s="67" t="str">
        <x:v>Modeled from live base + Sep-2026 quality ratio</x:v>
      </x:c>
      <x:c r="K3479" s="67" t="str">
        <x:v>https://www.stonealgo.com/diamond-prices/</x:v>
      </x:c>
      <x:c r="L3479" s="67" t="str">
        <x:v>https://www.pricescope.com/blog/natural-diamond-prices-september-2026</x:v>
      </x:c>
    </x:row>
    <x:row r="3480">
      <x:c r="A3480" t="n">
        <x:v>6</x:v>
      </x:c>
      <x:c r="B3480" t="str">
        <x:v>Cushion</x:v>
      </x:c>
      <x:c r="C3480" t="str">
        <x:v>F</x:v>
      </x:c>
      <x:c r="D3480" t="str">
        <x:v>SI1</x:v>
      </x:c>
      <x:c r="E3480" s="36" t="n">
        <x:v>129000</x:v>
      </x:c>
      <x:c r="F3480" s="36" t="n">
        <x:v>3331</x:v>
      </x:c>
      <x:c r="G3480" s="42" t="n">
        <x:v>0.7145002145002145</x:v>
      </x:c>
      <x:c r="H3480" s="36" t="n">
        <x:f>E3480*G3480</x:f>
        <x:v>92170.52767052768</x:v>
      </x:c>
      <x:c r="I3480" s="36" t="n">
        <x:f>IFERROR(H3480/A3480,0)</x:f>
        <x:v>15361.754611754614</x:v>
      </x:c>
      <x:c r="J3480" s="67" t="str">
        <x:v>Modeled from live base + Sep-2026 quality ratio</x:v>
      </x:c>
      <x:c r="K3480" s="67" t="str">
        <x:v>https://www.stonealgo.com/diamond-prices/</x:v>
      </x:c>
      <x:c r="L3480" s="67" t="str">
        <x:v>https://www.pricescope.com/blog/natural-diamond-prices-september-2026</x:v>
      </x:c>
    </x:row>
    <x:row r="3481">
      <x:c r="A3481" t="n">
        <x:v>6</x:v>
      </x:c>
      <x:c r="B3481" t="str">
        <x:v>Cushion</x:v>
      </x:c>
      <x:c r="C3481" t="str">
        <x:v>F</x:v>
      </x:c>
      <x:c r="D3481" t="str">
        <x:v>SI2</x:v>
      </x:c>
      <x:c r="E3481" s="36" t="n">
        <x:v>129000</x:v>
      </x:c>
      <x:c r="F3481" s="36" t="n">
        <x:v>2733</x:v>
      </x:c>
      <x:c r="G3481" s="42" t="n">
        <x:v>0.5862290862290862</x:v>
      </x:c>
      <x:c r="H3481" s="36" t="n">
        <x:f>E3481*G3481</x:f>
        <x:v>75623.55212355212</x:v>
      </x:c>
      <x:c r="I3481" s="36" t="n">
        <x:f>IFERROR(H3481/A3481,0)</x:f>
        <x:v>12603.925353925353</x:v>
      </x:c>
      <x:c r="J3481" s="67" t="str">
        <x:v>Modeled from live base + Sep-2026 quality ratio</x:v>
      </x:c>
      <x:c r="K3481" s="67" t="str">
        <x:v>https://www.stonealgo.com/diamond-prices/</x:v>
      </x:c>
      <x:c r="L3481" s="67" t="str">
        <x:v>https://www.pricescope.com/blog/natural-diamond-prices-september-2026</x:v>
      </x:c>
    </x:row>
    <x:row r="3482">
      <x:c r="A3482" t="n">
        <x:v>6</x:v>
      </x:c>
      <x:c r="B3482" t="str">
        <x:v>Cushion</x:v>
      </x:c>
      <x:c r="C3482" t="str">
        <x:v>G</x:v>
      </x:c>
      <x:c r="D3482" t="str">
        <x:v>FL</x:v>
      </x:c>
      <x:c r="E3482" s="36" t="n">
        <x:v>129000</x:v>
      </x:c>
      <x:c r="F3482" s="36" t="n">
        <x:v>5905</x:v>
      </x:c>
      <x:c r="G3482" s="42" t="n">
        <x:v>1.2666237666237665</x:v>
      </x:c>
      <x:c r="H3482" s="36" t="n">
        <x:f>E3482*G3482</x:f>
        <x:v>163394.4658944659</x:v>
      </x:c>
      <x:c r="I3482" s="36" t="n">
        <x:f>IFERROR(H3482/A3482,0)</x:f>
        <x:v>27232.41098241098</x:v>
      </x:c>
      <x:c r="J3482" s="67" t="str">
        <x:v>Modeled from live base + Sep-2026 quality ratio</x:v>
      </x:c>
      <x:c r="K3482" s="67" t="str">
        <x:v>https://www.stonealgo.com/diamond-prices/</x:v>
      </x:c>
      <x:c r="L3482" s="67" t="str">
        <x:v>https://www.pricescope.com/blog/natural-diamond-prices-september-2026</x:v>
      </x:c>
    </x:row>
    <x:row r="3483">
      <x:c r="A3483" t="n">
        <x:v>6</x:v>
      </x:c>
      <x:c r="B3483" t="str">
        <x:v>Cushion</x:v>
      </x:c>
      <x:c r="C3483" t="str">
        <x:v>G</x:v>
      </x:c>
      <x:c r="D3483" t="str">
        <x:v>IF</x:v>
      </x:c>
      <x:c r="E3483" s="36" t="n">
        <x:v>129000</x:v>
      </x:c>
      <x:c r="F3483" s="36" t="n">
        <x:v>5601</x:v>
      </x:c>
      <x:c r="G3483" s="42" t="n">
        <x:v>1.2014157014157014</x:v>
      </x:c>
      <x:c r="H3483" s="36" t="n">
        <x:f>E3483*G3483</x:f>
        <x:v>154982.62548262547</x:v>
      </x:c>
      <x:c r="I3483" s="36" t="n">
        <x:f>IFERROR(H3483/A3483,0)</x:f>
        <x:v>25830.437580437578</x:v>
      </x:c>
      <x:c r="J3483" s="67" t="str">
        <x:v>Modeled from live base + Sep-2026 quality ratio</x:v>
      </x:c>
      <x:c r="K3483" s="67" t="str">
        <x:v>https://www.stonealgo.com/diamond-prices/</x:v>
      </x:c>
      <x:c r="L3483" s="67" t="str">
        <x:v>https://www.pricescope.com/blog/natural-diamond-prices-september-2026</x:v>
      </x:c>
    </x:row>
    <x:row r="3484">
      <x:c r="A3484" t="n">
        <x:v>6</x:v>
      </x:c>
      <x:c r="B3484" t="str">
        <x:v>Cushion</x:v>
      </x:c>
      <x:c r="C3484" t="str">
        <x:v>G</x:v>
      </x:c>
      <x:c r="D3484" t="str">
        <x:v>VVS1</x:v>
      </x:c>
      <x:c r="E3484" s="36" t="n">
        <x:v>129000</x:v>
      </x:c>
      <x:c r="F3484" s="36" t="n">
        <x:v>5124</x:v>
      </x:c>
      <x:c r="G3484" s="42" t="n">
        <x:v>1.0990990990990992</x:v>
      </x:c>
      <x:c r="H3484" s="36" t="n">
        <x:f>E3484*G3484</x:f>
        <x:v>141783.7837837838</x:v>
      </x:c>
      <x:c r="I3484" s="36" t="n">
        <x:f>IFERROR(H3484/A3484,0)</x:f>
        <x:v>23630.630630630632</x:v>
      </x:c>
      <x:c r="J3484" s="67" t="str">
        <x:v>Modeled from live base + Sep-2026 quality ratio</x:v>
      </x:c>
      <x:c r="K3484" s="67" t="str">
        <x:v>https://www.stonealgo.com/diamond-prices/</x:v>
      </x:c>
      <x:c r="L3484" s="67" t="str">
        <x:v>https://www.pricescope.com/blog/natural-diamond-prices-september-2026</x:v>
      </x:c>
    </x:row>
    <x:row r="3485">
      <x:c r="A3485" t="n">
        <x:v>6</x:v>
      </x:c>
      <x:c r="B3485" t="str">
        <x:v>Cushion</x:v>
      </x:c>
      <x:c r="C3485" t="str">
        <x:v>G</x:v>
      </x:c>
      <x:c r="D3485" t="str">
        <x:v>VVS2</x:v>
      </x:c>
      <x:c r="E3485" s="36" t="n">
        <x:v>129000</x:v>
      </x:c>
      <x:c r="F3485" s="36" t="n">
        <x:v>4962</x:v>
      </x:c>
      <x:c r="G3485" s="42" t="n">
        <x:v>1.0643500643500643</x:v>
      </x:c>
      <x:c r="H3485" s="36" t="n">
        <x:f>E3485*G3485</x:f>
        <x:v>137301.15830115828</x:v>
      </x:c>
      <x:c r="I3485" s="36" t="n">
        <x:f>IFERROR(H3485/A3485,0)</x:f>
        <x:v>22883.52638352638</x:v>
      </x:c>
      <x:c r="J3485" s="67" t="str">
        <x:v>Modeled from live base + Sep-2026 quality ratio</x:v>
      </x:c>
      <x:c r="K3485" s="67" t="str">
        <x:v>https://www.stonealgo.com/diamond-prices/</x:v>
      </x:c>
      <x:c r="L3485" s="67" t="str">
        <x:v>https://www.pricescope.com/blog/natural-diamond-prices-september-2026</x:v>
      </x:c>
    </x:row>
    <x:row r="3486">
      <x:c r="A3486" t="n">
        <x:v>6</x:v>
      </x:c>
      <x:c r="B3486" t="str">
        <x:v>Cushion</x:v>
      </x:c>
      <x:c r="C3486" t="str">
        <x:v>G</x:v>
      </x:c>
      <x:c r="D3486" t="str">
        <x:v>VS1</x:v>
      </x:c>
      <x:c r="E3486" s="36" t="n">
        <x:v>129000</x:v>
      </x:c>
      <x:c r="F3486" s="36" t="n">
        <x:v>4615</x:v>
      </x:c>
      <x:c r="G3486" s="42" t="n">
        <x:v>0.98991848991849</x:v>
      </x:c>
      <x:c r="H3486" s="36" t="n">
        <x:f>E3486*G3486</x:f>
        <x:v>127699.4851994852</x:v>
      </x:c>
      <x:c r="I3486" s="36" t="n">
        <x:f>IFERROR(H3486/A3486,0)</x:f>
        <x:v>21283.247533247533</x:v>
      </x:c>
      <x:c r="J3486" s="67" t="str">
        <x:v>Modeled from live base + Sep-2026 quality ratio</x:v>
      </x:c>
      <x:c r="K3486" s="67" t="str">
        <x:v>https://www.stonealgo.com/diamond-prices/</x:v>
      </x:c>
      <x:c r="L3486" s="67" t="str">
        <x:v>https://www.pricescope.com/blog/natural-diamond-prices-september-2026</x:v>
      </x:c>
    </x:row>
    <x:row r="3487">
      <x:c r="A3487" t="n">
        <x:v>6</x:v>
      </x:c>
      <x:c r="B3487" t="str">
        <x:v>Cushion</x:v>
      </x:c>
      <x:c r="C3487" t="str">
        <x:v>G</x:v>
      </x:c>
      <x:c r="D3487" t="str">
        <x:v>VS2</x:v>
      </x:c>
      <x:c r="E3487" s="36" t="n">
        <x:v>129000</x:v>
      </x:c>
      <x:c r="F3487" s="36" t="n">
        <x:v>4585</x:v>
      </x:c>
      <x:c r="G3487" s="42" t="n">
        <x:v>0.9834834834834835</x:v>
      </x:c>
      <x:c r="H3487" s="36" t="n">
        <x:f>E3487*G3487</x:f>
        <x:v>126869.36936936936</x:v>
      </x:c>
      <x:c r="I3487" s="36" t="n">
        <x:f>IFERROR(H3487/A3487,0)</x:f>
        <x:v>21144.894894894893</x:v>
      </x:c>
      <x:c r="J3487" s="67" t="str">
        <x:v>Modeled from live base + Sep-2026 quality ratio</x:v>
      </x:c>
      <x:c r="K3487" s="67" t="str">
        <x:v>https://www.stonealgo.com/diamond-prices/</x:v>
      </x:c>
      <x:c r="L3487" s="67" t="str">
        <x:v>https://www.pricescope.com/blog/natural-diamond-prices-september-2026</x:v>
      </x:c>
    </x:row>
    <x:row r="3488">
      <x:c r="A3488" t="n">
        <x:v>6</x:v>
      </x:c>
      <x:c r="B3488" t="str">
        <x:v>Cushion</x:v>
      </x:c>
      <x:c r="C3488" t="str">
        <x:v>G</x:v>
      </x:c>
      <x:c r="D3488" t="str">
        <x:v>SI1</x:v>
      </x:c>
      <x:c r="E3488" s="36" t="n">
        <x:v>129000</x:v>
      </x:c>
      <x:c r="F3488" s="36" t="n">
        <x:v>3664</x:v>
      </x:c>
      <x:c r="G3488" s="42" t="n">
        <x:v>0.7859287859287859</x:v>
      </x:c>
      <x:c r="H3488" s="36" t="n">
        <x:f>E3488*G3488</x:f>
        <x:v>101384.81338481339</x:v>
      </x:c>
      <x:c r="I3488" s="36" t="n">
        <x:f>IFERROR(H3488/A3488,0)</x:f>
        <x:v>16897.468897468898</x:v>
      </x:c>
      <x:c r="J3488" s="67" t="str">
        <x:v>Modeled from live base + Sep-2026 quality ratio</x:v>
      </x:c>
      <x:c r="K3488" s="67" t="str">
        <x:v>https://www.stonealgo.com/diamond-prices/</x:v>
      </x:c>
      <x:c r="L3488" s="67" t="str">
        <x:v>https://www.pricescope.com/blog/natural-diamond-prices-september-2026</x:v>
      </x:c>
    </x:row>
    <x:row r="3489">
      <x:c r="A3489" t="n">
        <x:v>6</x:v>
      </x:c>
      <x:c r="B3489" t="str">
        <x:v>Cushion</x:v>
      </x:c>
      <x:c r="C3489" t="str">
        <x:v>G</x:v>
      </x:c>
      <x:c r="D3489" t="str">
        <x:v>SI2</x:v>
      </x:c>
      <x:c r="E3489" s="36" t="n">
        <x:v>129000</x:v>
      </x:c>
      <x:c r="F3489" s="36" t="n">
        <x:v>2537</x:v>
      </x:c>
      <x:c r="G3489" s="42" t="n">
        <x:v>0.5441870441870442</x:v>
      </x:c>
      <x:c r="H3489" s="36" t="n">
        <x:f>E3489*G3489</x:f>
        <x:v>70200.1287001287</x:v>
      </x:c>
      <x:c r="I3489" s="36" t="n">
        <x:f>IFERROR(H3489/A3489,0)</x:f>
        <x:v>11700.02145002145</x:v>
      </x:c>
      <x:c r="J3489" s="67" t="str">
        <x:v>Modeled from live base + Sep-2026 quality ratio</x:v>
      </x:c>
      <x:c r="K3489" s="67" t="str">
        <x:v>https://www.stonealgo.com/diamond-prices/</x:v>
      </x:c>
      <x:c r="L3489" s="67" t="str">
        <x:v>https://www.pricescope.com/blog/natural-diamond-prices-september-2026</x:v>
      </x:c>
    </x:row>
    <x:row r="3490">
      <x:c r="A3490" t="n">
        <x:v>6</x:v>
      </x:c>
      <x:c r="B3490" t="str">
        <x:v>Cushion</x:v>
      </x:c>
      <x:c r="C3490" t="str">
        <x:v>H</x:v>
      </x:c>
      <x:c r="D3490" t="str">
        <x:v>FL</x:v>
      </x:c>
      <x:c r="E3490" s="36" t="n">
        <x:v>129000</x:v>
      </x:c>
      <x:c r="F3490" s="36" t="n">
        <x:v>4563</x:v>
      </x:c>
      <x:c r="G3490" s="42" t="n">
        <x:v>0.9787644787644788</x:v>
      </x:c>
      <x:c r="H3490" s="36" t="n">
        <x:f>E3490*G3490</x:f>
        <x:v>126260.61776061777</x:v>
      </x:c>
      <x:c r="I3490" s="36" t="n">
        <x:f>IFERROR(H3490/A3490,0)</x:f>
        <x:v>21043.436293436294</x:v>
      </x:c>
      <x:c r="J3490" s="67" t="str">
        <x:v>Modeled from live base + Sep-2026 quality ratio</x:v>
      </x:c>
      <x:c r="K3490" s="67" t="str">
        <x:v>https://www.stonealgo.com/diamond-prices/</x:v>
      </x:c>
      <x:c r="L3490" s="67" t="str">
        <x:v>https://www.pricescope.com/blog/natural-diamond-prices-september-2026</x:v>
      </x:c>
    </x:row>
    <x:row r="3491">
      <x:c r="A3491" t="n">
        <x:v>6</x:v>
      </x:c>
      <x:c r="B3491" t="str">
        <x:v>Cushion</x:v>
      </x:c>
      <x:c r="C3491" t="str">
        <x:v>H</x:v>
      </x:c>
      <x:c r="D3491" t="str">
        <x:v>IF</x:v>
      </x:c>
      <x:c r="E3491" s="36" t="n">
        <x:v>129000</x:v>
      </x:c>
      <x:c r="F3491" s="36" t="n">
        <x:v>4809</x:v>
      </x:c>
      <x:c r="G3491" s="42" t="n">
        <x:v>1.0315315315315314</x:v>
      </x:c>
      <x:c r="H3491" s="36" t="n">
        <x:f>E3491*G3491</x:f>
        <x:v>133067.56756756754</x:v>
      </x:c>
      <x:c r="I3491" s="36" t="n">
        <x:f>IFERROR(H3491/A3491,0)</x:f>
        <x:v>22177.927927927925</x:v>
      </x:c>
      <x:c r="J3491" s="67" t="str">
        <x:v>Modeled from live base + Sep-2026 quality ratio</x:v>
      </x:c>
      <x:c r="K3491" s="67" t="str">
        <x:v>https://www.stonealgo.com/diamond-prices/</x:v>
      </x:c>
      <x:c r="L3491" s="67" t="str">
        <x:v>https://www.pricescope.com/blog/natural-diamond-prices-september-2026</x:v>
      </x:c>
    </x:row>
    <x:row r="3492">
      <x:c r="A3492" t="n">
        <x:v>6</x:v>
      </x:c>
      <x:c r="B3492" t="str">
        <x:v>Cushion</x:v>
      </x:c>
      <x:c r="C3492" t="str">
        <x:v>H</x:v>
      </x:c>
      <x:c r="D3492" t="str">
        <x:v>VVS1</x:v>
      </x:c>
      <x:c r="E3492" s="36" t="n">
        <x:v>129000</x:v>
      </x:c>
      <x:c r="F3492" s="36" t="n">
        <x:v>4911</x:v>
      </x:c>
      <x:c r="G3492" s="42" t="n">
        <x:v>1.0534105534105533</x:v>
      </x:c>
      <x:c r="H3492" s="36" t="n">
        <x:f>E3492*G3492</x:f>
        <x:v>135889.9613899614</x:v>
      </x:c>
      <x:c r="I3492" s="36" t="n">
        <x:f>IFERROR(H3492/A3492,0)</x:f>
        <x:v>22648.326898326897</x:v>
      </x:c>
      <x:c r="J3492" s="67" t="str">
        <x:v>Modeled from live base + Sep-2026 quality ratio</x:v>
      </x:c>
      <x:c r="K3492" s="67" t="str">
        <x:v>https://www.stonealgo.com/diamond-prices/</x:v>
      </x:c>
      <x:c r="L3492" s="67" t="str">
        <x:v>https://www.pricescope.com/blog/natural-diamond-prices-september-2026</x:v>
      </x:c>
    </x:row>
    <x:row r="3493">
      <x:c r="A3493" t="n">
        <x:v>6</x:v>
      </x:c>
      <x:c r="B3493" t="str">
        <x:v>Cushion</x:v>
      </x:c>
      <x:c r="C3493" t="str">
        <x:v>H</x:v>
      </x:c>
      <x:c r="D3493" t="str">
        <x:v>VVS2</x:v>
      </x:c>
      <x:c r="E3493" s="36" t="n">
        <x:v>129000</x:v>
      </x:c>
      <x:c r="F3493" s="36" t="n">
        <x:v>4046</x:v>
      </x:c>
      <x:c r="G3493" s="42" t="n">
        <x:v>0.8678678678678678</x:v>
      </x:c>
      <x:c r="H3493" s="36" t="n">
        <x:f>E3493*G3493</x:f>
        <x:v>111954.95495495496</x:v>
      </x:c>
      <x:c r="I3493" s="36" t="n">
        <x:f>IFERROR(H3493/A3493,0)</x:f>
        <x:v>18659.15915915916</x:v>
      </x:c>
      <x:c r="J3493" s="67" t="str">
        <x:v>Modeled from live base + Sep-2026 quality ratio</x:v>
      </x:c>
      <x:c r="K3493" s="67" t="str">
        <x:v>https://www.stonealgo.com/diamond-prices/</x:v>
      </x:c>
      <x:c r="L3493" s="67" t="str">
        <x:v>https://www.pricescope.com/blog/natural-diamond-prices-september-2026</x:v>
      </x:c>
    </x:row>
    <x:row r="3494">
      <x:c r="A3494" t="n">
        <x:v>6</x:v>
      </x:c>
      <x:c r="B3494" t="str">
        <x:v>Cushion</x:v>
      </x:c>
      <x:c r="C3494" t="str">
        <x:v>H</x:v>
      </x:c>
      <x:c r="D3494" t="str">
        <x:v>VS1</x:v>
      </x:c>
      <x:c r="E3494" s="36" t="n">
        <x:v>129000</x:v>
      </x:c>
      <x:c r="F3494" s="36" t="n">
        <x:v>3893</x:v>
      </x:c>
      <x:c r="G3494" s="42" t="n">
        <x:v>0.8350493350493351</x:v>
      </x:c>
      <x:c r="H3494" s="36" t="n">
        <x:f>E3494*G3494</x:f>
        <x:v>107721.36422136423</x:v>
      </x:c>
      <x:c r="I3494" s="36" t="n">
        <x:f>IFERROR(H3494/A3494,0)</x:f>
        <x:v>17953.560703560706</x:v>
      </x:c>
      <x:c r="J3494" s="67" t="str">
        <x:v>Modeled from live base + Sep-2026 quality ratio</x:v>
      </x:c>
      <x:c r="K3494" s="67" t="str">
        <x:v>https://www.stonealgo.com/diamond-prices/</x:v>
      </x:c>
      <x:c r="L3494" s="67" t="str">
        <x:v>https://www.pricescope.com/blog/natural-diamond-prices-september-2026</x:v>
      </x:c>
    </x:row>
    <x:row r="3495">
      <x:c r="A3495" t="n">
        <x:v>6</x:v>
      </x:c>
      <x:c r="B3495" t="str">
        <x:v>Cushion</x:v>
      </x:c>
      <x:c r="C3495" t="str">
        <x:v>H</x:v>
      </x:c>
      <x:c r="D3495" t="str">
        <x:v>VS2</x:v>
      </x:c>
      <x:c r="E3495" s="36" t="n">
        <x:v>129000</x:v>
      </x:c>
      <x:c r="F3495" s="36" t="n">
        <x:v>3989</x:v>
      </x:c>
      <x:c r="G3495" s="42" t="n">
        <x:v>0.8556413556413557</x:v>
      </x:c>
      <x:c r="H3495" s="36" t="n">
        <x:f>E3495*G3495</x:f>
        <x:v>110377.73487773488</x:v>
      </x:c>
      <x:c r="I3495" s="36" t="n">
        <x:f>IFERROR(H3495/A3495,0)</x:f>
        <x:v>18396.289146289146</x:v>
      </x:c>
      <x:c r="J3495" s="67" t="str">
        <x:v>Modeled from live base + Sep-2026 quality ratio</x:v>
      </x:c>
      <x:c r="K3495" s="67" t="str">
        <x:v>https://www.stonealgo.com/diamond-prices/</x:v>
      </x:c>
      <x:c r="L3495" s="67" t="str">
        <x:v>https://www.pricescope.com/blog/natural-diamond-prices-september-2026</x:v>
      </x:c>
    </x:row>
    <x:row r="3496">
      <x:c r="A3496" t="n">
        <x:v>6</x:v>
      </x:c>
      <x:c r="B3496" t="str">
        <x:v>Cushion</x:v>
      </x:c>
      <x:c r="C3496" t="str">
        <x:v>H</x:v>
      </x:c>
      <x:c r="D3496" t="str">
        <x:v>SI1</x:v>
      </x:c>
      <x:c r="E3496" s="36" t="n">
        <x:v>129000</x:v>
      </x:c>
      <x:c r="F3496" s="36" t="n">
        <x:v>2828</x:v>
      </x:c>
      <x:c r="G3496" s="42" t="n">
        <x:v>0.6066066066066066</x:v>
      </x:c>
      <x:c r="H3496" s="36" t="n">
        <x:f>E3496*G3496</x:f>
        <x:v>78252.25225225225</x:v>
      </x:c>
      <x:c r="I3496" s="36" t="n">
        <x:f>IFERROR(H3496/A3496,0)</x:f>
        <x:v>13042.042042042041</x:v>
      </x:c>
      <x:c r="J3496" s="67" t="str">
        <x:v>Modeled from live base + Sep-2026 quality ratio</x:v>
      </x:c>
      <x:c r="K3496" s="67" t="str">
        <x:v>https://www.stonealgo.com/diamond-prices/</x:v>
      </x:c>
      <x:c r="L3496" s="67" t="str">
        <x:v>https://www.pricescope.com/blog/natural-diamond-prices-september-2026</x:v>
      </x:c>
    </x:row>
    <x:row r="3497">
      <x:c r="A3497" t="n">
        <x:v>6</x:v>
      </x:c>
      <x:c r="B3497" t="str">
        <x:v>Cushion</x:v>
      </x:c>
      <x:c r="C3497" t="str">
        <x:v>H</x:v>
      </x:c>
      <x:c r="D3497" t="str">
        <x:v>SI2</x:v>
      </x:c>
      <x:c r="E3497" s="36" t="n">
        <x:v>129000</x:v>
      </x:c>
      <x:c r="F3497" s="36" t="n">
        <x:v>2328</x:v>
      </x:c>
      <x:c r="G3497" s="42" t="n">
        <x:v>0.49935649935649934</x:v>
      </x:c>
      <x:c r="H3497" s="36" t="n">
        <x:f>E3497*G3497</x:f>
        <x:v>64416.98841698842</x:v>
      </x:c>
      <x:c r="I3497" s="36" t="n">
        <x:f>IFERROR(H3497/A3497,0)</x:f>
        <x:v>10736.164736164736</x:v>
      </x:c>
      <x:c r="J3497" s="67" t="str">
        <x:v>Modeled from live base + Sep-2026 quality ratio</x:v>
      </x:c>
      <x:c r="K3497" s="67" t="str">
        <x:v>https://www.stonealgo.com/diamond-prices/</x:v>
      </x:c>
      <x:c r="L3497" s="67" t="str">
        <x:v>https://www.pricescope.com/blog/natural-diamond-prices-september-2026</x:v>
      </x:c>
    </x:row>
    <x:row r="3498">
      <x:c r="A3498" t="n">
        <x:v>6</x:v>
      </x:c>
      <x:c r="B3498" t="str">
        <x:v>Cushion</x:v>
      </x:c>
      <x:c r="C3498" t="str">
        <x:v>I</x:v>
      </x:c>
      <x:c r="D3498" t="str">
        <x:v>FL</x:v>
      </x:c>
      <x:c r="E3498" s="36" t="n">
        <x:v>129000</x:v>
      </x:c>
      <x:c r="F3498" s="36" t="n">
        <x:v>4623</x:v>
      </x:c>
      <x:c r="G3498" s="42" t="n">
        <x:v>0.9916344916344917</x:v>
      </x:c>
      <x:c r="H3498" s="36" t="n">
        <x:f>E3498*G3498</x:f>
        <x:v>127920.84942084942</x:v>
      </x:c>
      <x:c r="I3498" s="36" t="n">
        <x:f>IFERROR(H3498/A3498,0)</x:f>
        <x:v>21320.14157014157</x:v>
      </x:c>
      <x:c r="J3498" s="67" t="str">
        <x:v>Modeled from live base + Sep-2026 quality ratio</x:v>
      </x:c>
      <x:c r="K3498" s="67" t="str">
        <x:v>https://www.stonealgo.com/diamond-prices/</x:v>
      </x:c>
      <x:c r="L3498" s="67" t="str">
        <x:v>https://www.pricescope.com/blog/natural-diamond-prices-september-2026</x:v>
      </x:c>
    </x:row>
    <x:row r="3499">
      <x:c r="A3499" t="n">
        <x:v>6</x:v>
      </x:c>
      <x:c r="B3499" t="str">
        <x:v>Cushion</x:v>
      </x:c>
      <x:c r="C3499" t="str">
        <x:v>I</x:v>
      </x:c>
      <x:c r="D3499" t="str">
        <x:v>IF</x:v>
      </x:c>
      <x:c r="E3499" s="36" t="n">
        <x:v>129000</x:v>
      </x:c>
      <x:c r="F3499" s="36" t="n">
        <x:v>4005</x:v>
      </x:c>
      <x:c r="G3499" s="42" t="n">
        <x:v>0.859073359073359</x:v>
      </x:c>
      <x:c r="H3499" s="36" t="n">
        <x:f>E3499*G3499</x:f>
        <x:v>110820.46332046331</x:v>
      </x:c>
      <x:c r="I3499" s="36" t="n">
        <x:f>IFERROR(H3499/A3499,0)</x:f>
        <x:v>18470.07722007722</x:v>
      </x:c>
      <x:c r="J3499" s="67" t="str">
        <x:v>Modeled from live base + Sep-2026 quality ratio</x:v>
      </x:c>
      <x:c r="K3499" s="67" t="str">
        <x:v>https://www.stonealgo.com/diamond-prices/</x:v>
      </x:c>
      <x:c r="L3499" s="67" t="str">
        <x:v>https://www.pricescope.com/blog/natural-diamond-prices-september-2026</x:v>
      </x:c>
    </x:row>
    <x:row r="3500">
      <x:c r="A3500" t="n">
        <x:v>6</x:v>
      </x:c>
      <x:c r="B3500" t="str">
        <x:v>Cushion</x:v>
      </x:c>
      <x:c r="C3500" t="str">
        <x:v>I</x:v>
      </x:c>
      <x:c r="D3500" t="str">
        <x:v>VVS1</x:v>
      </x:c>
      <x:c r="E3500" s="36" t="n">
        <x:v>129000</x:v>
      </x:c>
      <x:c r="F3500" s="36" t="n">
        <x:v>3670</x:v>
      </x:c>
      <x:c r="G3500" s="42" t="n">
        <x:v>0.7872157872157872</x:v>
      </x:c>
      <x:c r="H3500" s="36" t="n">
        <x:f>E3500*G3500</x:f>
        <x:v>101550.83655083655</x:v>
      </x:c>
      <x:c r="I3500" s="36" t="n">
        <x:f>IFERROR(H3500/A3500,0)</x:f>
        <x:v>16925.139425139427</x:v>
      </x:c>
      <x:c r="J3500" s="67" t="str">
        <x:v>Modeled from live base + Sep-2026 quality ratio</x:v>
      </x:c>
      <x:c r="K3500" s="67" t="str">
        <x:v>https://www.stonealgo.com/diamond-prices/</x:v>
      </x:c>
      <x:c r="L3500" s="67" t="str">
        <x:v>https://www.pricescope.com/blog/natural-diamond-prices-september-2026</x:v>
      </x:c>
    </x:row>
    <x:row r="3501">
      <x:c r="A3501" t="n">
        <x:v>6</x:v>
      </x:c>
      <x:c r="B3501" t="str">
        <x:v>Cushion</x:v>
      </x:c>
      <x:c r="C3501" t="str">
        <x:v>I</x:v>
      </x:c>
      <x:c r="D3501" t="str">
        <x:v>VVS2</x:v>
      </x:c>
      <x:c r="E3501" s="36" t="n">
        <x:v>129000</x:v>
      </x:c>
      <x:c r="F3501" s="36" t="n">
        <x:v>3447</x:v>
      </x:c>
      <x:c r="G3501" s="42" t="n">
        <x:v>0.7393822393822393</x:v>
      </x:c>
      <x:c r="H3501" s="36" t="n">
        <x:f>E3501*G3501</x:f>
        <x:v>95380.30888030888</x:v>
      </x:c>
      <x:c r="I3501" s="36" t="n">
        <x:f>IFERROR(H3501/A3501,0)</x:f>
        <x:v>15896.718146718145</x:v>
      </x:c>
      <x:c r="J3501" s="67" t="str">
        <x:v>Modeled from live base + Sep-2026 quality ratio</x:v>
      </x:c>
      <x:c r="K3501" s="67" t="str">
        <x:v>https://www.stonealgo.com/diamond-prices/</x:v>
      </x:c>
      <x:c r="L3501" s="67" t="str">
        <x:v>https://www.pricescope.com/blog/natural-diamond-prices-september-2026</x:v>
      </x:c>
    </x:row>
    <x:row r="3502">
      <x:c r="A3502" t="n">
        <x:v>6</x:v>
      </x:c>
      <x:c r="B3502" t="str">
        <x:v>Cushion</x:v>
      </x:c>
      <x:c r="C3502" t="str">
        <x:v>I</x:v>
      </x:c>
      <x:c r="D3502" t="str">
        <x:v>VS1</x:v>
      </x:c>
      <x:c r="E3502" s="36" t="n">
        <x:v>129000</x:v>
      </x:c>
      <x:c r="F3502" s="36" t="n">
        <x:v>3313</x:v>
      </x:c>
      <x:c r="G3502" s="42" t="n">
        <x:v>0.7106392106392107</x:v>
      </x:c>
      <x:c r="H3502" s="36" t="n">
        <x:f>E3502*G3502</x:f>
        <x:v>91672.45817245818</x:v>
      </x:c>
      <x:c r="I3502" s="36" t="n">
        <x:f>IFERROR(H3502/A3502,0)</x:f>
        <x:v>15278.74302874303</x:v>
      </x:c>
      <x:c r="J3502" s="67" t="str">
        <x:v>Modeled from live base + Sep-2026 quality ratio</x:v>
      </x:c>
      <x:c r="K3502" s="67" t="str">
        <x:v>https://www.stonealgo.com/diamond-prices/</x:v>
      </x:c>
      <x:c r="L3502" s="67" t="str">
        <x:v>https://www.pricescope.com/blog/natural-diamond-prices-september-2026</x:v>
      </x:c>
    </x:row>
    <x:row r="3503">
      <x:c r="A3503" t="n">
        <x:v>6</x:v>
      </x:c>
      <x:c r="B3503" t="str">
        <x:v>Cushion</x:v>
      </x:c>
      <x:c r="C3503" t="str">
        <x:v>I</x:v>
      </x:c>
      <x:c r="D3503" t="str">
        <x:v>VS2</x:v>
      </x:c>
      <x:c r="E3503" s="36" t="n">
        <x:v>129000</x:v>
      </x:c>
      <x:c r="F3503" s="36" t="n">
        <x:v>3240</x:v>
      </x:c>
      <x:c r="G3503" s="42" t="n">
        <x:v>0.694980694980695</x:v>
      </x:c>
      <x:c r="H3503" s="36" t="n">
        <x:f>E3503*G3503</x:f>
        <x:v>89652.50965250966</x:v>
      </x:c>
      <x:c r="I3503" s="36" t="n">
        <x:f>IFERROR(H3503/A3503,0)</x:f>
        <x:v>14942.084942084943</x:v>
      </x:c>
      <x:c r="J3503" s="67" t="str">
        <x:v>Modeled from live base + Sep-2026 quality ratio</x:v>
      </x:c>
      <x:c r="K3503" s="67" t="str">
        <x:v>https://www.stonealgo.com/diamond-prices/</x:v>
      </x:c>
      <x:c r="L3503" s="67" t="str">
        <x:v>https://www.pricescope.com/blog/natural-diamond-prices-september-2026</x:v>
      </x:c>
    </x:row>
    <x:row r="3504">
      <x:c r="A3504" t="n">
        <x:v>6</x:v>
      </x:c>
      <x:c r="B3504" t="str">
        <x:v>Cushion</x:v>
      </x:c>
      <x:c r="C3504" t="str">
        <x:v>I</x:v>
      </x:c>
      <x:c r="D3504" t="str">
        <x:v>SI1</x:v>
      </x:c>
      <x:c r="E3504" s="36" t="n">
        <x:v>129000</x:v>
      </x:c>
      <x:c r="F3504" s="36" t="n">
        <x:v>3199</x:v>
      </x:c>
      <x:c r="G3504" s="42" t="n">
        <x:v>0.6861861861861862</x:v>
      </x:c>
      <x:c r="H3504" s="36" t="n">
        <x:f>E3504*G3504</x:f>
        <x:v>88518.01801801802</x:v>
      </x:c>
      <x:c r="I3504" s="36" t="n">
        <x:f>IFERROR(H3504/A3504,0)</x:f>
        <x:v>14753.003003003003</x:v>
      </x:c>
      <x:c r="J3504" s="67" t="str">
        <x:v>Modeled from live base + Sep-2026 quality ratio</x:v>
      </x:c>
      <x:c r="K3504" s="67" t="str">
        <x:v>https://www.stonealgo.com/diamond-prices/</x:v>
      </x:c>
      <x:c r="L3504" s="67" t="str">
        <x:v>https://www.pricescope.com/blog/natural-diamond-prices-september-2026</x:v>
      </x:c>
    </x:row>
    <x:row r="3505">
      <x:c r="A3505" t="n">
        <x:v>6</x:v>
      </x:c>
      <x:c r="B3505" t="str">
        <x:v>Cushion</x:v>
      </x:c>
      <x:c r="C3505" t="str">
        <x:v>I</x:v>
      </x:c>
      <x:c r="D3505" t="str">
        <x:v>SI2</x:v>
      </x:c>
      <x:c r="E3505" s="36" t="n">
        <x:v>129000</x:v>
      </x:c>
      <x:c r="F3505" s="36" t="n">
        <x:v>2874</x:v>
      </x:c>
      <x:c r="G3505" s="42" t="n">
        <x:v>0.6164736164736164</x:v>
      </x:c>
      <x:c r="H3505" s="36" t="n">
        <x:f>E3505*G3505</x:f>
        <x:v>79525.09652509652</x:v>
      </x:c>
      <x:c r="I3505" s="36" t="n">
        <x:f>IFERROR(H3505/A3505,0)</x:f>
        <x:v>13254.182754182753</x:v>
      </x:c>
      <x:c r="J3505" s="67" t="str">
        <x:v>Modeled from live base + Sep-2026 quality ratio</x:v>
      </x:c>
      <x:c r="K3505" s="67" t="str">
        <x:v>https://www.stonealgo.com/diamond-prices/</x:v>
      </x:c>
      <x:c r="L3505" s="67" t="str">
        <x:v>https://www.pricescope.com/blog/natural-diamond-prices-september-2026</x:v>
      </x:c>
    </x:row>
    <x:row r="3506">
      <x:c r="A3506" t="n">
        <x:v>6</x:v>
      </x:c>
      <x:c r="B3506" t="str">
        <x:v>Cushion</x:v>
      </x:c>
      <x:c r="C3506" t="str">
        <x:v>J</x:v>
      </x:c>
      <x:c r="D3506" t="str">
        <x:v>FL</x:v>
      </x:c>
      <x:c r="E3506" s="36" t="n">
        <x:v>129000</x:v>
      </x:c>
      <x:c r="F3506" s="36" t="n">
        <x:v>3646</x:v>
      </x:c>
      <x:c r="G3506" s="42" t="n">
        <x:v>0.782067782067782</x:v>
      </x:c>
      <x:c r="H3506" s="36" t="n">
        <x:f>E3506*G3506</x:f>
        <x:v>100886.74388674389</x:v>
      </x:c>
      <x:c r="I3506" s="36" t="n">
        <x:f>IFERROR(H3506/A3506,0)</x:f>
        <x:v>16814.457314457315</x:v>
      </x:c>
      <x:c r="J3506" s="67" t="str">
        <x:v>Modeled from live base + Sep-2026 quality ratio</x:v>
      </x:c>
      <x:c r="K3506" s="67" t="str">
        <x:v>https://www.stonealgo.com/diamond-prices/</x:v>
      </x:c>
      <x:c r="L3506" s="67" t="str">
        <x:v>https://www.pricescope.com/blog/natural-diamond-prices-september-2026</x:v>
      </x:c>
    </x:row>
    <x:row r="3507">
      <x:c r="A3507" t="n">
        <x:v>6</x:v>
      </x:c>
      <x:c r="B3507" t="str">
        <x:v>Cushion</x:v>
      </x:c>
      <x:c r="C3507" t="str">
        <x:v>J</x:v>
      </x:c>
      <x:c r="D3507" t="str">
        <x:v>IF</x:v>
      </x:c>
      <x:c r="E3507" s="36" t="n">
        <x:v>129000</x:v>
      </x:c>
      <x:c r="F3507" s="36" t="n">
        <x:v>3368</x:v>
      </x:c>
      <x:c r="G3507" s="42" t="n">
        <x:v>0.7224367224367224</x:v>
      </x:c>
      <x:c r="H3507" s="36" t="n">
        <x:f>E3507*G3507</x:f>
        <x:v>93194.33719433719</x:v>
      </x:c>
      <x:c r="I3507" s="36" t="n">
        <x:f>IFERROR(H3507/A3507,0)</x:f>
        <x:v>15532.389532389532</x:v>
      </x:c>
      <x:c r="J3507" s="67" t="str">
        <x:v>Modeled from live base + Sep-2026 quality ratio</x:v>
      </x:c>
      <x:c r="K3507" s="67" t="str">
        <x:v>https://www.stonealgo.com/diamond-prices/</x:v>
      </x:c>
      <x:c r="L3507" s="67" t="str">
        <x:v>https://www.pricescope.com/blog/natural-diamond-prices-september-2026</x:v>
      </x:c>
    </x:row>
    <x:row r="3508">
      <x:c r="A3508" t="n">
        <x:v>6</x:v>
      </x:c>
      <x:c r="B3508" t="str">
        <x:v>Cushion</x:v>
      </x:c>
      <x:c r="C3508" t="str">
        <x:v>J</x:v>
      </x:c>
      <x:c r="D3508" t="str">
        <x:v>VVS1</x:v>
      </x:c>
      <x:c r="E3508" s="36" t="n">
        <x:v>129000</x:v>
      </x:c>
      <x:c r="F3508" s="36" t="n">
        <x:v>2956</x:v>
      </x:c>
      <x:c r="G3508" s="42" t="n">
        <x:v>0.6340626340626341</x:v>
      </x:c>
      <x:c r="H3508" s="36" t="n">
        <x:f>E3508*G3508</x:f>
        <x:v>81794.0797940798</x:v>
      </x:c>
      <x:c r="I3508" s="36" t="n">
        <x:f>IFERROR(H3508/A3508,0)</x:f>
        <x:v>13632.346632346633</x:v>
      </x:c>
      <x:c r="J3508" s="67" t="str">
        <x:v>Modeled from live base + Sep-2026 quality ratio</x:v>
      </x:c>
      <x:c r="K3508" s="67" t="str">
        <x:v>https://www.stonealgo.com/diamond-prices/</x:v>
      </x:c>
      <x:c r="L3508" s="67" t="str">
        <x:v>https://www.pricescope.com/blog/natural-diamond-prices-september-2026</x:v>
      </x:c>
    </x:row>
    <x:row r="3509">
      <x:c r="A3509" t="n">
        <x:v>6</x:v>
      </x:c>
      <x:c r="B3509" t="str">
        <x:v>Cushion</x:v>
      </x:c>
      <x:c r="C3509" t="str">
        <x:v>J</x:v>
      </x:c>
      <x:c r="D3509" t="str">
        <x:v>VVS2</x:v>
      </x:c>
      <x:c r="E3509" s="36" t="n">
        <x:v>129000</x:v>
      </x:c>
      <x:c r="F3509" s="36" t="n">
        <x:v>2612</x:v>
      </x:c>
      <x:c r="G3509" s="42" t="n">
        <x:v>0.5602745602745602</x:v>
      </x:c>
      <x:c r="H3509" s="36" t="n">
        <x:f>E3509*G3509</x:f>
        <x:v>72275.41827541827</x:v>
      </x:c>
      <x:c r="I3509" s="36" t="n">
        <x:f>IFERROR(H3509/A3509,0)</x:f>
        <x:v>12045.903045903045</x:v>
      </x:c>
      <x:c r="J3509" s="67" t="str">
        <x:v>Modeled from live base + Sep-2026 quality ratio</x:v>
      </x:c>
      <x:c r="K3509" s="67" t="str">
        <x:v>https://www.stonealgo.com/diamond-prices/</x:v>
      </x:c>
      <x:c r="L3509" s="67" t="str">
        <x:v>https://www.pricescope.com/blog/natural-diamond-prices-september-2026</x:v>
      </x:c>
    </x:row>
    <x:row r="3510">
      <x:c r="A3510" t="n">
        <x:v>6</x:v>
      </x:c>
      <x:c r="B3510" t="str">
        <x:v>Cushion</x:v>
      </x:c>
      <x:c r="C3510" t="str">
        <x:v>J</x:v>
      </x:c>
      <x:c r="D3510" t="str">
        <x:v>VS1</x:v>
      </x:c>
      <x:c r="E3510" s="36" t="n">
        <x:v>129000</x:v>
      </x:c>
      <x:c r="F3510" s="36" t="n">
        <x:v>3002</x:v>
      </x:c>
      <x:c r="G3510" s="42" t="n">
        <x:v>0.6439296439296439</x:v>
      </x:c>
      <x:c r="H3510" s="36" t="n">
        <x:f>E3510*G3510</x:f>
        <x:v>83066.92406692407</x:v>
      </x:c>
      <x:c r="I3510" s="36" t="n">
        <x:f>IFERROR(H3510/A3510,0)</x:f>
        <x:v>13844.487344487345</x:v>
      </x:c>
      <x:c r="J3510" s="67" t="str">
        <x:v>Modeled from live base + Sep-2026 quality ratio</x:v>
      </x:c>
      <x:c r="K3510" s="67" t="str">
        <x:v>https://www.stonealgo.com/diamond-prices/</x:v>
      </x:c>
      <x:c r="L3510" s="67" t="str">
        <x:v>https://www.pricescope.com/blog/natural-diamond-prices-september-2026</x:v>
      </x:c>
    </x:row>
    <x:row r="3511">
      <x:c r="A3511" t="n">
        <x:v>6</x:v>
      </x:c>
      <x:c r="B3511" t="str">
        <x:v>Cushion</x:v>
      </x:c>
      <x:c r="C3511" t="str">
        <x:v>J</x:v>
      </x:c>
      <x:c r="D3511" t="str">
        <x:v>VS2</x:v>
      </x:c>
      <x:c r="E3511" s="36" t="n">
        <x:v>129000</x:v>
      </x:c>
      <x:c r="F3511" s="36" t="n">
        <x:v>2559</x:v>
      </x:c>
      <x:c r="G3511" s="42" t="n">
        <x:v>0.5489060489060489</x:v>
      </x:c>
      <x:c r="H3511" s="36" t="n">
        <x:f>E3511*G3511</x:f>
        <x:v>70808.88030888031</x:v>
      </x:c>
      <x:c r="I3511" s="36" t="n">
        <x:f>IFERROR(H3511/A3511,0)</x:f>
        <x:v>11801.480051480052</x:v>
      </x:c>
      <x:c r="J3511" s="67" t="str">
        <x:v>Modeled from live base + Sep-2026 quality ratio</x:v>
      </x:c>
      <x:c r="K3511" s="67" t="str">
        <x:v>https://www.stonealgo.com/diamond-prices/</x:v>
      </x:c>
      <x:c r="L3511" s="67" t="str">
        <x:v>https://www.pricescope.com/blog/natural-diamond-prices-september-2026</x:v>
      </x:c>
    </x:row>
    <x:row r="3512">
      <x:c r="A3512" t="n">
        <x:v>6</x:v>
      </x:c>
      <x:c r="B3512" t="str">
        <x:v>Cushion</x:v>
      </x:c>
      <x:c r="C3512" t="str">
        <x:v>J</x:v>
      </x:c>
      <x:c r="D3512" t="str">
        <x:v>SI1</x:v>
      </x:c>
      <x:c r="E3512" s="36" t="n">
        <x:v>129000</x:v>
      </x:c>
      <x:c r="F3512" s="36" t="n">
        <x:v>2195</x:v>
      </x:c>
      <x:c r="G3512" s="42" t="n">
        <x:v>0.47082797082797084</x:v>
      </x:c>
      <x:c r="H3512" s="36" t="n">
        <x:f>E3512*G3512</x:f>
        <x:v>60736.80823680824</x:v>
      </x:c>
      <x:c r="I3512" s="36" t="n">
        <x:f>IFERROR(H3512/A3512,0)</x:f>
        <x:v>10122.801372801374</x:v>
      </x:c>
      <x:c r="J3512" s="67" t="str">
        <x:v>Modeled from live base + Sep-2026 quality ratio</x:v>
      </x:c>
      <x:c r="K3512" s="67" t="str">
        <x:v>https://www.stonealgo.com/diamond-prices/</x:v>
      </x:c>
      <x:c r="L3512" s="67" t="str">
        <x:v>https://www.pricescope.com/blog/natural-diamond-prices-september-2026</x:v>
      </x:c>
    </x:row>
    <x:row r="3513">
      <x:c r="A3513" t="n">
        <x:v>6</x:v>
      </x:c>
      <x:c r="B3513" t="str">
        <x:v>Cushion</x:v>
      </x:c>
      <x:c r="C3513" t="str">
        <x:v>J</x:v>
      </x:c>
      <x:c r="D3513" t="str">
        <x:v>SI2</x:v>
      </x:c>
      <x:c r="E3513" s="36" t="n">
        <x:v>129000</x:v>
      </x:c>
      <x:c r="F3513" s="36" t="n">
        <x:v>2079</x:v>
      </x:c>
      <x:c r="G3513" s="42" t="n">
        <x:v>0.44594594594594594</x:v>
      </x:c>
      <x:c r="H3513" s="36" t="n">
        <x:f>E3513*G3513</x:f>
        <x:v>57527.02702702703</x:v>
      </x:c>
      <x:c r="I3513" s="36" t="n">
        <x:f>IFERROR(H3513/A3513,0)</x:f>
        <x:v>9587.837837837838</x:v>
      </x:c>
      <x:c r="J3513" s="67" t="str">
        <x:v>Modeled from live base + Sep-2026 quality ratio</x:v>
      </x:c>
      <x:c r="K3513" s="67" t="str">
        <x:v>https://www.stonealgo.com/diamond-prices/</x:v>
      </x:c>
      <x:c r="L3513" s="67" t="str">
        <x:v>https://www.pricescope.com/blog/natural-diamond-prices-september-2026</x:v>
      </x:c>
    </x:row>
    <x:row r="3514">
      <x:c r="A3514" t="n">
        <x:v>6</x:v>
      </x:c>
      <x:c r="B3514" t="str">
        <x:v>Cushion</x:v>
      </x:c>
      <x:c r="C3514" t="str">
        <x:v>K</x:v>
      </x:c>
      <x:c r="D3514" t="str">
        <x:v>FL</x:v>
      </x:c>
      <x:c r="E3514" s="36" t="n">
        <x:v>129000</x:v>
      </x:c>
      <x:c r="F3514" s="36" t="n">
        <x:v>2858</x:v>
      </x:c>
      <x:c r="G3514" s="42" t="n">
        <x:v>0.6130416130416131</x:v>
      </x:c>
      <x:c r="H3514" s="36" t="n">
        <x:f>E3514*G3514</x:f>
        <x:v>79082.36808236809</x:v>
      </x:c>
      <x:c r="I3514" s="36" t="n">
        <x:f>IFERROR(H3514/A3514,0)</x:f>
        <x:v>13180.394680394682</x:v>
      </x:c>
      <x:c r="J3514" s="67" t="str">
        <x:v>Modeled from live base + Sep-2026 quality ratio; K/FL quality cell modeled</x:v>
      </x:c>
      <x:c r="K3514" s="67" t="str">
        <x:v>https://www.stonealgo.com/diamond-prices/</x:v>
      </x:c>
      <x:c r="L3514" s="67" t="str">
        <x:v>https://www.pricescope.com/blog/natural-diamond-prices-september-2026</x:v>
      </x:c>
    </x:row>
    <x:row r="3515">
      <x:c r="A3515" t="n">
        <x:v>6</x:v>
      </x:c>
      <x:c r="B3515" t="str">
        <x:v>Cushion</x:v>
      </x:c>
      <x:c r="C3515" t="str">
        <x:v>K</x:v>
      </x:c>
      <x:c r="D3515" t="str">
        <x:v>IF</x:v>
      </x:c>
      <x:c r="E3515" s="36" t="n">
        <x:v>129000</x:v>
      </x:c>
      <x:c r="F3515" s="36" t="n">
        <x:v>2743</x:v>
      </x:c>
      <x:c r="G3515" s="42" t="n">
        <x:v>0.5883740883740883</x:v>
      </x:c>
      <x:c r="H3515" s="36" t="n">
        <x:f>E3515*G3515</x:f>
        <x:v>75900.2574002574</x:v>
      </x:c>
      <x:c r="I3515" s="36" t="n">
        <x:f>IFERROR(H3515/A3515,0)</x:f>
        <x:v>12650.0429000429</x:v>
      </x:c>
      <x:c r="J3515" s="67" t="str">
        <x:v>Modeled from live base + Sep-2026 quality ratio</x:v>
      </x:c>
      <x:c r="K3515" s="67" t="str">
        <x:v>https://www.stonealgo.com/diamond-prices/</x:v>
      </x:c>
      <x:c r="L3515" s="67" t="str">
        <x:v>https://www.pricescope.com/blog/natural-diamond-prices-september-2026</x:v>
      </x:c>
    </x:row>
    <x:row r="3516">
      <x:c r="A3516" t="n">
        <x:v>6</x:v>
      </x:c>
      <x:c r="B3516" t="str">
        <x:v>Cushion</x:v>
      </x:c>
      <x:c r="C3516" t="str">
        <x:v>K</x:v>
      </x:c>
      <x:c r="D3516" t="str">
        <x:v>VVS1</x:v>
      </x:c>
      <x:c r="E3516" s="36" t="n">
        <x:v>129000</x:v>
      </x:c>
      <x:c r="F3516" s="36" t="n">
        <x:v>2529</x:v>
      </x:c>
      <x:c r="G3516" s="42" t="n">
        <x:v>0.5424710424710425</x:v>
      </x:c>
      <x:c r="H3516" s="36" t="n">
        <x:f>E3516*G3516</x:f>
        <x:v>69978.76447876448</x:v>
      </x:c>
      <x:c r="I3516" s="36" t="n">
        <x:f>IFERROR(H3516/A3516,0)</x:f>
        <x:v>11663.127413127413</x:v>
      </x:c>
      <x:c r="J3516" s="67" t="str">
        <x:v>Modeled from live base + Sep-2026 quality ratio</x:v>
      </x:c>
      <x:c r="K3516" s="67" t="str">
        <x:v>https://www.stonealgo.com/diamond-prices/</x:v>
      </x:c>
      <x:c r="L3516" s="67" t="str">
        <x:v>https://www.pricescope.com/blog/natural-diamond-prices-september-2026</x:v>
      </x:c>
    </x:row>
    <x:row r="3517">
      <x:c r="A3517" t="n">
        <x:v>6</x:v>
      </x:c>
      <x:c r="B3517" t="str">
        <x:v>Cushion</x:v>
      </x:c>
      <x:c r="C3517" t="str">
        <x:v>K</x:v>
      </x:c>
      <x:c r="D3517" t="str">
        <x:v>VVS2</x:v>
      </x:c>
      <x:c r="E3517" s="36" t="n">
        <x:v>129000</x:v>
      </x:c>
      <x:c r="F3517" s="36" t="n">
        <x:v>2374</x:v>
      </x:c>
      <x:c r="G3517" s="42" t="n">
        <x:v>0.5092235092235092</x:v>
      </x:c>
      <x:c r="H3517" s="36" t="n">
        <x:f>E3517*G3517</x:f>
        <x:v>65689.83268983269</x:v>
      </x:c>
      <x:c r="I3517" s="36" t="n">
        <x:f>IFERROR(H3517/A3517,0)</x:f>
        <x:v>10948.30544830545</x:v>
      </x:c>
      <x:c r="J3517" s="67" t="str">
        <x:v>Modeled from live base + Sep-2026 quality ratio</x:v>
      </x:c>
      <x:c r="K3517" s="67" t="str">
        <x:v>https://www.stonealgo.com/diamond-prices/</x:v>
      </x:c>
      <x:c r="L3517" s="67" t="str">
        <x:v>https://www.pricescope.com/blog/natural-diamond-prices-september-2026</x:v>
      </x:c>
    </x:row>
    <x:row r="3518">
      <x:c r="A3518" t="n">
        <x:v>6</x:v>
      </x:c>
      <x:c r="B3518" t="str">
        <x:v>Cushion</x:v>
      </x:c>
      <x:c r="C3518" t="str">
        <x:v>K</x:v>
      </x:c>
      <x:c r="D3518" t="str">
        <x:v>VS1</x:v>
      </x:c>
      <x:c r="E3518" s="36" t="n">
        <x:v>129000</x:v>
      </x:c>
      <x:c r="F3518" s="36" t="n">
        <x:v>2223</x:v>
      </x:c>
      <x:c r="G3518" s="42" t="n">
        <x:v>0.4768339768339768</x:v>
      </x:c>
      <x:c r="H3518" s="36" t="n">
        <x:f>E3518*G3518</x:f>
        <x:v>61511.58301158301</x:v>
      </x:c>
      <x:c r="I3518" s="36" t="n">
        <x:f>IFERROR(H3518/A3518,0)</x:f>
        <x:v>10251.930501930501</x:v>
      </x:c>
      <x:c r="J3518" s="67" t="str">
        <x:v>Modeled from live base + Sep-2026 quality ratio</x:v>
      </x:c>
      <x:c r="K3518" s="67" t="str">
        <x:v>https://www.stonealgo.com/diamond-prices/</x:v>
      </x:c>
      <x:c r="L3518" s="67" t="str">
        <x:v>https://www.pricescope.com/blog/natural-diamond-prices-september-2026</x:v>
      </x:c>
    </x:row>
    <x:row r="3519">
      <x:c r="A3519" t="n">
        <x:v>6</x:v>
      </x:c>
      <x:c r="B3519" t="str">
        <x:v>Cushion</x:v>
      </x:c>
      <x:c r="C3519" t="str">
        <x:v>K</x:v>
      </x:c>
      <x:c r="D3519" t="str">
        <x:v>VS2</x:v>
      </x:c>
      <x:c r="E3519" s="36" t="n">
        <x:v>129000</x:v>
      </x:c>
      <x:c r="F3519" s="36" t="n">
        <x:v>2098</x:v>
      </x:c>
      <x:c r="G3519" s="42" t="n">
        <x:v>0.45002145002145</x:v>
      </x:c>
      <x:c r="H3519" s="36" t="n">
        <x:f>E3519*G3519</x:f>
        <x:v>58052.76705276705</x:v>
      </x:c>
      <x:c r="I3519" s="36" t="n">
        <x:f>IFERROR(H3519/A3519,0)</x:f>
        <x:v>9675.461175461174</x:v>
      </x:c>
      <x:c r="J3519" s="67" t="str">
        <x:v>Modeled from live base + Sep-2026 quality ratio</x:v>
      </x:c>
      <x:c r="K3519" s="67" t="str">
        <x:v>https://www.stonealgo.com/diamond-prices/</x:v>
      </x:c>
      <x:c r="L3519" s="67" t="str">
        <x:v>https://www.pricescope.com/blog/natural-diamond-prices-september-2026</x:v>
      </x:c>
    </x:row>
    <x:row r="3520">
      <x:c r="A3520" t="n">
        <x:v>6</x:v>
      </x:c>
      <x:c r="B3520" t="str">
        <x:v>Cushion</x:v>
      </x:c>
      <x:c r="C3520" t="str">
        <x:v>K</x:v>
      </x:c>
      <x:c r="D3520" t="str">
        <x:v>SI1</x:v>
      </x:c>
      <x:c r="E3520" s="36" t="n">
        <x:v>129000</x:v>
      </x:c>
      <x:c r="F3520" s="36" t="n">
        <x:v>1922</x:v>
      </x:c>
      <x:c r="G3520" s="42" t="n">
        <x:v>0.41226941226941227</x:v>
      </x:c>
      <x:c r="H3520" s="36" t="n">
        <x:f>E3520*G3520</x:f>
        <x:v>53182.754182754186</x:v>
      </x:c>
      <x:c r="I3520" s="36" t="n">
        <x:f>IFERROR(H3520/A3520,0)</x:f>
        <x:v>8863.792363792365</x:v>
      </x:c>
      <x:c r="J3520" s="67" t="str">
        <x:v>Modeled from live base + Sep-2026 quality ratio</x:v>
      </x:c>
      <x:c r="K3520" s="67" t="str">
        <x:v>https://www.stonealgo.com/diamond-prices/</x:v>
      </x:c>
      <x:c r="L3520" s="67" t="str">
        <x:v>https://www.pricescope.com/blog/natural-diamond-prices-september-2026</x:v>
      </x:c>
    </x:row>
    <x:row r="3521">
      <x:c r="A3521" t="n">
        <x:v>6</x:v>
      </x:c>
      <x:c r="B3521" t="str">
        <x:v>Cushion</x:v>
      </x:c>
      <x:c r="C3521" t="str">
        <x:v>K</x:v>
      </x:c>
      <x:c r="D3521" t="str">
        <x:v>SI2</x:v>
      </x:c>
      <x:c r="E3521" s="36" t="n">
        <x:v>129000</x:v>
      </x:c>
      <x:c r="F3521" s="36" t="n">
        <x:v>1764</x:v>
      </x:c>
      <x:c r="G3521" s="42" t="n">
        <x:v>0.3783783783783784</x:v>
      </x:c>
      <x:c r="H3521" s="36" t="n">
        <x:f>E3521*G3521</x:f>
        <x:v>48810.81081081081</x:v>
      </x:c>
      <x:c r="I3521" s="36" t="n">
        <x:f>IFERROR(H3521/A3521,0)</x:f>
        <x:v>8135.135135135136</x:v>
      </x:c>
      <x:c r="J3521" s="67" t="str">
        <x:v>Modeled from live base + Sep-2026 quality ratio</x:v>
      </x:c>
      <x:c r="K3521" s="67" t="str">
        <x:v>https://www.stonealgo.com/diamond-prices/</x:v>
      </x:c>
      <x:c r="L3521" s="67" t="str">
        <x:v>https://www.pricescope.com/blog/natural-diamond-prices-september-2026</x:v>
      </x:c>
    </x:row>
    <x:row r="3522">
      <x:c r="A3522" t="n">
        <x:v>6</x:v>
      </x:c>
      <x:c r="B3522" t="str">
        <x:v>Radiant</x:v>
      </x:c>
      <x:c r="C3522" t="str">
        <x:v>D</x:v>
      </x:c>
      <x:c r="D3522" t="str">
        <x:v>FL</x:v>
      </x:c>
      <x:c r="E3522" s="36" t="n">
        <x:v>126000</x:v>
      </x:c>
      <x:c r="F3522" s="36" t="n">
        <x:v>12665</x:v>
      </x:c>
      <x:c r="G3522" s="42" t="n">
        <x:v>2.7166452166452166</x:v>
      </x:c>
      <x:c r="H3522" s="36" t="n">
        <x:f>E3522*G3522</x:f>
        <x:v>342297.2972972973</x:v>
      </x:c>
      <x:c r="I3522" s="36" t="n">
        <x:f>IFERROR(H3522/A3522,0)</x:f>
        <x:v>57049.54954954955</x:v>
      </x:c>
      <x:c r="J3522" s="67" t="str">
        <x:v>Modeled from live base + Sep-2026 quality ratio</x:v>
      </x:c>
      <x:c r="K3522" s="67" t="str">
        <x:v>https://www.stonealgo.com/diamond-prices/</x:v>
      </x:c>
      <x:c r="L3522" s="67" t="str">
        <x:v>https://www.pricescope.com/blog/natural-diamond-prices-september-2026</x:v>
      </x:c>
    </x:row>
    <x:row r="3523">
      <x:c r="A3523" t="n">
        <x:v>6</x:v>
      </x:c>
      <x:c r="B3523" t="str">
        <x:v>Radiant</x:v>
      </x:c>
      <x:c r="C3523" t="str">
        <x:v>D</x:v>
      </x:c>
      <x:c r="D3523" t="str">
        <x:v>IF</x:v>
      </x:c>
      <x:c r="E3523" s="36" t="n">
        <x:v>126000</x:v>
      </x:c>
      <x:c r="F3523" s="36" t="n">
        <x:v>13240</x:v>
      </x:c>
      <x:c r="G3523" s="42" t="n">
        <x:v>2.83998283998284</x:v>
      </x:c>
      <x:c r="H3523" s="36" t="n">
        <x:f>E3523*G3523</x:f>
        <x:v>357837.83783783787</x:v>
      </x:c>
      <x:c r="I3523" s="36" t="n">
        <x:f>IFERROR(H3523/A3523,0)</x:f>
        <x:v>59639.639639639645</x:v>
      </x:c>
      <x:c r="J3523" s="67" t="str">
        <x:v>Modeled from live base + Sep-2026 quality ratio</x:v>
      </x:c>
      <x:c r="K3523" s="67" t="str">
        <x:v>https://www.stonealgo.com/diamond-prices/</x:v>
      </x:c>
      <x:c r="L3523" s="67" t="str">
        <x:v>https://www.pricescope.com/blog/natural-diamond-prices-september-2026</x:v>
      </x:c>
    </x:row>
    <x:row r="3524">
      <x:c r="A3524" t="n">
        <x:v>6</x:v>
      </x:c>
      <x:c r="B3524" t="str">
        <x:v>Radiant</x:v>
      </x:c>
      <x:c r="C3524" t="str">
        <x:v>D</x:v>
      </x:c>
      <x:c r="D3524" t="str">
        <x:v>VVS1</x:v>
      </x:c>
      <x:c r="E3524" s="36" t="n">
        <x:v>126000</x:v>
      </x:c>
      <x:c r="F3524" s="36" t="n">
        <x:v>9555</x:v>
      </x:c>
      <x:c r="G3524" s="42" t="n">
        <x:v>2.0495495495495497</x:v>
      </x:c>
      <x:c r="H3524" s="36" t="n">
        <x:f>E3524*G3524</x:f>
        <x:v>258243.24324324325</x:v>
      </x:c>
      <x:c r="I3524" s="36" t="n">
        <x:f>IFERROR(H3524/A3524,0)</x:f>
        <x:v>43040.54054054054</x:v>
      </x:c>
      <x:c r="J3524" s="67" t="str">
        <x:v>Modeled from live base + Sep-2026 quality ratio</x:v>
      </x:c>
      <x:c r="K3524" s="67" t="str">
        <x:v>https://www.stonealgo.com/diamond-prices/</x:v>
      </x:c>
      <x:c r="L3524" s="67" t="str">
        <x:v>https://www.pricescope.com/blog/natural-diamond-prices-september-2026</x:v>
      </x:c>
    </x:row>
    <x:row r="3525">
      <x:c r="A3525" t="n">
        <x:v>6</x:v>
      </x:c>
      <x:c r="B3525" t="str">
        <x:v>Radiant</x:v>
      </x:c>
      <x:c r="C3525" t="str">
        <x:v>D</x:v>
      </x:c>
      <x:c r="D3525" t="str">
        <x:v>VVS2</x:v>
      </x:c>
      <x:c r="E3525" s="36" t="n">
        <x:v>126000</x:v>
      </x:c>
      <x:c r="F3525" s="36" t="n">
        <x:v>6660</x:v>
      </x:c>
      <x:c r="G3525" s="42" t="n">
        <x:v>1.4285714285714286</x:v>
      </x:c>
      <x:c r="H3525" s="36" t="n">
        <x:f>E3525*G3525</x:f>
        <x:v>180000</x:v>
      </x:c>
      <x:c r="I3525" s="36" t="n">
        <x:f>IFERROR(H3525/A3525,0)</x:f>
        <x:v>30000</x:v>
      </x:c>
      <x:c r="J3525" s="67" t="str">
        <x:v>Modeled from live base + Sep-2026 quality ratio</x:v>
      </x:c>
      <x:c r="K3525" s="67" t="str">
        <x:v>https://www.stonealgo.com/diamond-prices/</x:v>
      </x:c>
      <x:c r="L3525" s="67" t="str">
        <x:v>https://www.pricescope.com/blog/natural-diamond-prices-september-2026</x:v>
      </x:c>
    </x:row>
    <x:row r="3526">
      <x:c r="A3526" t="n">
        <x:v>6</x:v>
      </x:c>
      <x:c r="B3526" t="str">
        <x:v>Radiant</x:v>
      </x:c>
      <x:c r="C3526" t="str">
        <x:v>D</x:v>
      </x:c>
      <x:c r="D3526" t="str">
        <x:v>VS1</x:v>
      </x:c>
      <x:c r="E3526" s="36" t="n">
        <x:v>126000</x:v>
      </x:c>
      <x:c r="F3526" s="36" t="n">
        <x:v>6247</x:v>
      </x:c>
      <x:c r="G3526" s="42" t="n">
        <x:v>1.33998283998284</x:v>
      </x:c>
      <x:c r="H3526" s="36" t="n">
        <x:f>E3526*G3526</x:f>
        <x:v>168837.83783783784</x:v>
      </x:c>
      <x:c r="I3526" s="36" t="n">
        <x:f>IFERROR(H3526/A3526,0)</x:f>
        <x:v>28139.63963963964</x:v>
      </x:c>
      <x:c r="J3526" s="67" t="str">
        <x:v>Modeled from live base + Sep-2026 quality ratio</x:v>
      </x:c>
      <x:c r="K3526" s="67" t="str">
        <x:v>https://www.stonealgo.com/diamond-prices/</x:v>
      </x:c>
      <x:c r="L3526" s="67" t="str">
        <x:v>https://www.pricescope.com/blog/natural-diamond-prices-september-2026</x:v>
      </x:c>
    </x:row>
    <x:row r="3527">
      <x:c r="A3527" t="n">
        <x:v>6</x:v>
      </x:c>
      <x:c r="B3527" t="str">
        <x:v>Radiant</x:v>
      </x:c>
      <x:c r="C3527" t="str">
        <x:v>D</x:v>
      </x:c>
      <x:c r="D3527" t="str">
        <x:v>VS2</x:v>
      </x:c>
      <x:c r="E3527" s="36" t="n">
        <x:v>126000</x:v>
      </x:c>
      <x:c r="F3527" s="36" t="n">
        <x:v>5841</x:v>
      </x:c>
      <x:c r="G3527" s="42" t="n">
        <x:v>1.252895752895753</x:v>
      </x:c>
      <x:c r="H3527" s="36" t="n">
        <x:f>E3527*G3527</x:f>
        <x:v>157864.86486486488</x:v>
      </x:c>
      <x:c r="I3527" s="36" t="n">
        <x:f>IFERROR(H3527/A3527,0)</x:f>
        <x:v>26310.810810810814</x:v>
      </x:c>
      <x:c r="J3527" s="67" t="str">
        <x:v>Modeled from live base + Sep-2026 quality ratio</x:v>
      </x:c>
      <x:c r="K3527" s="67" t="str">
        <x:v>https://www.stonealgo.com/diamond-prices/</x:v>
      </x:c>
      <x:c r="L3527" s="67" t="str">
        <x:v>https://www.pricescope.com/blog/natural-diamond-prices-september-2026</x:v>
      </x:c>
    </x:row>
    <x:row r="3528">
      <x:c r="A3528" t="n">
        <x:v>6</x:v>
      </x:c>
      <x:c r="B3528" t="str">
        <x:v>Radiant</x:v>
      </x:c>
      <x:c r="C3528" t="str">
        <x:v>D</x:v>
      </x:c>
      <x:c r="D3528" t="str">
        <x:v>SI1</x:v>
      </x:c>
      <x:c r="E3528" s="36" t="n">
        <x:v>126000</x:v>
      </x:c>
      <x:c r="F3528" s="36" t="n">
        <x:v>3762</x:v>
      </x:c>
      <x:c r="G3528" s="42" t="n">
        <x:v>0.806949806949807</x:v>
      </x:c>
      <x:c r="H3528" s="36" t="n">
        <x:f>E3528*G3528</x:f>
        <x:v>101675.67567567568</x:v>
      </x:c>
      <x:c r="I3528" s="36" t="n">
        <x:f>IFERROR(H3528/A3528,0)</x:f>
        <x:v>16945.945945945947</x:v>
      </x:c>
      <x:c r="J3528" s="67" t="str">
        <x:v>Modeled from live base + Sep-2026 quality ratio</x:v>
      </x:c>
      <x:c r="K3528" s="67" t="str">
        <x:v>https://www.stonealgo.com/diamond-prices/</x:v>
      </x:c>
      <x:c r="L3528" s="67" t="str">
        <x:v>https://www.pricescope.com/blog/natural-diamond-prices-september-2026</x:v>
      </x:c>
    </x:row>
    <x:row r="3529">
      <x:c r="A3529" t="n">
        <x:v>6</x:v>
      </x:c>
      <x:c r="B3529" t="str">
        <x:v>Radiant</x:v>
      </x:c>
      <x:c r="C3529" t="str">
        <x:v>D</x:v>
      </x:c>
      <x:c r="D3529" t="str">
        <x:v>SI2</x:v>
      </x:c>
      <x:c r="E3529" s="36" t="n">
        <x:v>126000</x:v>
      </x:c>
      <x:c r="F3529" s="36" t="n">
        <x:v>3026</x:v>
      </x:c>
      <x:c r="G3529" s="42" t="n">
        <x:v>0.6490776490776491</x:v>
      </x:c>
      <x:c r="H3529" s="36" t="n">
        <x:f>E3529*G3529</x:f>
        <x:v>81783.78378378379</x:v>
      </x:c>
      <x:c r="I3529" s="36" t="n">
        <x:f>IFERROR(H3529/A3529,0)</x:f>
        <x:v>13630.63063063063</x:v>
      </x:c>
      <x:c r="J3529" s="67" t="str">
        <x:v>Modeled from live base + Sep-2026 quality ratio</x:v>
      </x:c>
      <x:c r="K3529" s="67" t="str">
        <x:v>https://www.stonealgo.com/diamond-prices/</x:v>
      </x:c>
      <x:c r="L3529" s="67" t="str">
        <x:v>https://www.pricescope.com/blog/natural-diamond-prices-september-2026</x:v>
      </x:c>
    </x:row>
    <x:row r="3530">
      <x:c r="A3530" t="n">
        <x:v>6</x:v>
      </x:c>
      <x:c r="B3530" t="str">
        <x:v>Radiant</x:v>
      </x:c>
      <x:c r="C3530" t="str">
        <x:v>E</x:v>
      </x:c>
      <x:c r="D3530" t="str">
        <x:v>FL</x:v>
      </x:c>
      <x:c r="E3530" s="36" t="n">
        <x:v>126000</x:v>
      </x:c>
      <x:c r="F3530" s="36" t="n">
        <x:v>10072</x:v>
      </x:c>
      <x:c r="G3530" s="42" t="n">
        <x:v>2.1604461604461602</x:v>
      </x:c>
      <x:c r="H3530" s="36" t="n">
        <x:f>E3530*G3530</x:f>
        <x:v>272216.2162162162</x:v>
      </x:c>
      <x:c r="I3530" s="36" t="n">
        <x:f>IFERROR(H3530/A3530,0)</x:f>
        <x:v>45369.36936936937</x:v>
      </x:c>
      <x:c r="J3530" s="67" t="str">
        <x:v>Modeled from live base + Sep-2026 quality ratio</x:v>
      </x:c>
      <x:c r="K3530" s="67" t="str">
        <x:v>https://www.stonealgo.com/diamond-prices/</x:v>
      </x:c>
      <x:c r="L3530" s="67" t="str">
        <x:v>https://www.pricescope.com/blog/natural-diamond-prices-september-2026</x:v>
      </x:c>
    </x:row>
    <x:row r="3531">
      <x:c r="A3531" t="n">
        <x:v>6</x:v>
      </x:c>
      <x:c r="B3531" t="str">
        <x:v>Radiant</x:v>
      </x:c>
      <x:c r="C3531" t="str">
        <x:v>E</x:v>
      </x:c>
      <x:c r="D3531" t="str">
        <x:v>IF</x:v>
      </x:c>
      <x:c r="E3531" s="36" t="n">
        <x:v>126000</x:v>
      </x:c>
      <x:c r="F3531" s="36" t="n">
        <x:v>8672</x:v>
      </x:c>
      <x:c r="G3531" s="42" t="n">
        <x:v>1.8601458601458603</x:v>
      </x:c>
      <x:c r="H3531" s="36" t="n">
        <x:f>E3531*G3531</x:f>
        <x:v>234378.3783783784</x:v>
      </x:c>
      <x:c r="I3531" s="36" t="n">
        <x:f>IFERROR(H3531/A3531,0)</x:f>
        <x:v>39063.06306306307</x:v>
      </x:c>
      <x:c r="J3531" s="67" t="str">
        <x:v>Modeled from live base + Sep-2026 quality ratio</x:v>
      </x:c>
      <x:c r="K3531" s="67" t="str">
        <x:v>https://www.stonealgo.com/diamond-prices/</x:v>
      </x:c>
      <x:c r="L3531" s="67" t="str">
        <x:v>https://www.pricescope.com/blog/natural-diamond-prices-september-2026</x:v>
      </x:c>
    </x:row>
    <x:row r="3532">
      <x:c r="A3532" t="n">
        <x:v>6</x:v>
      </x:c>
      <x:c r="B3532" t="str">
        <x:v>Radiant</x:v>
      </x:c>
      <x:c r="C3532" t="str">
        <x:v>E</x:v>
      </x:c>
      <x:c r="D3532" t="str">
        <x:v>VVS1</x:v>
      </x:c>
      <x:c r="E3532" s="36" t="n">
        <x:v>126000</x:v>
      </x:c>
      <x:c r="F3532" s="36" t="n">
        <x:v>7842</x:v>
      </x:c>
      <x:c r="G3532" s="42" t="n">
        <x:v>1.6821106821106822</x:v>
      </x:c>
      <x:c r="H3532" s="36" t="n">
        <x:f>E3532*G3532</x:f>
        <x:v>211945.94594594595</x:v>
      </x:c>
      <x:c r="I3532" s="36" t="n">
        <x:f>IFERROR(H3532/A3532,0)</x:f>
        <x:v>35324.32432432433</x:v>
      </x:c>
      <x:c r="J3532" s="67" t="str">
        <x:v>Modeled from live base + Sep-2026 quality ratio</x:v>
      </x:c>
      <x:c r="K3532" s="67" t="str">
        <x:v>https://www.stonealgo.com/diamond-prices/</x:v>
      </x:c>
      <x:c r="L3532" s="67" t="str">
        <x:v>https://www.pricescope.com/blog/natural-diamond-prices-september-2026</x:v>
      </x:c>
    </x:row>
    <x:row r="3533">
      <x:c r="A3533" t="n">
        <x:v>6</x:v>
      </x:c>
      <x:c r="B3533" t="str">
        <x:v>Radiant</x:v>
      </x:c>
      <x:c r="C3533" t="str">
        <x:v>E</x:v>
      </x:c>
      <x:c r="D3533" t="str">
        <x:v>VVS2</x:v>
      </x:c>
      <x:c r="E3533" s="36" t="n">
        <x:v>126000</x:v>
      </x:c>
      <x:c r="F3533" s="36" t="n">
        <x:v>6880</x:v>
      </x:c>
      <x:c r="G3533" s="42" t="n">
        <x:v>1.4757614757614759</x:v>
      </x:c>
      <x:c r="H3533" s="36" t="n">
        <x:f>E3533*G3533</x:f>
        <x:v>185945.94594594595</x:v>
      </x:c>
      <x:c r="I3533" s="36" t="n">
        <x:f>IFERROR(H3533/A3533,0)</x:f>
        <x:v>30990.99099099099</x:v>
      </x:c>
      <x:c r="J3533" s="67" t="str">
        <x:v>Modeled from live base + Sep-2026 quality ratio</x:v>
      </x:c>
      <x:c r="K3533" s="67" t="str">
        <x:v>https://www.stonealgo.com/diamond-prices/</x:v>
      </x:c>
      <x:c r="L3533" s="67" t="str">
        <x:v>https://www.pricescope.com/blog/natural-diamond-prices-september-2026</x:v>
      </x:c>
    </x:row>
    <x:row r="3534">
      <x:c r="A3534" t="n">
        <x:v>6</x:v>
      </x:c>
      <x:c r="B3534" t="str">
        <x:v>Radiant</x:v>
      </x:c>
      <x:c r="C3534" t="str">
        <x:v>E</x:v>
      </x:c>
      <x:c r="D3534" t="str">
        <x:v>VS1</x:v>
      </x:c>
      <x:c r="E3534" s="36" t="n">
        <x:v>126000</x:v>
      </x:c>
      <x:c r="F3534" s="36" t="n">
        <x:v>6307</x:v>
      </x:c>
      <x:c r="G3534" s="42" t="n">
        <x:v>1.352852852852853</x:v>
      </x:c>
      <x:c r="H3534" s="36" t="n">
        <x:f>E3534*G3534</x:f>
        <x:v>170459.45945945947</x:v>
      </x:c>
      <x:c r="I3534" s="36" t="n">
        <x:f>IFERROR(H3534/A3534,0)</x:f>
        <x:v>28409.90990990991</x:v>
      </x:c>
      <x:c r="J3534" s="67" t="str">
        <x:v>Modeled from live base + Sep-2026 quality ratio</x:v>
      </x:c>
      <x:c r="K3534" s="67" t="str">
        <x:v>https://www.stonealgo.com/diamond-prices/</x:v>
      </x:c>
      <x:c r="L3534" s="67" t="str">
        <x:v>https://www.pricescope.com/blog/natural-diamond-prices-september-2026</x:v>
      </x:c>
    </x:row>
    <x:row r="3535">
      <x:c r="A3535" t="n">
        <x:v>6</x:v>
      </x:c>
      <x:c r="B3535" t="str">
        <x:v>Radiant</x:v>
      </x:c>
      <x:c r="C3535" t="str">
        <x:v>E</x:v>
      </x:c>
      <x:c r="D3535" t="str">
        <x:v>VS2</x:v>
      </x:c>
      <x:c r="E3535" s="36" t="n">
        <x:v>126000</x:v>
      </x:c>
      <x:c r="F3535" s="36" t="n">
        <x:v>5249</x:v>
      </x:c>
      <x:c r="G3535" s="42" t="n">
        <x:v>1.125911625911626</x:v>
      </x:c>
      <x:c r="H3535" s="36" t="n">
        <x:f>E3535*G3535</x:f>
        <x:v>141864.86486486488</x:v>
      </x:c>
      <x:c r="I3535" s="36" t="n">
        <x:f>IFERROR(H3535/A3535,0)</x:f>
        <x:v>23644.144144144146</x:v>
      </x:c>
      <x:c r="J3535" s="67" t="str">
        <x:v>Modeled from live base + Sep-2026 quality ratio</x:v>
      </x:c>
      <x:c r="K3535" s="67" t="str">
        <x:v>https://www.stonealgo.com/diamond-prices/</x:v>
      </x:c>
      <x:c r="L3535" s="67" t="str">
        <x:v>https://www.pricescope.com/blog/natural-diamond-prices-september-2026</x:v>
      </x:c>
    </x:row>
    <x:row r="3536">
      <x:c r="A3536" t="n">
        <x:v>6</x:v>
      </x:c>
      <x:c r="B3536" t="str">
        <x:v>Radiant</x:v>
      </x:c>
      <x:c r="C3536" t="str">
        <x:v>E</x:v>
      </x:c>
      <x:c r="D3536" t="str">
        <x:v>SI1</x:v>
      </x:c>
      <x:c r="E3536" s="36" t="n">
        <x:v>126000</x:v>
      </x:c>
      <x:c r="F3536" s="36" t="n">
        <x:v>3551</x:v>
      </x:c>
      <x:c r="G3536" s="42" t="n">
        <x:v>0.7616902616902617</x:v>
      </x:c>
      <x:c r="H3536" s="36" t="n">
        <x:f>E3536*G3536</x:f>
        <x:v>95972.97297297297</x:v>
      </x:c>
      <x:c r="I3536" s="36" t="n">
        <x:f>IFERROR(H3536/A3536,0)</x:f>
        <x:v>15995.495495495496</x:v>
      </x:c>
      <x:c r="J3536" s="67" t="str">
        <x:v>Modeled from live base + Sep-2026 quality ratio</x:v>
      </x:c>
      <x:c r="K3536" s="67" t="str">
        <x:v>https://www.stonealgo.com/diamond-prices/</x:v>
      </x:c>
      <x:c r="L3536" s="67" t="str">
        <x:v>https://www.pricescope.com/blog/natural-diamond-prices-september-2026</x:v>
      </x:c>
    </x:row>
    <x:row r="3537">
      <x:c r="A3537" t="n">
        <x:v>6</x:v>
      </x:c>
      <x:c r="B3537" t="str">
        <x:v>Radiant</x:v>
      </x:c>
      <x:c r="C3537" t="str">
        <x:v>E</x:v>
      </x:c>
      <x:c r="D3537" t="str">
        <x:v>SI2</x:v>
      </x:c>
      <x:c r="E3537" s="36" t="n">
        <x:v>126000</x:v>
      </x:c>
      <x:c r="F3537" s="36" t="n">
        <x:v>2993</x:v>
      </x:c>
      <x:c r="G3537" s="42" t="n">
        <x:v>0.641999141999142</x:v>
      </x:c>
      <x:c r="H3537" s="36" t="n">
        <x:f>E3537*G3537</x:f>
        <x:v>80891.8918918919</x:v>
      </x:c>
      <x:c r="I3537" s="36" t="n">
        <x:f>IFERROR(H3537/A3537,0)</x:f>
        <x:v>13481.981981981982</x:v>
      </x:c>
      <x:c r="J3537" s="67" t="str">
        <x:v>Modeled from live base + Sep-2026 quality ratio</x:v>
      </x:c>
      <x:c r="K3537" s="67" t="str">
        <x:v>https://www.stonealgo.com/diamond-prices/</x:v>
      </x:c>
      <x:c r="L3537" s="67" t="str">
        <x:v>https://www.pricescope.com/blog/natural-diamond-prices-september-2026</x:v>
      </x:c>
    </x:row>
    <x:row r="3538">
      <x:c r="A3538" t="n">
        <x:v>6</x:v>
      </x:c>
      <x:c r="B3538" t="str">
        <x:v>Radiant</x:v>
      </x:c>
      <x:c r="C3538" t="str">
        <x:v>F</x:v>
      </x:c>
      <x:c r="D3538" t="str">
        <x:v>FL</x:v>
      </x:c>
      <x:c r="E3538" s="36" t="n">
        <x:v>126000</x:v>
      </x:c>
      <x:c r="F3538" s="36" t="n">
        <x:v>6830</x:v>
      </x:c>
      <x:c r="G3538" s="42" t="n">
        <x:v>1.4650364650364651</x:v>
      </x:c>
      <x:c r="H3538" s="36" t="n">
        <x:f>E3538*G3538</x:f>
        <x:v>184594.59459459462</x:v>
      </x:c>
      <x:c r="I3538" s="36" t="n">
        <x:f>IFERROR(H3538/A3538,0)</x:f>
        <x:v>30765.76576576577</x:v>
      </x:c>
      <x:c r="J3538" s="67" t="str">
        <x:v>Modeled from live base + Sep-2026 quality ratio</x:v>
      </x:c>
      <x:c r="K3538" s="67" t="str">
        <x:v>https://www.stonealgo.com/diamond-prices/</x:v>
      </x:c>
      <x:c r="L3538" s="67" t="str">
        <x:v>https://www.pricescope.com/blog/natural-diamond-prices-september-2026</x:v>
      </x:c>
    </x:row>
    <x:row r="3539">
      <x:c r="A3539" t="n">
        <x:v>6</x:v>
      </x:c>
      <x:c r="B3539" t="str">
        <x:v>Radiant</x:v>
      </x:c>
      <x:c r="C3539" t="str">
        <x:v>F</x:v>
      </x:c>
      <x:c r="D3539" t="str">
        <x:v>IF</x:v>
      </x:c>
      <x:c r="E3539" s="36" t="n">
        <x:v>126000</x:v>
      </x:c>
      <x:c r="F3539" s="36" t="n">
        <x:v>7302</x:v>
      </x:c>
      <x:c r="G3539" s="42" t="n">
        <x:v>1.5662805662805663</x:v>
      </x:c>
      <x:c r="H3539" s="36" t="n">
        <x:f>E3539*G3539</x:f>
        <x:v>197351.35135135136</x:v>
      </x:c>
      <x:c r="I3539" s="36" t="n">
        <x:f>IFERROR(H3539/A3539,0)</x:f>
        <x:v>32891.89189189189</x:v>
      </x:c>
      <x:c r="J3539" s="67" t="str">
        <x:v>Modeled from live base + Sep-2026 quality ratio</x:v>
      </x:c>
      <x:c r="K3539" s="67" t="str">
        <x:v>https://www.stonealgo.com/diamond-prices/</x:v>
      </x:c>
      <x:c r="L3539" s="67" t="str">
        <x:v>https://www.pricescope.com/blog/natural-diamond-prices-september-2026</x:v>
      </x:c>
    </x:row>
    <x:row r="3540">
      <x:c r="A3540" t="n">
        <x:v>6</x:v>
      </x:c>
      <x:c r="B3540" t="str">
        <x:v>Radiant</x:v>
      </x:c>
      <x:c r="C3540" t="str">
        <x:v>F</x:v>
      </x:c>
      <x:c r="D3540" t="str">
        <x:v>VVS1</x:v>
      </x:c>
      <x:c r="E3540" s="36" t="n">
        <x:v>126000</x:v>
      </x:c>
      <x:c r="F3540" s="36" t="n">
        <x:v>7542</x:v>
      </x:c>
      <x:c r="G3540" s="42" t="n">
        <x:v>1.6177606177606179</x:v>
      </x:c>
      <x:c r="H3540" s="36" t="n">
        <x:f>E3540*G3540</x:f>
        <x:v>203837.83783783784</x:v>
      </x:c>
      <x:c r="I3540" s="36" t="n">
        <x:f>IFERROR(H3540/A3540,0)</x:f>
        <x:v>33972.97297297297</x:v>
      </x:c>
      <x:c r="J3540" s="67" t="str">
        <x:v>Modeled from live base + Sep-2026 quality ratio</x:v>
      </x:c>
      <x:c r="K3540" s="67" t="str">
        <x:v>https://www.stonealgo.com/diamond-prices/</x:v>
      </x:c>
      <x:c r="L3540" s="67" t="str">
        <x:v>https://www.pricescope.com/blog/natural-diamond-prices-september-2026</x:v>
      </x:c>
    </x:row>
    <x:row r="3541">
      <x:c r="A3541" t="n">
        <x:v>6</x:v>
      </x:c>
      <x:c r="B3541" t="str">
        <x:v>Radiant</x:v>
      </x:c>
      <x:c r="C3541" t="str">
        <x:v>F</x:v>
      </x:c>
      <x:c r="D3541" t="str">
        <x:v>VVS2</x:v>
      </x:c>
      <x:c r="E3541" s="36" t="n">
        <x:v>126000</x:v>
      </x:c>
      <x:c r="F3541" s="36" t="n">
        <x:v>6352</x:v>
      </x:c>
      <x:c r="G3541" s="42" t="n">
        <x:v>1.3625053625053625</x:v>
      </x:c>
      <x:c r="H3541" s="36" t="n">
        <x:f>E3541*G3541</x:f>
        <x:v>171675.67567567568</x:v>
      </x:c>
      <x:c r="I3541" s="36" t="n">
        <x:f>IFERROR(H3541/A3541,0)</x:f>
        <x:v>28612.612612612615</x:v>
      </x:c>
      <x:c r="J3541" s="67" t="str">
        <x:v>Modeled from live base + Sep-2026 quality ratio</x:v>
      </x:c>
      <x:c r="K3541" s="67" t="str">
        <x:v>https://www.stonealgo.com/diamond-prices/</x:v>
      </x:c>
      <x:c r="L3541" s="67" t="str">
        <x:v>https://www.pricescope.com/blog/natural-diamond-prices-september-2026</x:v>
      </x:c>
    </x:row>
    <x:row r="3542">
      <x:c r="A3542" t="n">
        <x:v>6</x:v>
      </x:c>
      <x:c r="B3542" t="str">
        <x:v>Radiant</x:v>
      </x:c>
      <x:c r="C3542" t="str">
        <x:v>F</x:v>
      </x:c>
      <x:c r="D3542" t="str">
        <x:v>VS1</x:v>
      </x:c>
      <x:c r="E3542" s="36" t="n">
        <x:v>126000</x:v>
      </x:c>
      <x:c r="F3542" s="36" t="n">
        <x:v>5647</x:v>
      </x:c>
      <x:c r="G3542" s="42" t="n">
        <x:v>1.2112827112827114</x:v>
      </x:c>
      <x:c r="H3542" s="36" t="n">
        <x:f>E3542*G3542</x:f>
        <x:v>152621.62162162163</x:v>
      </x:c>
      <x:c r="I3542" s="36" t="n">
        <x:f>IFERROR(H3542/A3542,0)</x:f>
        <x:v>25436.936936936938</x:v>
      </x:c>
      <x:c r="J3542" s="67" t="str">
        <x:v>Modeled from live base + Sep-2026 quality ratio</x:v>
      </x:c>
      <x:c r="K3542" s="67" t="str">
        <x:v>https://www.stonealgo.com/diamond-prices/</x:v>
      </x:c>
      <x:c r="L3542" s="67" t="str">
        <x:v>https://www.pricescope.com/blog/natural-diamond-prices-september-2026</x:v>
      </x:c>
    </x:row>
    <x:row r="3543">
      <x:c r="A3543" t="n">
        <x:v>6</x:v>
      </x:c>
      <x:c r="B3543" t="str">
        <x:v>Radiant</x:v>
      </x:c>
      <x:c r="C3543" t="str">
        <x:v>F</x:v>
      </x:c>
      <x:c r="D3543" t="str">
        <x:v>VS2</x:v>
      </x:c>
      <x:c r="E3543" s="36" t="n">
        <x:v>126000</x:v>
      </x:c>
      <x:c r="F3543" s="36" t="n">
        <x:v>4730</x:v>
      </x:c>
      <x:c r="G3543" s="42" t="n">
        <x:v>1.0145860145860146</x:v>
      </x:c>
      <x:c r="H3543" s="36" t="n">
        <x:f>E3543*G3543</x:f>
        <x:v>127837.83783783784</x:v>
      </x:c>
      <x:c r="I3543" s="36" t="n">
        <x:f>IFERROR(H3543/A3543,0)</x:f>
        <x:v>21306.306306306305</x:v>
      </x:c>
      <x:c r="J3543" s="67" t="str">
        <x:v>Modeled from live base + Sep-2026 quality ratio</x:v>
      </x:c>
      <x:c r="K3543" s="67" t="str">
        <x:v>https://www.stonealgo.com/diamond-prices/</x:v>
      </x:c>
      <x:c r="L3543" s="67" t="str">
        <x:v>https://www.pricescope.com/blog/natural-diamond-prices-september-2026</x:v>
      </x:c>
    </x:row>
    <x:row r="3544">
      <x:c r="A3544" t="n">
        <x:v>6</x:v>
      </x:c>
      <x:c r="B3544" t="str">
        <x:v>Radiant</x:v>
      </x:c>
      <x:c r="C3544" t="str">
        <x:v>F</x:v>
      </x:c>
      <x:c r="D3544" t="str">
        <x:v>SI1</x:v>
      </x:c>
      <x:c r="E3544" s="36" t="n">
        <x:v>126000</x:v>
      </x:c>
      <x:c r="F3544" s="36" t="n">
        <x:v>3331</x:v>
      </x:c>
      <x:c r="G3544" s="42" t="n">
        <x:v>0.7145002145002145</x:v>
      </x:c>
      <x:c r="H3544" s="36" t="n">
        <x:f>E3544*G3544</x:f>
        <x:v>90027.02702702703</x:v>
      </x:c>
      <x:c r="I3544" s="36" t="n">
        <x:f>IFERROR(H3544/A3544,0)</x:f>
        <x:v>15004.504504504504</x:v>
      </x:c>
      <x:c r="J3544" s="67" t="str">
        <x:v>Modeled from live base + Sep-2026 quality ratio</x:v>
      </x:c>
      <x:c r="K3544" s="67" t="str">
        <x:v>https://www.stonealgo.com/diamond-prices/</x:v>
      </x:c>
      <x:c r="L3544" s="67" t="str">
        <x:v>https://www.pricescope.com/blog/natural-diamond-prices-september-2026</x:v>
      </x:c>
    </x:row>
    <x:row r="3545">
      <x:c r="A3545" t="n">
        <x:v>6</x:v>
      </x:c>
      <x:c r="B3545" t="str">
        <x:v>Radiant</x:v>
      </x:c>
      <x:c r="C3545" t="str">
        <x:v>F</x:v>
      </x:c>
      <x:c r="D3545" t="str">
        <x:v>SI2</x:v>
      </x:c>
      <x:c r="E3545" s="36" t="n">
        <x:v>126000</x:v>
      </x:c>
      <x:c r="F3545" s="36" t="n">
        <x:v>2733</x:v>
      </x:c>
      <x:c r="G3545" s="42" t="n">
        <x:v>0.5862290862290862</x:v>
      </x:c>
      <x:c r="H3545" s="36" t="n">
        <x:f>E3545*G3545</x:f>
        <x:v>73864.86486486487</x:v>
      </x:c>
      <x:c r="I3545" s="36" t="n">
        <x:f>IFERROR(H3545/A3545,0)</x:f>
        <x:v>12310.810810810812</x:v>
      </x:c>
      <x:c r="J3545" s="67" t="str">
        <x:v>Modeled from live base + Sep-2026 quality ratio</x:v>
      </x:c>
      <x:c r="K3545" s="67" t="str">
        <x:v>https://www.stonealgo.com/diamond-prices/</x:v>
      </x:c>
      <x:c r="L3545" s="67" t="str">
        <x:v>https://www.pricescope.com/blog/natural-diamond-prices-september-2026</x:v>
      </x:c>
    </x:row>
    <x:row r="3546">
      <x:c r="A3546" t="n">
        <x:v>6</x:v>
      </x:c>
      <x:c r="B3546" t="str">
        <x:v>Radiant</x:v>
      </x:c>
      <x:c r="C3546" t="str">
        <x:v>G</x:v>
      </x:c>
      <x:c r="D3546" t="str">
        <x:v>FL</x:v>
      </x:c>
      <x:c r="E3546" s="36" t="n">
        <x:v>126000</x:v>
      </x:c>
      <x:c r="F3546" s="36" t="n">
        <x:v>5905</x:v>
      </x:c>
      <x:c r="G3546" s="42" t="n">
        <x:v>1.2666237666237665</x:v>
      </x:c>
      <x:c r="H3546" s="36" t="n">
        <x:f>E3546*G3546</x:f>
        <x:v>159594.5945945946</x:v>
      </x:c>
      <x:c r="I3546" s="36" t="n">
        <x:f>IFERROR(H3546/A3546,0)</x:f>
        <x:v>26599.099099099098</x:v>
      </x:c>
      <x:c r="J3546" s="67" t="str">
        <x:v>Modeled from live base + Sep-2026 quality ratio</x:v>
      </x:c>
      <x:c r="K3546" s="67" t="str">
        <x:v>https://www.stonealgo.com/diamond-prices/</x:v>
      </x:c>
      <x:c r="L3546" s="67" t="str">
        <x:v>https://www.pricescope.com/blog/natural-diamond-prices-september-2026</x:v>
      </x:c>
    </x:row>
    <x:row r="3547">
      <x:c r="A3547" t="n">
        <x:v>6</x:v>
      </x:c>
      <x:c r="B3547" t="str">
        <x:v>Radiant</x:v>
      </x:c>
      <x:c r="C3547" t="str">
        <x:v>G</x:v>
      </x:c>
      <x:c r="D3547" t="str">
        <x:v>IF</x:v>
      </x:c>
      <x:c r="E3547" s="36" t="n">
        <x:v>126000</x:v>
      </x:c>
      <x:c r="F3547" s="36" t="n">
        <x:v>5601</x:v>
      </x:c>
      <x:c r="G3547" s="42" t="n">
        <x:v>1.2014157014157014</x:v>
      </x:c>
      <x:c r="H3547" s="36" t="n">
        <x:f>E3547*G3547</x:f>
        <x:v>151378.37837837837</x:v>
      </x:c>
      <x:c r="I3547" s="36" t="n">
        <x:f>IFERROR(H3547/A3547,0)</x:f>
        <x:v>25229.72972972973</x:v>
      </x:c>
      <x:c r="J3547" s="67" t="str">
        <x:v>Modeled from live base + Sep-2026 quality ratio</x:v>
      </x:c>
      <x:c r="K3547" s="67" t="str">
        <x:v>https://www.stonealgo.com/diamond-prices/</x:v>
      </x:c>
      <x:c r="L3547" s="67" t="str">
        <x:v>https://www.pricescope.com/blog/natural-diamond-prices-september-2026</x:v>
      </x:c>
    </x:row>
    <x:row r="3548">
      <x:c r="A3548" t="n">
        <x:v>6</x:v>
      </x:c>
      <x:c r="B3548" t="str">
        <x:v>Radiant</x:v>
      </x:c>
      <x:c r="C3548" t="str">
        <x:v>G</x:v>
      </x:c>
      <x:c r="D3548" t="str">
        <x:v>VVS1</x:v>
      </x:c>
      <x:c r="E3548" s="36" t="n">
        <x:v>126000</x:v>
      </x:c>
      <x:c r="F3548" s="36" t="n">
        <x:v>5124</x:v>
      </x:c>
      <x:c r="G3548" s="42" t="n">
        <x:v>1.0990990990990992</x:v>
      </x:c>
      <x:c r="H3548" s="36" t="n">
        <x:f>E3548*G3548</x:f>
        <x:v>138486.4864864865</x:v>
      </x:c>
      <x:c r="I3548" s="36" t="n">
        <x:f>IFERROR(H3548/A3548,0)</x:f>
        <x:v>23081.081081081084</x:v>
      </x:c>
      <x:c r="J3548" s="67" t="str">
        <x:v>Modeled from live base + Sep-2026 quality ratio</x:v>
      </x:c>
      <x:c r="K3548" s="67" t="str">
        <x:v>https://www.stonealgo.com/diamond-prices/</x:v>
      </x:c>
      <x:c r="L3548" s="67" t="str">
        <x:v>https://www.pricescope.com/blog/natural-diamond-prices-september-2026</x:v>
      </x:c>
    </x:row>
    <x:row r="3549">
      <x:c r="A3549" t="n">
        <x:v>6</x:v>
      </x:c>
      <x:c r="B3549" t="str">
        <x:v>Radiant</x:v>
      </x:c>
      <x:c r="C3549" t="str">
        <x:v>G</x:v>
      </x:c>
      <x:c r="D3549" t="str">
        <x:v>VVS2</x:v>
      </x:c>
      <x:c r="E3549" s="36" t="n">
        <x:v>126000</x:v>
      </x:c>
      <x:c r="F3549" s="36" t="n">
        <x:v>4962</x:v>
      </x:c>
      <x:c r="G3549" s="42" t="n">
        <x:v>1.0643500643500643</x:v>
      </x:c>
      <x:c r="H3549" s="36" t="n">
        <x:f>E3549*G3549</x:f>
        <x:v>134108.1081081081</x:v>
      </x:c>
      <x:c r="I3549" s="36" t="n">
        <x:f>IFERROR(H3549/A3549,0)</x:f>
        <x:v>22351.35135135135</x:v>
      </x:c>
      <x:c r="J3549" s="67" t="str">
        <x:v>Modeled from live base + Sep-2026 quality ratio</x:v>
      </x:c>
      <x:c r="K3549" s="67" t="str">
        <x:v>https://www.stonealgo.com/diamond-prices/</x:v>
      </x:c>
      <x:c r="L3549" s="67" t="str">
        <x:v>https://www.pricescope.com/blog/natural-diamond-prices-september-2026</x:v>
      </x:c>
    </x:row>
    <x:row r="3550">
      <x:c r="A3550" t="n">
        <x:v>6</x:v>
      </x:c>
      <x:c r="B3550" t="str">
        <x:v>Radiant</x:v>
      </x:c>
      <x:c r="C3550" t="str">
        <x:v>G</x:v>
      </x:c>
      <x:c r="D3550" t="str">
        <x:v>VS1</x:v>
      </x:c>
      <x:c r="E3550" s="36" t="n">
        <x:v>126000</x:v>
      </x:c>
      <x:c r="F3550" s="36" t="n">
        <x:v>4615</x:v>
      </x:c>
      <x:c r="G3550" s="42" t="n">
        <x:v>0.98991848991849</x:v>
      </x:c>
      <x:c r="H3550" s="36" t="n">
        <x:f>E3550*G3550</x:f>
        <x:v>124729.72972972973</x:v>
      </x:c>
      <x:c r="I3550" s="36" t="n">
        <x:f>IFERROR(H3550/A3550,0)</x:f>
        <x:v>20788.288288288288</x:v>
      </x:c>
      <x:c r="J3550" s="67" t="str">
        <x:v>Modeled from live base + Sep-2026 quality ratio</x:v>
      </x:c>
      <x:c r="K3550" s="67" t="str">
        <x:v>https://www.stonealgo.com/diamond-prices/</x:v>
      </x:c>
      <x:c r="L3550" s="67" t="str">
        <x:v>https://www.pricescope.com/blog/natural-diamond-prices-september-2026</x:v>
      </x:c>
    </x:row>
    <x:row r="3551">
      <x:c r="A3551" t="n">
        <x:v>6</x:v>
      </x:c>
      <x:c r="B3551" t="str">
        <x:v>Radiant</x:v>
      </x:c>
      <x:c r="C3551" t="str">
        <x:v>G</x:v>
      </x:c>
      <x:c r="D3551" t="str">
        <x:v>VS2</x:v>
      </x:c>
      <x:c r="E3551" s="36" t="n">
        <x:v>126000</x:v>
      </x:c>
      <x:c r="F3551" s="36" t="n">
        <x:v>4585</x:v>
      </x:c>
      <x:c r="G3551" s="42" t="n">
        <x:v>0.9834834834834835</x:v>
      </x:c>
      <x:c r="H3551" s="36" t="n">
        <x:f>E3551*G3551</x:f>
        <x:v>123918.91891891892</x:v>
      </x:c>
      <x:c r="I3551" s="36" t="n">
        <x:f>IFERROR(H3551/A3551,0)</x:f>
        <x:v>20653.153153153155</x:v>
      </x:c>
      <x:c r="J3551" s="67" t="str">
        <x:v>Modeled from live base + Sep-2026 quality ratio</x:v>
      </x:c>
      <x:c r="K3551" s="67" t="str">
        <x:v>https://www.stonealgo.com/diamond-prices/</x:v>
      </x:c>
      <x:c r="L3551" s="67" t="str">
        <x:v>https://www.pricescope.com/blog/natural-diamond-prices-september-2026</x:v>
      </x:c>
    </x:row>
    <x:row r="3552">
      <x:c r="A3552" t="n">
        <x:v>6</x:v>
      </x:c>
      <x:c r="B3552" t="str">
        <x:v>Radiant</x:v>
      </x:c>
      <x:c r="C3552" t="str">
        <x:v>G</x:v>
      </x:c>
      <x:c r="D3552" t="str">
        <x:v>SI1</x:v>
      </x:c>
      <x:c r="E3552" s="36" t="n">
        <x:v>126000</x:v>
      </x:c>
      <x:c r="F3552" s="36" t="n">
        <x:v>3664</x:v>
      </x:c>
      <x:c r="G3552" s="42" t="n">
        <x:v>0.7859287859287859</x:v>
      </x:c>
      <x:c r="H3552" s="36" t="n">
        <x:f>E3552*G3552</x:f>
        <x:v>99027.02702702703</x:v>
      </x:c>
      <x:c r="I3552" s="36" t="n">
        <x:f>IFERROR(H3552/A3552,0)</x:f>
        <x:v>16504.504504504504</x:v>
      </x:c>
      <x:c r="J3552" s="67" t="str">
        <x:v>Modeled from live base + Sep-2026 quality ratio</x:v>
      </x:c>
      <x:c r="K3552" s="67" t="str">
        <x:v>https://www.stonealgo.com/diamond-prices/</x:v>
      </x:c>
      <x:c r="L3552" s="67" t="str">
        <x:v>https://www.pricescope.com/blog/natural-diamond-prices-september-2026</x:v>
      </x:c>
    </x:row>
    <x:row r="3553">
      <x:c r="A3553" t="n">
        <x:v>6</x:v>
      </x:c>
      <x:c r="B3553" t="str">
        <x:v>Radiant</x:v>
      </x:c>
      <x:c r="C3553" t="str">
        <x:v>G</x:v>
      </x:c>
      <x:c r="D3553" t="str">
        <x:v>SI2</x:v>
      </x:c>
      <x:c r="E3553" s="36" t="n">
        <x:v>126000</x:v>
      </x:c>
      <x:c r="F3553" s="36" t="n">
        <x:v>2537</x:v>
      </x:c>
      <x:c r="G3553" s="42" t="n">
        <x:v>0.5441870441870442</x:v>
      </x:c>
      <x:c r="H3553" s="36" t="n">
        <x:f>E3553*G3553</x:f>
        <x:v>68567.56756756757</x:v>
      </x:c>
      <x:c r="I3553" s="36" t="n">
        <x:f>IFERROR(H3553/A3553,0)</x:f>
        <x:v>11427.927927927929</x:v>
      </x:c>
      <x:c r="J3553" s="67" t="str">
        <x:v>Modeled from live base + Sep-2026 quality ratio</x:v>
      </x:c>
      <x:c r="K3553" s="67" t="str">
        <x:v>https://www.stonealgo.com/diamond-prices/</x:v>
      </x:c>
      <x:c r="L3553" s="67" t="str">
        <x:v>https://www.pricescope.com/blog/natural-diamond-prices-september-2026</x:v>
      </x:c>
    </x:row>
    <x:row r="3554">
      <x:c r="A3554" t="n">
        <x:v>6</x:v>
      </x:c>
      <x:c r="B3554" t="str">
        <x:v>Radiant</x:v>
      </x:c>
      <x:c r="C3554" t="str">
        <x:v>H</x:v>
      </x:c>
      <x:c r="D3554" t="str">
        <x:v>FL</x:v>
      </x:c>
      <x:c r="E3554" s="36" t="n">
        <x:v>126000</x:v>
      </x:c>
      <x:c r="F3554" s="36" t="n">
        <x:v>4563</x:v>
      </x:c>
      <x:c r="G3554" s="42" t="n">
        <x:v>0.9787644787644788</x:v>
      </x:c>
      <x:c r="H3554" s="36" t="n">
        <x:f>E3554*G3554</x:f>
        <x:v>123324.32432432433</x:v>
      </x:c>
      <x:c r="I3554" s="36" t="n">
        <x:f>IFERROR(H3554/A3554,0)</x:f>
        <x:v>20554.054054054057</x:v>
      </x:c>
      <x:c r="J3554" s="67" t="str">
        <x:v>Modeled from live base + Sep-2026 quality ratio</x:v>
      </x:c>
      <x:c r="K3554" s="67" t="str">
        <x:v>https://www.stonealgo.com/diamond-prices/</x:v>
      </x:c>
      <x:c r="L3554" s="67" t="str">
        <x:v>https://www.pricescope.com/blog/natural-diamond-prices-september-2026</x:v>
      </x:c>
    </x:row>
    <x:row r="3555">
      <x:c r="A3555" t="n">
        <x:v>6</x:v>
      </x:c>
      <x:c r="B3555" t="str">
        <x:v>Radiant</x:v>
      </x:c>
      <x:c r="C3555" t="str">
        <x:v>H</x:v>
      </x:c>
      <x:c r="D3555" t="str">
        <x:v>IF</x:v>
      </x:c>
      <x:c r="E3555" s="36" t="n">
        <x:v>126000</x:v>
      </x:c>
      <x:c r="F3555" s="36" t="n">
        <x:v>4809</x:v>
      </x:c>
      <x:c r="G3555" s="42" t="n">
        <x:v>1.0315315315315314</x:v>
      </x:c>
      <x:c r="H3555" s="36" t="n">
        <x:f>E3555*G3555</x:f>
        <x:v>129972.97297297296</x:v>
      </x:c>
      <x:c r="I3555" s="36" t="n">
        <x:f>IFERROR(H3555/A3555,0)</x:f>
        <x:v>21662.16216216216</x:v>
      </x:c>
      <x:c r="J3555" s="67" t="str">
        <x:v>Modeled from live base + Sep-2026 quality ratio</x:v>
      </x:c>
      <x:c r="K3555" s="67" t="str">
        <x:v>https://www.stonealgo.com/diamond-prices/</x:v>
      </x:c>
      <x:c r="L3555" s="67" t="str">
        <x:v>https://www.pricescope.com/blog/natural-diamond-prices-september-2026</x:v>
      </x:c>
    </x:row>
    <x:row r="3556">
      <x:c r="A3556" t="n">
        <x:v>6</x:v>
      </x:c>
      <x:c r="B3556" t="str">
        <x:v>Radiant</x:v>
      </x:c>
      <x:c r="C3556" t="str">
        <x:v>H</x:v>
      </x:c>
      <x:c r="D3556" t="str">
        <x:v>VVS1</x:v>
      </x:c>
      <x:c r="E3556" s="36" t="n">
        <x:v>126000</x:v>
      </x:c>
      <x:c r="F3556" s="36" t="n">
        <x:v>4911</x:v>
      </x:c>
      <x:c r="G3556" s="42" t="n">
        <x:v>1.0534105534105533</x:v>
      </x:c>
      <x:c r="H3556" s="36" t="n">
        <x:f>E3556*G3556</x:f>
        <x:v>132729.72972972973</x:v>
      </x:c>
      <x:c r="I3556" s="36" t="n">
        <x:f>IFERROR(H3556/A3556,0)</x:f>
        <x:v>22121.621621621623</x:v>
      </x:c>
      <x:c r="J3556" s="67" t="str">
        <x:v>Modeled from live base + Sep-2026 quality ratio</x:v>
      </x:c>
      <x:c r="K3556" s="67" t="str">
        <x:v>https://www.stonealgo.com/diamond-prices/</x:v>
      </x:c>
      <x:c r="L3556" s="67" t="str">
        <x:v>https://www.pricescope.com/blog/natural-diamond-prices-september-2026</x:v>
      </x:c>
    </x:row>
    <x:row r="3557">
      <x:c r="A3557" t="n">
        <x:v>6</x:v>
      </x:c>
      <x:c r="B3557" t="str">
        <x:v>Radiant</x:v>
      </x:c>
      <x:c r="C3557" t="str">
        <x:v>H</x:v>
      </x:c>
      <x:c r="D3557" t="str">
        <x:v>VVS2</x:v>
      </x:c>
      <x:c r="E3557" s="36" t="n">
        <x:v>126000</x:v>
      </x:c>
      <x:c r="F3557" s="36" t="n">
        <x:v>4046</x:v>
      </x:c>
      <x:c r="G3557" s="42" t="n">
        <x:v>0.8678678678678678</x:v>
      </x:c>
      <x:c r="H3557" s="36" t="n">
        <x:f>E3557*G3557</x:f>
        <x:v>109351.35135135135</x:v>
      </x:c>
      <x:c r="I3557" s="36" t="n">
        <x:f>IFERROR(H3557/A3557,0)</x:f>
        <x:v>18225.225225225226</x:v>
      </x:c>
      <x:c r="J3557" s="67" t="str">
        <x:v>Modeled from live base + Sep-2026 quality ratio</x:v>
      </x:c>
      <x:c r="K3557" s="67" t="str">
        <x:v>https://www.stonealgo.com/diamond-prices/</x:v>
      </x:c>
      <x:c r="L3557" s="67" t="str">
        <x:v>https://www.pricescope.com/blog/natural-diamond-prices-september-2026</x:v>
      </x:c>
    </x:row>
    <x:row r="3558">
      <x:c r="A3558" t="n">
        <x:v>6</x:v>
      </x:c>
      <x:c r="B3558" t="str">
        <x:v>Radiant</x:v>
      </x:c>
      <x:c r="C3558" t="str">
        <x:v>H</x:v>
      </x:c>
      <x:c r="D3558" t="str">
        <x:v>VS1</x:v>
      </x:c>
      <x:c r="E3558" s="36" t="n">
        <x:v>126000</x:v>
      </x:c>
      <x:c r="F3558" s="36" t="n">
        <x:v>3893</x:v>
      </x:c>
      <x:c r="G3558" s="42" t="n">
        <x:v>0.8350493350493351</x:v>
      </x:c>
      <x:c r="H3558" s="36" t="n">
        <x:f>E3558*G3558</x:f>
        <x:v>105216.21621621623</x:v>
      </x:c>
      <x:c r="I3558" s="36" t="n">
        <x:f>IFERROR(H3558/A3558,0)</x:f>
        <x:v>17536.03603603604</x:v>
      </x:c>
      <x:c r="J3558" s="67" t="str">
        <x:v>Modeled from live base + Sep-2026 quality ratio</x:v>
      </x:c>
      <x:c r="K3558" s="67" t="str">
        <x:v>https://www.stonealgo.com/diamond-prices/</x:v>
      </x:c>
      <x:c r="L3558" s="67" t="str">
        <x:v>https://www.pricescope.com/blog/natural-diamond-prices-september-2026</x:v>
      </x:c>
    </x:row>
    <x:row r="3559">
      <x:c r="A3559" t="n">
        <x:v>6</x:v>
      </x:c>
      <x:c r="B3559" t="str">
        <x:v>Radiant</x:v>
      </x:c>
      <x:c r="C3559" t="str">
        <x:v>H</x:v>
      </x:c>
      <x:c r="D3559" t="str">
        <x:v>VS2</x:v>
      </x:c>
      <x:c r="E3559" s="36" t="n">
        <x:v>126000</x:v>
      </x:c>
      <x:c r="F3559" s="36" t="n">
        <x:v>3989</x:v>
      </x:c>
      <x:c r="G3559" s="42" t="n">
        <x:v>0.8556413556413557</x:v>
      </x:c>
      <x:c r="H3559" s="36" t="n">
        <x:f>E3559*G3559</x:f>
        <x:v>107810.81081081081</x:v>
      </x:c>
      <x:c r="I3559" s="36" t="n">
        <x:f>IFERROR(H3559/A3559,0)</x:f>
        <x:v>17968.46846846847</x:v>
      </x:c>
      <x:c r="J3559" s="67" t="str">
        <x:v>Modeled from live base + Sep-2026 quality ratio</x:v>
      </x:c>
      <x:c r="K3559" s="67" t="str">
        <x:v>https://www.stonealgo.com/diamond-prices/</x:v>
      </x:c>
      <x:c r="L3559" s="67" t="str">
        <x:v>https://www.pricescope.com/blog/natural-diamond-prices-september-2026</x:v>
      </x:c>
    </x:row>
    <x:row r="3560">
      <x:c r="A3560" t="n">
        <x:v>6</x:v>
      </x:c>
      <x:c r="B3560" t="str">
        <x:v>Radiant</x:v>
      </x:c>
      <x:c r="C3560" t="str">
        <x:v>H</x:v>
      </x:c>
      <x:c r="D3560" t="str">
        <x:v>SI1</x:v>
      </x:c>
      <x:c r="E3560" s="36" t="n">
        <x:v>126000</x:v>
      </x:c>
      <x:c r="F3560" s="36" t="n">
        <x:v>2828</x:v>
      </x:c>
      <x:c r="G3560" s="42" t="n">
        <x:v>0.6066066066066066</x:v>
      </x:c>
      <x:c r="H3560" s="36" t="n">
        <x:f>E3560*G3560</x:f>
        <x:v>76432.43243243243</x:v>
      </x:c>
      <x:c r="I3560" s="36" t="n">
        <x:f>IFERROR(H3560/A3560,0)</x:f>
        <x:v>12738.738738738737</x:v>
      </x:c>
      <x:c r="J3560" s="67" t="str">
        <x:v>Modeled from live base + Sep-2026 quality ratio</x:v>
      </x:c>
      <x:c r="K3560" s="67" t="str">
        <x:v>https://www.stonealgo.com/diamond-prices/</x:v>
      </x:c>
      <x:c r="L3560" s="67" t="str">
        <x:v>https://www.pricescope.com/blog/natural-diamond-prices-september-2026</x:v>
      </x:c>
    </x:row>
    <x:row r="3561">
      <x:c r="A3561" t="n">
        <x:v>6</x:v>
      </x:c>
      <x:c r="B3561" t="str">
        <x:v>Radiant</x:v>
      </x:c>
      <x:c r="C3561" t="str">
        <x:v>H</x:v>
      </x:c>
      <x:c r="D3561" t="str">
        <x:v>SI2</x:v>
      </x:c>
      <x:c r="E3561" s="36" t="n">
        <x:v>126000</x:v>
      </x:c>
      <x:c r="F3561" s="36" t="n">
        <x:v>2328</x:v>
      </x:c>
      <x:c r="G3561" s="42" t="n">
        <x:v>0.49935649935649934</x:v>
      </x:c>
      <x:c r="H3561" s="36" t="n">
        <x:f>E3561*G3561</x:f>
        <x:v>62918.91891891892</x:v>
      </x:c>
      <x:c r="I3561" s="36" t="n">
        <x:f>IFERROR(H3561/A3561,0)</x:f>
        <x:v>10486.486486486487</x:v>
      </x:c>
      <x:c r="J3561" s="67" t="str">
        <x:v>Modeled from live base + Sep-2026 quality ratio</x:v>
      </x:c>
      <x:c r="K3561" s="67" t="str">
        <x:v>https://www.stonealgo.com/diamond-prices/</x:v>
      </x:c>
      <x:c r="L3561" s="67" t="str">
        <x:v>https://www.pricescope.com/blog/natural-diamond-prices-september-2026</x:v>
      </x:c>
    </x:row>
    <x:row r="3562">
      <x:c r="A3562" t="n">
        <x:v>6</x:v>
      </x:c>
      <x:c r="B3562" t="str">
        <x:v>Radiant</x:v>
      </x:c>
      <x:c r="C3562" t="str">
        <x:v>I</x:v>
      </x:c>
      <x:c r="D3562" t="str">
        <x:v>FL</x:v>
      </x:c>
      <x:c r="E3562" s="36" t="n">
        <x:v>126000</x:v>
      </x:c>
      <x:c r="F3562" s="36" t="n">
        <x:v>4623</x:v>
      </x:c>
      <x:c r="G3562" s="42" t="n">
        <x:v>0.9916344916344917</x:v>
      </x:c>
      <x:c r="H3562" s="36" t="n">
        <x:f>E3562*G3562</x:f>
        <x:v>124945.94594594595</x:v>
      </x:c>
      <x:c r="I3562" s="36" t="n">
        <x:f>IFERROR(H3562/A3562,0)</x:f>
        <x:v>20824.324324324323</x:v>
      </x:c>
      <x:c r="J3562" s="67" t="str">
        <x:v>Modeled from live base + Sep-2026 quality ratio</x:v>
      </x:c>
      <x:c r="K3562" s="67" t="str">
        <x:v>https://www.stonealgo.com/diamond-prices/</x:v>
      </x:c>
      <x:c r="L3562" s="67" t="str">
        <x:v>https://www.pricescope.com/blog/natural-diamond-prices-september-2026</x:v>
      </x:c>
    </x:row>
    <x:row r="3563">
      <x:c r="A3563" t="n">
        <x:v>6</x:v>
      </x:c>
      <x:c r="B3563" t="str">
        <x:v>Radiant</x:v>
      </x:c>
      <x:c r="C3563" t="str">
        <x:v>I</x:v>
      </x:c>
      <x:c r="D3563" t="str">
        <x:v>IF</x:v>
      </x:c>
      <x:c r="E3563" s="36" t="n">
        <x:v>126000</x:v>
      </x:c>
      <x:c r="F3563" s="36" t="n">
        <x:v>4005</x:v>
      </x:c>
      <x:c r="G3563" s="42" t="n">
        <x:v>0.859073359073359</x:v>
      </x:c>
      <x:c r="H3563" s="36" t="n">
        <x:f>E3563*G3563</x:f>
        <x:v>108243.24324324324</x:v>
      </x:c>
      <x:c r="I3563" s="36" t="n">
        <x:f>IFERROR(H3563/A3563,0)</x:f>
        <x:v>18040.54054054054</x:v>
      </x:c>
      <x:c r="J3563" s="67" t="str">
        <x:v>Modeled from live base + Sep-2026 quality ratio</x:v>
      </x:c>
      <x:c r="K3563" s="67" t="str">
        <x:v>https://www.stonealgo.com/diamond-prices/</x:v>
      </x:c>
      <x:c r="L3563" s="67" t="str">
        <x:v>https://www.pricescope.com/blog/natural-diamond-prices-september-2026</x:v>
      </x:c>
    </x:row>
    <x:row r="3564">
      <x:c r="A3564" t="n">
        <x:v>6</x:v>
      </x:c>
      <x:c r="B3564" t="str">
        <x:v>Radiant</x:v>
      </x:c>
      <x:c r="C3564" t="str">
        <x:v>I</x:v>
      </x:c>
      <x:c r="D3564" t="str">
        <x:v>VVS1</x:v>
      </x:c>
      <x:c r="E3564" s="36" t="n">
        <x:v>126000</x:v>
      </x:c>
      <x:c r="F3564" s="36" t="n">
        <x:v>3670</x:v>
      </x:c>
      <x:c r="G3564" s="42" t="n">
        <x:v>0.7872157872157872</x:v>
      </x:c>
      <x:c r="H3564" s="36" t="n">
        <x:f>E3564*G3564</x:f>
        <x:v>99189.18918918919</x:v>
      </x:c>
      <x:c r="I3564" s="36" t="n">
        <x:f>IFERROR(H3564/A3564,0)</x:f>
        <x:v>16531.53153153153</x:v>
      </x:c>
      <x:c r="J3564" s="67" t="str">
        <x:v>Modeled from live base + Sep-2026 quality ratio</x:v>
      </x:c>
      <x:c r="K3564" s="67" t="str">
        <x:v>https://www.stonealgo.com/diamond-prices/</x:v>
      </x:c>
      <x:c r="L3564" s="67" t="str">
        <x:v>https://www.pricescope.com/blog/natural-diamond-prices-september-2026</x:v>
      </x:c>
    </x:row>
    <x:row r="3565">
      <x:c r="A3565" t="n">
        <x:v>6</x:v>
      </x:c>
      <x:c r="B3565" t="str">
        <x:v>Radiant</x:v>
      </x:c>
      <x:c r="C3565" t="str">
        <x:v>I</x:v>
      </x:c>
      <x:c r="D3565" t="str">
        <x:v>VVS2</x:v>
      </x:c>
      <x:c r="E3565" s="36" t="n">
        <x:v>126000</x:v>
      </x:c>
      <x:c r="F3565" s="36" t="n">
        <x:v>3447</x:v>
      </x:c>
      <x:c r="G3565" s="42" t="n">
        <x:v>0.7393822393822393</x:v>
      </x:c>
      <x:c r="H3565" s="36" t="n">
        <x:f>E3565*G3565</x:f>
        <x:v>93162.16216216216</x:v>
      </x:c>
      <x:c r="I3565" s="36" t="n">
        <x:f>IFERROR(H3565/A3565,0)</x:f>
        <x:v>15527.027027027027</x:v>
      </x:c>
      <x:c r="J3565" s="67" t="str">
        <x:v>Modeled from live base + Sep-2026 quality ratio</x:v>
      </x:c>
      <x:c r="K3565" s="67" t="str">
        <x:v>https://www.stonealgo.com/diamond-prices/</x:v>
      </x:c>
      <x:c r="L3565" s="67" t="str">
        <x:v>https://www.pricescope.com/blog/natural-diamond-prices-september-2026</x:v>
      </x:c>
    </x:row>
    <x:row r="3566">
      <x:c r="A3566" t="n">
        <x:v>6</x:v>
      </x:c>
      <x:c r="B3566" t="str">
        <x:v>Radiant</x:v>
      </x:c>
      <x:c r="C3566" t="str">
        <x:v>I</x:v>
      </x:c>
      <x:c r="D3566" t="str">
        <x:v>VS1</x:v>
      </x:c>
      <x:c r="E3566" s="36" t="n">
        <x:v>126000</x:v>
      </x:c>
      <x:c r="F3566" s="36" t="n">
        <x:v>3313</x:v>
      </x:c>
      <x:c r="G3566" s="42" t="n">
        <x:v>0.7106392106392107</x:v>
      </x:c>
      <x:c r="H3566" s="36" t="n">
        <x:f>E3566*G3566</x:f>
        <x:v>89540.54054054055</x:v>
      </x:c>
      <x:c r="I3566" s="36" t="n">
        <x:f>IFERROR(H3566/A3566,0)</x:f>
        <x:v>14923.423423423425</x:v>
      </x:c>
      <x:c r="J3566" s="67" t="str">
        <x:v>Modeled from live base + Sep-2026 quality ratio</x:v>
      </x:c>
      <x:c r="K3566" s="67" t="str">
        <x:v>https://www.stonealgo.com/diamond-prices/</x:v>
      </x:c>
      <x:c r="L3566" s="67" t="str">
        <x:v>https://www.pricescope.com/blog/natural-diamond-prices-september-2026</x:v>
      </x:c>
    </x:row>
    <x:row r="3567">
      <x:c r="A3567" t="n">
        <x:v>6</x:v>
      </x:c>
      <x:c r="B3567" t="str">
        <x:v>Radiant</x:v>
      </x:c>
      <x:c r="C3567" t="str">
        <x:v>I</x:v>
      </x:c>
      <x:c r="D3567" t="str">
        <x:v>VS2</x:v>
      </x:c>
      <x:c r="E3567" s="36" t="n">
        <x:v>126000</x:v>
      </x:c>
      <x:c r="F3567" s="36" t="n">
        <x:v>3240</x:v>
      </x:c>
      <x:c r="G3567" s="42" t="n">
        <x:v>0.694980694980695</x:v>
      </x:c>
      <x:c r="H3567" s="36" t="n">
        <x:f>E3567*G3567</x:f>
        <x:v>87567.56756756757</x:v>
      </x:c>
      <x:c r="I3567" s="36" t="n">
        <x:f>IFERROR(H3567/A3567,0)</x:f>
        <x:v>14594.594594594595</x:v>
      </x:c>
      <x:c r="J3567" s="67" t="str">
        <x:v>Modeled from live base + Sep-2026 quality ratio</x:v>
      </x:c>
      <x:c r="K3567" s="67" t="str">
        <x:v>https://www.stonealgo.com/diamond-prices/</x:v>
      </x:c>
      <x:c r="L3567" s="67" t="str">
        <x:v>https://www.pricescope.com/blog/natural-diamond-prices-september-2026</x:v>
      </x:c>
    </x:row>
    <x:row r="3568">
      <x:c r="A3568" t="n">
        <x:v>6</x:v>
      </x:c>
      <x:c r="B3568" t="str">
        <x:v>Radiant</x:v>
      </x:c>
      <x:c r="C3568" t="str">
        <x:v>I</x:v>
      </x:c>
      <x:c r="D3568" t="str">
        <x:v>SI1</x:v>
      </x:c>
      <x:c r="E3568" s="36" t="n">
        <x:v>126000</x:v>
      </x:c>
      <x:c r="F3568" s="36" t="n">
        <x:v>3199</x:v>
      </x:c>
      <x:c r="G3568" s="42" t="n">
        <x:v>0.6861861861861862</x:v>
      </x:c>
      <x:c r="H3568" s="36" t="n">
        <x:f>E3568*G3568</x:f>
        <x:v>86459.45945945947</x:v>
      </x:c>
      <x:c r="I3568" s="36" t="n">
        <x:f>IFERROR(H3568/A3568,0)</x:f>
        <x:v>14409.909909909911</x:v>
      </x:c>
      <x:c r="J3568" s="67" t="str">
        <x:v>Modeled from live base + Sep-2026 quality ratio</x:v>
      </x:c>
      <x:c r="K3568" s="67" t="str">
        <x:v>https://www.stonealgo.com/diamond-prices/</x:v>
      </x:c>
      <x:c r="L3568" s="67" t="str">
        <x:v>https://www.pricescope.com/blog/natural-diamond-prices-september-2026</x:v>
      </x:c>
    </x:row>
    <x:row r="3569">
      <x:c r="A3569" t="n">
        <x:v>6</x:v>
      </x:c>
      <x:c r="B3569" t="str">
        <x:v>Radiant</x:v>
      </x:c>
      <x:c r="C3569" t="str">
        <x:v>I</x:v>
      </x:c>
      <x:c r="D3569" t="str">
        <x:v>SI2</x:v>
      </x:c>
      <x:c r="E3569" s="36" t="n">
        <x:v>126000</x:v>
      </x:c>
      <x:c r="F3569" s="36" t="n">
        <x:v>2874</x:v>
      </x:c>
      <x:c r="G3569" s="42" t="n">
        <x:v>0.6164736164736164</x:v>
      </x:c>
      <x:c r="H3569" s="36" t="n">
        <x:f>E3569*G3569</x:f>
        <x:v>77675.67567567567</x:v>
      </x:c>
      <x:c r="I3569" s="36" t="n">
        <x:f>IFERROR(H3569/A3569,0)</x:f>
        <x:v>12945.945945945945</x:v>
      </x:c>
      <x:c r="J3569" s="67" t="str">
        <x:v>Modeled from live base + Sep-2026 quality ratio</x:v>
      </x:c>
      <x:c r="K3569" s="67" t="str">
        <x:v>https://www.stonealgo.com/diamond-prices/</x:v>
      </x:c>
      <x:c r="L3569" s="67" t="str">
        <x:v>https://www.pricescope.com/blog/natural-diamond-prices-september-2026</x:v>
      </x:c>
    </x:row>
    <x:row r="3570">
      <x:c r="A3570" t="n">
        <x:v>6</x:v>
      </x:c>
      <x:c r="B3570" t="str">
        <x:v>Radiant</x:v>
      </x:c>
      <x:c r="C3570" t="str">
        <x:v>J</x:v>
      </x:c>
      <x:c r="D3570" t="str">
        <x:v>FL</x:v>
      </x:c>
      <x:c r="E3570" s="36" t="n">
        <x:v>126000</x:v>
      </x:c>
      <x:c r="F3570" s="36" t="n">
        <x:v>3646</x:v>
      </x:c>
      <x:c r="G3570" s="42" t="n">
        <x:v>0.782067782067782</x:v>
      </x:c>
      <x:c r="H3570" s="36" t="n">
        <x:f>E3570*G3570</x:f>
        <x:v>98540.54054054053</x:v>
      </x:c>
      <x:c r="I3570" s="36" t="n">
        <x:f>IFERROR(H3570/A3570,0)</x:f>
        <x:v>16423.42342342342</x:v>
      </x:c>
      <x:c r="J3570" s="67" t="str">
        <x:v>Modeled from live base + Sep-2026 quality ratio</x:v>
      </x:c>
      <x:c r="K3570" s="67" t="str">
        <x:v>https://www.stonealgo.com/diamond-prices/</x:v>
      </x:c>
      <x:c r="L3570" s="67" t="str">
        <x:v>https://www.pricescope.com/blog/natural-diamond-prices-september-2026</x:v>
      </x:c>
    </x:row>
    <x:row r="3571">
      <x:c r="A3571" t="n">
        <x:v>6</x:v>
      </x:c>
      <x:c r="B3571" t="str">
        <x:v>Radiant</x:v>
      </x:c>
      <x:c r="C3571" t="str">
        <x:v>J</x:v>
      </x:c>
      <x:c r="D3571" t="str">
        <x:v>IF</x:v>
      </x:c>
      <x:c r="E3571" s="36" t="n">
        <x:v>126000</x:v>
      </x:c>
      <x:c r="F3571" s="36" t="n">
        <x:v>3368</x:v>
      </x:c>
      <x:c r="G3571" s="42" t="n">
        <x:v>0.7224367224367224</x:v>
      </x:c>
      <x:c r="H3571" s="36" t="n">
        <x:f>E3571*G3571</x:f>
        <x:v>91027.02702702703</x:v>
      </x:c>
      <x:c r="I3571" s="36" t="n">
        <x:f>IFERROR(H3571/A3571,0)</x:f>
        <x:v>15171.17117117117</x:v>
      </x:c>
      <x:c r="J3571" s="67" t="str">
        <x:v>Modeled from live base + Sep-2026 quality ratio</x:v>
      </x:c>
      <x:c r="K3571" s="67" t="str">
        <x:v>https://www.stonealgo.com/diamond-prices/</x:v>
      </x:c>
      <x:c r="L3571" s="67" t="str">
        <x:v>https://www.pricescope.com/blog/natural-diamond-prices-september-2026</x:v>
      </x:c>
    </x:row>
    <x:row r="3572">
      <x:c r="A3572" t="n">
        <x:v>6</x:v>
      </x:c>
      <x:c r="B3572" t="str">
        <x:v>Radiant</x:v>
      </x:c>
      <x:c r="C3572" t="str">
        <x:v>J</x:v>
      </x:c>
      <x:c r="D3572" t="str">
        <x:v>VVS1</x:v>
      </x:c>
      <x:c r="E3572" s="36" t="n">
        <x:v>126000</x:v>
      </x:c>
      <x:c r="F3572" s="36" t="n">
        <x:v>2956</x:v>
      </x:c>
      <x:c r="G3572" s="42" t="n">
        <x:v>0.6340626340626341</x:v>
      </x:c>
      <x:c r="H3572" s="36" t="n">
        <x:f>E3572*G3572</x:f>
        <x:v>79891.8918918919</x:v>
      </x:c>
      <x:c r="I3572" s="36" t="n">
        <x:f>IFERROR(H3572/A3572,0)</x:f>
        <x:v>13315.315315315316</x:v>
      </x:c>
      <x:c r="J3572" s="67" t="str">
        <x:v>Modeled from live base + Sep-2026 quality ratio</x:v>
      </x:c>
      <x:c r="K3572" s="67" t="str">
        <x:v>https://www.stonealgo.com/diamond-prices/</x:v>
      </x:c>
      <x:c r="L3572" s="67" t="str">
        <x:v>https://www.pricescope.com/blog/natural-diamond-prices-september-2026</x:v>
      </x:c>
    </x:row>
    <x:row r="3573">
      <x:c r="A3573" t="n">
        <x:v>6</x:v>
      </x:c>
      <x:c r="B3573" t="str">
        <x:v>Radiant</x:v>
      </x:c>
      <x:c r="C3573" t="str">
        <x:v>J</x:v>
      </x:c>
      <x:c r="D3573" t="str">
        <x:v>VVS2</x:v>
      </x:c>
      <x:c r="E3573" s="36" t="n">
        <x:v>126000</x:v>
      </x:c>
      <x:c r="F3573" s="36" t="n">
        <x:v>2612</x:v>
      </x:c>
      <x:c r="G3573" s="42" t="n">
        <x:v>0.5602745602745602</x:v>
      </x:c>
      <x:c r="H3573" s="36" t="n">
        <x:f>E3573*G3573</x:f>
        <x:v>70594.59459459459</x:v>
      </x:c>
      <x:c r="I3573" s="36" t="n">
        <x:f>IFERROR(H3573/A3573,0)</x:f>
        <x:v>11765.765765765764</x:v>
      </x:c>
      <x:c r="J3573" s="67" t="str">
        <x:v>Modeled from live base + Sep-2026 quality ratio</x:v>
      </x:c>
      <x:c r="K3573" s="67" t="str">
        <x:v>https://www.stonealgo.com/diamond-prices/</x:v>
      </x:c>
      <x:c r="L3573" s="67" t="str">
        <x:v>https://www.pricescope.com/blog/natural-diamond-prices-september-2026</x:v>
      </x:c>
    </x:row>
    <x:row r="3574">
      <x:c r="A3574" t="n">
        <x:v>6</x:v>
      </x:c>
      <x:c r="B3574" t="str">
        <x:v>Radiant</x:v>
      </x:c>
      <x:c r="C3574" t="str">
        <x:v>J</x:v>
      </x:c>
      <x:c r="D3574" t="str">
        <x:v>VS1</x:v>
      </x:c>
      <x:c r="E3574" s="36" t="n">
        <x:v>126000</x:v>
      </x:c>
      <x:c r="F3574" s="36" t="n">
        <x:v>3002</x:v>
      </x:c>
      <x:c r="G3574" s="42" t="n">
        <x:v>0.6439296439296439</x:v>
      </x:c>
      <x:c r="H3574" s="36" t="n">
        <x:f>E3574*G3574</x:f>
        <x:v>81135.13513513513</x:v>
      </x:c>
      <x:c r="I3574" s="36" t="n">
        <x:f>IFERROR(H3574/A3574,0)</x:f>
        <x:v>13522.522522522522</x:v>
      </x:c>
      <x:c r="J3574" s="67" t="str">
        <x:v>Modeled from live base + Sep-2026 quality ratio</x:v>
      </x:c>
      <x:c r="K3574" s="67" t="str">
        <x:v>https://www.stonealgo.com/diamond-prices/</x:v>
      </x:c>
      <x:c r="L3574" s="67" t="str">
        <x:v>https://www.pricescope.com/blog/natural-diamond-prices-september-2026</x:v>
      </x:c>
    </x:row>
    <x:row r="3575">
      <x:c r="A3575" t="n">
        <x:v>6</x:v>
      </x:c>
      <x:c r="B3575" t="str">
        <x:v>Radiant</x:v>
      </x:c>
      <x:c r="C3575" t="str">
        <x:v>J</x:v>
      </x:c>
      <x:c r="D3575" t="str">
        <x:v>VS2</x:v>
      </x:c>
      <x:c r="E3575" s="36" t="n">
        <x:v>126000</x:v>
      </x:c>
      <x:c r="F3575" s="36" t="n">
        <x:v>2559</x:v>
      </x:c>
      <x:c r="G3575" s="42" t="n">
        <x:v>0.5489060489060489</x:v>
      </x:c>
      <x:c r="H3575" s="36" t="n">
        <x:f>E3575*G3575</x:f>
        <x:v>69162.16216216216</x:v>
      </x:c>
      <x:c r="I3575" s="36" t="n">
        <x:f>IFERROR(H3575/A3575,0)</x:f>
        <x:v>11527.027027027027</x:v>
      </x:c>
      <x:c r="J3575" s="67" t="str">
        <x:v>Modeled from live base + Sep-2026 quality ratio</x:v>
      </x:c>
      <x:c r="K3575" s="67" t="str">
        <x:v>https://www.stonealgo.com/diamond-prices/</x:v>
      </x:c>
      <x:c r="L3575" s="67" t="str">
        <x:v>https://www.pricescope.com/blog/natural-diamond-prices-september-2026</x:v>
      </x:c>
    </x:row>
    <x:row r="3576">
      <x:c r="A3576" t="n">
        <x:v>6</x:v>
      </x:c>
      <x:c r="B3576" t="str">
        <x:v>Radiant</x:v>
      </x:c>
      <x:c r="C3576" t="str">
        <x:v>J</x:v>
      </x:c>
      <x:c r="D3576" t="str">
        <x:v>SI1</x:v>
      </x:c>
      <x:c r="E3576" s="36" t="n">
        <x:v>126000</x:v>
      </x:c>
      <x:c r="F3576" s="36" t="n">
        <x:v>2195</x:v>
      </x:c>
      <x:c r="G3576" s="42" t="n">
        <x:v>0.47082797082797084</x:v>
      </x:c>
      <x:c r="H3576" s="36" t="n">
        <x:f>E3576*G3576</x:f>
        <x:v>59324.32432432433</x:v>
      </x:c>
      <x:c r="I3576" s="36" t="n">
        <x:f>IFERROR(H3576/A3576,0)</x:f>
        <x:v>9887.387387387387</x:v>
      </x:c>
      <x:c r="J3576" s="67" t="str">
        <x:v>Modeled from live base + Sep-2026 quality ratio</x:v>
      </x:c>
      <x:c r="K3576" s="67" t="str">
        <x:v>https://www.stonealgo.com/diamond-prices/</x:v>
      </x:c>
      <x:c r="L3576" s="67" t="str">
        <x:v>https://www.pricescope.com/blog/natural-diamond-prices-september-2026</x:v>
      </x:c>
    </x:row>
    <x:row r="3577">
      <x:c r="A3577" t="n">
        <x:v>6</x:v>
      </x:c>
      <x:c r="B3577" t="str">
        <x:v>Radiant</x:v>
      </x:c>
      <x:c r="C3577" t="str">
        <x:v>J</x:v>
      </x:c>
      <x:c r="D3577" t="str">
        <x:v>SI2</x:v>
      </x:c>
      <x:c r="E3577" s="36" t="n">
        <x:v>126000</x:v>
      </x:c>
      <x:c r="F3577" s="36" t="n">
        <x:v>2079</x:v>
      </x:c>
      <x:c r="G3577" s="42" t="n">
        <x:v>0.44594594594594594</x:v>
      </x:c>
      <x:c r="H3577" s="36" t="n">
        <x:f>E3577*G3577</x:f>
        <x:v>56189.18918918919</x:v>
      </x:c>
      <x:c r="I3577" s="36" t="n">
        <x:f>IFERROR(H3577/A3577,0)</x:f>
        <x:v>9364.864864864865</x:v>
      </x:c>
      <x:c r="J3577" s="67" t="str">
        <x:v>Modeled from live base + Sep-2026 quality ratio</x:v>
      </x:c>
      <x:c r="K3577" s="67" t="str">
        <x:v>https://www.stonealgo.com/diamond-prices/</x:v>
      </x:c>
      <x:c r="L3577" s="67" t="str">
        <x:v>https://www.pricescope.com/blog/natural-diamond-prices-september-2026</x:v>
      </x:c>
    </x:row>
    <x:row r="3578">
      <x:c r="A3578" t="n">
        <x:v>6</x:v>
      </x:c>
      <x:c r="B3578" t="str">
        <x:v>Radiant</x:v>
      </x:c>
      <x:c r="C3578" t="str">
        <x:v>K</x:v>
      </x:c>
      <x:c r="D3578" t="str">
        <x:v>FL</x:v>
      </x:c>
      <x:c r="E3578" s="36" t="n">
        <x:v>126000</x:v>
      </x:c>
      <x:c r="F3578" s="36" t="n">
        <x:v>2858</x:v>
      </x:c>
      <x:c r="G3578" s="42" t="n">
        <x:v>0.6130416130416131</x:v>
      </x:c>
      <x:c r="H3578" s="36" t="n">
        <x:f>E3578*G3578</x:f>
        <x:v>77243.24324324325</x:v>
      </x:c>
      <x:c r="I3578" s="36" t="n">
        <x:f>IFERROR(H3578/A3578,0)</x:f>
        <x:v>12873.873873873876</x:v>
      </x:c>
      <x:c r="J3578" s="67" t="str">
        <x:v>Modeled from live base + Sep-2026 quality ratio; K/FL quality cell modeled</x:v>
      </x:c>
      <x:c r="K3578" s="67" t="str">
        <x:v>https://www.stonealgo.com/diamond-prices/</x:v>
      </x:c>
      <x:c r="L3578" s="67" t="str">
        <x:v>https://www.pricescope.com/blog/natural-diamond-prices-september-2026</x:v>
      </x:c>
    </x:row>
    <x:row r="3579">
      <x:c r="A3579" t="n">
        <x:v>6</x:v>
      </x:c>
      <x:c r="B3579" t="str">
        <x:v>Radiant</x:v>
      </x:c>
      <x:c r="C3579" t="str">
        <x:v>K</x:v>
      </x:c>
      <x:c r="D3579" t="str">
        <x:v>IF</x:v>
      </x:c>
      <x:c r="E3579" s="36" t="n">
        <x:v>126000</x:v>
      </x:c>
      <x:c r="F3579" s="36" t="n">
        <x:v>2743</x:v>
      </x:c>
      <x:c r="G3579" s="42" t="n">
        <x:v>0.5883740883740883</x:v>
      </x:c>
      <x:c r="H3579" s="36" t="n">
        <x:f>E3579*G3579</x:f>
        <x:v>74135.13513513513</x:v>
      </x:c>
      <x:c r="I3579" s="36" t="n">
        <x:f>IFERROR(H3579/A3579,0)</x:f>
        <x:v>12355.855855855856</x:v>
      </x:c>
      <x:c r="J3579" s="67" t="str">
        <x:v>Modeled from live base + Sep-2026 quality ratio</x:v>
      </x:c>
      <x:c r="K3579" s="67" t="str">
        <x:v>https://www.stonealgo.com/diamond-prices/</x:v>
      </x:c>
      <x:c r="L3579" s="67" t="str">
        <x:v>https://www.pricescope.com/blog/natural-diamond-prices-september-2026</x:v>
      </x:c>
    </x:row>
    <x:row r="3580">
      <x:c r="A3580" t="n">
        <x:v>6</x:v>
      </x:c>
      <x:c r="B3580" t="str">
        <x:v>Radiant</x:v>
      </x:c>
      <x:c r="C3580" t="str">
        <x:v>K</x:v>
      </x:c>
      <x:c r="D3580" t="str">
        <x:v>VVS1</x:v>
      </x:c>
      <x:c r="E3580" s="36" t="n">
        <x:v>126000</x:v>
      </x:c>
      <x:c r="F3580" s="36" t="n">
        <x:v>2529</x:v>
      </x:c>
      <x:c r="G3580" s="42" t="n">
        <x:v>0.5424710424710425</x:v>
      </x:c>
      <x:c r="H3580" s="36" t="n">
        <x:f>E3580*G3580</x:f>
        <x:v>68351.35135135136</x:v>
      </x:c>
      <x:c r="I3580" s="36" t="n">
        <x:f>IFERROR(H3580/A3580,0)</x:f>
        <x:v>11391.891891891893</x:v>
      </x:c>
      <x:c r="J3580" s="67" t="str">
        <x:v>Modeled from live base + Sep-2026 quality ratio</x:v>
      </x:c>
      <x:c r="K3580" s="67" t="str">
        <x:v>https://www.stonealgo.com/diamond-prices/</x:v>
      </x:c>
      <x:c r="L3580" s="67" t="str">
        <x:v>https://www.pricescope.com/blog/natural-diamond-prices-september-2026</x:v>
      </x:c>
    </x:row>
    <x:row r="3581">
      <x:c r="A3581" t="n">
        <x:v>6</x:v>
      </x:c>
      <x:c r="B3581" t="str">
        <x:v>Radiant</x:v>
      </x:c>
      <x:c r="C3581" t="str">
        <x:v>K</x:v>
      </x:c>
      <x:c r="D3581" t="str">
        <x:v>VVS2</x:v>
      </x:c>
      <x:c r="E3581" s="36" t="n">
        <x:v>126000</x:v>
      </x:c>
      <x:c r="F3581" s="36" t="n">
        <x:v>2374</x:v>
      </x:c>
      <x:c r="G3581" s="42" t="n">
        <x:v>0.5092235092235092</x:v>
      </x:c>
      <x:c r="H3581" s="36" t="n">
        <x:f>E3581*G3581</x:f>
        <x:v>64162.16216216216</x:v>
      </x:c>
      <x:c r="I3581" s="36" t="n">
        <x:f>IFERROR(H3581/A3581,0)</x:f>
        <x:v>10693.693693693693</x:v>
      </x:c>
      <x:c r="J3581" s="67" t="str">
        <x:v>Modeled from live base + Sep-2026 quality ratio</x:v>
      </x:c>
      <x:c r="K3581" s="67" t="str">
        <x:v>https://www.stonealgo.com/diamond-prices/</x:v>
      </x:c>
      <x:c r="L3581" s="67" t="str">
        <x:v>https://www.pricescope.com/blog/natural-diamond-prices-september-2026</x:v>
      </x:c>
    </x:row>
    <x:row r="3582">
      <x:c r="A3582" t="n">
        <x:v>6</x:v>
      </x:c>
      <x:c r="B3582" t="str">
        <x:v>Radiant</x:v>
      </x:c>
      <x:c r="C3582" t="str">
        <x:v>K</x:v>
      </x:c>
      <x:c r="D3582" t="str">
        <x:v>VS1</x:v>
      </x:c>
      <x:c r="E3582" s="36" t="n">
        <x:v>126000</x:v>
      </x:c>
      <x:c r="F3582" s="36" t="n">
        <x:v>2223</x:v>
      </x:c>
      <x:c r="G3582" s="42" t="n">
        <x:v>0.4768339768339768</x:v>
      </x:c>
      <x:c r="H3582" s="36" t="n">
        <x:f>E3582*G3582</x:f>
        <x:v>60081.08108108108</x:v>
      </x:c>
      <x:c r="I3582" s="36" t="n">
        <x:f>IFERROR(H3582/A3582,0)</x:f>
        <x:v>10013.513513513513</x:v>
      </x:c>
      <x:c r="J3582" s="67" t="str">
        <x:v>Modeled from live base + Sep-2026 quality ratio</x:v>
      </x:c>
      <x:c r="K3582" s="67" t="str">
        <x:v>https://www.stonealgo.com/diamond-prices/</x:v>
      </x:c>
      <x:c r="L3582" s="67" t="str">
        <x:v>https://www.pricescope.com/blog/natural-diamond-prices-september-2026</x:v>
      </x:c>
    </x:row>
    <x:row r="3583">
      <x:c r="A3583" t="n">
        <x:v>6</x:v>
      </x:c>
      <x:c r="B3583" t="str">
        <x:v>Radiant</x:v>
      </x:c>
      <x:c r="C3583" t="str">
        <x:v>K</x:v>
      </x:c>
      <x:c r="D3583" t="str">
        <x:v>VS2</x:v>
      </x:c>
      <x:c r="E3583" s="36" t="n">
        <x:v>126000</x:v>
      </x:c>
      <x:c r="F3583" s="36" t="n">
        <x:v>2098</x:v>
      </x:c>
      <x:c r="G3583" s="42" t="n">
        <x:v>0.45002145002145</x:v>
      </x:c>
      <x:c r="H3583" s="36" t="n">
        <x:f>E3583*G3583</x:f>
        <x:v>56702.7027027027</x:v>
      </x:c>
      <x:c r="I3583" s="36" t="n">
        <x:f>IFERROR(H3583/A3583,0)</x:f>
        <x:v>9450.45045045045</x:v>
      </x:c>
      <x:c r="J3583" s="67" t="str">
        <x:v>Modeled from live base + Sep-2026 quality ratio</x:v>
      </x:c>
      <x:c r="K3583" s="67" t="str">
        <x:v>https://www.stonealgo.com/diamond-prices/</x:v>
      </x:c>
      <x:c r="L3583" s="67" t="str">
        <x:v>https://www.pricescope.com/blog/natural-diamond-prices-september-2026</x:v>
      </x:c>
    </x:row>
    <x:row r="3584">
      <x:c r="A3584" t="n">
        <x:v>6</x:v>
      </x:c>
      <x:c r="B3584" t="str">
        <x:v>Radiant</x:v>
      </x:c>
      <x:c r="C3584" t="str">
        <x:v>K</x:v>
      </x:c>
      <x:c r="D3584" t="str">
        <x:v>SI1</x:v>
      </x:c>
      <x:c r="E3584" s="36" t="n">
        <x:v>126000</x:v>
      </x:c>
      <x:c r="F3584" s="36" t="n">
        <x:v>1922</x:v>
      </x:c>
      <x:c r="G3584" s="42" t="n">
        <x:v>0.41226941226941227</x:v>
      </x:c>
      <x:c r="H3584" s="36" t="n">
        <x:f>E3584*G3584</x:f>
        <x:v>51945.94594594595</x:v>
      </x:c>
      <x:c r="I3584" s="36" t="n">
        <x:f>IFERROR(H3584/A3584,0)</x:f>
        <x:v>8657.657657657657</x:v>
      </x:c>
      <x:c r="J3584" s="67" t="str">
        <x:v>Modeled from live base + Sep-2026 quality ratio</x:v>
      </x:c>
      <x:c r="K3584" s="67" t="str">
        <x:v>https://www.stonealgo.com/diamond-prices/</x:v>
      </x:c>
      <x:c r="L3584" s="67" t="str">
        <x:v>https://www.pricescope.com/blog/natural-diamond-prices-september-2026</x:v>
      </x:c>
    </x:row>
    <x:row r="3585">
      <x:c r="A3585" t="n">
        <x:v>6</x:v>
      </x:c>
      <x:c r="B3585" t="str">
        <x:v>Radiant</x:v>
      </x:c>
      <x:c r="C3585" t="str">
        <x:v>K</x:v>
      </x:c>
      <x:c r="D3585" t="str">
        <x:v>SI2</x:v>
      </x:c>
      <x:c r="E3585" s="36" t="n">
        <x:v>126000</x:v>
      </x:c>
      <x:c r="F3585" s="36" t="n">
        <x:v>1764</x:v>
      </x:c>
      <x:c r="G3585" s="42" t="n">
        <x:v>0.3783783783783784</x:v>
      </x:c>
      <x:c r="H3585" s="36" t="n">
        <x:f>E3585*G3585</x:f>
        <x:v>47675.67567567568</x:v>
      </x:c>
      <x:c r="I3585" s="36" t="n">
        <x:f>IFERROR(H3585/A3585,0)</x:f>
        <x:v>7945.945945945947</x:v>
      </x:c>
      <x:c r="J3585" s="67" t="str">
        <x:v>Modeled from live base + Sep-2026 quality ratio</x:v>
      </x:c>
      <x:c r="K3585" s="67" t="str">
        <x:v>https://www.stonealgo.com/diamond-prices/</x:v>
      </x:c>
      <x:c r="L3585" s="67" t="str">
        <x:v>https://www.pricescope.com/blog/natural-diamond-prices-september-2026</x:v>
      </x:c>
    </x:row>
    <x:row r="3586">
      <x:c r="A3586" t="n">
        <x:v>6</x:v>
      </x:c>
      <x:c r="B3586" t="str">
        <x:v>Pear</x:v>
      </x:c>
      <x:c r="C3586" t="str">
        <x:v>D</x:v>
      </x:c>
      <x:c r="D3586" t="str">
        <x:v>FL</x:v>
      </x:c>
      <x:c r="E3586" s="36" t="n">
        <x:v>226354</x:v>
      </x:c>
      <x:c r="F3586" s="36" t="n">
        <x:v>12665</x:v>
      </x:c>
      <x:c r="G3586" s="42" t="n">
        <x:v>2.7166452166452166</x:v>
      </x:c>
      <x:c r="H3586" s="36" t="n">
        <x:f>E3586*G3586</x:f>
        <x:v>614923.5113685114</x:v>
      </x:c>
      <x:c r="I3586" s="36" t="n">
        <x:f>IFERROR(H3586/A3586,0)</x:f>
        <x:v>102487.2518947519</x:v>
      </x:c>
      <x:c r="J3586" s="67" t="str">
        <x:v>Modeled from live base + Sep-2026 quality ratio</x:v>
      </x:c>
      <x:c r="K3586" s="67" t="str">
        <x:v>https://www.stonealgo.com/diamond-prices/</x:v>
      </x:c>
      <x:c r="L3586" s="67" t="str">
        <x:v>https://www.pricescope.com/blog/natural-diamond-prices-september-2026</x:v>
      </x:c>
    </x:row>
    <x:row r="3587">
      <x:c r="A3587" t="n">
        <x:v>6</x:v>
      </x:c>
      <x:c r="B3587" t="str">
        <x:v>Pear</x:v>
      </x:c>
      <x:c r="C3587" t="str">
        <x:v>D</x:v>
      </x:c>
      <x:c r="D3587" t="str">
        <x:v>IF</x:v>
      </x:c>
      <x:c r="E3587" s="36" t="n">
        <x:v>226354</x:v>
      </x:c>
      <x:c r="F3587" s="36" t="n">
        <x:v>13240</x:v>
      </x:c>
      <x:c r="G3587" s="42" t="n">
        <x:v>2.83998283998284</x:v>
      </x:c>
      <x:c r="H3587" s="36" t="n">
        <x:f>E3587*G3587</x:f>
        <x:v>642841.4757614759</x:v>
      </x:c>
      <x:c r="I3587" s="36" t="n">
        <x:f>IFERROR(H3587/A3587,0)</x:f>
        <x:v>107140.24596024597</x:v>
      </x:c>
      <x:c r="J3587" s="67" t="str">
        <x:v>Modeled from live base + Sep-2026 quality ratio</x:v>
      </x:c>
      <x:c r="K3587" s="67" t="str">
        <x:v>https://www.stonealgo.com/diamond-prices/</x:v>
      </x:c>
      <x:c r="L3587" s="67" t="str">
        <x:v>https://www.pricescope.com/blog/natural-diamond-prices-september-2026</x:v>
      </x:c>
    </x:row>
    <x:row r="3588">
      <x:c r="A3588" t="n">
        <x:v>6</x:v>
      </x:c>
      <x:c r="B3588" t="str">
        <x:v>Pear</x:v>
      </x:c>
      <x:c r="C3588" t="str">
        <x:v>D</x:v>
      </x:c>
      <x:c r="D3588" t="str">
        <x:v>VVS1</x:v>
      </x:c>
      <x:c r="E3588" s="36" t="n">
        <x:v>226354</x:v>
      </x:c>
      <x:c r="F3588" s="36" t="n">
        <x:v>9555</x:v>
      </x:c>
      <x:c r="G3588" s="42" t="n">
        <x:v>2.0495495495495497</x:v>
      </x:c>
      <x:c r="H3588" s="36" t="n">
        <x:f>E3588*G3588</x:f>
        <x:v>463923.73873873876</x:v>
      </x:c>
      <x:c r="I3588" s="36" t="n">
        <x:f>IFERROR(H3588/A3588,0)</x:f>
        <x:v>77320.62312312312</x:v>
      </x:c>
      <x:c r="J3588" s="67" t="str">
        <x:v>Modeled from live base + Sep-2026 quality ratio</x:v>
      </x:c>
      <x:c r="K3588" s="67" t="str">
        <x:v>https://www.stonealgo.com/diamond-prices/</x:v>
      </x:c>
      <x:c r="L3588" s="67" t="str">
        <x:v>https://www.pricescope.com/blog/natural-diamond-prices-september-2026</x:v>
      </x:c>
    </x:row>
    <x:row r="3589">
      <x:c r="A3589" t="n">
        <x:v>6</x:v>
      </x:c>
      <x:c r="B3589" t="str">
        <x:v>Pear</x:v>
      </x:c>
      <x:c r="C3589" t="str">
        <x:v>D</x:v>
      </x:c>
      <x:c r="D3589" t="str">
        <x:v>VVS2</x:v>
      </x:c>
      <x:c r="E3589" s="36" t="n">
        <x:v>226354</x:v>
      </x:c>
      <x:c r="F3589" s="36" t="n">
        <x:v>6660</x:v>
      </x:c>
      <x:c r="G3589" s="42" t="n">
        <x:v>1.4285714285714286</x:v>
      </x:c>
      <x:c r="H3589" s="36" t="n">
        <x:f>E3589*G3589</x:f>
        <x:v>323362.85714285716</x:v>
      </x:c>
      <x:c r="I3589" s="36" t="n">
        <x:f>IFERROR(H3589/A3589,0)</x:f>
        <x:v>53893.80952380953</x:v>
      </x:c>
      <x:c r="J3589" s="67" t="str">
        <x:v>Modeled from live base + Sep-2026 quality ratio</x:v>
      </x:c>
      <x:c r="K3589" s="67" t="str">
        <x:v>https://www.stonealgo.com/diamond-prices/</x:v>
      </x:c>
      <x:c r="L3589" s="67" t="str">
        <x:v>https://www.pricescope.com/blog/natural-diamond-prices-september-2026</x:v>
      </x:c>
    </x:row>
    <x:row r="3590">
      <x:c r="A3590" t="n">
        <x:v>6</x:v>
      </x:c>
      <x:c r="B3590" t="str">
        <x:v>Pear</x:v>
      </x:c>
      <x:c r="C3590" t="str">
        <x:v>D</x:v>
      </x:c>
      <x:c r="D3590" t="str">
        <x:v>VS1</x:v>
      </x:c>
      <x:c r="E3590" s="36" t="n">
        <x:v>226354</x:v>
      </x:c>
      <x:c r="F3590" s="36" t="n">
        <x:v>6247</x:v>
      </x:c>
      <x:c r="G3590" s="42" t="n">
        <x:v>1.33998283998284</x:v>
      </x:c>
      <x:c r="H3590" s="36" t="n">
        <x:f>E3590*G3590</x:f>
        <x:v>303310.47576147574</x:v>
      </x:c>
      <x:c r="I3590" s="36" t="n">
        <x:f>IFERROR(H3590/A3590,0)</x:f>
        <x:v>50551.74596024596</x:v>
      </x:c>
      <x:c r="J3590" s="67" t="str">
        <x:v>Modeled from live base + Sep-2026 quality ratio</x:v>
      </x:c>
      <x:c r="K3590" s="67" t="str">
        <x:v>https://www.stonealgo.com/diamond-prices/</x:v>
      </x:c>
      <x:c r="L3590" s="67" t="str">
        <x:v>https://www.pricescope.com/blog/natural-diamond-prices-september-2026</x:v>
      </x:c>
    </x:row>
    <x:row r="3591">
      <x:c r="A3591" t="n">
        <x:v>6</x:v>
      </x:c>
      <x:c r="B3591" t="str">
        <x:v>Pear</x:v>
      </x:c>
      <x:c r="C3591" t="str">
        <x:v>D</x:v>
      </x:c>
      <x:c r="D3591" t="str">
        <x:v>VS2</x:v>
      </x:c>
      <x:c r="E3591" s="36" t="n">
        <x:v>226354</x:v>
      </x:c>
      <x:c r="F3591" s="36" t="n">
        <x:v>5841</x:v>
      </x:c>
      <x:c r="G3591" s="42" t="n">
        <x:v>1.252895752895753</x:v>
      </x:c>
      <x:c r="H3591" s="36" t="n">
        <x:f>E3591*G3591</x:f>
        <x:v>283597.96525096527</x:v>
      </x:c>
      <x:c r="I3591" s="36" t="n">
        <x:f>IFERROR(H3591/A3591,0)</x:f>
        <x:v>47266.327541827544</x:v>
      </x:c>
      <x:c r="J3591" s="67" t="str">
        <x:v>Modeled from live base + Sep-2026 quality ratio</x:v>
      </x:c>
      <x:c r="K3591" s="67" t="str">
        <x:v>https://www.stonealgo.com/diamond-prices/</x:v>
      </x:c>
      <x:c r="L3591" s="67" t="str">
        <x:v>https://www.pricescope.com/blog/natural-diamond-prices-september-2026</x:v>
      </x:c>
    </x:row>
    <x:row r="3592">
      <x:c r="A3592" t="n">
        <x:v>6</x:v>
      </x:c>
      <x:c r="B3592" t="str">
        <x:v>Pear</x:v>
      </x:c>
      <x:c r="C3592" t="str">
        <x:v>D</x:v>
      </x:c>
      <x:c r="D3592" t="str">
        <x:v>SI1</x:v>
      </x:c>
      <x:c r="E3592" s="36" t="n">
        <x:v>226354</x:v>
      </x:c>
      <x:c r="F3592" s="36" t="n">
        <x:v>3762</x:v>
      </x:c>
      <x:c r="G3592" s="42" t="n">
        <x:v>0.806949806949807</x:v>
      </x:c>
      <x:c r="H3592" s="36" t="n">
        <x:f>E3592*G3592</x:f>
        <x:v>182656.31660231663</x:v>
      </x:c>
      <x:c r="I3592" s="36" t="n">
        <x:f>IFERROR(H3592/A3592,0)</x:f>
        <x:v>30442.719433719438</x:v>
      </x:c>
      <x:c r="J3592" s="67" t="str">
        <x:v>Modeled from live base + Sep-2026 quality ratio</x:v>
      </x:c>
      <x:c r="K3592" s="67" t="str">
        <x:v>https://www.stonealgo.com/diamond-prices/</x:v>
      </x:c>
      <x:c r="L3592" s="67" t="str">
        <x:v>https://www.pricescope.com/blog/natural-diamond-prices-september-2026</x:v>
      </x:c>
    </x:row>
    <x:row r="3593">
      <x:c r="A3593" t="n">
        <x:v>6</x:v>
      </x:c>
      <x:c r="B3593" t="str">
        <x:v>Pear</x:v>
      </x:c>
      <x:c r="C3593" t="str">
        <x:v>D</x:v>
      </x:c>
      <x:c r="D3593" t="str">
        <x:v>SI2</x:v>
      </x:c>
      <x:c r="E3593" s="36" t="n">
        <x:v>226354</x:v>
      </x:c>
      <x:c r="F3593" s="36" t="n">
        <x:v>3026</x:v>
      </x:c>
      <x:c r="G3593" s="42" t="n">
        <x:v>0.6490776490776491</x:v>
      </x:c>
      <x:c r="H3593" s="36" t="n">
        <x:f>E3593*G3593</x:f>
        <x:v>146921.3221793222</x:v>
      </x:c>
      <x:c r="I3593" s="36" t="n">
        <x:f>IFERROR(H3593/A3593,0)</x:f>
        <x:v>24486.88702988703</x:v>
      </x:c>
      <x:c r="J3593" s="67" t="str">
        <x:v>Modeled from live base + Sep-2026 quality ratio</x:v>
      </x:c>
      <x:c r="K3593" s="67" t="str">
        <x:v>https://www.stonealgo.com/diamond-prices/</x:v>
      </x:c>
      <x:c r="L3593" s="67" t="str">
        <x:v>https://www.pricescope.com/blog/natural-diamond-prices-september-2026</x:v>
      </x:c>
    </x:row>
    <x:row r="3594">
      <x:c r="A3594" t="n">
        <x:v>6</x:v>
      </x:c>
      <x:c r="B3594" t="str">
        <x:v>Pear</x:v>
      </x:c>
      <x:c r="C3594" t="str">
        <x:v>E</x:v>
      </x:c>
      <x:c r="D3594" t="str">
        <x:v>FL</x:v>
      </x:c>
      <x:c r="E3594" s="36" t="n">
        <x:v>226354</x:v>
      </x:c>
      <x:c r="F3594" s="36" t="n">
        <x:v>10072</x:v>
      </x:c>
      <x:c r="G3594" s="42" t="n">
        <x:v>2.1604461604461602</x:v>
      </x:c>
      <x:c r="H3594" s="36" t="n">
        <x:f>E3594*G3594</x:f>
        <x:v>489025.6302016302</x:v>
      </x:c>
      <x:c r="I3594" s="36" t="n">
        <x:f>IFERROR(H3594/A3594,0)</x:f>
        <x:v>81504.2717002717</x:v>
      </x:c>
      <x:c r="J3594" s="67" t="str">
        <x:v>Modeled from live base + Sep-2026 quality ratio</x:v>
      </x:c>
      <x:c r="K3594" s="67" t="str">
        <x:v>https://www.stonealgo.com/diamond-prices/</x:v>
      </x:c>
      <x:c r="L3594" s="67" t="str">
        <x:v>https://www.pricescope.com/blog/natural-diamond-prices-september-2026</x:v>
      </x:c>
    </x:row>
    <x:row r="3595">
      <x:c r="A3595" t="n">
        <x:v>6</x:v>
      </x:c>
      <x:c r="B3595" t="str">
        <x:v>Pear</x:v>
      </x:c>
      <x:c r="C3595" t="str">
        <x:v>E</x:v>
      </x:c>
      <x:c r="D3595" t="str">
        <x:v>IF</x:v>
      </x:c>
      <x:c r="E3595" s="36" t="n">
        <x:v>226354</x:v>
      </x:c>
      <x:c r="F3595" s="36" t="n">
        <x:v>8672</x:v>
      </x:c>
      <x:c r="G3595" s="42" t="n">
        <x:v>1.8601458601458603</x:v>
      </x:c>
      <x:c r="H3595" s="36" t="n">
        <x:f>E3595*G3595</x:f>
        <x:v>421051.45602745604</x:v>
      </x:c>
      <x:c r="I3595" s="36" t="n">
        <x:f>IFERROR(H3595/A3595,0)</x:f>
        <x:v>70175.24267124267</x:v>
      </x:c>
      <x:c r="J3595" s="67" t="str">
        <x:v>Modeled from live base + Sep-2026 quality ratio</x:v>
      </x:c>
      <x:c r="K3595" s="67" t="str">
        <x:v>https://www.stonealgo.com/diamond-prices/</x:v>
      </x:c>
      <x:c r="L3595" s="67" t="str">
        <x:v>https://www.pricescope.com/blog/natural-diamond-prices-september-2026</x:v>
      </x:c>
    </x:row>
    <x:row r="3596">
      <x:c r="A3596" t="n">
        <x:v>6</x:v>
      </x:c>
      <x:c r="B3596" t="str">
        <x:v>Pear</x:v>
      </x:c>
      <x:c r="C3596" t="str">
        <x:v>E</x:v>
      </x:c>
      <x:c r="D3596" t="str">
        <x:v>VVS1</x:v>
      </x:c>
      <x:c r="E3596" s="36" t="n">
        <x:v>226354</x:v>
      </x:c>
      <x:c r="F3596" s="36" t="n">
        <x:v>7842</x:v>
      </x:c>
      <x:c r="G3596" s="42" t="n">
        <x:v>1.6821106821106822</x:v>
      </x:c>
      <x:c r="H3596" s="36" t="n">
        <x:f>E3596*G3596</x:f>
        <x:v>380752.48133848136</x:v>
      </x:c>
      <x:c r="I3596" s="36" t="n">
        <x:f>IFERROR(H3596/A3596,0)</x:f>
        <x:v>63458.74688974689</x:v>
      </x:c>
      <x:c r="J3596" s="67" t="str">
        <x:v>Modeled from live base + Sep-2026 quality ratio</x:v>
      </x:c>
      <x:c r="K3596" s="67" t="str">
        <x:v>https://www.stonealgo.com/diamond-prices/</x:v>
      </x:c>
      <x:c r="L3596" s="67" t="str">
        <x:v>https://www.pricescope.com/blog/natural-diamond-prices-september-2026</x:v>
      </x:c>
    </x:row>
    <x:row r="3597">
      <x:c r="A3597" t="n">
        <x:v>6</x:v>
      </x:c>
      <x:c r="B3597" t="str">
        <x:v>Pear</x:v>
      </x:c>
      <x:c r="C3597" t="str">
        <x:v>E</x:v>
      </x:c>
      <x:c r="D3597" t="str">
        <x:v>VVS2</x:v>
      </x:c>
      <x:c r="E3597" s="36" t="n">
        <x:v>226354</x:v>
      </x:c>
      <x:c r="F3597" s="36" t="n">
        <x:v>6880</x:v>
      </x:c>
      <x:c r="G3597" s="42" t="n">
        <x:v>1.4757614757614759</x:v>
      </x:c>
      <x:c r="H3597" s="36" t="n">
        <x:f>E3597*G3597</x:f>
        <x:v>334044.51308451314</x:v>
      </x:c>
      <x:c r="I3597" s="36" t="n">
        <x:f>IFERROR(H3597/A3597,0)</x:f>
        <x:v>55674.08551408552</x:v>
      </x:c>
      <x:c r="J3597" s="67" t="str">
        <x:v>Modeled from live base + Sep-2026 quality ratio</x:v>
      </x:c>
      <x:c r="K3597" s="67" t="str">
        <x:v>https://www.stonealgo.com/diamond-prices/</x:v>
      </x:c>
      <x:c r="L3597" s="67" t="str">
        <x:v>https://www.pricescope.com/blog/natural-diamond-prices-september-2026</x:v>
      </x:c>
    </x:row>
    <x:row r="3598">
      <x:c r="A3598" t="n">
        <x:v>6</x:v>
      </x:c>
      <x:c r="B3598" t="str">
        <x:v>Pear</x:v>
      </x:c>
      <x:c r="C3598" t="str">
        <x:v>E</x:v>
      </x:c>
      <x:c r="D3598" t="str">
        <x:v>VS1</x:v>
      </x:c>
      <x:c r="E3598" s="36" t="n">
        <x:v>226354</x:v>
      </x:c>
      <x:c r="F3598" s="36" t="n">
        <x:v>6307</x:v>
      </x:c>
      <x:c r="G3598" s="42" t="n">
        <x:v>1.352852852852853</x:v>
      </x:c>
      <x:c r="H3598" s="36" t="n">
        <x:f>E3598*G3598</x:f>
        <x:v>306223.6546546547</x:v>
      </x:c>
      <x:c r="I3598" s="36" t="n">
        <x:f>IFERROR(H3598/A3598,0)</x:f>
        <x:v>51037.27577577578</x:v>
      </x:c>
      <x:c r="J3598" s="67" t="str">
        <x:v>Modeled from live base + Sep-2026 quality ratio</x:v>
      </x:c>
      <x:c r="K3598" s="67" t="str">
        <x:v>https://www.stonealgo.com/diamond-prices/</x:v>
      </x:c>
      <x:c r="L3598" s="67" t="str">
        <x:v>https://www.pricescope.com/blog/natural-diamond-prices-september-2026</x:v>
      </x:c>
    </x:row>
    <x:row r="3599">
      <x:c r="A3599" t="n">
        <x:v>6</x:v>
      </x:c>
      <x:c r="B3599" t="str">
        <x:v>Pear</x:v>
      </x:c>
      <x:c r="C3599" t="str">
        <x:v>E</x:v>
      </x:c>
      <x:c r="D3599" t="str">
        <x:v>VS2</x:v>
      </x:c>
      <x:c r="E3599" s="36" t="n">
        <x:v>226354</x:v>
      </x:c>
      <x:c r="F3599" s="36" t="n">
        <x:v>5249</x:v>
      </x:c>
      <x:c r="G3599" s="42" t="n">
        <x:v>1.125911625911626</x:v>
      </x:c>
      <x:c r="H3599" s="36" t="n">
        <x:f>E3599*G3599</x:f>
        <x:v>254854.60017160018</x:v>
      </x:c>
      <x:c r="I3599" s="36" t="n">
        <x:f>IFERROR(H3599/A3599,0)</x:f>
        <x:v>42475.7666952667</x:v>
      </x:c>
      <x:c r="J3599" s="67" t="str">
        <x:v>Modeled from live base + Sep-2026 quality ratio</x:v>
      </x:c>
      <x:c r="K3599" s="67" t="str">
        <x:v>https://www.stonealgo.com/diamond-prices/</x:v>
      </x:c>
      <x:c r="L3599" s="67" t="str">
        <x:v>https://www.pricescope.com/blog/natural-diamond-prices-september-2026</x:v>
      </x:c>
    </x:row>
    <x:row r="3600">
      <x:c r="A3600" t="n">
        <x:v>6</x:v>
      </x:c>
      <x:c r="B3600" t="str">
        <x:v>Pear</x:v>
      </x:c>
      <x:c r="C3600" t="str">
        <x:v>E</x:v>
      </x:c>
      <x:c r="D3600" t="str">
        <x:v>SI1</x:v>
      </x:c>
      <x:c r="E3600" s="36" t="n">
        <x:v>226354</x:v>
      </x:c>
      <x:c r="F3600" s="36" t="n">
        <x:v>3551</x:v>
      </x:c>
      <x:c r="G3600" s="42" t="n">
        <x:v>0.7616902616902617</x:v>
      </x:c>
      <x:c r="H3600" s="36" t="n">
        <x:f>E3600*G3600</x:f>
        <x:v>172411.63749463749</x:v>
      </x:c>
      <x:c r="I3600" s="36" t="n">
        <x:f>IFERROR(H3600/A3600,0)</x:f>
        <x:v>28735.272915772915</x:v>
      </x:c>
      <x:c r="J3600" s="67" t="str">
        <x:v>Modeled from live base + Sep-2026 quality ratio</x:v>
      </x:c>
      <x:c r="K3600" s="67" t="str">
        <x:v>https://www.stonealgo.com/diamond-prices/</x:v>
      </x:c>
      <x:c r="L3600" s="67" t="str">
        <x:v>https://www.pricescope.com/blog/natural-diamond-prices-september-2026</x:v>
      </x:c>
    </x:row>
    <x:row r="3601">
      <x:c r="A3601" t="n">
        <x:v>6</x:v>
      </x:c>
      <x:c r="B3601" t="str">
        <x:v>Pear</x:v>
      </x:c>
      <x:c r="C3601" t="str">
        <x:v>E</x:v>
      </x:c>
      <x:c r="D3601" t="str">
        <x:v>SI2</x:v>
      </x:c>
      <x:c r="E3601" s="36" t="n">
        <x:v>226354</x:v>
      </x:c>
      <x:c r="F3601" s="36" t="n">
        <x:v>2993</x:v>
      </x:c>
      <x:c r="G3601" s="42" t="n">
        <x:v>0.641999141999142</x:v>
      </x:c>
      <x:c r="H3601" s="36" t="n">
        <x:f>E3601*G3601</x:f>
        <x:v>145319.0737880738</x:v>
      </x:c>
      <x:c r="I3601" s="36" t="n">
        <x:f>IFERROR(H3601/A3601,0)</x:f>
        <x:v>24219.84563134563</x:v>
      </x:c>
      <x:c r="J3601" s="67" t="str">
        <x:v>Modeled from live base + Sep-2026 quality ratio</x:v>
      </x:c>
      <x:c r="K3601" s="67" t="str">
        <x:v>https://www.stonealgo.com/diamond-prices/</x:v>
      </x:c>
      <x:c r="L3601" s="67" t="str">
        <x:v>https://www.pricescope.com/blog/natural-diamond-prices-september-2026</x:v>
      </x:c>
    </x:row>
    <x:row r="3602">
      <x:c r="A3602" t="n">
        <x:v>6</x:v>
      </x:c>
      <x:c r="B3602" t="str">
        <x:v>Pear</x:v>
      </x:c>
      <x:c r="C3602" t="str">
        <x:v>F</x:v>
      </x:c>
      <x:c r="D3602" t="str">
        <x:v>FL</x:v>
      </x:c>
      <x:c r="E3602" s="36" t="n">
        <x:v>226354</x:v>
      </x:c>
      <x:c r="F3602" s="36" t="n">
        <x:v>6830</x:v>
      </x:c>
      <x:c r="G3602" s="42" t="n">
        <x:v>1.4650364650364651</x:v>
      </x:c>
      <x:c r="H3602" s="36" t="n">
        <x:f>E3602*G3602</x:f>
        <x:v>331616.864006864</x:v>
      </x:c>
      <x:c r="I3602" s="36" t="n">
        <x:f>IFERROR(H3602/A3602,0)</x:f>
        <x:v>55269.477334477335</x:v>
      </x:c>
      <x:c r="J3602" s="67" t="str">
        <x:v>Modeled from live base + Sep-2026 quality ratio</x:v>
      </x:c>
      <x:c r="K3602" s="67" t="str">
        <x:v>https://www.stonealgo.com/diamond-prices/</x:v>
      </x:c>
      <x:c r="L3602" s="67" t="str">
        <x:v>https://www.pricescope.com/blog/natural-diamond-prices-september-2026</x:v>
      </x:c>
    </x:row>
    <x:row r="3603">
      <x:c r="A3603" t="n">
        <x:v>6</x:v>
      </x:c>
      <x:c r="B3603" t="str">
        <x:v>Pear</x:v>
      </x:c>
      <x:c r="C3603" t="str">
        <x:v>F</x:v>
      </x:c>
      <x:c r="D3603" t="str">
        <x:v>IF</x:v>
      </x:c>
      <x:c r="E3603" s="36" t="n">
        <x:v>226354</x:v>
      </x:c>
      <x:c r="F3603" s="36" t="n">
        <x:v>7302</x:v>
      </x:c>
      <x:c r="G3603" s="42" t="n">
        <x:v>1.5662805662805663</x:v>
      </x:c>
      <x:c r="H3603" s="36" t="n">
        <x:f>E3603*G3603</x:f>
        <x:v>354533.8712998713</x:v>
      </x:c>
      <x:c r="I3603" s="36" t="n">
        <x:f>IFERROR(H3603/A3603,0)</x:f>
        <x:v>59088.97854997855</x:v>
      </x:c>
      <x:c r="J3603" s="67" t="str">
        <x:v>Modeled from live base + Sep-2026 quality ratio</x:v>
      </x:c>
      <x:c r="K3603" s="67" t="str">
        <x:v>https://www.stonealgo.com/diamond-prices/</x:v>
      </x:c>
      <x:c r="L3603" s="67" t="str">
        <x:v>https://www.pricescope.com/blog/natural-diamond-prices-september-2026</x:v>
      </x:c>
    </x:row>
    <x:row r="3604">
      <x:c r="A3604" t="n">
        <x:v>6</x:v>
      </x:c>
      <x:c r="B3604" t="str">
        <x:v>Pear</x:v>
      </x:c>
      <x:c r="C3604" t="str">
        <x:v>F</x:v>
      </x:c>
      <x:c r="D3604" t="str">
        <x:v>VVS1</x:v>
      </x:c>
      <x:c r="E3604" s="36" t="n">
        <x:v>226354</x:v>
      </x:c>
      <x:c r="F3604" s="36" t="n">
        <x:v>7542</x:v>
      </x:c>
      <x:c r="G3604" s="42" t="n">
        <x:v>1.6177606177606179</x:v>
      </x:c>
      <x:c r="H3604" s="36" t="n">
        <x:f>E3604*G3604</x:f>
        <x:v>366186.5868725869</x:v>
      </x:c>
      <x:c r="I3604" s="36" t="n">
        <x:f>IFERROR(H3604/A3604,0)</x:f>
        <x:v>61031.09781209782</x:v>
      </x:c>
      <x:c r="J3604" s="67" t="str">
        <x:v>Modeled from live base + Sep-2026 quality ratio</x:v>
      </x:c>
      <x:c r="K3604" s="67" t="str">
        <x:v>https://www.stonealgo.com/diamond-prices/</x:v>
      </x:c>
      <x:c r="L3604" s="67" t="str">
        <x:v>https://www.pricescope.com/blog/natural-diamond-prices-september-2026</x:v>
      </x:c>
    </x:row>
    <x:row r="3605">
      <x:c r="A3605" t="n">
        <x:v>6</x:v>
      </x:c>
      <x:c r="B3605" t="str">
        <x:v>Pear</x:v>
      </x:c>
      <x:c r="C3605" t="str">
        <x:v>F</x:v>
      </x:c>
      <x:c r="D3605" t="str">
        <x:v>VVS2</x:v>
      </x:c>
      <x:c r="E3605" s="36" t="n">
        <x:v>226354</x:v>
      </x:c>
      <x:c r="F3605" s="36" t="n">
        <x:v>6352</x:v>
      </x:c>
      <x:c r="G3605" s="42" t="n">
        <x:v>1.3625053625053625</x:v>
      </x:c>
      <x:c r="H3605" s="36" t="n">
        <x:f>E3605*G3605</x:f>
        <x:v>308408.5388245388</x:v>
      </x:c>
      <x:c r="I3605" s="36" t="n">
        <x:f>IFERROR(H3605/A3605,0)</x:f>
        <x:v>51401.42313742314</x:v>
      </x:c>
      <x:c r="J3605" s="67" t="str">
        <x:v>Modeled from live base + Sep-2026 quality ratio</x:v>
      </x:c>
      <x:c r="K3605" s="67" t="str">
        <x:v>https://www.stonealgo.com/diamond-prices/</x:v>
      </x:c>
      <x:c r="L3605" s="67" t="str">
        <x:v>https://www.pricescope.com/blog/natural-diamond-prices-september-2026</x:v>
      </x:c>
    </x:row>
    <x:row r="3606">
      <x:c r="A3606" t="n">
        <x:v>6</x:v>
      </x:c>
      <x:c r="B3606" t="str">
        <x:v>Pear</x:v>
      </x:c>
      <x:c r="C3606" t="str">
        <x:v>F</x:v>
      </x:c>
      <x:c r="D3606" t="str">
        <x:v>VS1</x:v>
      </x:c>
      <x:c r="E3606" s="36" t="n">
        <x:v>226354</x:v>
      </x:c>
      <x:c r="F3606" s="36" t="n">
        <x:v>5647</x:v>
      </x:c>
      <x:c r="G3606" s="42" t="n">
        <x:v>1.2112827112827114</x:v>
      </x:c>
      <x:c r="H3606" s="36" t="n">
        <x:f>E3606*G3606</x:f>
        <x:v>274178.68682968686</x:v>
      </x:c>
      <x:c r="I3606" s="36" t="n">
        <x:f>IFERROR(H3606/A3606,0)</x:f>
        <x:v>45696.44780494781</x:v>
      </x:c>
      <x:c r="J3606" s="67" t="str">
        <x:v>Modeled from live base + Sep-2026 quality ratio</x:v>
      </x:c>
      <x:c r="K3606" s="67" t="str">
        <x:v>https://www.stonealgo.com/diamond-prices/</x:v>
      </x:c>
      <x:c r="L3606" s="67" t="str">
        <x:v>https://www.pricescope.com/blog/natural-diamond-prices-september-2026</x:v>
      </x:c>
    </x:row>
    <x:row r="3607">
      <x:c r="A3607" t="n">
        <x:v>6</x:v>
      </x:c>
      <x:c r="B3607" t="str">
        <x:v>Pear</x:v>
      </x:c>
      <x:c r="C3607" t="str">
        <x:v>F</x:v>
      </x:c>
      <x:c r="D3607" t="str">
        <x:v>VS2</x:v>
      </x:c>
      <x:c r="E3607" s="36" t="n">
        <x:v>226354</x:v>
      </x:c>
      <x:c r="F3607" s="36" t="n">
        <x:v>4730</x:v>
      </x:c>
      <x:c r="G3607" s="42" t="n">
        <x:v>1.0145860145860146</x:v>
      </x:c>
      <x:c r="H3607" s="36" t="n">
        <x:f>E3607*G3607</x:f>
        <x:v>229655.60274560275</x:v>
      </x:c>
      <x:c r="I3607" s="36" t="n">
        <x:f>IFERROR(H3607/A3607,0)</x:f>
        <x:v>38275.93379093379</x:v>
      </x:c>
      <x:c r="J3607" s="67" t="str">
        <x:v>Modeled from live base + Sep-2026 quality ratio</x:v>
      </x:c>
      <x:c r="K3607" s="67" t="str">
        <x:v>https://www.stonealgo.com/diamond-prices/</x:v>
      </x:c>
      <x:c r="L3607" s="67" t="str">
        <x:v>https://www.pricescope.com/blog/natural-diamond-prices-september-2026</x:v>
      </x:c>
    </x:row>
    <x:row r="3608">
      <x:c r="A3608" t="n">
        <x:v>6</x:v>
      </x:c>
      <x:c r="B3608" t="str">
        <x:v>Pear</x:v>
      </x:c>
      <x:c r="C3608" t="str">
        <x:v>F</x:v>
      </x:c>
      <x:c r="D3608" t="str">
        <x:v>SI1</x:v>
      </x:c>
      <x:c r="E3608" s="36" t="n">
        <x:v>226354</x:v>
      </x:c>
      <x:c r="F3608" s="36" t="n">
        <x:v>3331</x:v>
      </x:c>
      <x:c r="G3608" s="42" t="n">
        <x:v>0.7145002145002145</x:v>
      </x:c>
      <x:c r="H3608" s="36" t="n">
        <x:f>E3608*G3608</x:f>
        <x:v>161729.98155298157</x:v>
      </x:c>
      <x:c r="I3608" s="36" t="n">
        <x:f>IFERROR(H3608/A3608,0)</x:f>
        <x:v>26954.99692549693</x:v>
      </x:c>
      <x:c r="J3608" s="67" t="str">
        <x:v>Modeled from live base + Sep-2026 quality ratio</x:v>
      </x:c>
      <x:c r="K3608" s="67" t="str">
        <x:v>https://www.stonealgo.com/diamond-prices/</x:v>
      </x:c>
      <x:c r="L3608" s="67" t="str">
        <x:v>https://www.pricescope.com/blog/natural-diamond-prices-september-2026</x:v>
      </x:c>
    </x:row>
    <x:row r="3609">
      <x:c r="A3609" t="n">
        <x:v>6</x:v>
      </x:c>
      <x:c r="B3609" t="str">
        <x:v>Pear</x:v>
      </x:c>
      <x:c r="C3609" t="str">
        <x:v>F</x:v>
      </x:c>
      <x:c r="D3609" t="str">
        <x:v>SI2</x:v>
      </x:c>
      <x:c r="E3609" s="36" t="n">
        <x:v>226354</x:v>
      </x:c>
      <x:c r="F3609" s="36" t="n">
        <x:v>2733</x:v>
      </x:c>
      <x:c r="G3609" s="42" t="n">
        <x:v>0.5862290862290862</x:v>
      </x:c>
      <x:c r="H3609" s="36" t="n">
        <x:f>E3609*G3609</x:f>
        <x:v>132695.29858429858</x:v>
      </x:c>
      <x:c r="I3609" s="36" t="n">
        <x:f>IFERROR(H3609/A3609,0)</x:f>
        <x:v>22115.883097383095</x:v>
      </x:c>
      <x:c r="J3609" s="67" t="str">
        <x:v>Modeled from live base + Sep-2026 quality ratio</x:v>
      </x:c>
      <x:c r="K3609" s="67" t="str">
        <x:v>https://www.stonealgo.com/diamond-prices/</x:v>
      </x:c>
      <x:c r="L3609" s="67" t="str">
        <x:v>https://www.pricescope.com/blog/natural-diamond-prices-september-2026</x:v>
      </x:c>
    </x:row>
    <x:row r="3610">
      <x:c r="A3610" t="n">
        <x:v>6</x:v>
      </x:c>
      <x:c r="B3610" t="str">
        <x:v>Pear</x:v>
      </x:c>
      <x:c r="C3610" t="str">
        <x:v>G</x:v>
      </x:c>
      <x:c r="D3610" t="str">
        <x:v>FL</x:v>
      </x:c>
      <x:c r="E3610" s="36" t="n">
        <x:v>226354</x:v>
      </x:c>
      <x:c r="F3610" s="36" t="n">
        <x:v>5905</x:v>
      </x:c>
      <x:c r="G3610" s="42" t="n">
        <x:v>1.2666237666237665</x:v>
      </x:c>
      <x:c r="H3610" s="36" t="n">
        <x:f>E3610*G3610</x:f>
        <x:v>286705.35607035604</x:v>
      </x:c>
      <x:c r="I3610" s="36" t="n">
        <x:f>IFERROR(H3610/A3610,0)</x:f>
        <x:v>47784.22601172601</x:v>
      </x:c>
      <x:c r="J3610" s="67" t="str">
        <x:v>Modeled from live base + Sep-2026 quality ratio</x:v>
      </x:c>
      <x:c r="K3610" s="67" t="str">
        <x:v>https://www.stonealgo.com/diamond-prices/</x:v>
      </x:c>
      <x:c r="L3610" s="67" t="str">
        <x:v>https://www.pricescope.com/blog/natural-diamond-prices-september-2026</x:v>
      </x:c>
    </x:row>
    <x:row r="3611">
      <x:c r="A3611" t="n">
        <x:v>6</x:v>
      </x:c>
      <x:c r="B3611" t="str">
        <x:v>Pear</x:v>
      </x:c>
      <x:c r="C3611" t="str">
        <x:v>G</x:v>
      </x:c>
      <x:c r="D3611" t="str">
        <x:v>IF</x:v>
      </x:c>
      <x:c r="E3611" s="36" t="n">
        <x:v>226354</x:v>
      </x:c>
      <x:c r="F3611" s="36" t="n">
        <x:v>5601</x:v>
      </x:c>
      <x:c r="G3611" s="42" t="n">
        <x:v>1.2014157014157014</x:v>
      </x:c>
      <x:c r="H3611" s="36" t="n">
        <x:f>E3611*G3611</x:f>
        <x:v>271945.2496782497</x:v>
      </x:c>
      <x:c r="I3611" s="36" t="n">
        <x:f>IFERROR(H3611/A3611,0)</x:f>
        <x:v>45324.208279708284</x:v>
      </x:c>
      <x:c r="J3611" s="67" t="str">
        <x:v>Modeled from live base + Sep-2026 quality ratio</x:v>
      </x:c>
      <x:c r="K3611" s="67" t="str">
        <x:v>https://www.stonealgo.com/diamond-prices/</x:v>
      </x:c>
      <x:c r="L3611" s="67" t="str">
        <x:v>https://www.pricescope.com/blog/natural-diamond-prices-september-2026</x:v>
      </x:c>
    </x:row>
    <x:row r="3612">
      <x:c r="A3612" t="n">
        <x:v>6</x:v>
      </x:c>
      <x:c r="B3612" t="str">
        <x:v>Pear</x:v>
      </x:c>
      <x:c r="C3612" t="str">
        <x:v>G</x:v>
      </x:c>
      <x:c r="D3612" t="str">
        <x:v>VVS1</x:v>
      </x:c>
      <x:c r="E3612" s="36" t="n">
        <x:v>226354</x:v>
      </x:c>
      <x:c r="F3612" s="36" t="n">
        <x:v>5124</x:v>
      </x:c>
      <x:c r="G3612" s="42" t="n">
        <x:v>1.0990990990990992</x:v>
      </x:c>
      <x:c r="H3612" s="36" t="n">
        <x:f>E3612*G3612</x:f>
        <x:v>248785.4774774775</x:v>
      </x:c>
      <x:c r="I3612" s="36" t="n">
        <x:f>IFERROR(H3612/A3612,0)</x:f>
        <x:v>41464.24624624625</x:v>
      </x:c>
      <x:c r="J3612" s="67" t="str">
        <x:v>Modeled from live base + Sep-2026 quality ratio</x:v>
      </x:c>
      <x:c r="K3612" s="67" t="str">
        <x:v>https://www.stonealgo.com/diamond-prices/</x:v>
      </x:c>
      <x:c r="L3612" s="67" t="str">
        <x:v>https://www.pricescope.com/blog/natural-diamond-prices-september-2026</x:v>
      </x:c>
    </x:row>
    <x:row r="3613">
      <x:c r="A3613" t="n">
        <x:v>6</x:v>
      </x:c>
      <x:c r="B3613" t="str">
        <x:v>Pear</x:v>
      </x:c>
      <x:c r="C3613" t="str">
        <x:v>G</x:v>
      </x:c>
      <x:c r="D3613" t="str">
        <x:v>VVS2</x:v>
      </x:c>
      <x:c r="E3613" s="36" t="n">
        <x:v>226354</x:v>
      </x:c>
      <x:c r="F3613" s="36" t="n">
        <x:v>4962</x:v>
      </x:c>
      <x:c r="G3613" s="42" t="n">
        <x:v>1.0643500643500643</x:v>
      </x:c>
      <x:c r="H3613" s="36" t="n">
        <x:f>E3613*G3613</x:f>
        <x:v>240919.89446589447</x:v>
      </x:c>
      <x:c r="I3613" s="36" t="n">
        <x:f>IFERROR(H3613/A3613,0)</x:f>
        <x:v>40153.31574431575</x:v>
      </x:c>
      <x:c r="J3613" s="67" t="str">
        <x:v>Modeled from live base + Sep-2026 quality ratio</x:v>
      </x:c>
      <x:c r="K3613" s="67" t="str">
        <x:v>https://www.stonealgo.com/diamond-prices/</x:v>
      </x:c>
      <x:c r="L3613" s="67" t="str">
        <x:v>https://www.pricescope.com/blog/natural-diamond-prices-september-2026</x:v>
      </x:c>
    </x:row>
    <x:row r="3614">
      <x:c r="A3614" t="n">
        <x:v>6</x:v>
      </x:c>
      <x:c r="B3614" t="str">
        <x:v>Pear</x:v>
      </x:c>
      <x:c r="C3614" t="str">
        <x:v>G</x:v>
      </x:c>
      <x:c r="D3614" t="str">
        <x:v>VS1</x:v>
      </x:c>
      <x:c r="E3614" s="36" t="n">
        <x:v>226354</x:v>
      </x:c>
      <x:c r="F3614" s="36" t="n">
        <x:v>4615</x:v>
      </x:c>
      <x:c r="G3614" s="42" t="n">
        <x:v>0.98991848991849</x:v>
      </x:c>
      <x:c r="H3614" s="36" t="n">
        <x:f>E3614*G3614</x:f>
        <x:v>224072.00986700988</x:v>
      </x:c>
      <x:c r="I3614" s="36" t="n">
        <x:f>IFERROR(H3614/A3614,0)</x:f>
        <x:v>37345.33497783498</x:v>
      </x:c>
      <x:c r="J3614" s="67" t="str">
        <x:v>Modeled from live base + Sep-2026 quality ratio</x:v>
      </x:c>
      <x:c r="K3614" s="67" t="str">
        <x:v>https://www.stonealgo.com/diamond-prices/</x:v>
      </x:c>
      <x:c r="L3614" s="67" t="str">
        <x:v>https://www.pricescope.com/blog/natural-diamond-prices-september-2026</x:v>
      </x:c>
    </x:row>
    <x:row r="3615">
      <x:c r="A3615" t="n">
        <x:v>6</x:v>
      </x:c>
      <x:c r="B3615" t="str">
        <x:v>Pear</x:v>
      </x:c>
      <x:c r="C3615" t="str">
        <x:v>G</x:v>
      </x:c>
      <x:c r="D3615" t="str">
        <x:v>VS2</x:v>
      </x:c>
      <x:c r="E3615" s="36" t="n">
        <x:v>226354</x:v>
      </x:c>
      <x:c r="F3615" s="36" t="n">
        <x:v>4585</x:v>
      </x:c>
      <x:c r="G3615" s="42" t="n">
        <x:v>0.9834834834834835</x:v>
      </x:c>
      <x:c r="H3615" s="36" t="n">
        <x:f>E3615*G3615</x:f>
        <x:v>222615.4204204204</x:v>
      </x:c>
      <x:c r="I3615" s="36" t="n">
        <x:f>IFERROR(H3615/A3615,0)</x:f>
        <x:v>37102.57007007007</x:v>
      </x:c>
      <x:c r="J3615" s="67" t="str">
        <x:v>Modeled from live base + Sep-2026 quality ratio</x:v>
      </x:c>
      <x:c r="K3615" s="67" t="str">
        <x:v>https://www.stonealgo.com/diamond-prices/</x:v>
      </x:c>
      <x:c r="L3615" s="67" t="str">
        <x:v>https://www.pricescope.com/blog/natural-diamond-prices-september-2026</x:v>
      </x:c>
    </x:row>
    <x:row r="3616">
      <x:c r="A3616" t="n">
        <x:v>6</x:v>
      </x:c>
      <x:c r="B3616" t="str">
        <x:v>Pear</x:v>
      </x:c>
      <x:c r="C3616" t="str">
        <x:v>G</x:v>
      </x:c>
      <x:c r="D3616" t="str">
        <x:v>SI1</x:v>
      </x:c>
      <x:c r="E3616" s="36" t="n">
        <x:v>226354</x:v>
      </x:c>
      <x:c r="F3616" s="36" t="n">
        <x:v>3664</x:v>
      </x:c>
      <x:c r="G3616" s="42" t="n">
        <x:v>0.7859287859287859</x:v>
      </x:c>
      <x:c r="H3616" s="36" t="n">
        <x:f>E3616*G3616</x:f>
        <x:v>177898.1244101244</x:v>
      </x:c>
      <x:c r="I3616" s="36" t="n">
        <x:f>IFERROR(H3616/A3616,0)</x:f>
        <x:v>29649.687401687403</x:v>
      </x:c>
      <x:c r="J3616" s="67" t="str">
        <x:v>Modeled from live base + Sep-2026 quality ratio</x:v>
      </x:c>
      <x:c r="K3616" s="67" t="str">
        <x:v>https://www.stonealgo.com/diamond-prices/</x:v>
      </x:c>
      <x:c r="L3616" s="67" t="str">
        <x:v>https://www.pricescope.com/blog/natural-diamond-prices-september-2026</x:v>
      </x:c>
    </x:row>
    <x:row r="3617">
      <x:c r="A3617" t="n">
        <x:v>6</x:v>
      </x:c>
      <x:c r="B3617" t="str">
        <x:v>Pear</x:v>
      </x:c>
      <x:c r="C3617" t="str">
        <x:v>G</x:v>
      </x:c>
      <x:c r="D3617" t="str">
        <x:v>SI2</x:v>
      </x:c>
      <x:c r="E3617" s="36" t="n">
        <x:v>226354</x:v>
      </x:c>
      <x:c r="F3617" s="36" t="n">
        <x:v>2537</x:v>
      </x:c>
      <x:c r="G3617" s="42" t="n">
        <x:v>0.5441870441870442</x:v>
      </x:c>
      <x:c r="H3617" s="36" t="n">
        <x:f>E3617*G3617</x:f>
        <x:v>123178.9141999142</x:v>
      </x:c>
      <x:c r="I3617" s="36" t="n">
        <x:f>IFERROR(H3617/A3617,0)</x:f>
        <x:v>20529.819033319032</x:v>
      </x:c>
      <x:c r="J3617" s="67" t="str">
        <x:v>Modeled from live base + Sep-2026 quality ratio</x:v>
      </x:c>
      <x:c r="K3617" s="67" t="str">
        <x:v>https://www.stonealgo.com/diamond-prices/</x:v>
      </x:c>
      <x:c r="L3617" s="67" t="str">
        <x:v>https://www.pricescope.com/blog/natural-diamond-prices-september-2026</x:v>
      </x:c>
    </x:row>
    <x:row r="3618">
      <x:c r="A3618" t="n">
        <x:v>6</x:v>
      </x:c>
      <x:c r="B3618" t="str">
        <x:v>Pear</x:v>
      </x:c>
      <x:c r="C3618" t="str">
        <x:v>H</x:v>
      </x:c>
      <x:c r="D3618" t="str">
        <x:v>FL</x:v>
      </x:c>
      <x:c r="E3618" s="36" t="n">
        <x:v>226354</x:v>
      </x:c>
      <x:c r="F3618" s="36" t="n">
        <x:v>4563</x:v>
      </x:c>
      <x:c r="G3618" s="42" t="n">
        <x:v>0.9787644787644788</x:v>
      </x:c>
      <x:c r="H3618" s="36" t="n">
        <x:f>E3618*G3618</x:f>
        <x:v>221547.25482625482</x:v>
      </x:c>
      <x:c r="I3618" s="36" t="n">
        <x:f>IFERROR(H3618/A3618,0)</x:f>
        <x:v>36924.54247104247</x:v>
      </x:c>
      <x:c r="J3618" s="67" t="str">
        <x:v>Modeled from live base + Sep-2026 quality ratio</x:v>
      </x:c>
      <x:c r="K3618" s="67" t="str">
        <x:v>https://www.stonealgo.com/diamond-prices/</x:v>
      </x:c>
      <x:c r="L3618" s="67" t="str">
        <x:v>https://www.pricescope.com/blog/natural-diamond-prices-september-2026</x:v>
      </x:c>
    </x:row>
    <x:row r="3619">
      <x:c r="A3619" t="n">
        <x:v>6</x:v>
      </x:c>
      <x:c r="B3619" t="str">
        <x:v>Pear</x:v>
      </x:c>
      <x:c r="C3619" t="str">
        <x:v>H</x:v>
      </x:c>
      <x:c r="D3619" t="str">
        <x:v>IF</x:v>
      </x:c>
      <x:c r="E3619" s="36" t="n">
        <x:v>226354</x:v>
      </x:c>
      <x:c r="F3619" s="36" t="n">
        <x:v>4809</x:v>
      </x:c>
      <x:c r="G3619" s="42" t="n">
        <x:v>1.0315315315315314</x:v>
      </x:c>
      <x:c r="H3619" s="36" t="n">
        <x:f>E3619*G3619</x:f>
        <x:v>233491.28828828825</x:v>
      </x:c>
      <x:c r="I3619" s="36" t="n">
        <x:f>IFERROR(H3619/A3619,0)</x:f>
        <x:v>38915.21471471471</x:v>
      </x:c>
      <x:c r="J3619" s="67" t="str">
        <x:v>Modeled from live base + Sep-2026 quality ratio</x:v>
      </x:c>
      <x:c r="K3619" s="67" t="str">
        <x:v>https://www.stonealgo.com/diamond-prices/</x:v>
      </x:c>
      <x:c r="L3619" s="67" t="str">
        <x:v>https://www.pricescope.com/blog/natural-diamond-prices-september-2026</x:v>
      </x:c>
    </x:row>
    <x:row r="3620">
      <x:c r="A3620" t="n">
        <x:v>6</x:v>
      </x:c>
      <x:c r="B3620" t="str">
        <x:v>Pear</x:v>
      </x:c>
      <x:c r="C3620" t="str">
        <x:v>H</x:v>
      </x:c>
      <x:c r="D3620" t="str">
        <x:v>VVS1</x:v>
      </x:c>
      <x:c r="E3620" s="36" t="n">
        <x:v>226354</x:v>
      </x:c>
      <x:c r="F3620" s="36" t="n">
        <x:v>4911</x:v>
      </x:c>
      <x:c r="G3620" s="42" t="n">
        <x:v>1.0534105534105533</x:v>
      </x:c>
      <x:c r="H3620" s="36" t="n">
        <x:f>E3620*G3620</x:f>
        <x:v>238443.6924066924</x:v>
      </x:c>
      <x:c r="I3620" s="36" t="n">
        <x:f>IFERROR(H3620/A3620,0)</x:f>
        <x:v>39740.6154011154</x:v>
      </x:c>
      <x:c r="J3620" s="67" t="str">
        <x:v>Modeled from live base + Sep-2026 quality ratio</x:v>
      </x:c>
      <x:c r="K3620" s="67" t="str">
        <x:v>https://www.stonealgo.com/diamond-prices/</x:v>
      </x:c>
      <x:c r="L3620" s="67" t="str">
        <x:v>https://www.pricescope.com/blog/natural-diamond-prices-september-2026</x:v>
      </x:c>
    </x:row>
    <x:row r="3621">
      <x:c r="A3621" t="n">
        <x:v>6</x:v>
      </x:c>
      <x:c r="B3621" t="str">
        <x:v>Pear</x:v>
      </x:c>
      <x:c r="C3621" t="str">
        <x:v>H</x:v>
      </x:c>
      <x:c r="D3621" t="str">
        <x:v>VVS2</x:v>
      </x:c>
      <x:c r="E3621" s="36" t="n">
        <x:v>226354</x:v>
      </x:c>
      <x:c r="F3621" s="36" t="n">
        <x:v>4046</x:v>
      </x:c>
      <x:c r="G3621" s="42" t="n">
        <x:v>0.8678678678678678</x:v>
      </x:c>
      <x:c r="H3621" s="36" t="n">
        <x:f>E3621*G3621</x:f>
        <x:v>196445.36336336337</x:v>
      </x:c>
      <x:c r="I3621" s="36" t="n">
        <x:f>IFERROR(H3621/A3621,0)</x:f>
        <x:v>32740.893893893895</x:v>
      </x:c>
      <x:c r="J3621" s="67" t="str">
        <x:v>Modeled from live base + Sep-2026 quality ratio</x:v>
      </x:c>
      <x:c r="K3621" s="67" t="str">
        <x:v>https://www.stonealgo.com/diamond-prices/</x:v>
      </x:c>
      <x:c r="L3621" s="67" t="str">
        <x:v>https://www.pricescope.com/blog/natural-diamond-prices-september-2026</x:v>
      </x:c>
    </x:row>
    <x:row r="3622">
      <x:c r="A3622" t="n">
        <x:v>6</x:v>
      </x:c>
      <x:c r="B3622" t="str">
        <x:v>Pear</x:v>
      </x:c>
      <x:c r="C3622" t="str">
        <x:v>H</x:v>
      </x:c>
      <x:c r="D3622" t="str">
        <x:v>VS1</x:v>
      </x:c>
      <x:c r="E3622" s="36" t="n">
        <x:v>226354</x:v>
      </x:c>
      <x:c r="F3622" s="36" t="n">
        <x:v>3893</x:v>
      </x:c>
      <x:c r="G3622" s="42" t="n">
        <x:v>0.8350493350493351</x:v>
      </x:c>
      <x:c r="H3622" s="36" t="n">
        <x:f>E3622*G3622</x:f>
        <x:v>189016.7571857572</x:v>
      </x:c>
      <x:c r="I3622" s="36" t="n">
        <x:f>IFERROR(H3622/A3622,0)</x:f>
        <x:v>31502.792864292864</x:v>
      </x:c>
      <x:c r="J3622" s="67" t="str">
        <x:v>Modeled from live base + Sep-2026 quality ratio</x:v>
      </x:c>
      <x:c r="K3622" s="67" t="str">
        <x:v>https://www.stonealgo.com/diamond-prices/</x:v>
      </x:c>
      <x:c r="L3622" s="67" t="str">
        <x:v>https://www.pricescope.com/blog/natural-diamond-prices-september-2026</x:v>
      </x:c>
    </x:row>
    <x:row r="3623">
      <x:c r="A3623" t="n">
        <x:v>6</x:v>
      </x:c>
      <x:c r="B3623" t="str">
        <x:v>Pear</x:v>
      </x:c>
      <x:c r="C3623" t="str">
        <x:v>H</x:v>
      </x:c>
      <x:c r="D3623" t="str">
        <x:v>VS2</x:v>
      </x:c>
      <x:c r="E3623" s="36" t="n">
        <x:v>226354</x:v>
      </x:c>
      <x:c r="F3623" s="36" t="n">
        <x:v>3989</x:v>
      </x:c>
      <x:c r="G3623" s="42" t="n">
        <x:v>0.8556413556413557</x:v>
      </x:c>
      <x:c r="H3623" s="36" t="n">
        <x:f>E3623*G3623</x:f>
        <x:v>193677.84341484343</x:v>
      </x:c>
      <x:c r="I3623" s="36" t="n">
        <x:f>IFERROR(H3623/A3623,0)</x:f>
        <x:v>32279.64056914057</x:v>
      </x:c>
      <x:c r="J3623" s="67" t="str">
        <x:v>Modeled from live base + Sep-2026 quality ratio</x:v>
      </x:c>
      <x:c r="K3623" s="67" t="str">
        <x:v>https://www.stonealgo.com/diamond-prices/</x:v>
      </x:c>
      <x:c r="L3623" s="67" t="str">
        <x:v>https://www.pricescope.com/blog/natural-diamond-prices-september-2026</x:v>
      </x:c>
    </x:row>
    <x:row r="3624">
      <x:c r="A3624" t="n">
        <x:v>6</x:v>
      </x:c>
      <x:c r="B3624" t="str">
        <x:v>Pear</x:v>
      </x:c>
      <x:c r="C3624" t="str">
        <x:v>H</x:v>
      </x:c>
      <x:c r="D3624" t="str">
        <x:v>SI1</x:v>
      </x:c>
      <x:c r="E3624" s="36" t="n">
        <x:v>226354</x:v>
      </x:c>
      <x:c r="F3624" s="36" t="n">
        <x:v>2828</x:v>
      </x:c>
      <x:c r="G3624" s="42" t="n">
        <x:v>0.6066066066066066</x:v>
      </x:c>
      <x:c r="H3624" s="36" t="n">
        <x:f>E3624*G3624</x:f>
        <x:v>137307.83183183183</x:v>
      </x:c>
      <x:c r="I3624" s="36" t="n">
        <x:f>IFERROR(H3624/A3624,0)</x:f>
        <x:v>22884.63863863864</x:v>
      </x:c>
      <x:c r="J3624" s="67" t="str">
        <x:v>Modeled from live base + Sep-2026 quality ratio</x:v>
      </x:c>
      <x:c r="K3624" s="67" t="str">
        <x:v>https://www.stonealgo.com/diamond-prices/</x:v>
      </x:c>
      <x:c r="L3624" s="67" t="str">
        <x:v>https://www.pricescope.com/blog/natural-diamond-prices-september-2026</x:v>
      </x:c>
    </x:row>
    <x:row r="3625">
      <x:c r="A3625" t="n">
        <x:v>6</x:v>
      </x:c>
      <x:c r="B3625" t="str">
        <x:v>Pear</x:v>
      </x:c>
      <x:c r="C3625" t="str">
        <x:v>H</x:v>
      </x:c>
      <x:c r="D3625" t="str">
        <x:v>SI2</x:v>
      </x:c>
      <x:c r="E3625" s="36" t="n">
        <x:v>226354</x:v>
      </x:c>
      <x:c r="F3625" s="36" t="n">
        <x:v>2328</x:v>
      </x:c>
      <x:c r="G3625" s="42" t="n">
        <x:v>0.49935649935649934</x:v>
      </x:c>
      <x:c r="H3625" s="36" t="n">
        <x:f>E3625*G3625</x:f>
        <x:v>113031.34105534105</x:v>
      </x:c>
      <x:c r="I3625" s="36" t="n">
        <x:f>IFERROR(H3625/A3625,0)</x:f>
        <x:v>18838.55684255684</x:v>
      </x:c>
      <x:c r="J3625" s="67" t="str">
        <x:v>Modeled from live base + Sep-2026 quality ratio</x:v>
      </x:c>
      <x:c r="K3625" s="67" t="str">
        <x:v>https://www.stonealgo.com/diamond-prices/</x:v>
      </x:c>
      <x:c r="L3625" s="67" t="str">
        <x:v>https://www.pricescope.com/blog/natural-diamond-prices-september-2026</x:v>
      </x:c>
    </x:row>
    <x:row r="3626">
      <x:c r="A3626" t="n">
        <x:v>6</x:v>
      </x:c>
      <x:c r="B3626" t="str">
        <x:v>Pear</x:v>
      </x:c>
      <x:c r="C3626" t="str">
        <x:v>I</x:v>
      </x:c>
      <x:c r="D3626" t="str">
        <x:v>FL</x:v>
      </x:c>
      <x:c r="E3626" s="36" t="n">
        <x:v>226354</x:v>
      </x:c>
      <x:c r="F3626" s="36" t="n">
        <x:v>4623</x:v>
      </x:c>
      <x:c r="G3626" s="42" t="n">
        <x:v>0.9916344916344917</x:v>
      </x:c>
      <x:c r="H3626" s="36" t="n">
        <x:f>E3626*G3626</x:f>
        <x:v>224460.43371943373</x:v>
      </x:c>
      <x:c r="I3626" s="36" t="n">
        <x:f>IFERROR(H3626/A3626,0)</x:f>
        <x:v>37410.072286572286</x:v>
      </x:c>
      <x:c r="J3626" s="67" t="str">
        <x:v>Modeled from live base + Sep-2026 quality ratio</x:v>
      </x:c>
      <x:c r="K3626" s="67" t="str">
        <x:v>https://www.stonealgo.com/diamond-prices/</x:v>
      </x:c>
      <x:c r="L3626" s="67" t="str">
        <x:v>https://www.pricescope.com/blog/natural-diamond-prices-september-2026</x:v>
      </x:c>
    </x:row>
    <x:row r="3627">
      <x:c r="A3627" t="n">
        <x:v>6</x:v>
      </x:c>
      <x:c r="B3627" t="str">
        <x:v>Pear</x:v>
      </x:c>
      <x:c r="C3627" t="str">
        <x:v>I</x:v>
      </x:c>
      <x:c r="D3627" t="str">
        <x:v>IF</x:v>
      </x:c>
      <x:c r="E3627" s="36" t="n">
        <x:v>226354</x:v>
      </x:c>
      <x:c r="F3627" s="36" t="n">
        <x:v>4005</x:v>
      </x:c>
      <x:c r="G3627" s="42" t="n">
        <x:v>0.859073359073359</x:v>
      </x:c>
      <x:c r="H3627" s="36" t="n">
        <x:f>E3627*G3627</x:f>
        <x:v>194454.6911196911</x:v>
      </x:c>
      <x:c r="I3627" s="36" t="n">
        <x:f>IFERROR(H3627/A3627,0)</x:f>
        <x:v>32409.11518661518</x:v>
      </x:c>
      <x:c r="J3627" s="67" t="str">
        <x:v>Modeled from live base + Sep-2026 quality ratio</x:v>
      </x:c>
      <x:c r="K3627" s="67" t="str">
        <x:v>https://www.stonealgo.com/diamond-prices/</x:v>
      </x:c>
      <x:c r="L3627" s="67" t="str">
        <x:v>https://www.pricescope.com/blog/natural-diamond-prices-september-2026</x:v>
      </x:c>
    </x:row>
    <x:row r="3628">
      <x:c r="A3628" t="n">
        <x:v>6</x:v>
      </x:c>
      <x:c r="B3628" t="str">
        <x:v>Pear</x:v>
      </x:c>
      <x:c r="C3628" t="str">
        <x:v>I</x:v>
      </x:c>
      <x:c r="D3628" t="str">
        <x:v>VVS1</x:v>
      </x:c>
      <x:c r="E3628" s="36" t="n">
        <x:v>226354</x:v>
      </x:c>
      <x:c r="F3628" s="36" t="n">
        <x:v>3670</x:v>
      </x:c>
      <x:c r="G3628" s="42" t="n">
        <x:v>0.7872157872157872</x:v>
      </x:c>
      <x:c r="H3628" s="36" t="n">
        <x:f>E3628*G3628</x:f>
        <x:v>178189.4422994423</x:v>
      </x:c>
      <x:c r="I3628" s="36" t="n">
        <x:f>IFERROR(H3628/A3628,0)</x:f>
        <x:v>29698.240383240383</x:v>
      </x:c>
      <x:c r="J3628" s="67" t="str">
        <x:v>Modeled from live base + Sep-2026 quality ratio</x:v>
      </x:c>
      <x:c r="K3628" s="67" t="str">
        <x:v>https://www.stonealgo.com/diamond-prices/</x:v>
      </x:c>
      <x:c r="L3628" s="67" t="str">
        <x:v>https://www.pricescope.com/blog/natural-diamond-prices-september-2026</x:v>
      </x:c>
    </x:row>
    <x:row r="3629">
      <x:c r="A3629" t="n">
        <x:v>6</x:v>
      </x:c>
      <x:c r="B3629" t="str">
        <x:v>Pear</x:v>
      </x:c>
      <x:c r="C3629" t="str">
        <x:v>I</x:v>
      </x:c>
      <x:c r="D3629" t="str">
        <x:v>VVS2</x:v>
      </x:c>
      <x:c r="E3629" s="36" t="n">
        <x:v>226354</x:v>
      </x:c>
      <x:c r="F3629" s="36" t="n">
        <x:v>3447</x:v>
      </x:c>
      <x:c r="G3629" s="42" t="n">
        <x:v>0.7393822393822393</x:v>
      </x:c>
      <x:c r="H3629" s="36" t="n">
        <x:f>E3629*G3629</x:f>
        <x:v>167362.1274131274</x:v>
      </x:c>
      <x:c r="I3629" s="36" t="n">
        <x:f>IFERROR(H3629/A3629,0)</x:f>
        <x:v>27893.6879021879</x:v>
      </x:c>
      <x:c r="J3629" s="67" t="str">
        <x:v>Modeled from live base + Sep-2026 quality ratio</x:v>
      </x:c>
      <x:c r="K3629" s="67" t="str">
        <x:v>https://www.stonealgo.com/diamond-prices/</x:v>
      </x:c>
      <x:c r="L3629" s="67" t="str">
        <x:v>https://www.pricescope.com/blog/natural-diamond-prices-september-2026</x:v>
      </x:c>
    </x:row>
    <x:row r="3630">
      <x:c r="A3630" t="n">
        <x:v>6</x:v>
      </x:c>
      <x:c r="B3630" t="str">
        <x:v>Pear</x:v>
      </x:c>
      <x:c r="C3630" t="str">
        <x:v>I</x:v>
      </x:c>
      <x:c r="D3630" t="str">
        <x:v>VS1</x:v>
      </x:c>
      <x:c r="E3630" s="36" t="n">
        <x:v>226354</x:v>
      </x:c>
      <x:c r="F3630" s="36" t="n">
        <x:v>3313</x:v>
      </x:c>
      <x:c r="G3630" s="42" t="n">
        <x:v>0.7106392106392107</x:v>
      </x:c>
      <x:c r="H3630" s="36" t="n">
        <x:f>E3630*G3630</x:f>
        <x:v>160856.0278850279</x:v>
      </x:c>
      <x:c r="I3630" s="36" t="n">
        <x:f>IFERROR(H3630/A3630,0)</x:f>
        <x:v>26809.337980837983</x:v>
      </x:c>
      <x:c r="J3630" s="67" t="str">
        <x:v>Modeled from live base + Sep-2026 quality ratio</x:v>
      </x:c>
      <x:c r="K3630" s="67" t="str">
        <x:v>https://www.stonealgo.com/diamond-prices/</x:v>
      </x:c>
      <x:c r="L3630" s="67" t="str">
        <x:v>https://www.pricescope.com/blog/natural-diamond-prices-september-2026</x:v>
      </x:c>
    </x:row>
    <x:row r="3631">
      <x:c r="A3631" t="n">
        <x:v>6</x:v>
      </x:c>
      <x:c r="B3631" t="str">
        <x:v>Pear</x:v>
      </x:c>
      <x:c r="C3631" t="str">
        <x:v>I</x:v>
      </x:c>
      <x:c r="D3631" t="str">
        <x:v>VS2</x:v>
      </x:c>
      <x:c r="E3631" s="36" t="n">
        <x:v>226354</x:v>
      </x:c>
      <x:c r="F3631" s="36" t="n">
        <x:v>3240</x:v>
      </x:c>
      <x:c r="G3631" s="42" t="n">
        <x:v>0.694980694980695</x:v>
      </x:c>
      <x:c r="H3631" s="36" t="n">
        <x:f>E3631*G3631</x:f>
        <x:v>157311.66023166024</x:v>
      </x:c>
      <x:c r="I3631" s="36" t="n">
        <x:f>IFERROR(H3631/A3631,0)</x:f>
        <x:v>26218.61003861004</x:v>
      </x:c>
      <x:c r="J3631" s="67" t="str">
        <x:v>Modeled from live base + Sep-2026 quality ratio</x:v>
      </x:c>
      <x:c r="K3631" s="67" t="str">
        <x:v>https://www.stonealgo.com/diamond-prices/</x:v>
      </x:c>
      <x:c r="L3631" s="67" t="str">
        <x:v>https://www.pricescope.com/blog/natural-diamond-prices-september-2026</x:v>
      </x:c>
    </x:row>
    <x:row r="3632">
      <x:c r="A3632" t="n">
        <x:v>6</x:v>
      </x:c>
      <x:c r="B3632" t="str">
        <x:v>Pear</x:v>
      </x:c>
      <x:c r="C3632" t="str">
        <x:v>I</x:v>
      </x:c>
      <x:c r="D3632" t="str">
        <x:v>SI1</x:v>
      </x:c>
      <x:c r="E3632" s="36" t="n">
        <x:v>226354</x:v>
      </x:c>
      <x:c r="F3632" s="36" t="n">
        <x:v>3199</x:v>
      </x:c>
      <x:c r="G3632" s="42" t="n">
        <x:v>0.6861861861861862</x:v>
      </x:c>
      <x:c r="H3632" s="36" t="n">
        <x:f>E3632*G3632</x:f>
        <x:v>155320.987987988</x:v>
      </x:c>
      <x:c r="I3632" s="36" t="n">
        <x:f>IFERROR(H3632/A3632,0)</x:f>
        <x:v>25886.83133133133</x:v>
      </x:c>
      <x:c r="J3632" s="67" t="str">
        <x:v>Modeled from live base + Sep-2026 quality ratio</x:v>
      </x:c>
      <x:c r="K3632" s="67" t="str">
        <x:v>https://www.stonealgo.com/diamond-prices/</x:v>
      </x:c>
      <x:c r="L3632" s="67" t="str">
        <x:v>https://www.pricescope.com/blog/natural-diamond-prices-september-2026</x:v>
      </x:c>
    </x:row>
    <x:row r="3633">
      <x:c r="A3633" t="n">
        <x:v>6</x:v>
      </x:c>
      <x:c r="B3633" t="str">
        <x:v>Pear</x:v>
      </x:c>
      <x:c r="C3633" t="str">
        <x:v>I</x:v>
      </x:c>
      <x:c r="D3633" t="str">
        <x:v>SI2</x:v>
      </x:c>
      <x:c r="E3633" s="36" t="n">
        <x:v>226354</x:v>
      </x:c>
      <x:c r="F3633" s="36" t="n">
        <x:v>2874</x:v>
      </x:c>
      <x:c r="G3633" s="42" t="n">
        <x:v>0.6164736164736164</x:v>
      </x:c>
      <x:c r="H3633" s="36" t="n">
        <x:f>E3633*G3633</x:f>
        <x:v>139541.26898326896</x:v>
      </x:c>
      <x:c r="I3633" s="36" t="n">
        <x:f>IFERROR(H3633/A3633,0)</x:f>
        <x:v>23256.878163878162</x:v>
      </x:c>
      <x:c r="J3633" s="67" t="str">
        <x:v>Modeled from live base + Sep-2026 quality ratio</x:v>
      </x:c>
      <x:c r="K3633" s="67" t="str">
        <x:v>https://www.stonealgo.com/diamond-prices/</x:v>
      </x:c>
      <x:c r="L3633" s="67" t="str">
        <x:v>https://www.pricescope.com/blog/natural-diamond-prices-september-2026</x:v>
      </x:c>
    </x:row>
    <x:row r="3634">
      <x:c r="A3634" t="n">
        <x:v>6</x:v>
      </x:c>
      <x:c r="B3634" t="str">
        <x:v>Pear</x:v>
      </x:c>
      <x:c r="C3634" t="str">
        <x:v>J</x:v>
      </x:c>
      <x:c r="D3634" t="str">
        <x:v>FL</x:v>
      </x:c>
      <x:c r="E3634" s="36" t="n">
        <x:v>226354</x:v>
      </x:c>
      <x:c r="F3634" s="36" t="n">
        <x:v>3646</x:v>
      </x:c>
      <x:c r="G3634" s="42" t="n">
        <x:v>0.782067782067782</x:v>
      </x:c>
      <x:c r="H3634" s="36" t="n">
        <x:f>E3634*G3634</x:f>
        <x:v>177024.17074217074</x:v>
      </x:c>
      <x:c r="I3634" s="36" t="n">
        <x:f>IFERROR(H3634/A3634,0)</x:f>
        <x:v>29504.028457028457</x:v>
      </x:c>
      <x:c r="J3634" s="67" t="str">
        <x:v>Modeled from live base + Sep-2026 quality ratio</x:v>
      </x:c>
      <x:c r="K3634" s="67" t="str">
        <x:v>https://www.stonealgo.com/diamond-prices/</x:v>
      </x:c>
      <x:c r="L3634" s="67" t="str">
        <x:v>https://www.pricescope.com/blog/natural-diamond-prices-september-2026</x:v>
      </x:c>
    </x:row>
    <x:row r="3635">
      <x:c r="A3635" t="n">
        <x:v>6</x:v>
      </x:c>
      <x:c r="B3635" t="str">
        <x:v>Pear</x:v>
      </x:c>
      <x:c r="C3635" t="str">
        <x:v>J</x:v>
      </x:c>
      <x:c r="D3635" t="str">
        <x:v>IF</x:v>
      </x:c>
      <x:c r="E3635" s="36" t="n">
        <x:v>226354</x:v>
      </x:c>
      <x:c r="F3635" s="36" t="n">
        <x:v>3368</x:v>
      </x:c>
      <x:c r="G3635" s="42" t="n">
        <x:v>0.7224367224367224</x:v>
      </x:c>
      <x:c r="H3635" s="36" t="n">
        <x:f>E3635*G3635</x:f>
        <x:v>163526.44187044186</x:v>
      </x:c>
      <x:c r="I3635" s="36" t="n">
        <x:f>IFERROR(H3635/A3635,0)</x:f>
        <x:v>27254.406978406976</x:v>
      </x:c>
      <x:c r="J3635" s="67" t="str">
        <x:v>Modeled from live base + Sep-2026 quality ratio</x:v>
      </x:c>
      <x:c r="K3635" s="67" t="str">
        <x:v>https://www.stonealgo.com/diamond-prices/</x:v>
      </x:c>
      <x:c r="L3635" s="67" t="str">
        <x:v>https://www.pricescope.com/blog/natural-diamond-prices-september-2026</x:v>
      </x:c>
    </x:row>
    <x:row r="3636">
      <x:c r="A3636" t="n">
        <x:v>6</x:v>
      </x:c>
      <x:c r="B3636" t="str">
        <x:v>Pear</x:v>
      </x:c>
      <x:c r="C3636" t="str">
        <x:v>J</x:v>
      </x:c>
      <x:c r="D3636" t="str">
        <x:v>VVS1</x:v>
      </x:c>
      <x:c r="E3636" s="36" t="n">
        <x:v>226354</x:v>
      </x:c>
      <x:c r="F3636" s="36" t="n">
        <x:v>2956</x:v>
      </x:c>
      <x:c r="G3636" s="42" t="n">
        <x:v>0.6340626340626341</x:v>
      </x:c>
      <x:c r="H3636" s="36" t="n">
        <x:f>E3636*G3636</x:f>
        <x:v>143522.61347061346</x:v>
      </x:c>
      <x:c r="I3636" s="36" t="n">
        <x:f>IFERROR(H3636/A3636,0)</x:f>
        <x:v>23920.435578435576</x:v>
      </x:c>
      <x:c r="J3636" s="67" t="str">
        <x:v>Modeled from live base + Sep-2026 quality ratio</x:v>
      </x:c>
      <x:c r="K3636" s="67" t="str">
        <x:v>https://www.stonealgo.com/diamond-prices/</x:v>
      </x:c>
      <x:c r="L3636" s="67" t="str">
        <x:v>https://www.pricescope.com/blog/natural-diamond-prices-september-2026</x:v>
      </x:c>
    </x:row>
    <x:row r="3637">
      <x:c r="A3637" t="n">
        <x:v>6</x:v>
      </x:c>
      <x:c r="B3637" t="str">
        <x:v>Pear</x:v>
      </x:c>
      <x:c r="C3637" t="str">
        <x:v>J</x:v>
      </x:c>
      <x:c r="D3637" t="str">
        <x:v>VVS2</x:v>
      </x:c>
      <x:c r="E3637" s="36" t="n">
        <x:v>226354</x:v>
      </x:c>
      <x:c r="F3637" s="36" t="n">
        <x:v>2612</x:v>
      </x:c>
      <x:c r="G3637" s="42" t="n">
        <x:v>0.5602745602745602</x:v>
      </x:c>
      <x:c r="H3637" s="36" t="n">
        <x:f>E3637*G3637</x:f>
        <x:v>126820.38781638781</x:v>
      </x:c>
      <x:c r="I3637" s="36" t="n">
        <x:f>IFERROR(H3637/A3637,0)</x:f>
        <x:v>21136.731302731303</x:v>
      </x:c>
      <x:c r="J3637" s="67" t="str">
        <x:v>Modeled from live base + Sep-2026 quality ratio</x:v>
      </x:c>
      <x:c r="K3637" s="67" t="str">
        <x:v>https://www.stonealgo.com/diamond-prices/</x:v>
      </x:c>
      <x:c r="L3637" s="67" t="str">
        <x:v>https://www.pricescope.com/blog/natural-diamond-prices-september-2026</x:v>
      </x:c>
    </x:row>
    <x:row r="3638">
      <x:c r="A3638" t="n">
        <x:v>6</x:v>
      </x:c>
      <x:c r="B3638" t="str">
        <x:v>Pear</x:v>
      </x:c>
      <x:c r="C3638" t="str">
        <x:v>J</x:v>
      </x:c>
      <x:c r="D3638" t="str">
        <x:v>VS1</x:v>
      </x:c>
      <x:c r="E3638" s="36" t="n">
        <x:v>226354</x:v>
      </x:c>
      <x:c r="F3638" s="36" t="n">
        <x:v>3002</x:v>
      </x:c>
      <x:c r="G3638" s="42" t="n">
        <x:v>0.6439296439296439</x:v>
      </x:c>
      <x:c r="H3638" s="36" t="n">
        <x:f>E3638*G3638</x:f>
        <x:v>145756.05062205062</x:v>
      </x:c>
      <x:c r="I3638" s="36" t="n">
        <x:f>IFERROR(H3638/A3638,0)</x:f>
        <x:v>24292.675103675105</x:v>
      </x:c>
      <x:c r="J3638" s="67" t="str">
        <x:v>Modeled from live base + Sep-2026 quality ratio</x:v>
      </x:c>
      <x:c r="K3638" s="67" t="str">
        <x:v>https://www.stonealgo.com/diamond-prices/</x:v>
      </x:c>
      <x:c r="L3638" s="67" t="str">
        <x:v>https://www.pricescope.com/blog/natural-diamond-prices-september-2026</x:v>
      </x:c>
    </x:row>
    <x:row r="3639">
      <x:c r="A3639" t="n">
        <x:v>6</x:v>
      </x:c>
      <x:c r="B3639" t="str">
        <x:v>Pear</x:v>
      </x:c>
      <x:c r="C3639" t="str">
        <x:v>J</x:v>
      </x:c>
      <x:c r="D3639" t="str">
        <x:v>VS2</x:v>
      </x:c>
      <x:c r="E3639" s="36" t="n">
        <x:v>226354</x:v>
      </x:c>
      <x:c r="F3639" s="36" t="n">
        <x:v>2559</x:v>
      </x:c>
      <x:c r="G3639" s="42" t="n">
        <x:v>0.5489060489060489</x:v>
      </x:c>
      <x:c r="H3639" s="36" t="n">
        <x:f>E3639*G3639</x:f>
        <x:v>124247.0797940798</x:v>
      </x:c>
      <x:c r="I3639" s="36" t="n">
        <x:f>IFERROR(H3639/A3639,0)</x:f>
        <x:v>20707.84663234663</x:v>
      </x:c>
      <x:c r="J3639" s="67" t="str">
        <x:v>Modeled from live base + Sep-2026 quality ratio</x:v>
      </x:c>
      <x:c r="K3639" s="67" t="str">
        <x:v>https://www.stonealgo.com/diamond-prices/</x:v>
      </x:c>
      <x:c r="L3639" s="67" t="str">
        <x:v>https://www.pricescope.com/blog/natural-diamond-prices-september-2026</x:v>
      </x:c>
    </x:row>
    <x:row r="3640">
      <x:c r="A3640" t="n">
        <x:v>6</x:v>
      </x:c>
      <x:c r="B3640" t="str">
        <x:v>Pear</x:v>
      </x:c>
      <x:c r="C3640" t="str">
        <x:v>J</x:v>
      </x:c>
      <x:c r="D3640" t="str">
        <x:v>SI1</x:v>
      </x:c>
      <x:c r="E3640" s="36" t="n">
        <x:v>226354</x:v>
      </x:c>
      <x:c r="F3640" s="36" t="n">
        <x:v>2195</x:v>
      </x:c>
      <x:c r="G3640" s="42" t="n">
        <x:v>0.47082797082797084</x:v>
      </x:c>
      <x:c r="H3640" s="36" t="n">
        <x:f>E3640*G3640</x:f>
        <x:v>106573.79450879451</x:v>
      </x:c>
      <x:c r="I3640" s="36" t="n">
        <x:f>IFERROR(H3640/A3640,0)</x:f>
        <x:v>17762.299084799084</x:v>
      </x:c>
      <x:c r="J3640" s="67" t="str">
        <x:v>Modeled from live base + Sep-2026 quality ratio</x:v>
      </x:c>
      <x:c r="K3640" s="67" t="str">
        <x:v>https://www.stonealgo.com/diamond-prices/</x:v>
      </x:c>
      <x:c r="L3640" s="67" t="str">
        <x:v>https://www.pricescope.com/blog/natural-diamond-prices-september-2026</x:v>
      </x:c>
    </x:row>
    <x:row r="3641">
      <x:c r="A3641" t="n">
        <x:v>6</x:v>
      </x:c>
      <x:c r="B3641" t="str">
        <x:v>Pear</x:v>
      </x:c>
      <x:c r="C3641" t="str">
        <x:v>J</x:v>
      </x:c>
      <x:c r="D3641" t="str">
        <x:v>SI2</x:v>
      </x:c>
      <x:c r="E3641" s="36" t="n">
        <x:v>226354</x:v>
      </x:c>
      <x:c r="F3641" s="36" t="n">
        <x:v>2079</x:v>
      </x:c>
      <x:c r="G3641" s="42" t="n">
        <x:v>0.44594594594594594</x:v>
      </x:c>
      <x:c r="H3641" s="36" t="n">
        <x:f>E3641*G3641</x:f>
        <x:v>100941.64864864865</x:v>
      </x:c>
      <x:c r="I3641" s="36" t="n">
        <x:f>IFERROR(H3641/A3641,0)</x:f>
        <x:v>16823.60810810811</x:v>
      </x:c>
      <x:c r="J3641" s="67" t="str">
        <x:v>Modeled from live base + Sep-2026 quality ratio</x:v>
      </x:c>
      <x:c r="K3641" s="67" t="str">
        <x:v>https://www.stonealgo.com/diamond-prices/</x:v>
      </x:c>
      <x:c r="L3641" s="67" t="str">
        <x:v>https://www.pricescope.com/blog/natural-diamond-prices-september-2026</x:v>
      </x:c>
    </x:row>
    <x:row r="3642">
      <x:c r="A3642" t="n">
        <x:v>6</x:v>
      </x:c>
      <x:c r="B3642" t="str">
        <x:v>Pear</x:v>
      </x:c>
      <x:c r="C3642" t="str">
        <x:v>K</x:v>
      </x:c>
      <x:c r="D3642" t="str">
        <x:v>FL</x:v>
      </x:c>
      <x:c r="E3642" s="36" t="n">
        <x:v>226354</x:v>
      </x:c>
      <x:c r="F3642" s="36" t="n">
        <x:v>2858</x:v>
      </x:c>
      <x:c r="G3642" s="42" t="n">
        <x:v>0.6130416130416131</x:v>
      </x:c>
      <x:c r="H3642" s="36" t="n">
        <x:f>E3642*G3642</x:f>
        <x:v>138764.4212784213</x:v>
      </x:c>
      <x:c r="I3642" s="36" t="n">
        <x:f>IFERROR(H3642/A3642,0)</x:f>
        <x:v>23127.40354640355</x:v>
      </x:c>
      <x:c r="J3642" s="67" t="str">
        <x:v>Modeled from live base + Sep-2026 quality ratio; K/FL quality cell modeled</x:v>
      </x:c>
      <x:c r="K3642" s="67" t="str">
        <x:v>https://www.stonealgo.com/diamond-prices/</x:v>
      </x:c>
      <x:c r="L3642" s="67" t="str">
        <x:v>https://www.pricescope.com/blog/natural-diamond-prices-september-2026</x:v>
      </x:c>
    </x:row>
    <x:row r="3643">
      <x:c r="A3643" t="n">
        <x:v>6</x:v>
      </x:c>
      <x:c r="B3643" t="str">
        <x:v>Pear</x:v>
      </x:c>
      <x:c r="C3643" t="str">
        <x:v>K</x:v>
      </x:c>
      <x:c r="D3643" t="str">
        <x:v>IF</x:v>
      </x:c>
      <x:c r="E3643" s="36" t="n">
        <x:v>226354</x:v>
      </x:c>
      <x:c r="F3643" s="36" t="n">
        <x:v>2743</x:v>
      </x:c>
      <x:c r="G3643" s="42" t="n">
        <x:v>0.5883740883740883</x:v>
      </x:c>
      <x:c r="H3643" s="36" t="n">
        <x:f>E3643*G3643</x:f>
        <x:v>133180.8283998284</x:v>
      </x:c>
      <x:c r="I3643" s="36" t="n">
        <x:f>IFERROR(H3643/A3643,0)</x:f>
        <x:v>22196.804733304733</x:v>
      </x:c>
      <x:c r="J3643" s="67" t="str">
        <x:v>Modeled from live base + Sep-2026 quality ratio</x:v>
      </x:c>
      <x:c r="K3643" s="67" t="str">
        <x:v>https://www.stonealgo.com/diamond-prices/</x:v>
      </x:c>
      <x:c r="L3643" s="67" t="str">
        <x:v>https://www.pricescope.com/blog/natural-diamond-prices-september-2026</x:v>
      </x:c>
    </x:row>
    <x:row r="3644">
      <x:c r="A3644" t="n">
        <x:v>6</x:v>
      </x:c>
      <x:c r="B3644" t="str">
        <x:v>Pear</x:v>
      </x:c>
      <x:c r="C3644" t="str">
        <x:v>K</x:v>
      </x:c>
      <x:c r="D3644" t="str">
        <x:v>VVS1</x:v>
      </x:c>
      <x:c r="E3644" s="36" t="n">
        <x:v>226354</x:v>
      </x:c>
      <x:c r="F3644" s="36" t="n">
        <x:v>2529</x:v>
      </x:c>
      <x:c r="G3644" s="42" t="n">
        <x:v>0.5424710424710425</x:v>
      </x:c>
      <x:c r="H3644" s="36" t="n">
        <x:f>E3644*G3644</x:f>
        <x:v>122790.49034749035</x:v>
      </x:c>
      <x:c r="I3644" s="36" t="n">
        <x:f>IFERROR(H3644/A3644,0)</x:f>
        <x:v>20465.081724581727</x:v>
      </x:c>
      <x:c r="J3644" s="67" t="str">
        <x:v>Modeled from live base + Sep-2026 quality ratio</x:v>
      </x:c>
      <x:c r="K3644" s="67" t="str">
        <x:v>https://www.stonealgo.com/diamond-prices/</x:v>
      </x:c>
      <x:c r="L3644" s="67" t="str">
        <x:v>https://www.pricescope.com/blog/natural-diamond-prices-september-2026</x:v>
      </x:c>
    </x:row>
    <x:row r="3645">
      <x:c r="A3645" t="n">
        <x:v>6</x:v>
      </x:c>
      <x:c r="B3645" t="str">
        <x:v>Pear</x:v>
      </x:c>
      <x:c r="C3645" t="str">
        <x:v>K</x:v>
      </x:c>
      <x:c r="D3645" t="str">
        <x:v>VVS2</x:v>
      </x:c>
      <x:c r="E3645" s="36" t="n">
        <x:v>226354</x:v>
      </x:c>
      <x:c r="F3645" s="36" t="n">
        <x:v>2374</x:v>
      </x:c>
      <x:c r="G3645" s="42" t="n">
        <x:v>0.5092235092235092</x:v>
      </x:c>
      <x:c r="H3645" s="36" t="n">
        <x:f>E3645*G3645</x:f>
        <x:v>115264.77820677821</x:v>
      </x:c>
      <x:c r="I3645" s="36" t="n">
        <x:f>IFERROR(H3645/A3645,0)</x:f>
        <x:v>19210.796367796367</x:v>
      </x:c>
      <x:c r="J3645" s="67" t="str">
        <x:v>Modeled from live base + Sep-2026 quality ratio</x:v>
      </x:c>
      <x:c r="K3645" s="67" t="str">
        <x:v>https://www.stonealgo.com/diamond-prices/</x:v>
      </x:c>
      <x:c r="L3645" s="67" t="str">
        <x:v>https://www.pricescope.com/blog/natural-diamond-prices-september-2026</x:v>
      </x:c>
    </x:row>
    <x:row r="3646">
      <x:c r="A3646" t="n">
        <x:v>6</x:v>
      </x:c>
      <x:c r="B3646" t="str">
        <x:v>Pear</x:v>
      </x:c>
      <x:c r="C3646" t="str">
        <x:v>K</x:v>
      </x:c>
      <x:c r="D3646" t="str">
        <x:v>VS1</x:v>
      </x:c>
      <x:c r="E3646" s="36" t="n">
        <x:v>226354</x:v>
      </x:c>
      <x:c r="F3646" s="36" t="n">
        <x:v>2223</x:v>
      </x:c>
      <x:c r="G3646" s="42" t="n">
        <x:v>0.4768339768339768</x:v>
      </x:c>
      <x:c r="H3646" s="36" t="n">
        <x:f>E3646*G3646</x:f>
        <x:v>107933.27799227799</x:v>
      </x:c>
      <x:c r="I3646" s="36" t="n">
        <x:f>IFERROR(H3646/A3646,0)</x:f>
        <x:v>17988.879665379663</x:v>
      </x:c>
      <x:c r="J3646" s="67" t="str">
        <x:v>Modeled from live base + Sep-2026 quality ratio</x:v>
      </x:c>
      <x:c r="K3646" s="67" t="str">
        <x:v>https://www.stonealgo.com/diamond-prices/</x:v>
      </x:c>
      <x:c r="L3646" s="67" t="str">
        <x:v>https://www.pricescope.com/blog/natural-diamond-prices-september-2026</x:v>
      </x:c>
    </x:row>
    <x:row r="3647">
      <x:c r="A3647" t="n">
        <x:v>6</x:v>
      </x:c>
      <x:c r="B3647" t="str">
        <x:v>Pear</x:v>
      </x:c>
      <x:c r="C3647" t="str">
        <x:v>K</x:v>
      </x:c>
      <x:c r="D3647" t="str">
        <x:v>VS2</x:v>
      </x:c>
      <x:c r="E3647" s="36" t="n">
        <x:v>226354</x:v>
      </x:c>
      <x:c r="F3647" s="36" t="n">
        <x:v>2098</x:v>
      </x:c>
      <x:c r="G3647" s="42" t="n">
        <x:v>0.45002145002145</x:v>
      </x:c>
      <x:c r="H3647" s="36" t="n">
        <x:f>E3647*G3647</x:f>
        <x:v>101864.1552981553</x:v>
      </x:c>
      <x:c r="I3647" s="36" t="n">
        <x:f>IFERROR(H3647/A3647,0)</x:f>
        <x:v>16977.359216359215</x:v>
      </x:c>
      <x:c r="J3647" s="67" t="str">
        <x:v>Modeled from live base + Sep-2026 quality ratio</x:v>
      </x:c>
      <x:c r="K3647" s="67" t="str">
        <x:v>https://www.stonealgo.com/diamond-prices/</x:v>
      </x:c>
      <x:c r="L3647" s="67" t="str">
        <x:v>https://www.pricescope.com/blog/natural-diamond-prices-september-2026</x:v>
      </x:c>
    </x:row>
    <x:row r="3648">
      <x:c r="A3648" t="n">
        <x:v>6</x:v>
      </x:c>
      <x:c r="B3648" t="str">
        <x:v>Pear</x:v>
      </x:c>
      <x:c r="C3648" t="str">
        <x:v>K</x:v>
      </x:c>
      <x:c r="D3648" t="str">
        <x:v>SI1</x:v>
      </x:c>
      <x:c r="E3648" s="36" t="n">
        <x:v>226354</x:v>
      </x:c>
      <x:c r="F3648" s="36" t="n">
        <x:v>1922</x:v>
      </x:c>
      <x:c r="G3648" s="42" t="n">
        <x:v>0.41226941226941227</x:v>
      </x:c>
      <x:c r="H3648" s="36" t="n">
        <x:f>E3648*G3648</x:f>
        <x:v>93318.83054483055</x:v>
      </x:c>
      <x:c r="I3648" s="36" t="n">
        <x:f>IFERROR(H3648/A3648,0)</x:f>
        <x:v>15553.138424138424</x:v>
      </x:c>
      <x:c r="J3648" s="67" t="str">
        <x:v>Modeled from live base + Sep-2026 quality ratio</x:v>
      </x:c>
      <x:c r="K3648" s="67" t="str">
        <x:v>https://www.stonealgo.com/diamond-prices/</x:v>
      </x:c>
      <x:c r="L3648" s="67" t="str">
        <x:v>https://www.pricescope.com/blog/natural-diamond-prices-september-2026</x:v>
      </x:c>
    </x:row>
    <x:row r="3649">
      <x:c r="A3649" t="n">
        <x:v>6</x:v>
      </x:c>
      <x:c r="B3649" t="str">
        <x:v>Pear</x:v>
      </x:c>
      <x:c r="C3649" t="str">
        <x:v>K</x:v>
      </x:c>
      <x:c r="D3649" t="str">
        <x:v>SI2</x:v>
      </x:c>
      <x:c r="E3649" s="36" t="n">
        <x:v>226354</x:v>
      </x:c>
      <x:c r="F3649" s="36" t="n">
        <x:v>1764</x:v>
      </x:c>
      <x:c r="G3649" s="42" t="n">
        <x:v>0.3783783783783784</x:v>
      </x:c>
      <x:c r="H3649" s="36" t="n">
        <x:f>E3649*G3649</x:f>
        <x:v>85647.45945945947</x:v>
      </x:c>
      <x:c r="I3649" s="36" t="n">
        <x:f>IFERROR(H3649/A3649,0)</x:f>
        <x:v>14274.576576576577</x:v>
      </x:c>
      <x:c r="J3649" s="67" t="str">
        <x:v>Modeled from live base + Sep-2026 quality ratio</x:v>
      </x:c>
      <x:c r="K3649" s="67" t="str">
        <x:v>https://www.stonealgo.com/diamond-prices/</x:v>
      </x:c>
      <x:c r="L3649" s="67" t="str">
        <x:v>https://www.pricescope.com/blog/natural-diamond-prices-september-2026</x:v>
      </x:c>
    </x:row>
    <x:row r="3650">
      <x:c r="A3650" t="n">
        <x:v>6</x:v>
      </x:c>
      <x:c r="B3650" t="str">
        <x:v>Heart</x:v>
      </x:c>
      <x:c r="C3650" t="str">
        <x:v>D</x:v>
      </x:c>
      <x:c r="D3650" t="str">
        <x:v>FL</x:v>
      </x:c>
      <x:c r="E3650" s="36" t="n">
        <x:v>197000</x:v>
      </x:c>
      <x:c r="F3650" s="36" t="n">
        <x:v>12665</x:v>
      </x:c>
      <x:c r="G3650" s="42" t="n">
        <x:v>2.7166452166452166</x:v>
      </x:c>
      <x:c r="H3650" s="36" t="n">
        <x:f>E3650*G3650</x:f>
        <x:v>535179.1076791077</x:v>
      </x:c>
      <x:c r="I3650" s="36" t="n">
        <x:f>IFERROR(H3650/A3650,0)</x:f>
        <x:v>89196.51794651795</x:v>
      </x:c>
      <x:c r="J3650" s="67" t="str">
        <x:v>Modeled from live base + Sep-2026 quality ratio</x:v>
      </x:c>
      <x:c r="K3650" s="67" t="str">
        <x:v>https://www.stonealgo.com/diamond-prices/</x:v>
      </x:c>
      <x:c r="L3650" s="67" t="str">
        <x:v>https://www.pricescope.com/blog/natural-diamond-prices-september-2026</x:v>
      </x:c>
    </x:row>
    <x:row r="3651">
      <x:c r="A3651" t="n">
        <x:v>6</x:v>
      </x:c>
      <x:c r="B3651" t="str">
        <x:v>Heart</x:v>
      </x:c>
      <x:c r="C3651" t="str">
        <x:v>D</x:v>
      </x:c>
      <x:c r="D3651" t="str">
        <x:v>IF</x:v>
      </x:c>
      <x:c r="E3651" s="36" t="n">
        <x:v>197000</x:v>
      </x:c>
      <x:c r="F3651" s="36" t="n">
        <x:v>13240</x:v>
      </x:c>
      <x:c r="G3651" s="42" t="n">
        <x:v>2.83998283998284</x:v>
      </x:c>
      <x:c r="H3651" s="36" t="n">
        <x:f>E3651*G3651</x:f>
        <x:v>559476.6194766195</x:v>
      </x:c>
      <x:c r="I3651" s="36" t="n">
        <x:f>IFERROR(H3651/A3651,0)</x:f>
        <x:v>93246.10324610326</x:v>
      </x:c>
      <x:c r="J3651" s="67" t="str">
        <x:v>Modeled from live base + Sep-2026 quality ratio</x:v>
      </x:c>
      <x:c r="K3651" s="67" t="str">
        <x:v>https://www.stonealgo.com/diamond-prices/</x:v>
      </x:c>
      <x:c r="L3651" s="67" t="str">
        <x:v>https://www.pricescope.com/blog/natural-diamond-prices-september-2026</x:v>
      </x:c>
    </x:row>
    <x:row r="3652">
      <x:c r="A3652" t="n">
        <x:v>6</x:v>
      </x:c>
      <x:c r="B3652" t="str">
        <x:v>Heart</x:v>
      </x:c>
      <x:c r="C3652" t="str">
        <x:v>D</x:v>
      </x:c>
      <x:c r="D3652" t="str">
        <x:v>VVS1</x:v>
      </x:c>
      <x:c r="E3652" s="36" t="n">
        <x:v>197000</x:v>
      </x:c>
      <x:c r="F3652" s="36" t="n">
        <x:v>9555</x:v>
      </x:c>
      <x:c r="G3652" s="42" t="n">
        <x:v>2.0495495495495497</x:v>
      </x:c>
      <x:c r="H3652" s="36" t="n">
        <x:f>E3652*G3652</x:f>
        <x:v>403761.2612612613</x:v>
      </x:c>
      <x:c r="I3652" s="36" t="n">
        <x:f>IFERROR(H3652/A3652,0)</x:f>
        <x:v>67293.54354354355</x:v>
      </x:c>
      <x:c r="J3652" s="67" t="str">
        <x:v>Modeled from live base + Sep-2026 quality ratio</x:v>
      </x:c>
      <x:c r="K3652" s="67" t="str">
        <x:v>https://www.stonealgo.com/diamond-prices/</x:v>
      </x:c>
      <x:c r="L3652" s="67" t="str">
        <x:v>https://www.pricescope.com/blog/natural-diamond-prices-september-2026</x:v>
      </x:c>
    </x:row>
    <x:row r="3653">
      <x:c r="A3653" t="n">
        <x:v>6</x:v>
      </x:c>
      <x:c r="B3653" t="str">
        <x:v>Heart</x:v>
      </x:c>
      <x:c r="C3653" t="str">
        <x:v>D</x:v>
      </x:c>
      <x:c r="D3653" t="str">
        <x:v>VVS2</x:v>
      </x:c>
      <x:c r="E3653" s="36" t="n">
        <x:v>197000</x:v>
      </x:c>
      <x:c r="F3653" s="36" t="n">
        <x:v>6660</x:v>
      </x:c>
      <x:c r="G3653" s="42" t="n">
        <x:v>1.4285714285714286</x:v>
      </x:c>
      <x:c r="H3653" s="36" t="n">
        <x:f>E3653*G3653</x:f>
        <x:v>281428.5714285714</x:v>
      </x:c>
      <x:c r="I3653" s="36" t="n">
        <x:f>IFERROR(H3653/A3653,0)</x:f>
        <x:v>46904.7619047619</x:v>
      </x:c>
      <x:c r="J3653" s="67" t="str">
        <x:v>Modeled from live base + Sep-2026 quality ratio</x:v>
      </x:c>
      <x:c r="K3653" s="67" t="str">
        <x:v>https://www.stonealgo.com/diamond-prices/</x:v>
      </x:c>
      <x:c r="L3653" s="67" t="str">
        <x:v>https://www.pricescope.com/blog/natural-diamond-prices-september-2026</x:v>
      </x:c>
    </x:row>
    <x:row r="3654">
      <x:c r="A3654" t="n">
        <x:v>6</x:v>
      </x:c>
      <x:c r="B3654" t="str">
        <x:v>Heart</x:v>
      </x:c>
      <x:c r="C3654" t="str">
        <x:v>D</x:v>
      </x:c>
      <x:c r="D3654" t="str">
        <x:v>VS1</x:v>
      </x:c>
      <x:c r="E3654" s="36" t="n">
        <x:v>197000</x:v>
      </x:c>
      <x:c r="F3654" s="36" t="n">
        <x:v>6247</x:v>
      </x:c>
      <x:c r="G3654" s="42" t="n">
        <x:v>1.33998283998284</x:v>
      </x:c>
      <x:c r="H3654" s="36" t="n">
        <x:f>E3654*G3654</x:f>
        <x:v>263976.61947661947</x:v>
      </x:c>
      <x:c r="I3654" s="36" t="n">
        <x:f>IFERROR(H3654/A3654,0)</x:f>
        <x:v>43996.103246103245</x:v>
      </x:c>
      <x:c r="J3654" s="67" t="str">
        <x:v>Modeled from live base + Sep-2026 quality ratio</x:v>
      </x:c>
      <x:c r="K3654" s="67" t="str">
        <x:v>https://www.stonealgo.com/diamond-prices/</x:v>
      </x:c>
      <x:c r="L3654" s="67" t="str">
        <x:v>https://www.pricescope.com/blog/natural-diamond-prices-september-2026</x:v>
      </x:c>
    </x:row>
    <x:row r="3655">
      <x:c r="A3655" t="n">
        <x:v>6</x:v>
      </x:c>
      <x:c r="B3655" t="str">
        <x:v>Heart</x:v>
      </x:c>
      <x:c r="C3655" t="str">
        <x:v>D</x:v>
      </x:c>
      <x:c r="D3655" t="str">
        <x:v>VS2</x:v>
      </x:c>
      <x:c r="E3655" s="36" t="n">
        <x:v>197000</x:v>
      </x:c>
      <x:c r="F3655" s="36" t="n">
        <x:v>5841</x:v>
      </x:c>
      <x:c r="G3655" s="42" t="n">
        <x:v>1.252895752895753</x:v>
      </x:c>
      <x:c r="H3655" s="36" t="n">
        <x:f>E3655*G3655</x:f>
        <x:v>246820.46332046334</x:v>
      </x:c>
      <x:c r="I3655" s="36" t="n">
        <x:f>IFERROR(H3655/A3655,0)</x:f>
        <x:v>41136.74388674389</x:v>
      </x:c>
      <x:c r="J3655" s="67" t="str">
        <x:v>Modeled from live base + Sep-2026 quality ratio</x:v>
      </x:c>
      <x:c r="K3655" s="67" t="str">
        <x:v>https://www.stonealgo.com/diamond-prices/</x:v>
      </x:c>
      <x:c r="L3655" s="67" t="str">
        <x:v>https://www.pricescope.com/blog/natural-diamond-prices-september-2026</x:v>
      </x:c>
    </x:row>
    <x:row r="3656">
      <x:c r="A3656" t="n">
        <x:v>6</x:v>
      </x:c>
      <x:c r="B3656" t="str">
        <x:v>Heart</x:v>
      </x:c>
      <x:c r="C3656" t="str">
        <x:v>D</x:v>
      </x:c>
      <x:c r="D3656" t="str">
        <x:v>SI1</x:v>
      </x:c>
      <x:c r="E3656" s="36" t="n">
        <x:v>197000</x:v>
      </x:c>
      <x:c r="F3656" s="36" t="n">
        <x:v>3762</x:v>
      </x:c>
      <x:c r="G3656" s="42" t="n">
        <x:v>0.806949806949807</x:v>
      </x:c>
      <x:c r="H3656" s="36" t="n">
        <x:f>E3656*G3656</x:f>
        <x:v>158969.11196911198</x:v>
      </x:c>
      <x:c r="I3656" s="36" t="n">
        <x:f>IFERROR(H3656/A3656,0)</x:f>
        <x:v>26494.851994851997</x:v>
      </x:c>
      <x:c r="J3656" s="67" t="str">
        <x:v>Modeled from live base + Sep-2026 quality ratio</x:v>
      </x:c>
      <x:c r="K3656" s="67" t="str">
        <x:v>https://www.stonealgo.com/diamond-prices/</x:v>
      </x:c>
      <x:c r="L3656" s="67" t="str">
        <x:v>https://www.pricescope.com/blog/natural-diamond-prices-september-2026</x:v>
      </x:c>
    </x:row>
    <x:row r="3657">
      <x:c r="A3657" t="n">
        <x:v>6</x:v>
      </x:c>
      <x:c r="B3657" t="str">
        <x:v>Heart</x:v>
      </x:c>
      <x:c r="C3657" t="str">
        <x:v>D</x:v>
      </x:c>
      <x:c r="D3657" t="str">
        <x:v>SI2</x:v>
      </x:c>
      <x:c r="E3657" s="36" t="n">
        <x:v>197000</x:v>
      </x:c>
      <x:c r="F3657" s="36" t="n">
        <x:v>3026</x:v>
      </x:c>
      <x:c r="G3657" s="42" t="n">
        <x:v>0.6490776490776491</x:v>
      </x:c>
      <x:c r="H3657" s="36" t="n">
        <x:f>E3657*G3657</x:f>
        <x:v>127868.29686829686</x:v>
      </x:c>
      <x:c r="I3657" s="36" t="n">
        <x:f>IFERROR(H3657/A3657,0)</x:f>
        <x:v>21311.38281138281</x:v>
      </x:c>
      <x:c r="J3657" s="67" t="str">
        <x:v>Modeled from live base + Sep-2026 quality ratio</x:v>
      </x:c>
      <x:c r="K3657" s="67" t="str">
        <x:v>https://www.stonealgo.com/diamond-prices/</x:v>
      </x:c>
      <x:c r="L3657" s="67" t="str">
        <x:v>https://www.pricescope.com/blog/natural-diamond-prices-september-2026</x:v>
      </x:c>
    </x:row>
    <x:row r="3658">
      <x:c r="A3658" t="n">
        <x:v>6</x:v>
      </x:c>
      <x:c r="B3658" t="str">
        <x:v>Heart</x:v>
      </x:c>
      <x:c r="C3658" t="str">
        <x:v>E</x:v>
      </x:c>
      <x:c r="D3658" t="str">
        <x:v>FL</x:v>
      </x:c>
      <x:c r="E3658" s="36" t="n">
        <x:v>197000</x:v>
      </x:c>
      <x:c r="F3658" s="36" t="n">
        <x:v>10072</x:v>
      </x:c>
      <x:c r="G3658" s="42" t="n">
        <x:v>2.1604461604461602</x:v>
      </x:c>
      <x:c r="H3658" s="36" t="n">
        <x:f>E3658*G3658</x:f>
        <x:v>425607.89360789355</x:v>
      </x:c>
      <x:c r="I3658" s="36" t="n">
        <x:f>IFERROR(H3658/A3658,0)</x:f>
        <x:v>70934.64893464893</x:v>
      </x:c>
      <x:c r="J3658" s="67" t="str">
        <x:v>Modeled from live base + Sep-2026 quality ratio</x:v>
      </x:c>
      <x:c r="K3658" s="67" t="str">
        <x:v>https://www.stonealgo.com/diamond-prices/</x:v>
      </x:c>
      <x:c r="L3658" s="67" t="str">
        <x:v>https://www.pricescope.com/blog/natural-diamond-prices-september-2026</x:v>
      </x:c>
    </x:row>
    <x:row r="3659">
      <x:c r="A3659" t="n">
        <x:v>6</x:v>
      </x:c>
      <x:c r="B3659" t="str">
        <x:v>Heart</x:v>
      </x:c>
      <x:c r="C3659" t="str">
        <x:v>E</x:v>
      </x:c>
      <x:c r="D3659" t="str">
        <x:v>IF</x:v>
      </x:c>
      <x:c r="E3659" s="36" t="n">
        <x:v>197000</x:v>
      </x:c>
      <x:c r="F3659" s="36" t="n">
        <x:v>8672</x:v>
      </x:c>
      <x:c r="G3659" s="42" t="n">
        <x:v>1.8601458601458603</x:v>
      </x:c>
      <x:c r="H3659" s="36" t="n">
        <x:f>E3659*G3659</x:f>
        <x:v>366448.7344487345</x:v>
      </x:c>
      <x:c r="I3659" s="36" t="n">
        <x:f>IFERROR(H3659/A3659,0)</x:f>
        <x:v>61074.789074789085</x:v>
      </x:c>
      <x:c r="J3659" s="67" t="str">
        <x:v>Modeled from live base + Sep-2026 quality ratio</x:v>
      </x:c>
      <x:c r="K3659" s="67" t="str">
        <x:v>https://www.stonealgo.com/diamond-prices/</x:v>
      </x:c>
      <x:c r="L3659" s="67" t="str">
        <x:v>https://www.pricescope.com/blog/natural-diamond-prices-september-2026</x:v>
      </x:c>
    </x:row>
    <x:row r="3660">
      <x:c r="A3660" t="n">
        <x:v>6</x:v>
      </x:c>
      <x:c r="B3660" t="str">
        <x:v>Heart</x:v>
      </x:c>
      <x:c r="C3660" t="str">
        <x:v>E</x:v>
      </x:c>
      <x:c r="D3660" t="str">
        <x:v>VVS1</x:v>
      </x:c>
      <x:c r="E3660" s="36" t="n">
        <x:v>197000</x:v>
      </x:c>
      <x:c r="F3660" s="36" t="n">
        <x:v>7842</x:v>
      </x:c>
      <x:c r="G3660" s="42" t="n">
        <x:v>1.6821106821106822</x:v>
      </x:c>
      <x:c r="H3660" s="36" t="n">
        <x:f>E3660*G3660</x:f>
        <x:v>331375.8043758044</x:v>
      </x:c>
      <x:c r="I3660" s="36" t="n">
        <x:f>IFERROR(H3660/A3660,0)</x:f>
        <x:v>55229.30072930073</x:v>
      </x:c>
      <x:c r="J3660" s="67" t="str">
        <x:v>Modeled from live base + Sep-2026 quality ratio</x:v>
      </x:c>
      <x:c r="K3660" s="67" t="str">
        <x:v>https://www.stonealgo.com/diamond-prices/</x:v>
      </x:c>
      <x:c r="L3660" s="67" t="str">
        <x:v>https://www.pricescope.com/blog/natural-diamond-prices-september-2026</x:v>
      </x:c>
    </x:row>
    <x:row r="3661">
      <x:c r="A3661" t="n">
        <x:v>6</x:v>
      </x:c>
      <x:c r="B3661" t="str">
        <x:v>Heart</x:v>
      </x:c>
      <x:c r="C3661" t="str">
        <x:v>E</x:v>
      </x:c>
      <x:c r="D3661" t="str">
        <x:v>VVS2</x:v>
      </x:c>
      <x:c r="E3661" s="36" t="n">
        <x:v>197000</x:v>
      </x:c>
      <x:c r="F3661" s="36" t="n">
        <x:v>6880</x:v>
      </x:c>
      <x:c r="G3661" s="42" t="n">
        <x:v>1.4757614757614759</x:v>
      </x:c>
      <x:c r="H3661" s="36" t="n">
        <x:f>E3661*G3661</x:f>
        <x:v>290725.01072501077</x:v>
      </x:c>
      <x:c r="I3661" s="36" t="n">
        <x:f>IFERROR(H3661/A3661,0)</x:f>
        <x:v>48454.16845416846</x:v>
      </x:c>
      <x:c r="J3661" s="67" t="str">
        <x:v>Modeled from live base + Sep-2026 quality ratio</x:v>
      </x:c>
      <x:c r="K3661" s="67" t="str">
        <x:v>https://www.stonealgo.com/diamond-prices/</x:v>
      </x:c>
      <x:c r="L3661" s="67" t="str">
        <x:v>https://www.pricescope.com/blog/natural-diamond-prices-september-2026</x:v>
      </x:c>
    </x:row>
    <x:row r="3662">
      <x:c r="A3662" t="n">
        <x:v>6</x:v>
      </x:c>
      <x:c r="B3662" t="str">
        <x:v>Heart</x:v>
      </x:c>
      <x:c r="C3662" t="str">
        <x:v>E</x:v>
      </x:c>
      <x:c r="D3662" t="str">
        <x:v>VS1</x:v>
      </x:c>
      <x:c r="E3662" s="36" t="n">
        <x:v>197000</x:v>
      </x:c>
      <x:c r="F3662" s="36" t="n">
        <x:v>6307</x:v>
      </x:c>
      <x:c r="G3662" s="42" t="n">
        <x:v>1.352852852852853</x:v>
      </x:c>
      <x:c r="H3662" s="36" t="n">
        <x:f>E3662*G3662</x:f>
        <x:v>266512.012012012</x:v>
      </x:c>
      <x:c r="I3662" s="36" t="n">
        <x:f>IFERROR(H3662/A3662,0)</x:f>
        <x:v>44418.668668668666</x:v>
      </x:c>
      <x:c r="J3662" s="67" t="str">
        <x:v>Modeled from live base + Sep-2026 quality ratio</x:v>
      </x:c>
      <x:c r="K3662" s="67" t="str">
        <x:v>https://www.stonealgo.com/diamond-prices/</x:v>
      </x:c>
      <x:c r="L3662" s="67" t="str">
        <x:v>https://www.pricescope.com/blog/natural-diamond-prices-september-2026</x:v>
      </x:c>
    </x:row>
    <x:row r="3663">
      <x:c r="A3663" t="n">
        <x:v>6</x:v>
      </x:c>
      <x:c r="B3663" t="str">
        <x:v>Heart</x:v>
      </x:c>
      <x:c r="C3663" t="str">
        <x:v>E</x:v>
      </x:c>
      <x:c r="D3663" t="str">
        <x:v>VS2</x:v>
      </x:c>
      <x:c r="E3663" s="36" t="n">
        <x:v>197000</x:v>
      </x:c>
      <x:c r="F3663" s="36" t="n">
        <x:v>5249</x:v>
      </x:c>
      <x:c r="G3663" s="42" t="n">
        <x:v>1.125911625911626</x:v>
      </x:c>
      <x:c r="H3663" s="36" t="n">
        <x:f>E3663*G3663</x:f>
        <x:v>221804.59030459033</x:v>
      </x:c>
      <x:c r="I3663" s="36" t="n">
        <x:f>IFERROR(H3663/A3663,0)</x:f>
        <x:v>36967.43171743172</x:v>
      </x:c>
      <x:c r="J3663" s="67" t="str">
        <x:v>Modeled from live base + Sep-2026 quality ratio</x:v>
      </x:c>
      <x:c r="K3663" s="67" t="str">
        <x:v>https://www.stonealgo.com/diamond-prices/</x:v>
      </x:c>
      <x:c r="L3663" s="67" t="str">
        <x:v>https://www.pricescope.com/blog/natural-diamond-prices-september-2026</x:v>
      </x:c>
    </x:row>
    <x:row r="3664">
      <x:c r="A3664" t="n">
        <x:v>6</x:v>
      </x:c>
      <x:c r="B3664" t="str">
        <x:v>Heart</x:v>
      </x:c>
      <x:c r="C3664" t="str">
        <x:v>E</x:v>
      </x:c>
      <x:c r="D3664" t="str">
        <x:v>SI1</x:v>
      </x:c>
      <x:c r="E3664" s="36" t="n">
        <x:v>197000</x:v>
      </x:c>
      <x:c r="F3664" s="36" t="n">
        <x:v>3551</x:v>
      </x:c>
      <x:c r="G3664" s="42" t="n">
        <x:v>0.7616902616902617</x:v>
      </x:c>
      <x:c r="H3664" s="36" t="n">
        <x:f>E3664*G3664</x:f>
        <x:v>150052.98155298154</x:v>
      </x:c>
      <x:c r="I3664" s="36" t="n">
        <x:f>IFERROR(H3664/A3664,0)</x:f>
        <x:v>25008.830258830258</x:v>
      </x:c>
      <x:c r="J3664" s="67" t="str">
        <x:v>Modeled from live base + Sep-2026 quality ratio</x:v>
      </x:c>
      <x:c r="K3664" s="67" t="str">
        <x:v>https://www.stonealgo.com/diamond-prices/</x:v>
      </x:c>
      <x:c r="L3664" s="67" t="str">
        <x:v>https://www.pricescope.com/blog/natural-diamond-prices-september-2026</x:v>
      </x:c>
    </x:row>
    <x:row r="3665">
      <x:c r="A3665" t="n">
        <x:v>6</x:v>
      </x:c>
      <x:c r="B3665" t="str">
        <x:v>Heart</x:v>
      </x:c>
      <x:c r="C3665" t="str">
        <x:v>E</x:v>
      </x:c>
      <x:c r="D3665" t="str">
        <x:v>SI2</x:v>
      </x:c>
      <x:c r="E3665" s="36" t="n">
        <x:v>197000</x:v>
      </x:c>
      <x:c r="F3665" s="36" t="n">
        <x:v>2993</x:v>
      </x:c>
      <x:c r="G3665" s="42" t="n">
        <x:v>0.641999141999142</x:v>
      </x:c>
      <x:c r="H3665" s="36" t="n">
        <x:f>E3665*G3665</x:f>
        <x:v>126473.83097383098</x:v>
      </x:c>
      <x:c r="I3665" s="36" t="n">
        <x:f>IFERROR(H3665/A3665,0)</x:f>
        <x:v>21078.97182897183</x:v>
      </x:c>
      <x:c r="J3665" s="67" t="str">
        <x:v>Modeled from live base + Sep-2026 quality ratio</x:v>
      </x:c>
      <x:c r="K3665" s="67" t="str">
        <x:v>https://www.stonealgo.com/diamond-prices/</x:v>
      </x:c>
      <x:c r="L3665" s="67" t="str">
        <x:v>https://www.pricescope.com/blog/natural-diamond-prices-september-2026</x:v>
      </x:c>
    </x:row>
    <x:row r="3666">
      <x:c r="A3666" t="n">
        <x:v>6</x:v>
      </x:c>
      <x:c r="B3666" t="str">
        <x:v>Heart</x:v>
      </x:c>
      <x:c r="C3666" t="str">
        <x:v>F</x:v>
      </x:c>
      <x:c r="D3666" t="str">
        <x:v>FL</x:v>
      </x:c>
      <x:c r="E3666" s="36" t="n">
        <x:v>197000</x:v>
      </x:c>
      <x:c r="F3666" s="36" t="n">
        <x:v>6830</x:v>
      </x:c>
      <x:c r="G3666" s="42" t="n">
        <x:v>1.4650364650364651</x:v>
      </x:c>
      <x:c r="H3666" s="36" t="n">
        <x:f>E3666*G3666</x:f>
        <x:v>288612.1836121836</x:v>
      </x:c>
      <x:c r="I3666" s="36" t="n">
        <x:f>IFERROR(H3666/A3666,0)</x:f>
        <x:v>48102.0306020306</x:v>
      </x:c>
      <x:c r="J3666" s="67" t="str">
        <x:v>Modeled from live base + Sep-2026 quality ratio</x:v>
      </x:c>
      <x:c r="K3666" s="67" t="str">
        <x:v>https://www.stonealgo.com/diamond-prices/</x:v>
      </x:c>
      <x:c r="L3666" s="67" t="str">
        <x:v>https://www.pricescope.com/blog/natural-diamond-prices-september-2026</x:v>
      </x:c>
    </x:row>
    <x:row r="3667">
      <x:c r="A3667" t="n">
        <x:v>6</x:v>
      </x:c>
      <x:c r="B3667" t="str">
        <x:v>Heart</x:v>
      </x:c>
      <x:c r="C3667" t="str">
        <x:v>F</x:v>
      </x:c>
      <x:c r="D3667" t="str">
        <x:v>IF</x:v>
      </x:c>
      <x:c r="E3667" s="36" t="n">
        <x:v>197000</x:v>
      </x:c>
      <x:c r="F3667" s="36" t="n">
        <x:v>7302</x:v>
      </x:c>
      <x:c r="G3667" s="42" t="n">
        <x:v>1.5662805662805663</x:v>
      </x:c>
      <x:c r="H3667" s="36" t="n">
        <x:f>E3667*G3667</x:f>
        <x:v>308557.27155727154</x:v>
      </x:c>
      <x:c r="I3667" s="36" t="n">
        <x:f>IFERROR(H3667/A3667,0)</x:f>
        <x:v>51426.21192621192</x:v>
      </x:c>
      <x:c r="J3667" s="67" t="str">
        <x:v>Modeled from live base + Sep-2026 quality ratio</x:v>
      </x:c>
      <x:c r="K3667" s="67" t="str">
        <x:v>https://www.stonealgo.com/diamond-prices/</x:v>
      </x:c>
      <x:c r="L3667" s="67" t="str">
        <x:v>https://www.pricescope.com/blog/natural-diamond-prices-september-2026</x:v>
      </x:c>
    </x:row>
    <x:row r="3668">
      <x:c r="A3668" t="n">
        <x:v>6</x:v>
      </x:c>
      <x:c r="B3668" t="str">
        <x:v>Heart</x:v>
      </x:c>
      <x:c r="C3668" t="str">
        <x:v>F</x:v>
      </x:c>
      <x:c r="D3668" t="str">
        <x:v>VVS1</x:v>
      </x:c>
      <x:c r="E3668" s="36" t="n">
        <x:v>197000</x:v>
      </x:c>
      <x:c r="F3668" s="36" t="n">
        <x:v>7542</x:v>
      </x:c>
      <x:c r="G3668" s="42" t="n">
        <x:v>1.6177606177606179</x:v>
      </x:c>
      <x:c r="H3668" s="36" t="n">
        <x:f>E3668*G3668</x:f>
        <x:v>318698.8416988417</x:v>
      </x:c>
      <x:c r="I3668" s="36" t="n">
        <x:f>IFERROR(H3668/A3668,0)</x:f>
        <x:v>53116.47361647362</x:v>
      </x:c>
      <x:c r="J3668" s="67" t="str">
        <x:v>Modeled from live base + Sep-2026 quality ratio</x:v>
      </x:c>
      <x:c r="K3668" s="67" t="str">
        <x:v>https://www.stonealgo.com/diamond-prices/</x:v>
      </x:c>
      <x:c r="L3668" s="67" t="str">
        <x:v>https://www.pricescope.com/blog/natural-diamond-prices-september-2026</x:v>
      </x:c>
    </x:row>
    <x:row r="3669">
      <x:c r="A3669" t="n">
        <x:v>6</x:v>
      </x:c>
      <x:c r="B3669" t="str">
        <x:v>Heart</x:v>
      </x:c>
      <x:c r="C3669" t="str">
        <x:v>F</x:v>
      </x:c>
      <x:c r="D3669" t="str">
        <x:v>VVS2</x:v>
      </x:c>
      <x:c r="E3669" s="36" t="n">
        <x:v>197000</x:v>
      </x:c>
      <x:c r="F3669" s="36" t="n">
        <x:v>6352</x:v>
      </x:c>
      <x:c r="G3669" s="42" t="n">
        <x:v>1.3625053625053625</x:v>
      </x:c>
      <x:c r="H3669" s="36" t="n">
        <x:f>E3669*G3669</x:f>
        <x:v>268413.5564135564</x:v>
      </x:c>
      <x:c r="I3669" s="36" t="n">
        <x:f>IFERROR(H3669/A3669,0)</x:f>
        <x:v>44735.592735592734</x:v>
      </x:c>
      <x:c r="J3669" s="67" t="str">
        <x:v>Modeled from live base + Sep-2026 quality ratio</x:v>
      </x:c>
      <x:c r="K3669" s="67" t="str">
        <x:v>https://www.stonealgo.com/diamond-prices/</x:v>
      </x:c>
      <x:c r="L3669" s="67" t="str">
        <x:v>https://www.pricescope.com/blog/natural-diamond-prices-september-2026</x:v>
      </x:c>
    </x:row>
    <x:row r="3670">
      <x:c r="A3670" t="n">
        <x:v>6</x:v>
      </x:c>
      <x:c r="B3670" t="str">
        <x:v>Heart</x:v>
      </x:c>
      <x:c r="C3670" t="str">
        <x:v>F</x:v>
      </x:c>
      <x:c r="D3670" t="str">
        <x:v>VS1</x:v>
      </x:c>
      <x:c r="E3670" s="36" t="n">
        <x:v>197000</x:v>
      </x:c>
      <x:c r="F3670" s="36" t="n">
        <x:v>5647</x:v>
      </x:c>
      <x:c r="G3670" s="42" t="n">
        <x:v>1.2112827112827114</x:v>
      </x:c>
      <x:c r="H3670" s="36" t="n">
        <x:f>E3670*G3670</x:f>
        <x:v>238622.69412269414</x:v>
      </x:c>
      <x:c r="I3670" s="36" t="n">
        <x:f>IFERROR(H3670/A3670,0)</x:f>
        <x:v>39770.44902044902</x:v>
      </x:c>
      <x:c r="J3670" s="67" t="str">
        <x:v>Modeled from live base + Sep-2026 quality ratio</x:v>
      </x:c>
      <x:c r="K3670" s="67" t="str">
        <x:v>https://www.stonealgo.com/diamond-prices/</x:v>
      </x:c>
      <x:c r="L3670" s="67" t="str">
        <x:v>https://www.pricescope.com/blog/natural-diamond-prices-september-2026</x:v>
      </x:c>
    </x:row>
    <x:row r="3671">
      <x:c r="A3671" t="n">
        <x:v>6</x:v>
      </x:c>
      <x:c r="B3671" t="str">
        <x:v>Heart</x:v>
      </x:c>
      <x:c r="C3671" t="str">
        <x:v>F</x:v>
      </x:c>
      <x:c r="D3671" t="str">
        <x:v>VS2</x:v>
      </x:c>
      <x:c r="E3671" s="36" t="n">
        <x:v>197000</x:v>
      </x:c>
      <x:c r="F3671" s="36" t="n">
        <x:v>4730</x:v>
      </x:c>
      <x:c r="G3671" s="42" t="n">
        <x:v>1.0145860145860146</x:v>
      </x:c>
      <x:c r="H3671" s="36" t="n">
        <x:f>E3671*G3671</x:f>
        <x:v>199873.44487344488</x:v>
      </x:c>
      <x:c r="I3671" s="36" t="n">
        <x:f>IFERROR(H3671/A3671,0)</x:f>
        <x:v>33312.240812240816</x:v>
      </x:c>
      <x:c r="J3671" s="67" t="str">
        <x:v>Modeled from live base + Sep-2026 quality ratio</x:v>
      </x:c>
      <x:c r="K3671" s="67" t="str">
        <x:v>https://www.stonealgo.com/diamond-prices/</x:v>
      </x:c>
      <x:c r="L3671" s="67" t="str">
        <x:v>https://www.pricescope.com/blog/natural-diamond-prices-september-2026</x:v>
      </x:c>
    </x:row>
    <x:row r="3672">
      <x:c r="A3672" t="n">
        <x:v>6</x:v>
      </x:c>
      <x:c r="B3672" t="str">
        <x:v>Heart</x:v>
      </x:c>
      <x:c r="C3672" t="str">
        <x:v>F</x:v>
      </x:c>
      <x:c r="D3672" t="str">
        <x:v>SI1</x:v>
      </x:c>
      <x:c r="E3672" s="36" t="n">
        <x:v>197000</x:v>
      </x:c>
      <x:c r="F3672" s="36" t="n">
        <x:v>3331</x:v>
      </x:c>
      <x:c r="G3672" s="42" t="n">
        <x:v>0.7145002145002145</x:v>
      </x:c>
      <x:c r="H3672" s="36" t="n">
        <x:f>E3672*G3672</x:f>
        <x:v>140756.54225654225</x:v>
      </x:c>
      <x:c r="I3672" s="36" t="n">
        <x:f>IFERROR(H3672/A3672,0)</x:f>
        <x:v>23459.423709423707</x:v>
      </x:c>
      <x:c r="J3672" s="67" t="str">
        <x:v>Modeled from live base + Sep-2026 quality ratio</x:v>
      </x:c>
      <x:c r="K3672" s="67" t="str">
        <x:v>https://www.stonealgo.com/diamond-prices/</x:v>
      </x:c>
      <x:c r="L3672" s="67" t="str">
        <x:v>https://www.pricescope.com/blog/natural-diamond-prices-september-2026</x:v>
      </x:c>
    </x:row>
    <x:row r="3673">
      <x:c r="A3673" t="n">
        <x:v>6</x:v>
      </x:c>
      <x:c r="B3673" t="str">
        <x:v>Heart</x:v>
      </x:c>
      <x:c r="C3673" t="str">
        <x:v>F</x:v>
      </x:c>
      <x:c r="D3673" t="str">
        <x:v>SI2</x:v>
      </x:c>
      <x:c r="E3673" s="36" t="n">
        <x:v>197000</x:v>
      </x:c>
      <x:c r="F3673" s="36" t="n">
        <x:v>2733</x:v>
      </x:c>
      <x:c r="G3673" s="42" t="n">
        <x:v>0.5862290862290862</x:v>
      </x:c>
      <x:c r="H3673" s="36" t="n">
        <x:f>E3673*G3673</x:f>
        <x:v>115487.12998712999</x:v>
      </x:c>
      <x:c r="I3673" s="36" t="n">
        <x:f>IFERROR(H3673/A3673,0)</x:f>
        <x:v>19247.854997854996</x:v>
      </x:c>
      <x:c r="J3673" s="67" t="str">
        <x:v>Modeled from live base + Sep-2026 quality ratio</x:v>
      </x:c>
      <x:c r="K3673" s="67" t="str">
        <x:v>https://www.stonealgo.com/diamond-prices/</x:v>
      </x:c>
      <x:c r="L3673" s="67" t="str">
        <x:v>https://www.pricescope.com/blog/natural-diamond-prices-september-2026</x:v>
      </x:c>
    </x:row>
    <x:row r="3674">
      <x:c r="A3674" t="n">
        <x:v>6</x:v>
      </x:c>
      <x:c r="B3674" t="str">
        <x:v>Heart</x:v>
      </x:c>
      <x:c r="C3674" t="str">
        <x:v>G</x:v>
      </x:c>
      <x:c r="D3674" t="str">
        <x:v>FL</x:v>
      </x:c>
      <x:c r="E3674" s="36" t="n">
        <x:v>197000</x:v>
      </x:c>
      <x:c r="F3674" s="36" t="n">
        <x:v>5905</x:v>
      </x:c>
      <x:c r="G3674" s="42" t="n">
        <x:v>1.2666237666237665</x:v>
      </x:c>
      <x:c r="H3674" s="36" t="n">
        <x:f>E3674*G3674</x:f>
        <x:v>249524.882024882</x:v>
      </x:c>
      <x:c r="I3674" s="36" t="n">
        <x:f>IFERROR(H3674/A3674,0)</x:f>
        <x:v>41587.48033748034</x:v>
      </x:c>
      <x:c r="J3674" s="67" t="str">
        <x:v>Modeled from live base + Sep-2026 quality ratio</x:v>
      </x:c>
      <x:c r="K3674" s="67" t="str">
        <x:v>https://www.stonealgo.com/diamond-prices/</x:v>
      </x:c>
      <x:c r="L3674" s="67" t="str">
        <x:v>https://www.pricescope.com/blog/natural-diamond-prices-september-2026</x:v>
      </x:c>
    </x:row>
    <x:row r="3675">
      <x:c r="A3675" t="n">
        <x:v>6</x:v>
      </x:c>
      <x:c r="B3675" t="str">
        <x:v>Heart</x:v>
      </x:c>
      <x:c r="C3675" t="str">
        <x:v>G</x:v>
      </x:c>
      <x:c r="D3675" t="str">
        <x:v>IF</x:v>
      </x:c>
      <x:c r="E3675" s="36" t="n">
        <x:v>197000</x:v>
      </x:c>
      <x:c r="F3675" s="36" t="n">
        <x:v>5601</x:v>
      </x:c>
      <x:c r="G3675" s="42" t="n">
        <x:v>1.2014157014157014</x:v>
      </x:c>
      <x:c r="H3675" s="36" t="n">
        <x:f>E3675*G3675</x:f>
        <x:v>236678.89317889317</x:v>
      </x:c>
      <x:c r="I3675" s="36" t="n">
        <x:f>IFERROR(H3675/A3675,0)</x:f>
        <x:v>39446.4821964822</x:v>
      </x:c>
      <x:c r="J3675" s="67" t="str">
        <x:v>Modeled from live base + Sep-2026 quality ratio</x:v>
      </x:c>
      <x:c r="K3675" s="67" t="str">
        <x:v>https://www.stonealgo.com/diamond-prices/</x:v>
      </x:c>
      <x:c r="L3675" s="67" t="str">
        <x:v>https://www.pricescope.com/blog/natural-diamond-prices-september-2026</x:v>
      </x:c>
    </x:row>
    <x:row r="3676">
      <x:c r="A3676" t="n">
        <x:v>6</x:v>
      </x:c>
      <x:c r="B3676" t="str">
        <x:v>Heart</x:v>
      </x:c>
      <x:c r="C3676" t="str">
        <x:v>G</x:v>
      </x:c>
      <x:c r="D3676" t="str">
        <x:v>VVS1</x:v>
      </x:c>
      <x:c r="E3676" s="36" t="n">
        <x:v>197000</x:v>
      </x:c>
      <x:c r="F3676" s="36" t="n">
        <x:v>5124</x:v>
      </x:c>
      <x:c r="G3676" s="42" t="n">
        <x:v>1.0990990990990992</x:v>
      </x:c>
      <x:c r="H3676" s="36" t="n">
        <x:f>E3676*G3676</x:f>
        <x:v>216522.52252252254</x:v>
      </x:c>
      <x:c r="I3676" s="36" t="n">
        <x:f>IFERROR(H3676/A3676,0)</x:f>
        <x:v>36087.08708708709</x:v>
      </x:c>
      <x:c r="J3676" s="67" t="str">
        <x:v>Modeled from live base + Sep-2026 quality ratio</x:v>
      </x:c>
      <x:c r="K3676" s="67" t="str">
        <x:v>https://www.stonealgo.com/diamond-prices/</x:v>
      </x:c>
      <x:c r="L3676" s="67" t="str">
        <x:v>https://www.pricescope.com/blog/natural-diamond-prices-september-2026</x:v>
      </x:c>
    </x:row>
    <x:row r="3677">
      <x:c r="A3677" t="n">
        <x:v>6</x:v>
      </x:c>
      <x:c r="B3677" t="str">
        <x:v>Heart</x:v>
      </x:c>
      <x:c r="C3677" t="str">
        <x:v>G</x:v>
      </x:c>
      <x:c r="D3677" t="str">
        <x:v>VVS2</x:v>
      </x:c>
      <x:c r="E3677" s="36" t="n">
        <x:v>197000</x:v>
      </x:c>
      <x:c r="F3677" s="36" t="n">
        <x:v>4962</x:v>
      </x:c>
      <x:c r="G3677" s="42" t="n">
        <x:v>1.0643500643500643</x:v>
      </x:c>
      <x:c r="H3677" s="36" t="n">
        <x:f>E3677*G3677</x:f>
        <x:v>209676.96267696266</x:v>
      </x:c>
      <x:c r="I3677" s="36" t="n">
        <x:f>IFERROR(H3677/A3677,0)</x:f>
        <x:v>34946.160446160444</x:v>
      </x:c>
      <x:c r="J3677" s="67" t="str">
        <x:v>Modeled from live base + Sep-2026 quality ratio</x:v>
      </x:c>
      <x:c r="K3677" s="67" t="str">
        <x:v>https://www.stonealgo.com/diamond-prices/</x:v>
      </x:c>
      <x:c r="L3677" s="67" t="str">
        <x:v>https://www.pricescope.com/blog/natural-diamond-prices-september-2026</x:v>
      </x:c>
    </x:row>
    <x:row r="3678">
      <x:c r="A3678" t="n">
        <x:v>6</x:v>
      </x:c>
      <x:c r="B3678" t="str">
        <x:v>Heart</x:v>
      </x:c>
      <x:c r="C3678" t="str">
        <x:v>G</x:v>
      </x:c>
      <x:c r="D3678" t="str">
        <x:v>VS1</x:v>
      </x:c>
      <x:c r="E3678" s="36" t="n">
        <x:v>197000</x:v>
      </x:c>
      <x:c r="F3678" s="36" t="n">
        <x:v>4615</x:v>
      </x:c>
      <x:c r="G3678" s="42" t="n">
        <x:v>0.98991848991849</x:v>
      </x:c>
      <x:c r="H3678" s="36" t="n">
        <x:f>E3678*G3678</x:f>
        <x:v>195013.94251394251</x:v>
      </x:c>
      <x:c r="I3678" s="36" t="n">
        <x:f>IFERROR(H3678/A3678,0)</x:f>
        <x:v>32502.32375232375</x:v>
      </x:c>
      <x:c r="J3678" s="67" t="str">
        <x:v>Modeled from live base + Sep-2026 quality ratio</x:v>
      </x:c>
      <x:c r="K3678" s="67" t="str">
        <x:v>https://www.stonealgo.com/diamond-prices/</x:v>
      </x:c>
      <x:c r="L3678" s="67" t="str">
        <x:v>https://www.pricescope.com/blog/natural-diamond-prices-september-2026</x:v>
      </x:c>
    </x:row>
    <x:row r="3679">
      <x:c r="A3679" t="n">
        <x:v>6</x:v>
      </x:c>
      <x:c r="B3679" t="str">
        <x:v>Heart</x:v>
      </x:c>
      <x:c r="C3679" t="str">
        <x:v>G</x:v>
      </x:c>
      <x:c r="D3679" t="str">
        <x:v>VS2</x:v>
      </x:c>
      <x:c r="E3679" s="36" t="n">
        <x:v>197000</x:v>
      </x:c>
      <x:c r="F3679" s="36" t="n">
        <x:v>4585</x:v>
      </x:c>
      <x:c r="G3679" s="42" t="n">
        <x:v>0.9834834834834835</x:v>
      </x:c>
      <x:c r="H3679" s="36" t="n">
        <x:f>E3679*G3679</x:f>
        <x:v>193746.24624624624</x:v>
      </x:c>
      <x:c r="I3679" s="36" t="n">
        <x:f>IFERROR(H3679/A3679,0)</x:f>
        <x:v>32291.04104104104</x:v>
      </x:c>
      <x:c r="J3679" s="67" t="str">
        <x:v>Modeled from live base + Sep-2026 quality ratio</x:v>
      </x:c>
      <x:c r="K3679" s="67" t="str">
        <x:v>https://www.stonealgo.com/diamond-prices/</x:v>
      </x:c>
      <x:c r="L3679" s="67" t="str">
        <x:v>https://www.pricescope.com/blog/natural-diamond-prices-september-2026</x:v>
      </x:c>
    </x:row>
    <x:row r="3680">
      <x:c r="A3680" t="n">
        <x:v>6</x:v>
      </x:c>
      <x:c r="B3680" t="str">
        <x:v>Heart</x:v>
      </x:c>
      <x:c r="C3680" t="str">
        <x:v>G</x:v>
      </x:c>
      <x:c r="D3680" t="str">
        <x:v>SI1</x:v>
      </x:c>
      <x:c r="E3680" s="36" t="n">
        <x:v>197000</x:v>
      </x:c>
      <x:c r="F3680" s="36" t="n">
        <x:v>3664</x:v>
      </x:c>
      <x:c r="G3680" s="42" t="n">
        <x:v>0.7859287859287859</x:v>
      </x:c>
      <x:c r="H3680" s="36" t="n">
        <x:f>E3680*G3680</x:f>
        <x:v>154827.97082797083</x:v>
      </x:c>
      <x:c r="I3680" s="36" t="n">
        <x:f>IFERROR(H3680/A3680,0)</x:f>
        <x:v>25804.661804661806</x:v>
      </x:c>
      <x:c r="J3680" s="67" t="str">
        <x:v>Modeled from live base + Sep-2026 quality ratio</x:v>
      </x:c>
      <x:c r="K3680" s="67" t="str">
        <x:v>https://www.stonealgo.com/diamond-prices/</x:v>
      </x:c>
      <x:c r="L3680" s="67" t="str">
        <x:v>https://www.pricescope.com/blog/natural-diamond-prices-september-2026</x:v>
      </x:c>
    </x:row>
    <x:row r="3681">
      <x:c r="A3681" t="n">
        <x:v>6</x:v>
      </x:c>
      <x:c r="B3681" t="str">
        <x:v>Heart</x:v>
      </x:c>
      <x:c r="C3681" t="str">
        <x:v>G</x:v>
      </x:c>
      <x:c r="D3681" t="str">
        <x:v>SI2</x:v>
      </x:c>
      <x:c r="E3681" s="36" t="n">
        <x:v>197000</x:v>
      </x:c>
      <x:c r="F3681" s="36" t="n">
        <x:v>2537</x:v>
      </x:c>
      <x:c r="G3681" s="42" t="n">
        <x:v>0.5441870441870442</x:v>
      </x:c>
      <x:c r="H3681" s="36" t="n">
        <x:f>E3681*G3681</x:f>
        <x:v>107204.8477048477</x:v>
      </x:c>
      <x:c r="I3681" s="36" t="n">
        <x:f>IFERROR(H3681/A3681,0)</x:f>
        <x:v>17867.474617474618</x:v>
      </x:c>
      <x:c r="J3681" s="67" t="str">
        <x:v>Modeled from live base + Sep-2026 quality ratio</x:v>
      </x:c>
      <x:c r="K3681" s="67" t="str">
        <x:v>https://www.stonealgo.com/diamond-prices/</x:v>
      </x:c>
      <x:c r="L3681" s="67" t="str">
        <x:v>https://www.pricescope.com/blog/natural-diamond-prices-september-2026</x:v>
      </x:c>
    </x:row>
    <x:row r="3682">
      <x:c r="A3682" t="n">
        <x:v>6</x:v>
      </x:c>
      <x:c r="B3682" t="str">
        <x:v>Heart</x:v>
      </x:c>
      <x:c r="C3682" t="str">
        <x:v>H</x:v>
      </x:c>
      <x:c r="D3682" t="str">
        <x:v>FL</x:v>
      </x:c>
      <x:c r="E3682" s="36" t="n">
        <x:v>197000</x:v>
      </x:c>
      <x:c r="F3682" s="36" t="n">
        <x:v>4563</x:v>
      </x:c>
      <x:c r="G3682" s="42" t="n">
        <x:v>0.9787644787644788</x:v>
      </x:c>
      <x:c r="H3682" s="36" t="n">
        <x:f>E3682*G3682</x:f>
        <x:v>192816.60231660234</x:v>
      </x:c>
      <x:c r="I3682" s="36" t="n">
        <x:f>IFERROR(H3682/A3682,0)</x:f>
        <x:v>32136.10038610039</x:v>
      </x:c>
      <x:c r="J3682" s="67" t="str">
        <x:v>Modeled from live base + Sep-2026 quality ratio</x:v>
      </x:c>
      <x:c r="K3682" s="67" t="str">
        <x:v>https://www.stonealgo.com/diamond-prices/</x:v>
      </x:c>
      <x:c r="L3682" s="67" t="str">
        <x:v>https://www.pricescope.com/blog/natural-diamond-prices-september-2026</x:v>
      </x:c>
    </x:row>
    <x:row r="3683">
      <x:c r="A3683" t="n">
        <x:v>6</x:v>
      </x:c>
      <x:c r="B3683" t="str">
        <x:v>Heart</x:v>
      </x:c>
      <x:c r="C3683" t="str">
        <x:v>H</x:v>
      </x:c>
      <x:c r="D3683" t="str">
        <x:v>IF</x:v>
      </x:c>
      <x:c r="E3683" s="36" t="n">
        <x:v>197000</x:v>
      </x:c>
      <x:c r="F3683" s="36" t="n">
        <x:v>4809</x:v>
      </x:c>
      <x:c r="G3683" s="42" t="n">
        <x:v>1.0315315315315314</x:v>
      </x:c>
      <x:c r="H3683" s="36" t="n">
        <x:f>E3683*G3683</x:f>
        <x:v>203211.7117117117</x:v>
      </x:c>
      <x:c r="I3683" s="36" t="n">
        <x:f>IFERROR(H3683/A3683,0)</x:f>
        <x:v>33868.61861861862</x:v>
      </x:c>
      <x:c r="J3683" s="67" t="str">
        <x:v>Modeled from live base + Sep-2026 quality ratio</x:v>
      </x:c>
      <x:c r="K3683" s="67" t="str">
        <x:v>https://www.stonealgo.com/diamond-prices/</x:v>
      </x:c>
      <x:c r="L3683" s="67" t="str">
        <x:v>https://www.pricescope.com/blog/natural-diamond-prices-september-2026</x:v>
      </x:c>
    </x:row>
    <x:row r="3684">
      <x:c r="A3684" t="n">
        <x:v>6</x:v>
      </x:c>
      <x:c r="B3684" t="str">
        <x:v>Heart</x:v>
      </x:c>
      <x:c r="C3684" t="str">
        <x:v>H</x:v>
      </x:c>
      <x:c r="D3684" t="str">
        <x:v>VVS1</x:v>
      </x:c>
      <x:c r="E3684" s="36" t="n">
        <x:v>197000</x:v>
      </x:c>
      <x:c r="F3684" s="36" t="n">
        <x:v>4911</x:v>
      </x:c>
      <x:c r="G3684" s="42" t="n">
        <x:v>1.0534105534105533</x:v>
      </x:c>
      <x:c r="H3684" s="36" t="n">
        <x:f>E3684*G3684</x:f>
        <x:v>207521.879021879</x:v>
      </x:c>
      <x:c r="I3684" s="36" t="n">
        <x:f>IFERROR(H3684/A3684,0)</x:f>
        <x:v>34586.97983697983</x:v>
      </x:c>
      <x:c r="J3684" s="67" t="str">
        <x:v>Modeled from live base + Sep-2026 quality ratio</x:v>
      </x:c>
      <x:c r="K3684" s="67" t="str">
        <x:v>https://www.stonealgo.com/diamond-prices/</x:v>
      </x:c>
      <x:c r="L3684" s="67" t="str">
        <x:v>https://www.pricescope.com/blog/natural-diamond-prices-september-2026</x:v>
      </x:c>
    </x:row>
    <x:row r="3685">
      <x:c r="A3685" t="n">
        <x:v>6</x:v>
      </x:c>
      <x:c r="B3685" t="str">
        <x:v>Heart</x:v>
      </x:c>
      <x:c r="C3685" t="str">
        <x:v>H</x:v>
      </x:c>
      <x:c r="D3685" t="str">
        <x:v>VVS2</x:v>
      </x:c>
      <x:c r="E3685" s="36" t="n">
        <x:v>197000</x:v>
      </x:c>
      <x:c r="F3685" s="36" t="n">
        <x:v>4046</x:v>
      </x:c>
      <x:c r="G3685" s="42" t="n">
        <x:v>0.8678678678678678</x:v>
      </x:c>
      <x:c r="H3685" s="36" t="n">
        <x:f>E3685*G3685</x:f>
        <x:v>170969.96996996997</x:v>
      </x:c>
      <x:c r="I3685" s="36" t="n">
        <x:f>IFERROR(H3685/A3685,0)</x:f>
        <x:v>28494.994994994995</x:v>
      </x:c>
      <x:c r="J3685" s="67" t="str">
        <x:v>Modeled from live base + Sep-2026 quality ratio</x:v>
      </x:c>
      <x:c r="K3685" s="67" t="str">
        <x:v>https://www.stonealgo.com/diamond-prices/</x:v>
      </x:c>
      <x:c r="L3685" s="67" t="str">
        <x:v>https://www.pricescope.com/blog/natural-diamond-prices-september-2026</x:v>
      </x:c>
    </x:row>
    <x:row r="3686">
      <x:c r="A3686" t="n">
        <x:v>6</x:v>
      </x:c>
      <x:c r="B3686" t="str">
        <x:v>Heart</x:v>
      </x:c>
      <x:c r="C3686" t="str">
        <x:v>H</x:v>
      </x:c>
      <x:c r="D3686" t="str">
        <x:v>VS1</x:v>
      </x:c>
      <x:c r="E3686" s="36" t="n">
        <x:v>197000</x:v>
      </x:c>
      <x:c r="F3686" s="36" t="n">
        <x:v>3893</x:v>
      </x:c>
      <x:c r="G3686" s="42" t="n">
        <x:v>0.8350493350493351</x:v>
      </x:c>
      <x:c r="H3686" s="36" t="n">
        <x:f>E3686*G3686</x:f>
        <x:v>164504.71900471902</x:v>
      </x:c>
      <x:c r="I3686" s="36" t="n">
        <x:f>IFERROR(H3686/A3686,0)</x:f>
        <x:v>27417.45316745317</x:v>
      </x:c>
      <x:c r="J3686" s="67" t="str">
        <x:v>Modeled from live base + Sep-2026 quality ratio</x:v>
      </x:c>
      <x:c r="K3686" s="67" t="str">
        <x:v>https://www.stonealgo.com/diamond-prices/</x:v>
      </x:c>
      <x:c r="L3686" s="67" t="str">
        <x:v>https://www.pricescope.com/blog/natural-diamond-prices-september-2026</x:v>
      </x:c>
    </x:row>
    <x:row r="3687">
      <x:c r="A3687" t="n">
        <x:v>6</x:v>
      </x:c>
      <x:c r="B3687" t="str">
        <x:v>Heart</x:v>
      </x:c>
      <x:c r="C3687" t="str">
        <x:v>H</x:v>
      </x:c>
      <x:c r="D3687" t="str">
        <x:v>VS2</x:v>
      </x:c>
      <x:c r="E3687" s="36" t="n">
        <x:v>197000</x:v>
      </x:c>
      <x:c r="F3687" s="36" t="n">
        <x:v>3989</x:v>
      </x:c>
      <x:c r="G3687" s="42" t="n">
        <x:v>0.8556413556413557</x:v>
      </x:c>
      <x:c r="H3687" s="36" t="n">
        <x:f>E3687*G3687</x:f>
        <x:v>168561.34706134707</x:v>
      </x:c>
      <x:c r="I3687" s="36" t="n">
        <x:f>IFERROR(H3687/A3687,0)</x:f>
        <x:v>28093.557843557846</x:v>
      </x:c>
      <x:c r="J3687" s="67" t="str">
        <x:v>Modeled from live base + Sep-2026 quality ratio</x:v>
      </x:c>
      <x:c r="K3687" s="67" t="str">
        <x:v>https://www.stonealgo.com/diamond-prices/</x:v>
      </x:c>
      <x:c r="L3687" s="67" t="str">
        <x:v>https://www.pricescope.com/blog/natural-diamond-prices-september-2026</x:v>
      </x:c>
    </x:row>
    <x:row r="3688">
      <x:c r="A3688" t="n">
        <x:v>6</x:v>
      </x:c>
      <x:c r="B3688" t="str">
        <x:v>Heart</x:v>
      </x:c>
      <x:c r="C3688" t="str">
        <x:v>H</x:v>
      </x:c>
      <x:c r="D3688" t="str">
        <x:v>SI1</x:v>
      </x:c>
      <x:c r="E3688" s="36" t="n">
        <x:v>197000</x:v>
      </x:c>
      <x:c r="F3688" s="36" t="n">
        <x:v>2828</x:v>
      </x:c>
      <x:c r="G3688" s="42" t="n">
        <x:v>0.6066066066066066</x:v>
      </x:c>
      <x:c r="H3688" s="36" t="n">
        <x:f>E3688*G3688</x:f>
        <x:v>119501.5015015015</x:v>
      </x:c>
      <x:c r="I3688" s="36" t="n">
        <x:f>IFERROR(H3688/A3688,0)</x:f>
        <x:v>19916.916916916914</x:v>
      </x:c>
      <x:c r="J3688" s="67" t="str">
        <x:v>Modeled from live base + Sep-2026 quality ratio</x:v>
      </x:c>
      <x:c r="K3688" s="67" t="str">
        <x:v>https://www.stonealgo.com/diamond-prices/</x:v>
      </x:c>
      <x:c r="L3688" s="67" t="str">
        <x:v>https://www.pricescope.com/blog/natural-diamond-prices-september-2026</x:v>
      </x:c>
    </x:row>
    <x:row r="3689">
      <x:c r="A3689" t="n">
        <x:v>6</x:v>
      </x:c>
      <x:c r="B3689" t="str">
        <x:v>Heart</x:v>
      </x:c>
      <x:c r="C3689" t="str">
        <x:v>H</x:v>
      </x:c>
      <x:c r="D3689" t="str">
        <x:v>SI2</x:v>
      </x:c>
      <x:c r="E3689" s="36" t="n">
        <x:v>197000</x:v>
      </x:c>
      <x:c r="F3689" s="36" t="n">
        <x:v>2328</x:v>
      </x:c>
      <x:c r="G3689" s="42" t="n">
        <x:v>0.49935649935649934</x:v>
      </x:c>
      <x:c r="H3689" s="36" t="n">
        <x:f>E3689*G3689</x:f>
        <x:v>98373.23037323037</x:v>
      </x:c>
      <x:c r="I3689" s="36" t="n">
        <x:f>IFERROR(H3689/A3689,0)</x:f>
        <x:v>16395.538395538395</x:v>
      </x:c>
      <x:c r="J3689" s="67" t="str">
        <x:v>Modeled from live base + Sep-2026 quality ratio</x:v>
      </x:c>
      <x:c r="K3689" s="67" t="str">
        <x:v>https://www.stonealgo.com/diamond-prices/</x:v>
      </x:c>
      <x:c r="L3689" s="67" t="str">
        <x:v>https://www.pricescope.com/blog/natural-diamond-prices-september-2026</x:v>
      </x:c>
    </x:row>
    <x:row r="3690">
      <x:c r="A3690" t="n">
        <x:v>6</x:v>
      </x:c>
      <x:c r="B3690" t="str">
        <x:v>Heart</x:v>
      </x:c>
      <x:c r="C3690" t="str">
        <x:v>I</x:v>
      </x:c>
      <x:c r="D3690" t="str">
        <x:v>FL</x:v>
      </x:c>
      <x:c r="E3690" s="36" t="n">
        <x:v>197000</x:v>
      </x:c>
      <x:c r="F3690" s="36" t="n">
        <x:v>4623</x:v>
      </x:c>
      <x:c r="G3690" s="42" t="n">
        <x:v>0.9916344916344917</x:v>
      </x:c>
      <x:c r="H3690" s="36" t="n">
        <x:f>E3690*G3690</x:f>
        <x:v>195351.99485199485</x:v>
      </x:c>
      <x:c r="I3690" s="36" t="n">
        <x:f>IFERROR(H3690/A3690,0)</x:f>
        <x:v>32558.66580866581</x:v>
      </x:c>
      <x:c r="J3690" s="67" t="str">
        <x:v>Modeled from live base + Sep-2026 quality ratio</x:v>
      </x:c>
      <x:c r="K3690" s="67" t="str">
        <x:v>https://www.stonealgo.com/diamond-prices/</x:v>
      </x:c>
      <x:c r="L3690" s="67" t="str">
        <x:v>https://www.pricescope.com/blog/natural-diamond-prices-september-2026</x:v>
      </x:c>
    </x:row>
    <x:row r="3691">
      <x:c r="A3691" t="n">
        <x:v>6</x:v>
      </x:c>
      <x:c r="B3691" t="str">
        <x:v>Heart</x:v>
      </x:c>
      <x:c r="C3691" t="str">
        <x:v>I</x:v>
      </x:c>
      <x:c r="D3691" t="str">
        <x:v>IF</x:v>
      </x:c>
      <x:c r="E3691" s="36" t="n">
        <x:v>197000</x:v>
      </x:c>
      <x:c r="F3691" s="36" t="n">
        <x:v>4005</x:v>
      </x:c>
      <x:c r="G3691" s="42" t="n">
        <x:v>0.859073359073359</x:v>
      </x:c>
      <x:c r="H3691" s="36" t="n">
        <x:f>E3691*G3691</x:f>
        <x:v>169237.45173745172</x:v>
      </x:c>
      <x:c r="I3691" s="36" t="n">
        <x:f>IFERROR(H3691/A3691,0)</x:f>
        <x:v>28206.241956241953</x:v>
      </x:c>
      <x:c r="J3691" s="67" t="str">
        <x:v>Modeled from live base + Sep-2026 quality ratio</x:v>
      </x:c>
      <x:c r="K3691" s="67" t="str">
        <x:v>https://www.stonealgo.com/diamond-prices/</x:v>
      </x:c>
      <x:c r="L3691" s="67" t="str">
        <x:v>https://www.pricescope.com/blog/natural-diamond-prices-september-2026</x:v>
      </x:c>
    </x:row>
    <x:row r="3692">
      <x:c r="A3692" t="n">
        <x:v>6</x:v>
      </x:c>
      <x:c r="B3692" t="str">
        <x:v>Heart</x:v>
      </x:c>
      <x:c r="C3692" t="str">
        <x:v>I</x:v>
      </x:c>
      <x:c r="D3692" t="str">
        <x:v>VVS1</x:v>
      </x:c>
      <x:c r="E3692" s="36" t="n">
        <x:v>197000</x:v>
      </x:c>
      <x:c r="F3692" s="36" t="n">
        <x:v>3670</x:v>
      </x:c>
      <x:c r="G3692" s="42" t="n">
        <x:v>0.7872157872157872</x:v>
      </x:c>
      <x:c r="H3692" s="36" t="n">
        <x:f>E3692*G3692</x:f>
        <x:v>155081.5100815101</x:v>
      </x:c>
      <x:c r="I3692" s="36" t="n">
        <x:f>IFERROR(H3692/A3692,0)</x:f>
        <x:v>25846.918346918348</x:v>
      </x:c>
      <x:c r="J3692" s="67" t="str">
        <x:v>Modeled from live base + Sep-2026 quality ratio</x:v>
      </x:c>
      <x:c r="K3692" s="67" t="str">
        <x:v>https://www.stonealgo.com/diamond-prices/</x:v>
      </x:c>
      <x:c r="L3692" s="67" t="str">
        <x:v>https://www.pricescope.com/blog/natural-diamond-prices-september-2026</x:v>
      </x:c>
    </x:row>
    <x:row r="3693">
      <x:c r="A3693" t="n">
        <x:v>6</x:v>
      </x:c>
      <x:c r="B3693" t="str">
        <x:v>Heart</x:v>
      </x:c>
      <x:c r="C3693" t="str">
        <x:v>I</x:v>
      </x:c>
      <x:c r="D3693" t="str">
        <x:v>VVS2</x:v>
      </x:c>
      <x:c r="E3693" s="36" t="n">
        <x:v>197000</x:v>
      </x:c>
      <x:c r="F3693" s="36" t="n">
        <x:v>3447</x:v>
      </x:c>
      <x:c r="G3693" s="42" t="n">
        <x:v>0.7393822393822393</x:v>
      </x:c>
      <x:c r="H3693" s="36" t="n">
        <x:f>E3693*G3693</x:f>
        <x:v>145658.30115830115</x:v>
      </x:c>
      <x:c r="I3693" s="36" t="n">
        <x:f>IFERROR(H3693/A3693,0)</x:f>
        <x:v>24276.383526383524</x:v>
      </x:c>
      <x:c r="J3693" s="67" t="str">
        <x:v>Modeled from live base + Sep-2026 quality ratio</x:v>
      </x:c>
      <x:c r="K3693" s="67" t="str">
        <x:v>https://www.stonealgo.com/diamond-prices/</x:v>
      </x:c>
      <x:c r="L3693" s="67" t="str">
        <x:v>https://www.pricescope.com/blog/natural-diamond-prices-september-2026</x:v>
      </x:c>
    </x:row>
    <x:row r="3694">
      <x:c r="A3694" t="n">
        <x:v>6</x:v>
      </x:c>
      <x:c r="B3694" t="str">
        <x:v>Heart</x:v>
      </x:c>
      <x:c r="C3694" t="str">
        <x:v>I</x:v>
      </x:c>
      <x:c r="D3694" t="str">
        <x:v>VS1</x:v>
      </x:c>
      <x:c r="E3694" s="36" t="n">
        <x:v>197000</x:v>
      </x:c>
      <x:c r="F3694" s="36" t="n">
        <x:v>3313</x:v>
      </x:c>
      <x:c r="G3694" s="42" t="n">
        <x:v>0.7106392106392107</x:v>
      </x:c>
      <x:c r="H3694" s="36" t="n">
        <x:f>E3694*G3694</x:f>
        <x:v>139995.9244959245</x:v>
      </x:c>
      <x:c r="I3694" s="36" t="n">
        <x:f>IFERROR(H3694/A3694,0)</x:f>
        <x:v>23332.654082654084</x:v>
      </x:c>
      <x:c r="J3694" s="67" t="str">
        <x:v>Modeled from live base + Sep-2026 quality ratio</x:v>
      </x:c>
      <x:c r="K3694" s="67" t="str">
        <x:v>https://www.stonealgo.com/diamond-prices/</x:v>
      </x:c>
      <x:c r="L3694" s="67" t="str">
        <x:v>https://www.pricescope.com/blog/natural-diamond-prices-september-2026</x:v>
      </x:c>
    </x:row>
    <x:row r="3695">
      <x:c r="A3695" t="n">
        <x:v>6</x:v>
      </x:c>
      <x:c r="B3695" t="str">
        <x:v>Heart</x:v>
      </x:c>
      <x:c r="C3695" t="str">
        <x:v>I</x:v>
      </x:c>
      <x:c r="D3695" t="str">
        <x:v>VS2</x:v>
      </x:c>
      <x:c r="E3695" s="36" t="n">
        <x:v>197000</x:v>
      </x:c>
      <x:c r="F3695" s="36" t="n">
        <x:v>3240</x:v>
      </x:c>
      <x:c r="G3695" s="42" t="n">
        <x:v>0.694980694980695</x:v>
      </x:c>
      <x:c r="H3695" s="36" t="n">
        <x:f>E3695*G3695</x:f>
        <x:v>136911.19691119692</x:v>
      </x:c>
      <x:c r="I3695" s="36" t="n">
        <x:f>IFERROR(H3695/A3695,0)</x:f>
        <x:v>22818.53281853282</x:v>
      </x:c>
      <x:c r="J3695" s="67" t="str">
        <x:v>Modeled from live base + Sep-2026 quality ratio</x:v>
      </x:c>
      <x:c r="K3695" s="67" t="str">
        <x:v>https://www.stonealgo.com/diamond-prices/</x:v>
      </x:c>
      <x:c r="L3695" s="67" t="str">
        <x:v>https://www.pricescope.com/blog/natural-diamond-prices-september-2026</x:v>
      </x:c>
    </x:row>
    <x:row r="3696">
      <x:c r="A3696" t="n">
        <x:v>6</x:v>
      </x:c>
      <x:c r="B3696" t="str">
        <x:v>Heart</x:v>
      </x:c>
      <x:c r="C3696" t="str">
        <x:v>I</x:v>
      </x:c>
      <x:c r="D3696" t="str">
        <x:v>SI1</x:v>
      </x:c>
      <x:c r="E3696" s="36" t="n">
        <x:v>197000</x:v>
      </x:c>
      <x:c r="F3696" s="36" t="n">
        <x:v>3199</x:v>
      </x:c>
      <x:c r="G3696" s="42" t="n">
        <x:v>0.6861861861861862</x:v>
      </x:c>
      <x:c r="H3696" s="36" t="n">
        <x:f>E3696*G3696</x:f>
        <x:v>135178.67867867867</x:v>
      </x:c>
      <x:c r="I3696" s="36" t="n">
        <x:f>IFERROR(H3696/A3696,0)</x:f>
        <x:v>22529.77977977978</x:v>
      </x:c>
      <x:c r="J3696" s="67" t="str">
        <x:v>Modeled from live base + Sep-2026 quality ratio</x:v>
      </x:c>
      <x:c r="K3696" s="67" t="str">
        <x:v>https://www.stonealgo.com/diamond-prices/</x:v>
      </x:c>
      <x:c r="L3696" s="67" t="str">
        <x:v>https://www.pricescope.com/blog/natural-diamond-prices-september-2026</x:v>
      </x:c>
    </x:row>
    <x:row r="3697">
      <x:c r="A3697" t="n">
        <x:v>6</x:v>
      </x:c>
      <x:c r="B3697" t="str">
        <x:v>Heart</x:v>
      </x:c>
      <x:c r="C3697" t="str">
        <x:v>I</x:v>
      </x:c>
      <x:c r="D3697" t="str">
        <x:v>SI2</x:v>
      </x:c>
      <x:c r="E3697" s="36" t="n">
        <x:v>197000</x:v>
      </x:c>
      <x:c r="F3697" s="36" t="n">
        <x:v>2874</x:v>
      </x:c>
      <x:c r="G3697" s="42" t="n">
        <x:v>0.6164736164736164</x:v>
      </x:c>
      <x:c r="H3697" s="36" t="n">
        <x:f>E3697*G3697</x:f>
        <x:v>121445.30244530244</x:v>
      </x:c>
      <x:c r="I3697" s="36" t="n">
        <x:f>IFERROR(H3697/A3697,0)</x:f>
        <x:v>20240.88374088374</x:v>
      </x:c>
      <x:c r="J3697" s="67" t="str">
        <x:v>Modeled from live base + Sep-2026 quality ratio</x:v>
      </x:c>
      <x:c r="K3697" s="67" t="str">
        <x:v>https://www.stonealgo.com/diamond-prices/</x:v>
      </x:c>
      <x:c r="L3697" s="67" t="str">
        <x:v>https://www.pricescope.com/blog/natural-diamond-prices-september-2026</x:v>
      </x:c>
    </x:row>
    <x:row r="3698">
      <x:c r="A3698" t="n">
        <x:v>6</x:v>
      </x:c>
      <x:c r="B3698" t="str">
        <x:v>Heart</x:v>
      </x:c>
      <x:c r="C3698" t="str">
        <x:v>J</x:v>
      </x:c>
      <x:c r="D3698" t="str">
        <x:v>FL</x:v>
      </x:c>
      <x:c r="E3698" s="36" t="n">
        <x:v>197000</x:v>
      </x:c>
      <x:c r="F3698" s="36" t="n">
        <x:v>3646</x:v>
      </x:c>
      <x:c r="G3698" s="42" t="n">
        <x:v>0.782067782067782</x:v>
      </x:c>
      <x:c r="H3698" s="36" t="n">
        <x:f>E3698*G3698</x:f>
        <x:v>154067.35306735308</x:v>
      </x:c>
      <x:c r="I3698" s="36" t="n">
        <x:f>IFERROR(H3698/A3698,0)</x:f>
        <x:v>25677.89217789218</x:v>
      </x:c>
      <x:c r="J3698" s="67" t="str">
        <x:v>Modeled from live base + Sep-2026 quality ratio</x:v>
      </x:c>
      <x:c r="K3698" s="67" t="str">
        <x:v>https://www.stonealgo.com/diamond-prices/</x:v>
      </x:c>
      <x:c r="L3698" s="67" t="str">
        <x:v>https://www.pricescope.com/blog/natural-diamond-prices-september-2026</x:v>
      </x:c>
    </x:row>
    <x:row r="3699">
      <x:c r="A3699" t="n">
        <x:v>6</x:v>
      </x:c>
      <x:c r="B3699" t="str">
        <x:v>Heart</x:v>
      </x:c>
      <x:c r="C3699" t="str">
        <x:v>J</x:v>
      </x:c>
      <x:c r="D3699" t="str">
        <x:v>IF</x:v>
      </x:c>
      <x:c r="E3699" s="36" t="n">
        <x:v>197000</x:v>
      </x:c>
      <x:c r="F3699" s="36" t="n">
        <x:v>3368</x:v>
      </x:c>
      <x:c r="G3699" s="42" t="n">
        <x:v>0.7224367224367224</x:v>
      </x:c>
      <x:c r="H3699" s="36" t="n">
        <x:f>E3699*G3699</x:f>
        <x:v>142320.03432003432</x:v>
      </x:c>
      <x:c r="I3699" s="36" t="n">
        <x:f>IFERROR(H3699/A3699,0)</x:f>
        <x:v>23720.00572000572</x:v>
      </x:c>
      <x:c r="J3699" s="67" t="str">
        <x:v>Modeled from live base + Sep-2026 quality ratio</x:v>
      </x:c>
      <x:c r="K3699" s="67" t="str">
        <x:v>https://www.stonealgo.com/diamond-prices/</x:v>
      </x:c>
      <x:c r="L3699" s="67" t="str">
        <x:v>https://www.pricescope.com/blog/natural-diamond-prices-september-2026</x:v>
      </x:c>
    </x:row>
    <x:row r="3700">
      <x:c r="A3700" t="n">
        <x:v>6</x:v>
      </x:c>
      <x:c r="B3700" t="str">
        <x:v>Heart</x:v>
      </x:c>
      <x:c r="C3700" t="str">
        <x:v>J</x:v>
      </x:c>
      <x:c r="D3700" t="str">
        <x:v>VVS1</x:v>
      </x:c>
      <x:c r="E3700" s="36" t="n">
        <x:v>197000</x:v>
      </x:c>
      <x:c r="F3700" s="36" t="n">
        <x:v>2956</x:v>
      </x:c>
      <x:c r="G3700" s="42" t="n">
        <x:v>0.6340626340626341</x:v>
      </x:c>
      <x:c r="H3700" s="36" t="n">
        <x:f>E3700*G3700</x:f>
        <x:v>124910.33891033892</x:v>
      </x:c>
      <x:c r="I3700" s="36" t="n">
        <x:f>IFERROR(H3700/A3700,0)</x:f>
        <x:v>20818.38981838982</x:v>
      </x:c>
      <x:c r="J3700" s="67" t="str">
        <x:v>Modeled from live base + Sep-2026 quality ratio</x:v>
      </x:c>
      <x:c r="K3700" s="67" t="str">
        <x:v>https://www.stonealgo.com/diamond-prices/</x:v>
      </x:c>
      <x:c r="L3700" s="67" t="str">
        <x:v>https://www.pricescope.com/blog/natural-diamond-prices-september-2026</x:v>
      </x:c>
    </x:row>
    <x:row r="3701">
      <x:c r="A3701" t="n">
        <x:v>6</x:v>
      </x:c>
      <x:c r="B3701" t="str">
        <x:v>Heart</x:v>
      </x:c>
      <x:c r="C3701" t="str">
        <x:v>J</x:v>
      </x:c>
      <x:c r="D3701" t="str">
        <x:v>VVS2</x:v>
      </x:c>
      <x:c r="E3701" s="36" t="n">
        <x:v>197000</x:v>
      </x:c>
      <x:c r="F3701" s="36" t="n">
        <x:v>2612</x:v>
      </x:c>
      <x:c r="G3701" s="42" t="n">
        <x:v>0.5602745602745602</x:v>
      </x:c>
      <x:c r="H3701" s="36" t="n">
        <x:f>E3701*G3701</x:f>
        <x:v>110374.08837408837</x:v>
      </x:c>
      <x:c r="I3701" s="36" t="n">
        <x:f>IFERROR(H3701/A3701,0)</x:f>
        <x:v>18395.681395681397</x:v>
      </x:c>
      <x:c r="J3701" s="67" t="str">
        <x:v>Modeled from live base + Sep-2026 quality ratio</x:v>
      </x:c>
      <x:c r="K3701" s="67" t="str">
        <x:v>https://www.stonealgo.com/diamond-prices/</x:v>
      </x:c>
      <x:c r="L3701" s="67" t="str">
        <x:v>https://www.pricescope.com/blog/natural-diamond-prices-september-2026</x:v>
      </x:c>
    </x:row>
    <x:row r="3702">
      <x:c r="A3702" t="n">
        <x:v>6</x:v>
      </x:c>
      <x:c r="B3702" t="str">
        <x:v>Heart</x:v>
      </x:c>
      <x:c r="C3702" t="str">
        <x:v>J</x:v>
      </x:c>
      <x:c r="D3702" t="str">
        <x:v>VS1</x:v>
      </x:c>
      <x:c r="E3702" s="36" t="n">
        <x:v>197000</x:v>
      </x:c>
      <x:c r="F3702" s="36" t="n">
        <x:v>3002</x:v>
      </x:c>
      <x:c r="G3702" s="42" t="n">
        <x:v>0.6439296439296439</x:v>
      </x:c>
      <x:c r="H3702" s="36" t="n">
        <x:f>E3702*G3702</x:f>
        <x:v>126854.13985413985</x:v>
      </x:c>
      <x:c r="I3702" s="36" t="n">
        <x:f>IFERROR(H3702/A3702,0)</x:f>
        <x:v>21142.35664235664</x:v>
      </x:c>
      <x:c r="J3702" s="67" t="str">
        <x:v>Modeled from live base + Sep-2026 quality ratio</x:v>
      </x:c>
      <x:c r="K3702" s="67" t="str">
        <x:v>https://www.stonealgo.com/diamond-prices/</x:v>
      </x:c>
      <x:c r="L3702" s="67" t="str">
        <x:v>https://www.pricescope.com/blog/natural-diamond-prices-september-2026</x:v>
      </x:c>
    </x:row>
    <x:row r="3703">
      <x:c r="A3703" t="n">
        <x:v>6</x:v>
      </x:c>
      <x:c r="B3703" t="str">
        <x:v>Heart</x:v>
      </x:c>
      <x:c r="C3703" t="str">
        <x:v>J</x:v>
      </x:c>
      <x:c r="D3703" t="str">
        <x:v>VS2</x:v>
      </x:c>
      <x:c r="E3703" s="36" t="n">
        <x:v>197000</x:v>
      </x:c>
      <x:c r="F3703" s="36" t="n">
        <x:v>2559</x:v>
      </x:c>
      <x:c r="G3703" s="42" t="n">
        <x:v>0.5489060489060489</x:v>
      </x:c>
      <x:c r="H3703" s="36" t="n">
        <x:f>E3703*G3703</x:f>
        <x:v>108134.49163449163</x:v>
      </x:c>
      <x:c r="I3703" s="36" t="n">
        <x:f>IFERROR(H3703/A3703,0)</x:f>
        <x:v>18022.41527241527</x:v>
      </x:c>
      <x:c r="J3703" s="67" t="str">
        <x:v>Modeled from live base + Sep-2026 quality ratio</x:v>
      </x:c>
      <x:c r="K3703" s="67" t="str">
        <x:v>https://www.stonealgo.com/diamond-prices/</x:v>
      </x:c>
      <x:c r="L3703" s="67" t="str">
        <x:v>https://www.pricescope.com/blog/natural-diamond-prices-september-2026</x:v>
      </x:c>
    </x:row>
    <x:row r="3704">
      <x:c r="A3704" t="n">
        <x:v>6</x:v>
      </x:c>
      <x:c r="B3704" t="str">
        <x:v>Heart</x:v>
      </x:c>
      <x:c r="C3704" t="str">
        <x:v>J</x:v>
      </x:c>
      <x:c r="D3704" t="str">
        <x:v>SI1</x:v>
      </x:c>
      <x:c r="E3704" s="36" t="n">
        <x:v>197000</x:v>
      </x:c>
      <x:c r="F3704" s="36" t="n">
        <x:v>2195</x:v>
      </x:c>
      <x:c r="G3704" s="42" t="n">
        <x:v>0.47082797082797084</x:v>
      </x:c>
      <x:c r="H3704" s="36" t="n">
        <x:f>E3704*G3704</x:f>
        <x:v>92753.11025311025</x:v>
      </x:c>
      <x:c r="I3704" s="36" t="n">
        <x:f>IFERROR(H3704/A3704,0)</x:f>
        <x:v>15458.85170885171</x:v>
      </x:c>
      <x:c r="J3704" s="67" t="str">
        <x:v>Modeled from live base + Sep-2026 quality ratio</x:v>
      </x:c>
      <x:c r="K3704" s="67" t="str">
        <x:v>https://www.stonealgo.com/diamond-prices/</x:v>
      </x:c>
      <x:c r="L3704" s="67" t="str">
        <x:v>https://www.pricescope.com/blog/natural-diamond-prices-september-2026</x:v>
      </x:c>
    </x:row>
    <x:row r="3705">
      <x:c r="A3705" t="n">
        <x:v>6</x:v>
      </x:c>
      <x:c r="B3705" t="str">
        <x:v>Heart</x:v>
      </x:c>
      <x:c r="C3705" t="str">
        <x:v>J</x:v>
      </x:c>
      <x:c r="D3705" t="str">
        <x:v>SI2</x:v>
      </x:c>
      <x:c r="E3705" s="36" t="n">
        <x:v>197000</x:v>
      </x:c>
      <x:c r="F3705" s="36" t="n">
        <x:v>2079</x:v>
      </x:c>
      <x:c r="G3705" s="42" t="n">
        <x:v>0.44594594594594594</x:v>
      </x:c>
      <x:c r="H3705" s="36" t="n">
        <x:f>E3705*G3705</x:f>
        <x:v>87851.35135135135</x:v>
      </x:c>
      <x:c r="I3705" s="36" t="n">
        <x:f>IFERROR(H3705/A3705,0)</x:f>
        <x:v>14641.891891891892</x:v>
      </x:c>
      <x:c r="J3705" s="67" t="str">
        <x:v>Modeled from live base + Sep-2026 quality ratio</x:v>
      </x:c>
      <x:c r="K3705" s="67" t="str">
        <x:v>https://www.stonealgo.com/diamond-prices/</x:v>
      </x:c>
      <x:c r="L3705" s="67" t="str">
        <x:v>https://www.pricescope.com/blog/natural-diamond-prices-september-2026</x:v>
      </x:c>
    </x:row>
    <x:row r="3706">
      <x:c r="A3706" t="n">
        <x:v>6</x:v>
      </x:c>
      <x:c r="B3706" t="str">
        <x:v>Heart</x:v>
      </x:c>
      <x:c r="C3706" t="str">
        <x:v>K</x:v>
      </x:c>
      <x:c r="D3706" t="str">
        <x:v>FL</x:v>
      </x:c>
      <x:c r="E3706" s="36" t="n">
        <x:v>197000</x:v>
      </x:c>
      <x:c r="F3706" s="36" t="n">
        <x:v>2858</x:v>
      </x:c>
      <x:c r="G3706" s="42" t="n">
        <x:v>0.6130416130416131</x:v>
      </x:c>
      <x:c r="H3706" s="36" t="n">
        <x:f>E3706*G3706</x:f>
        <x:v>120769.19776919778</x:v>
      </x:c>
      <x:c r="I3706" s="36" t="n">
        <x:f>IFERROR(H3706/A3706,0)</x:f>
        <x:v>20128.19962819963</x:v>
      </x:c>
      <x:c r="J3706" s="67" t="str">
        <x:v>Modeled from live base + Sep-2026 quality ratio; K/FL quality cell modeled</x:v>
      </x:c>
      <x:c r="K3706" s="67" t="str">
        <x:v>https://www.stonealgo.com/diamond-prices/</x:v>
      </x:c>
      <x:c r="L3706" s="67" t="str">
        <x:v>https://www.pricescope.com/blog/natural-diamond-prices-september-2026</x:v>
      </x:c>
    </x:row>
    <x:row r="3707">
      <x:c r="A3707" t="n">
        <x:v>6</x:v>
      </x:c>
      <x:c r="B3707" t="str">
        <x:v>Heart</x:v>
      </x:c>
      <x:c r="C3707" t="str">
        <x:v>K</x:v>
      </x:c>
      <x:c r="D3707" t="str">
        <x:v>IF</x:v>
      </x:c>
      <x:c r="E3707" s="36" t="n">
        <x:v>197000</x:v>
      </x:c>
      <x:c r="F3707" s="36" t="n">
        <x:v>2743</x:v>
      </x:c>
      <x:c r="G3707" s="42" t="n">
        <x:v>0.5883740883740883</x:v>
      </x:c>
      <x:c r="H3707" s="36" t="n">
        <x:f>E3707*G3707</x:f>
        <x:v>115909.6954096954</x:v>
      </x:c>
      <x:c r="I3707" s="36" t="n">
        <x:f>IFERROR(H3707/A3707,0)</x:f>
        <x:v>19318.282568282568</x:v>
      </x:c>
      <x:c r="J3707" s="67" t="str">
        <x:v>Modeled from live base + Sep-2026 quality ratio</x:v>
      </x:c>
      <x:c r="K3707" s="67" t="str">
        <x:v>https://www.stonealgo.com/diamond-prices/</x:v>
      </x:c>
      <x:c r="L3707" s="67" t="str">
        <x:v>https://www.pricescope.com/blog/natural-diamond-prices-september-2026</x:v>
      </x:c>
    </x:row>
    <x:row r="3708">
      <x:c r="A3708" t="n">
        <x:v>6</x:v>
      </x:c>
      <x:c r="B3708" t="str">
        <x:v>Heart</x:v>
      </x:c>
      <x:c r="C3708" t="str">
        <x:v>K</x:v>
      </x:c>
      <x:c r="D3708" t="str">
        <x:v>VVS1</x:v>
      </x:c>
      <x:c r="E3708" s="36" t="n">
        <x:v>197000</x:v>
      </x:c>
      <x:c r="F3708" s="36" t="n">
        <x:v>2529</x:v>
      </x:c>
      <x:c r="G3708" s="42" t="n">
        <x:v>0.5424710424710425</x:v>
      </x:c>
      <x:c r="H3708" s="36" t="n">
        <x:f>E3708*G3708</x:f>
        <x:v>106866.79536679537</x:v>
      </x:c>
      <x:c r="I3708" s="36" t="n">
        <x:f>IFERROR(H3708/A3708,0)</x:f>
        <x:v>17811.132561132563</x:v>
      </x:c>
      <x:c r="J3708" s="67" t="str">
        <x:v>Modeled from live base + Sep-2026 quality ratio</x:v>
      </x:c>
      <x:c r="K3708" s="67" t="str">
        <x:v>https://www.stonealgo.com/diamond-prices/</x:v>
      </x:c>
      <x:c r="L3708" s="67" t="str">
        <x:v>https://www.pricescope.com/blog/natural-diamond-prices-september-2026</x:v>
      </x:c>
    </x:row>
    <x:row r="3709">
      <x:c r="A3709" t="n">
        <x:v>6</x:v>
      </x:c>
      <x:c r="B3709" t="str">
        <x:v>Heart</x:v>
      </x:c>
      <x:c r="C3709" t="str">
        <x:v>K</x:v>
      </x:c>
      <x:c r="D3709" t="str">
        <x:v>VVS2</x:v>
      </x:c>
      <x:c r="E3709" s="36" t="n">
        <x:v>197000</x:v>
      </x:c>
      <x:c r="F3709" s="36" t="n">
        <x:v>2374</x:v>
      </x:c>
      <x:c r="G3709" s="42" t="n">
        <x:v>0.5092235092235092</x:v>
      </x:c>
      <x:c r="H3709" s="36" t="n">
        <x:f>E3709*G3709</x:f>
        <x:v>100317.03131703132</x:v>
      </x:c>
      <x:c r="I3709" s="36" t="n">
        <x:f>IFERROR(H3709/A3709,0)</x:f>
        <x:v>16719.50521950522</x:v>
      </x:c>
      <x:c r="J3709" s="67" t="str">
        <x:v>Modeled from live base + Sep-2026 quality ratio</x:v>
      </x:c>
      <x:c r="K3709" s="67" t="str">
        <x:v>https://www.stonealgo.com/diamond-prices/</x:v>
      </x:c>
      <x:c r="L3709" s="67" t="str">
        <x:v>https://www.pricescope.com/blog/natural-diamond-prices-september-2026</x:v>
      </x:c>
    </x:row>
    <x:row r="3710">
      <x:c r="A3710" t="n">
        <x:v>6</x:v>
      </x:c>
      <x:c r="B3710" t="str">
        <x:v>Heart</x:v>
      </x:c>
      <x:c r="C3710" t="str">
        <x:v>K</x:v>
      </x:c>
      <x:c r="D3710" t="str">
        <x:v>VS1</x:v>
      </x:c>
      <x:c r="E3710" s="36" t="n">
        <x:v>197000</x:v>
      </x:c>
      <x:c r="F3710" s="36" t="n">
        <x:v>2223</x:v>
      </x:c>
      <x:c r="G3710" s="42" t="n">
        <x:v>0.4768339768339768</x:v>
      </x:c>
      <x:c r="H3710" s="36" t="n">
        <x:f>E3710*G3710</x:f>
        <x:v>93936.29343629343</x:v>
      </x:c>
      <x:c r="I3710" s="36" t="n">
        <x:f>IFERROR(H3710/A3710,0)</x:f>
        <x:v>15656.048906048905</x:v>
      </x:c>
      <x:c r="J3710" s="67" t="str">
        <x:v>Modeled from live base + Sep-2026 quality ratio</x:v>
      </x:c>
      <x:c r="K3710" s="67" t="str">
        <x:v>https://www.stonealgo.com/diamond-prices/</x:v>
      </x:c>
      <x:c r="L3710" s="67" t="str">
        <x:v>https://www.pricescope.com/blog/natural-diamond-prices-september-2026</x:v>
      </x:c>
    </x:row>
    <x:row r="3711">
      <x:c r="A3711" t="n">
        <x:v>6</x:v>
      </x:c>
      <x:c r="B3711" t="str">
        <x:v>Heart</x:v>
      </x:c>
      <x:c r="C3711" t="str">
        <x:v>K</x:v>
      </x:c>
      <x:c r="D3711" t="str">
        <x:v>VS2</x:v>
      </x:c>
      <x:c r="E3711" s="36" t="n">
        <x:v>197000</x:v>
      </x:c>
      <x:c r="F3711" s="36" t="n">
        <x:v>2098</x:v>
      </x:c>
      <x:c r="G3711" s="42" t="n">
        <x:v>0.45002145002145</x:v>
      </x:c>
      <x:c r="H3711" s="36" t="n">
        <x:f>E3711*G3711</x:f>
        <x:v>88654.22565422565</x:v>
      </x:c>
      <x:c r="I3711" s="36" t="n">
        <x:f>IFERROR(H3711/A3711,0)</x:f>
        <x:v>14775.704275704275</x:v>
      </x:c>
      <x:c r="J3711" s="67" t="str">
        <x:v>Modeled from live base + Sep-2026 quality ratio</x:v>
      </x:c>
      <x:c r="K3711" s="67" t="str">
        <x:v>https://www.stonealgo.com/diamond-prices/</x:v>
      </x:c>
      <x:c r="L3711" s="67" t="str">
        <x:v>https://www.pricescope.com/blog/natural-diamond-prices-september-2026</x:v>
      </x:c>
    </x:row>
    <x:row r="3712">
      <x:c r="A3712" t="n">
        <x:v>6</x:v>
      </x:c>
      <x:c r="B3712" t="str">
        <x:v>Heart</x:v>
      </x:c>
      <x:c r="C3712" t="str">
        <x:v>K</x:v>
      </x:c>
      <x:c r="D3712" t="str">
        <x:v>SI1</x:v>
      </x:c>
      <x:c r="E3712" s="36" t="n">
        <x:v>197000</x:v>
      </x:c>
      <x:c r="F3712" s="36" t="n">
        <x:v>1922</x:v>
      </x:c>
      <x:c r="G3712" s="42" t="n">
        <x:v>0.41226941226941227</x:v>
      </x:c>
      <x:c r="H3712" s="36" t="n">
        <x:f>E3712*G3712</x:f>
        <x:v>81217.07421707422</x:v>
      </x:c>
      <x:c r="I3712" s="36" t="n">
        <x:f>IFERROR(H3712/A3712,0)</x:f>
        <x:v>13536.179036179035</x:v>
      </x:c>
      <x:c r="J3712" s="67" t="str">
        <x:v>Modeled from live base + Sep-2026 quality ratio</x:v>
      </x:c>
      <x:c r="K3712" s="67" t="str">
        <x:v>https://www.stonealgo.com/diamond-prices/</x:v>
      </x:c>
      <x:c r="L3712" s="67" t="str">
        <x:v>https://www.pricescope.com/blog/natural-diamond-prices-september-2026</x:v>
      </x:c>
    </x:row>
    <x:row r="3713">
      <x:c r="A3713" t="n">
        <x:v>6</x:v>
      </x:c>
      <x:c r="B3713" t="str">
        <x:v>Heart</x:v>
      </x:c>
      <x:c r="C3713" t="str">
        <x:v>K</x:v>
      </x:c>
      <x:c r="D3713" t="str">
        <x:v>SI2</x:v>
      </x:c>
      <x:c r="E3713" s="36" t="n">
        <x:v>197000</x:v>
      </x:c>
      <x:c r="F3713" s="36" t="n">
        <x:v>1764</x:v>
      </x:c>
      <x:c r="G3713" s="42" t="n">
        <x:v>0.3783783783783784</x:v>
      </x:c>
      <x:c r="H3713" s="36" t="n">
        <x:f>E3713*G3713</x:f>
        <x:v>74540.54054054055</x:v>
      </x:c>
      <x:c r="I3713" s="36" t="n">
        <x:f>IFERROR(H3713/A3713,0)</x:f>
        <x:v>12423.423423423425</x:v>
      </x:c>
      <x:c r="J3713" s="67" t="str">
        <x:v>Modeled from live base + Sep-2026 quality ratio</x:v>
      </x:c>
      <x:c r="K3713" s="67" t="str">
        <x:v>https://www.stonealgo.com/diamond-prices/</x:v>
      </x:c>
      <x:c r="L3713" s="67" t="str">
        <x:v>https://www.pricescope.com/blog/natural-diamond-prices-september-2026</x:v>
      </x:c>
    </x:row>
    <x:row r="3714">
      <x:c r="A3714" t="n">
        <x:v>6</x:v>
      </x:c>
      <x:c r="B3714" t="str">
        <x:v>Marquise</x:v>
      </x:c>
      <x:c r="C3714" t="str">
        <x:v>D</x:v>
      </x:c>
      <x:c r="D3714" t="str">
        <x:v>FL</x:v>
      </x:c>
      <x:c r="E3714" s="36" t="n">
        <x:v>241000</x:v>
      </x:c>
      <x:c r="F3714" s="36" t="n">
        <x:v>12665</x:v>
      </x:c>
      <x:c r="G3714" s="42" t="n">
        <x:v>2.7166452166452166</x:v>
      </x:c>
      <x:c r="H3714" s="36" t="n">
        <x:f>E3714*G3714</x:f>
        <x:v>654711.4972114972</x:v>
      </x:c>
      <x:c r="I3714" s="36" t="n">
        <x:f>IFERROR(H3714/A3714,0)</x:f>
        <x:v>109118.58286858286</x:v>
      </x:c>
      <x:c r="J3714" s="67" t="str">
        <x:v>Modeled from live base + Sep-2026 quality ratio</x:v>
      </x:c>
      <x:c r="K3714" s="67" t="str">
        <x:v>https://www.stonealgo.com/diamond-prices/</x:v>
      </x:c>
      <x:c r="L3714" s="67" t="str">
        <x:v>https://www.pricescope.com/blog/natural-diamond-prices-september-2026</x:v>
      </x:c>
    </x:row>
    <x:row r="3715">
      <x:c r="A3715" t="n">
        <x:v>6</x:v>
      </x:c>
      <x:c r="B3715" t="str">
        <x:v>Marquise</x:v>
      </x:c>
      <x:c r="C3715" t="str">
        <x:v>D</x:v>
      </x:c>
      <x:c r="D3715" t="str">
        <x:v>IF</x:v>
      </x:c>
      <x:c r="E3715" s="36" t="n">
        <x:v>241000</x:v>
      </x:c>
      <x:c r="F3715" s="36" t="n">
        <x:v>13240</x:v>
      </x:c>
      <x:c r="G3715" s="42" t="n">
        <x:v>2.83998283998284</x:v>
      </x:c>
      <x:c r="H3715" s="36" t="n">
        <x:f>E3715*G3715</x:f>
        <x:v>684435.8644358645</x:v>
      </x:c>
      <x:c r="I3715" s="36" t="n">
        <x:f>IFERROR(H3715/A3715,0)</x:f>
        <x:v>114072.64407264408</x:v>
      </x:c>
      <x:c r="J3715" s="67" t="str">
        <x:v>Modeled from live base + Sep-2026 quality ratio</x:v>
      </x:c>
      <x:c r="K3715" s="67" t="str">
        <x:v>https://www.stonealgo.com/diamond-prices/</x:v>
      </x:c>
      <x:c r="L3715" s="67" t="str">
        <x:v>https://www.pricescope.com/blog/natural-diamond-prices-september-2026</x:v>
      </x:c>
    </x:row>
    <x:row r="3716">
      <x:c r="A3716" t="n">
        <x:v>6</x:v>
      </x:c>
      <x:c r="B3716" t="str">
        <x:v>Marquise</x:v>
      </x:c>
      <x:c r="C3716" t="str">
        <x:v>D</x:v>
      </x:c>
      <x:c r="D3716" t="str">
        <x:v>VVS1</x:v>
      </x:c>
      <x:c r="E3716" s="36" t="n">
        <x:v>241000</x:v>
      </x:c>
      <x:c r="F3716" s="36" t="n">
        <x:v>9555</x:v>
      </x:c>
      <x:c r="G3716" s="42" t="n">
        <x:v>2.0495495495495497</x:v>
      </x:c>
      <x:c r="H3716" s="36" t="n">
        <x:f>E3716*G3716</x:f>
        <x:v>493941.4414414415</x:v>
      </x:c>
      <x:c r="I3716" s="36" t="n">
        <x:f>IFERROR(H3716/A3716,0)</x:f>
        <x:v>82323.57357357358</x:v>
      </x:c>
      <x:c r="J3716" s="67" t="str">
        <x:v>Modeled from live base + Sep-2026 quality ratio</x:v>
      </x:c>
      <x:c r="K3716" s="67" t="str">
        <x:v>https://www.stonealgo.com/diamond-prices/</x:v>
      </x:c>
      <x:c r="L3716" s="67" t="str">
        <x:v>https://www.pricescope.com/blog/natural-diamond-prices-september-2026</x:v>
      </x:c>
    </x:row>
    <x:row r="3717">
      <x:c r="A3717" t="n">
        <x:v>6</x:v>
      </x:c>
      <x:c r="B3717" t="str">
        <x:v>Marquise</x:v>
      </x:c>
      <x:c r="C3717" t="str">
        <x:v>D</x:v>
      </x:c>
      <x:c r="D3717" t="str">
        <x:v>VVS2</x:v>
      </x:c>
      <x:c r="E3717" s="36" t="n">
        <x:v>241000</x:v>
      </x:c>
      <x:c r="F3717" s="36" t="n">
        <x:v>6660</x:v>
      </x:c>
      <x:c r="G3717" s="42" t="n">
        <x:v>1.4285714285714286</x:v>
      </x:c>
      <x:c r="H3717" s="36" t="n">
        <x:f>E3717*G3717</x:f>
        <x:v>344285.7142857143</x:v>
      </x:c>
      <x:c r="I3717" s="36" t="n">
        <x:f>IFERROR(H3717/A3717,0)</x:f>
        <x:v>57380.95238095239</x:v>
      </x:c>
      <x:c r="J3717" s="67" t="str">
        <x:v>Modeled from live base + Sep-2026 quality ratio</x:v>
      </x:c>
      <x:c r="K3717" s="67" t="str">
        <x:v>https://www.stonealgo.com/diamond-prices/</x:v>
      </x:c>
      <x:c r="L3717" s="67" t="str">
        <x:v>https://www.pricescope.com/blog/natural-diamond-prices-september-2026</x:v>
      </x:c>
    </x:row>
    <x:row r="3718">
      <x:c r="A3718" t="n">
        <x:v>6</x:v>
      </x:c>
      <x:c r="B3718" t="str">
        <x:v>Marquise</x:v>
      </x:c>
      <x:c r="C3718" t="str">
        <x:v>D</x:v>
      </x:c>
      <x:c r="D3718" t="str">
        <x:v>VS1</x:v>
      </x:c>
      <x:c r="E3718" s="36" t="n">
        <x:v>241000</x:v>
      </x:c>
      <x:c r="F3718" s="36" t="n">
        <x:v>6247</x:v>
      </x:c>
      <x:c r="G3718" s="42" t="n">
        <x:v>1.33998283998284</x:v>
      </x:c>
      <x:c r="H3718" s="36" t="n">
        <x:f>E3718*G3718</x:f>
        <x:v>322935.86443586444</x:v>
      </x:c>
      <x:c r="I3718" s="36" t="n">
        <x:f>IFERROR(H3718/A3718,0)</x:f>
        <x:v>53822.64407264407</x:v>
      </x:c>
      <x:c r="J3718" s="67" t="str">
        <x:v>Modeled from live base + Sep-2026 quality ratio</x:v>
      </x:c>
      <x:c r="K3718" s="67" t="str">
        <x:v>https://www.stonealgo.com/diamond-prices/</x:v>
      </x:c>
      <x:c r="L3718" s="67" t="str">
        <x:v>https://www.pricescope.com/blog/natural-diamond-prices-september-2026</x:v>
      </x:c>
    </x:row>
    <x:row r="3719">
      <x:c r="A3719" t="n">
        <x:v>6</x:v>
      </x:c>
      <x:c r="B3719" t="str">
        <x:v>Marquise</x:v>
      </x:c>
      <x:c r="C3719" t="str">
        <x:v>D</x:v>
      </x:c>
      <x:c r="D3719" t="str">
        <x:v>VS2</x:v>
      </x:c>
      <x:c r="E3719" s="36" t="n">
        <x:v>241000</x:v>
      </x:c>
      <x:c r="F3719" s="36" t="n">
        <x:v>5841</x:v>
      </x:c>
      <x:c r="G3719" s="42" t="n">
        <x:v>1.252895752895753</x:v>
      </x:c>
      <x:c r="H3719" s="36" t="n">
        <x:f>E3719*G3719</x:f>
        <x:v>301947.87644787645</x:v>
      </x:c>
      <x:c r="I3719" s="36" t="n">
        <x:f>IFERROR(H3719/A3719,0)</x:f>
        <x:v>50324.64607464607</x:v>
      </x:c>
      <x:c r="J3719" s="67" t="str">
        <x:v>Modeled from live base + Sep-2026 quality ratio</x:v>
      </x:c>
      <x:c r="K3719" s="67" t="str">
        <x:v>https://www.stonealgo.com/diamond-prices/</x:v>
      </x:c>
      <x:c r="L3719" s="67" t="str">
        <x:v>https://www.pricescope.com/blog/natural-diamond-prices-september-2026</x:v>
      </x:c>
    </x:row>
    <x:row r="3720">
      <x:c r="A3720" t="n">
        <x:v>6</x:v>
      </x:c>
      <x:c r="B3720" t="str">
        <x:v>Marquise</x:v>
      </x:c>
      <x:c r="C3720" t="str">
        <x:v>D</x:v>
      </x:c>
      <x:c r="D3720" t="str">
        <x:v>SI1</x:v>
      </x:c>
      <x:c r="E3720" s="36" t="n">
        <x:v>241000</x:v>
      </x:c>
      <x:c r="F3720" s="36" t="n">
        <x:v>3762</x:v>
      </x:c>
      <x:c r="G3720" s="42" t="n">
        <x:v>0.806949806949807</x:v>
      </x:c>
      <x:c r="H3720" s="36" t="n">
        <x:f>E3720*G3720</x:f>
        <x:v>194474.9034749035</x:v>
      </x:c>
      <x:c r="I3720" s="36" t="n">
        <x:f>IFERROR(H3720/A3720,0)</x:f>
        <x:v>32412.483912483916</x:v>
      </x:c>
      <x:c r="J3720" s="67" t="str">
        <x:v>Modeled from live base + Sep-2026 quality ratio</x:v>
      </x:c>
      <x:c r="K3720" s="67" t="str">
        <x:v>https://www.stonealgo.com/diamond-prices/</x:v>
      </x:c>
      <x:c r="L3720" s="67" t="str">
        <x:v>https://www.pricescope.com/blog/natural-diamond-prices-september-2026</x:v>
      </x:c>
    </x:row>
    <x:row r="3721">
      <x:c r="A3721" t="n">
        <x:v>6</x:v>
      </x:c>
      <x:c r="B3721" t="str">
        <x:v>Marquise</x:v>
      </x:c>
      <x:c r="C3721" t="str">
        <x:v>D</x:v>
      </x:c>
      <x:c r="D3721" t="str">
        <x:v>SI2</x:v>
      </x:c>
      <x:c r="E3721" s="36" t="n">
        <x:v>241000</x:v>
      </x:c>
      <x:c r="F3721" s="36" t="n">
        <x:v>3026</x:v>
      </x:c>
      <x:c r="G3721" s="42" t="n">
        <x:v>0.6490776490776491</x:v>
      </x:c>
      <x:c r="H3721" s="36" t="n">
        <x:f>E3721*G3721</x:f>
        <x:v>156427.71342771343</x:v>
      </x:c>
      <x:c r="I3721" s="36" t="n">
        <x:f>IFERROR(H3721/A3721,0)</x:f>
        <x:v>26071.28557128557</x:v>
      </x:c>
      <x:c r="J3721" s="67" t="str">
        <x:v>Modeled from live base + Sep-2026 quality ratio</x:v>
      </x:c>
      <x:c r="K3721" s="67" t="str">
        <x:v>https://www.stonealgo.com/diamond-prices/</x:v>
      </x:c>
      <x:c r="L3721" s="67" t="str">
        <x:v>https://www.pricescope.com/blog/natural-diamond-prices-september-2026</x:v>
      </x:c>
    </x:row>
    <x:row r="3722">
      <x:c r="A3722" t="n">
        <x:v>6</x:v>
      </x:c>
      <x:c r="B3722" t="str">
        <x:v>Marquise</x:v>
      </x:c>
      <x:c r="C3722" t="str">
        <x:v>E</x:v>
      </x:c>
      <x:c r="D3722" t="str">
        <x:v>FL</x:v>
      </x:c>
      <x:c r="E3722" s="36" t="n">
        <x:v>241000</x:v>
      </x:c>
      <x:c r="F3722" s="36" t="n">
        <x:v>10072</x:v>
      </x:c>
      <x:c r="G3722" s="42" t="n">
        <x:v>2.1604461604461602</x:v>
      </x:c>
      <x:c r="H3722" s="36" t="n">
        <x:f>E3722*G3722</x:f>
        <x:v>520667.5246675246</x:v>
      </x:c>
      <x:c r="I3722" s="36" t="n">
        <x:f>IFERROR(H3722/A3722,0)</x:f>
        <x:v>86777.92077792076</x:v>
      </x:c>
      <x:c r="J3722" s="67" t="str">
        <x:v>Modeled from live base + Sep-2026 quality ratio</x:v>
      </x:c>
      <x:c r="K3722" s="67" t="str">
        <x:v>https://www.stonealgo.com/diamond-prices/</x:v>
      </x:c>
      <x:c r="L3722" s="67" t="str">
        <x:v>https://www.pricescope.com/blog/natural-diamond-prices-september-2026</x:v>
      </x:c>
    </x:row>
    <x:row r="3723">
      <x:c r="A3723" t="n">
        <x:v>6</x:v>
      </x:c>
      <x:c r="B3723" t="str">
        <x:v>Marquise</x:v>
      </x:c>
      <x:c r="C3723" t="str">
        <x:v>E</x:v>
      </x:c>
      <x:c r="D3723" t="str">
        <x:v>IF</x:v>
      </x:c>
      <x:c r="E3723" s="36" t="n">
        <x:v>241000</x:v>
      </x:c>
      <x:c r="F3723" s="36" t="n">
        <x:v>8672</x:v>
      </x:c>
      <x:c r="G3723" s="42" t="n">
        <x:v>1.8601458601458603</x:v>
      </x:c>
      <x:c r="H3723" s="36" t="n">
        <x:f>E3723*G3723</x:f>
        <x:v>448295.1522951523</x:v>
      </x:c>
      <x:c r="I3723" s="36" t="n">
        <x:f>IFERROR(H3723/A3723,0)</x:f>
        <x:v>74715.85871585872</x:v>
      </x:c>
      <x:c r="J3723" s="67" t="str">
        <x:v>Modeled from live base + Sep-2026 quality ratio</x:v>
      </x:c>
      <x:c r="K3723" s="67" t="str">
        <x:v>https://www.stonealgo.com/diamond-prices/</x:v>
      </x:c>
      <x:c r="L3723" s="67" t="str">
        <x:v>https://www.pricescope.com/blog/natural-diamond-prices-september-2026</x:v>
      </x:c>
    </x:row>
    <x:row r="3724">
      <x:c r="A3724" t="n">
        <x:v>6</x:v>
      </x:c>
      <x:c r="B3724" t="str">
        <x:v>Marquise</x:v>
      </x:c>
      <x:c r="C3724" t="str">
        <x:v>E</x:v>
      </x:c>
      <x:c r="D3724" t="str">
        <x:v>VVS1</x:v>
      </x:c>
      <x:c r="E3724" s="36" t="n">
        <x:v>241000</x:v>
      </x:c>
      <x:c r="F3724" s="36" t="n">
        <x:v>7842</x:v>
      </x:c>
      <x:c r="G3724" s="42" t="n">
        <x:v>1.6821106821106822</x:v>
      </x:c>
      <x:c r="H3724" s="36" t="n">
        <x:f>E3724*G3724</x:f>
        <x:v>405388.6743886744</x:v>
      </x:c>
      <x:c r="I3724" s="36" t="n">
        <x:f>IFERROR(H3724/A3724,0)</x:f>
        <x:v>67564.77906477907</x:v>
      </x:c>
      <x:c r="J3724" s="67" t="str">
        <x:v>Modeled from live base + Sep-2026 quality ratio</x:v>
      </x:c>
      <x:c r="K3724" s="67" t="str">
        <x:v>https://www.stonealgo.com/diamond-prices/</x:v>
      </x:c>
      <x:c r="L3724" s="67" t="str">
        <x:v>https://www.pricescope.com/blog/natural-diamond-prices-september-2026</x:v>
      </x:c>
    </x:row>
    <x:row r="3725">
      <x:c r="A3725" t="n">
        <x:v>6</x:v>
      </x:c>
      <x:c r="B3725" t="str">
        <x:v>Marquise</x:v>
      </x:c>
      <x:c r="C3725" t="str">
        <x:v>E</x:v>
      </x:c>
      <x:c r="D3725" t="str">
        <x:v>VVS2</x:v>
      </x:c>
      <x:c r="E3725" s="36" t="n">
        <x:v>241000</x:v>
      </x:c>
      <x:c r="F3725" s="36" t="n">
        <x:v>6880</x:v>
      </x:c>
      <x:c r="G3725" s="42" t="n">
        <x:v>1.4757614757614759</x:v>
      </x:c>
      <x:c r="H3725" s="36" t="n">
        <x:f>E3725*G3725</x:f>
        <x:v>355658.5156585157</x:v>
      </x:c>
      <x:c r="I3725" s="36" t="n">
        <x:f>IFERROR(H3725/A3725,0)</x:f>
        <x:v>59276.41927641928</x:v>
      </x:c>
      <x:c r="J3725" s="67" t="str">
        <x:v>Modeled from live base + Sep-2026 quality ratio</x:v>
      </x:c>
      <x:c r="K3725" s="67" t="str">
        <x:v>https://www.stonealgo.com/diamond-prices/</x:v>
      </x:c>
      <x:c r="L3725" s="67" t="str">
        <x:v>https://www.pricescope.com/blog/natural-diamond-prices-september-2026</x:v>
      </x:c>
    </x:row>
    <x:row r="3726">
      <x:c r="A3726" t="n">
        <x:v>6</x:v>
      </x:c>
      <x:c r="B3726" t="str">
        <x:v>Marquise</x:v>
      </x:c>
      <x:c r="C3726" t="str">
        <x:v>E</x:v>
      </x:c>
      <x:c r="D3726" t="str">
        <x:v>VS1</x:v>
      </x:c>
      <x:c r="E3726" s="36" t="n">
        <x:v>241000</x:v>
      </x:c>
      <x:c r="F3726" s="36" t="n">
        <x:v>6307</x:v>
      </x:c>
      <x:c r="G3726" s="42" t="n">
        <x:v>1.352852852852853</x:v>
      </x:c>
      <x:c r="H3726" s="36" t="n">
        <x:f>E3726*G3726</x:f>
        <x:v>326037.5375375376</x:v>
      </x:c>
      <x:c r="I3726" s="36" t="n">
        <x:f>IFERROR(H3726/A3726,0)</x:f>
        <x:v>54339.589589589596</x:v>
      </x:c>
      <x:c r="J3726" s="67" t="str">
        <x:v>Modeled from live base + Sep-2026 quality ratio</x:v>
      </x:c>
      <x:c r="K3726" s="67" t="str">
        <x:v>https://www.stonealgo.com/diamond-prices/</x:v>
      </x:c>
      <x:c r="L3726" s="67" t="str">
        <x:v>https://www.pricescope.com/blog/natural-diamond-prices-september-2026</x:v>
      </x:c>
    </x:row>
    <x:row r="3727">
      <x:c r="A3727" t="n">
        <x:v>6</x:v>
      </x:c>
      <x:c r="B3727" t="str">
        <x:v>Marquise</x:v>
      </x:c>
      <x:c r="C3727" t="str">
        <x:v>E</x:v>
      </x:c>
      <x:c r="D3727" t="str">
        <x:v>VS2</x:v>
      </x:c>
      <x:c r="E3727" s="36" t="n">
        <x:v>241000</x:v>
      </x:c>
      <x:c r="F3727" s="36" t="n">
        <x:v>5249</x:v>
      </x:c>
      <x:c r="G3727" s="42" t="n">
        <x:v>1.125911625911626</x:v>
      </x:c>
      <x:c r="H3727" s="36" t="n">
        <x:f>E3727*G3727</x:f>
        <x:v>271344.70184470183</x:v>
      </x:c>
      <x:c r="I3727" s="36" t="n">
        <x:f>IFERROR(H3727/A3727,0)</x:f>
        <x:v>45224.11697411697</x:v>
      </x:c>
      <x:c r="J3727" s="67" t="str">
        <x:v>Modeled from live base + Sep-2026 quality ratio</x:v>
      </x:c>
      <x:c r="K3727" s="67" t="str">
        <x:v>https://www.stonealgo.com/diamond-prices/</x:v>
      </x:c>
      <x:c r="L3727" s="67" t="str">
        <x:v>https://www.pricescope.com/blog/natural-diamond-prices-september-2026</x:v>
      </x:c>
    </x:row>
    <x:row r="3728">
      <x:c r="A3728" t="n">
        <x:v>6</x:v>
      </x:c>
      <x:c r="B3728" t="str">
        <x:v>Marquise</x:v>
      </x:c>
      <x:c r="C3728" t="str">
        <x:v>E</x:v>
      </x:c>
      <x:c r="D3728" t="str">
        <x:v>SI1</x:v>
      </x:c>
      <x:c r="E3728" s="36" t="n">
        <x:v>241000</x:v>
      </x:c>
      <x:c r="F3728" s="36" t="n">
        <x:v>3551</x:v>
      </x:c>
      <x:c r="G3728" s="42" t="n">
        <x:v>0.7616902616902617</x:v>
      </x:c>
      <x:c r="H3728" s="36" t="n">
        <x:f>E3728*G3728</x:f>
        <x:v>183567.35306735305</x:v>
      </x:c>
      <x:c r="I3728" s="36" t="n">
        <x:f>IFERROR(H3728/A3728,0)</x:f>
        <x:v>30594.55884455884</x:v>
      </x:c>
      <x:c r="J3728" s="67" t="str">
        <x:v>Modeled from live base + Sep-2026 quality ratio</x:v>
      </x:c>
      <x:c r="K3728" s="67" t="str">
        <x:v>https://www.stonealgo.com/diamond-prices/</x:v>
      </x:c>
      <x:c r="L3728" s="67" t="str">
        <x:v>https://www.pricescope.com/blog/natural-diamond-prices-september-2026</x:v>
      </x:c>
    </x:row>
    <x:row r="3729">
      <x:c r="A3729" t="n">
        <x:v>6</x:v>
      </x:c>
      <x:c r="B3729" t="str">
        <x:v>Marquise</x:v>
      </x:c>
      <x:c r="C3729" t="str">
        <x:v>E</x:v>
      </x:c>
      <x:c r="D3729" t="str">
        <x:v>SI2</x:v>
      </x:c>
      <x:c r="E3729" s="36" t="n">
        <x:v>241000</x:v>
      </x:c>
      <x:c r="F3729" s="36" t="n">
        <x:v>2993</x:v>
      </x:c>
      <x:c r="G3729" s="42" t="n">
        <x:v>0.641999141999142</x:v>
      </x:c>
      <x:c r="H3729" s="36" t="n">
        <x:f>E3729*G3729</x:f>
        <x:v>154721.79322179322</x:v>
      </x:c>
      <x:c r="I3729" s="36" t="n">
        <x:f>IFERROR(H3729/A3729,0)</x:f>
        <x:v>25786.965536965537</x:v>
      </x:c>
      <x:c r="J3729" s="67" t="str">
        <x:v>Modeled from live base + Sep-2026 quality ratio</x:v>
      </x:c>
      <x:c r="K3729" s="67" t="str">
        <x:v>https://www.stonealgo.com/diamond-prices/</x:v>
      </x:c>
      <x:c r="L3729" s="67" t="str">
        <x:v>https://www.pricescope.com/blog/natural-diamond-prices-september-2026</x:v>
      </x:c>
    </x:row>
    <x:row r="3730">
      <x:c r="A3730" t="n">
        <x:v>6</x:v>
      </x:c>
      <x:c r="B3730" t="str">
        <x:v>Marquise</x:v>
      </x:c>
      <x:c r="C3730" t="str">
        <x:v>F</x:v>
      </x:c>
      <x:c r="D3730" t="str">
        <x:v>FL</x:v>
      </x:c>
      <x:c r="E3730" s="36" t="n">
        <x:v>241000</x:v>
      </x:c>
      <x:c r="F3730" s="36" t="n">
        <x:v>6830</x:v>
      </x:c>
      <x:c r="G3730" s="42" t="n">
        <x:v>1.4650364650364651</x:v>
      </x:c>
      <x:c r="H3730" s="36" t="n">
        <x:f>E3730*G3730</x:f>
        <x:v>353073.7880737881</x:v>
      </x:c>
      <x:c r="I3730" s="36" t="n">
        <x:f>IFERROR(H3730/A3730,0)</x:f>
        <x:v>58845.63134563135</x:v>
      </x:c>
      <x:c r="J3730" s="67" t="str">
        <x:v>Modeled from live base + Sep-2026 quality ratio</x:v>
      </x:c>
      <x:c r="K3730" s="67" t="str">
        <x:v>https://www.stonealgo.com/diamond-prices/</x:v>
      </x:c>
      <x:c r="L3730" s="67" t="str">
        <x:v>https://www.pricescope.com/blog/natural-diamond-prices-september-2026</x:v>
      </x:c>
    </x:row>
    <x:row r="3731">
      <x:c r="A3731" t="n">
        <x:v>6</x:v>
      </x:c>
      <x:c r="B3731" t="str">
        <x:v>Marquise</x:v>
      </x:c>
      <x:c r="C3731" t="str">
        <x:v>F</x:v>
      </x:c>
      <x:c r="D3731" t="str">
        <x:v>IF</x:v>
      </x:c>
      <x:c r="E3731" s="36" t="n">
        <x:v>241000</x:v>
      </x:c>
      <x:c r="F3731" s="36" t="n">
        <x:v>7302</x:v>
      </x:c>
      <x:c r="G3731" s="42" t="n">
        <x:v>1.5662805662805663</x:v>
      </x:c>
      <x:c r="H3731" s="36" t="n">
        <x:f>E3731*G3731</x:f>
        <x:v>377473.6164736165</x:v>
      </x:c>
      <x:c r="I3731" s="36" t="n">
        <x:f>IFERROR(H3731/A3731,0)</x:f>
        <x:v>62912.269412269416</x:v>
      </x:c>
      <x:c r="J3731" s="67" t="str">
        <x:v>Modeled from live base + Sep-2026 quality ratio</x:v>
      </x:c>
      <x:c r="K3731" s="67" t="str">
        <x:v>https://www.stonealgo.com/diamond-prices/</x:v>
      </x:c>
      <x:c r="L3731" s="67" t="str">
        <x:v>https://www.pricescope.com/blog/natural-diamond-prices-september-2026</x:v>
      </x:c>
    </x:row>
    <x:row r="3732">
      <x:c r="A3732" t="n">
        <x:v>6</x:v>
      </x:c>
      <x:c r="B3732" t="str">
        <x:v>Marquise</x:v>
      </x:c>
      <x:c r="C3732" t="str">
        <x:v>F</x:v>
      </x:c>
      <x:c r="D3732" t="str">
        <x:v>VVS1</x:v>
      </x:c>
      <x:c r="E3732" s="36" t="n">
        <x:v>241000</x:v>
      </x:c>
      <x:c r="F3732" s="36" t="n">
        <x:v>7542</x:v>
      </x:c>
      <x:c r="G3732" s="42" t="n">
        <x:v>1.6177606177606179</x:v>
      </x:c>
      <x:c r="H3732" s="36" t="n">
        <x:f>E3732*G3732</x:f>
        <x:v>389880.3088803089</x:v>
      </x:c>
      <x:c r="I3732" s="36" t="n">
        <x:f>IFERROR(H3732/A3732,0)</x:f>
        <x:v>64980.05148005148</x:v>
      </x:c>
      <x:c r="J3732" s="67" t="str">
        <x:v>Modeled from live base + Sep-2026 quality ratio</x:v>
      </x:c>
      <x:c r="K3732" s="67" t="str">
        <x:v>https://www.stonealgo.com/diamond-prices/</x:v>
      </x:c>
      <x:c r="L3732" s="67" t="str">
        <x:v>https://www.pricescope.com/blog/natural-diamond-prices-september-2026</x:v>
      </x:c>
    </x:row>
    <x:row r="3733">
      <x:c r="A3733" t="n">
        <x:v>6</x:v>
      </x:c>
      <x:c r="B3733" t="str">
        <x:v>Marquise</x:v>
      </x:c>
      <x:c r="C3733" t="str">
        <x:v>F</x:v>
      </x:c>
      <x:c r="D3733" t="str">
        <x:v>VVS2</x:v>
      </x:c>
      <x:c r="E3733" s="36" t="n">
        <x:v>241000</x:v>
      </x:c>
      <x:c r="F3733" s="36" t="n">
        <x:v>6352</x:v>
      </x:c>
      <x:c r="G3733" s="42" t="n">
        <x:v>1.3625053625053625</x:v>
      </x:c>
      <x:c r="H3733" s="36" t="n">
        <x:f>E3733*G3733</x:f>
        <x:v>328363.79236379237</x:v>
      </x:c>
      <x:c r="I3733" s="36" t="n">
        <x:f>IFERROR(H3733/A3733,0)</x:f>
        <x:v>54727.29872729873</x:v>
      </x:c>
      <x:c r="J3733" s="67" t="str">
        <x:v>Modeled from live base + Sep-2026 quality ratio</x:v>
      </x:c>
      <x:c r="K3733" s="67" t="str">
        <x:v>https://www.stonealgo.com/diamond-prices/</x:v>
      </x:c>
      <x:c r="L3733" s="67" t="str">
        <x:v>https://www.pricescope.com/blog/natural-diamond-prices-september-2026</x:v>
      </x:c>
    </x:row>
    <x:row r="3734">
      <x:c r="A3734" t="n">
        <x:v>6</x:v>
      </x:c>
      <x:c r="B3734" t="str">
        <x:v>Marquise</x:v>
      </x:c>
      <x:c r="C3734" t="str">
        <x:v>F</x:v>
      </x:c>
      <x:c r="D3734" t="str">
        <x:v>VS1</x:v>
      </x:c>
      <x:c r="E3734" s="36" t="n">
        <x:v>241000</x:v>
      </x:c>
      <x:c r="F3734" s="36" t="n">
        <x:v>5647</x:v>
      </x:c>
      <x:c r="G3734" s="42" t="n">
        <x:v>1.2112827112827114</x:v>
      </x:c>
      <x:c r="H3734" s="36" t="n">
        <x:f>E3734*G3734</x:f>
        <x:v>291919.13341913343</x:v>
      </x:c>
      <x:c r="I3734" s="36" t="n">
        <x:f>IFERROR(H3734/A3734,0)</x:f>
        <x:v>48653.18890318891</x:v>
      </x:c>
      <x:c r="J3734" s="67" t="str">
        <x:v>Modeled from live base + Sep-2026 quality ratio</x:v>
      </x:c>
      <x:c r="K3734" s="67" t="str">
        <x:v>https://www.stonealgo.com/diamond-prices/</x:v>
      </x:c>
      <x:c r="L3734" s="67" t="str">
        <x:v>https://www.pricescope.com/blog/natural-diamond-prices-september-2026</x:v>
      </x:c>
    </x:row>
    <x:row r="3735">
      <x:c r="A3735" t="n">
        <x:v>6</x:v>
      </x:c>
      <x:c r="B3735" t="str">
        <x:v>Marquise</x:v>
      </x:c>
      <x:c r="C3735" t="str">
        <x:v>F</x:v>
      </x:c>
      <x:c r="D3735" t="str">
        <x:v>VS2</x:v>
      </x:c>
      <x:c r="E3735" s="36" t="n">
        <x:v>241000</x:v>
      </x:c>
      <x:c r="F3735" s="36" t="n">
        <x:v>4730</x:v>
      </x:c>
      <x:c r="G3735" s="42" t="n">
        <x:v>1.0145860145860146</x:v>
      </x:c>
      <x:c r="H3735" s="36" t="n">
        <x:f>E3735*G3735</x:f>
        <x:v>244515.22951522953</x:v>
      </x:c>
      <x:c r="I3735" s="36" t="n">
        <x:f>IFERROR(H3735/A3735,0)</x:f>
        <x:v>40752.53825253825</x:v>
      </x:c>
      <x:c r="J3735" s="67" t="str">
        <x:v>Modeled from live base + Sep-2026 quality ratio</x:v>
      </x:c>
      <x:c r="K3735" s="67" t="str">
        <x:v>https://www.stonealgo.com/diamond-prices/</x:v>
      </x:c>
      <x:c r="L3735" s="67" t="str">
        <x:v>https://www.pricescope.com/blog/natural-diamond-prices-september-2026</x:v>
      </x:c>
    </x:row>
    <x:row r="3736">
      <x:c r="A3736" t="n">
        <x:v>6</x:v>
      </x:c>
      <x:c r="B3736" t="str">
        <x:v>Marquise</x:v>
      </x:c>
      <x:c r="C3736" t="str">
        <x:v>F</x:v>
      </x:c>
      <x:c r="D3736" t="str">
        <x:v>SI1</x:v>
      </x:c>
      <x:c r="E3736" s="36" t="n">
        <x:v>241000</x:v>
      </x:c>
      <x:c r="F3736" s="36" t="n">
        <x:v>3331</x:v>
      </x:c>
      <x:c r="G3736" s="42" t="n">
        <x:v>0.7145002145002145</x:v>
      </x:c>
      <x:c r="H3736" s="36" t="n">
        <x:f>E3736*G3736</x:f>
        <x:v>172194.5516945517</x:v>
      </x:c>
      <x:c r="I3736" s="36" t="n">
        <x:f>IFERROR(H3736/A3736,0)</x:f>
        <x:v>28699.091949091948</x:v>
      </x:c>
      <x:c r="J3736" s="67" t="str">
        <x:v>Modeled from live base + Sep-2026 quality ratio</x:v>
      </x:c>
      <x:c r="K3736" s="67" t="str">
        <x:v>https://www.stonealgo.com/diamond-prices/</x:v>
      </x:c>
      <x:c r="L3736" s="67" t="str">
        <x:v>https://www.pricescope.com/blog/natural-diamond-prices-september-2026</x:v>
      </x:c>
    </x:row>
    <x:row r="3737">
      <x:c r="A3737" t="n">
        <x:v>6</x:v>
      </x:c>
      <x:c r="B3737" t="str">
        <x:v>Marquise</x:v>
      </x:c>
      <x:c r="C3737" t="str">
        <x:v>F</x:v>
      </x:c>
      <x:c r="D3737" t="str">
        <x:v>SI2</x:v>
      </x:c>
      <x:c r="E3737" s="36" t="n">
        <x:v>241000</x:v>
      </x:c>
      <x:c r="F3737" s="36" t="n">
        <x:v>2733</x:v>
      </x:c>
      <x:c r="G3737" s="42" t="n">
        <x:v>0.5862290862290862</x:v>
      </x:c>
      <x:c r="H3737" s="36" t="n">
        <x:f>E3737*G3737</x:f>
        <x:v>141281.20978120976</x:v>
      </x:c>
      <x:c r="I3737" s="36" t="n">
        <x:f>IFERROR(H3737/A3737,0)</x:f>
        <x:v>23546.868296868295</x:v>
      </x:c>
      <x:c r="J3737" s="67" t="str">
        <x:v>Modeled from live base + Sep-2026 quality ratio</x:v>
      </x:c>
      <x:c r="K3737" s="67" t="str">
        <x:v>https://www.stonealgo.com/diamond-prices/</x:v>
      </x:c>
      <x:c r="L3737" s="67" t="str">
        <x:v>https://www.pricescope.com/blog/natural-diamond-prices-september-2026</x:v>
      </x:c>
    </x:row>
    <x:row r="3738">
      <x:c r="A3738" t="n">
        <x:v>6</x:v>
      </x:c>
      <x:c r="B3738" t="str">
        <x:v>Marquise</x:v>
      </x:c>
      <x:c r="C3738" t="str">
        <x:v>G</x:v>
      </x:c>
      <x:c r="D3738" t="str">
        <x:v>FL</x:v>
      </x:c>
      <x:c r="E3738" s="36" t="n">
        <x:v>241000</x:v>
      </x:c>
      <x:c r="F3738" s="36" t="n">
        <x:v>5905</x:v>
      </x:c>
      <x:c r="G3738" s="42" t="n">
        <x:v>1.2666237666237665</x:v>
      </x:c>
      <x:c r="H3738" s="36" t="n">
        <x:f>E3738*G3738</x:f>
        <x:v>305256.32775632775</x:v>
      </x:c>
      <x:c r="I3738" s="36" t="n">
        <x:f>IFERROR(H3738/A3738,0)</x:f>
        <x:v>50876.054626054625</x:v>
      </x:c>
      <x:c r="J3738" s="67" t="str">
        <x:v>Modeled from live base + Sep-2026 quality ratio</x:v>
      </x:c>
      <x:c r="K3738" s="67" t="str">
        <x:v>https://www.stonealgo.com/diamond-prices/</x:v>
      </x:c>
      <x:c r="L3738" s="67" t="str">
        <x:v>https://www.pricescope.com/blog/natural-diamond-prices-september-2026</x:v>
      </x:c>
    </x:row>
    <x:row r="3739">
      <x:c r="A3739" t="n">
        <x:v>6</x:v>
      </x:c>
      <x:c r="B3739" t="str">
        <x:v>Marquise</x:v>
      </x:c>
      <x:c r="C3739" t="str">
        <x:v>G</x:v>
      </x:c>
      <x:c r="D3739" t="str">
        <x:v>IF</x:v>
      </x:c>
      <x:c r="E3739" s="36" t="n">
        <x:v>241000</x:v>
      </x:c>
      <x:c r="F3739" s="36" t="n">
        <x:v>5601</x:v>
      </x:c>
      <x:c r="G3739" s="42" t="n">
        <x:v>1.2014157014157014</x:v>
      </x:c>
      <x:c r="H3739" s="36" t="n">
        <x:f>E3739*G3739</x:f>
        <x:v>289541.184041184</x:v>
      </x:c>
      <x:c r="I3739" s="36" t="n">
        <x:f>IFERROR(H3739/A3739,0)</x:f>
        <x:v>48256.864006864</x:v>
      </x:c>
      <x:c r="J3739" s="67" t="str">
        <x:v>Modeled from live base + Sep-2026 quality ratio</x:v>
      </x:c>
      <x:c r="K3739" s="67" t="str">
        <x:v>https://www.stonealgo.com/diamond-prices/</x:v>
      </x:c>
      <x:c r="L3739" s="67" t="str">
        <x:v>https://www.pricescope.com/blog/natural-diamond-prices-september-2026</x:v>
      </x:c>
    </x:row>
    <x:row r="3740">
      <x:c r="A3740" t="n">
        <x:v>6</x:v>
      </x:c>
      <x:c r="B3740" t="str">
        <x:v>Marquise</x:v>
      </x:c>
      <x:c r="C3740" t="str">
        <x:v>G</x:v>
      </x:c>
      <x:c r="D3740" t="str">
        <x:v>VVS1</x:v>
      </x:c>
      <x:c r="E3740" s="36" t="n">
        <x:v>241000</x:v>
      </x:c>
      <x:c r="F3740" s="36" t="n">
        <x:v>5124</x:v>
      </x:c>
      <x:c r="G3740" s="42" t="n">
        <x:v>1.0990990990990992</x:v>
      </x:c>
      <x:c r="H3740" s="36" t="n">
        <x:f>E3740*G3740</x:f>
        <x:v>264882.8828828829</x:v>
      </x:c>
      <x:c r="I3740" s="36" t="n">
        <x:f>IFERROR(H3740/A3740,0)</x:f>
        <x:v>44147.14714714715</x:v>
      </x:c>
      <x:c r="J3740" s="67" t="str">
        <x:v>Modeled from live base + Sep-2026 quality ratio</x:v>
      </x:c>
      <x:c r="K3740" s="67" t="str">
        <x:v>https://www.stonealgo.com/diamond-prices/</x:v>
      </x:c>
      <x:c r="L3740" s="67" t="str">
        <x:v>https://www.pricescope.com/blog/natural-diamond-prices-september-2026</x:v>
      </x:c>
    </x:row>
    <x:row r="3741">
      <x:c r="A3741" t="n">
        <x:v>6</x:v>
      </x:c>
      <x:c r="B3741" t="str">
        <x:v>Marquise</x:v>
      </x:c>
      <x:c r="C3741" t="str">
        <x:v>G</x:v>
      </x:c>
      <x:c r="D3741" t="str">
        <x:v>VVS2</x:v>
      </x:c>
      <x:c r="E3741" s="36" t="n">
        <x:v>241000</x:v>
      </x:c>
      <x:c r="F3741" s="36" t="n">
        <x:v>4962</x:v>
      </x:c>
      <x:c r="G3741" s="42" t="n">
        <x:v>1.0643500643500643</x:v>
      </x:c>
      <x:c r="H3741" s="36" t="n">
        <x:f>E3741*G3741</x:f>
        <x:v>256508.3655083655</x:v>
      </x:c>
      <x:c r="I3741" s="36" t="n">
        <x:f>IFERROR(H3741/A3741,0)</x:f>
        <x:v>42751.39425139425</x:v>
      </x:c>
      <x:c r="J3741" s="67" t="str">
        <x:v>Modeled from live base + Sep-2026 quality ratio</x:v>
      </x:c>
      <x:c r="K3741" s="67" t="str">
        <x:v>https://www.stonealgo.com/diamond-prices/</x:v>
      </x:c>
      <x:c r="L3741" s="67" t="str">
        <x:v>https://www.pricescope.com/blog/natural-diamond-prices-september-2026</x:v>
      </x:c>
    </x:row>
    <x:row r="3742">
      <x:c r="A3742" t="n">
        <x:v>6</x:v>
      </x:c>
      <x:c r="B3742" t="str">
        <x:v>Marquise</x:v>
      </x:c>
      <x:c r="C3742" t="str">
        <x:v>G</x:v>
      </x:c>
      <x:c r="D3742" t="str">
        <x:v>VS1</x:v>
      </x:c>
      <x:c r="E3742" s="36" t="n">
        <x:v>241000</x:v>
      </x:c>
      <x:c r="F3742" s="36" t="n">
        <x:v>4615</x:v>
      </x:c>
      <x:c r="G3742" s="42" t="n">
        <x:v>0.98991848991849</x:v>
      </x:c>
      <x:c r="H3742" s="36" t="n">
        <x:f>E3742*G3742</x:f>
        <x:v>238570.3560703561</x:v>
      </x:c>
      <x:c r="I3742" s="36" t="n">
        <x:f>IFERROR(H3742/A3742,0)</x:f>
        <x:v>39761.726011726016</x:v>
      </x:c>
      <x:c r="J3742" s="67" t="str">
        <x:v>Modeled from live base + Sep-2026 quality ratio</x:v>
      </x:c>
      <x:c r="K3742" s="67" t="str">
        <x:v>https://www.stonealgo.com/diamond-prices/</x:v>
      </x:c>
      <x:c r="L3742" s="67" t="str">
        <x:v>https://www.pricescope.com/blog/natural-diamond-prices-september-2026</x:v>
      </x:c>
    </x:row>
    <x:row r="3743">
      <x:c r="A3743" t="n">
        <x:v>6</x:v>
      </x:c>
      <x:c r="B3743" t="str">
        <x:v>Marquise</x:v>
      </x:c>
      <x:c r="C3743" t="str">
        <x:v>G</x:v>
      </x:c>
      <x:c r="D3743" t="str">
        <x:v>VS2</x:v>
      </x:c>
      <x:c r="E3743" s="36" t="n">
        <x:v>241000</x:v>
      </x:c>
      <x:c r="F3743" s="36" t="n">
        <x:v>4585</x:v>
      </x:c>
      <x:c r="G3743" s="42" t="n">
        <x:v>0.9834834834834835</x:v>
      </x:c>
      <x:c r="H3743" s="36" t="n">
        <x:f>E3743*G3743</x:f>
        <x:v>237019.51951951953</x:v>
      </x:c>
      <x:c r="I3743" s="36" t="n">
        <x:f>IFERROR(H3743/A3743,0)</x:f>
        <x:v>39503.25325325326</x:v>
      </x:c>
      <x:c r="J3743" s="67" t="str">
        <x:v>Modeled from live base + Sep-2026 quality ratio</x:v>
      </x:c>
      <x:c r="K3743" s="67" t="str">
        <x:v>https://www.stonealgo.com/diamond-prices/</x:v>
      </x:c>
      <x:c r="L3743" s="67" t="str">
        <x:v>https://www.pricescope.com/blog/natural-diamond-prices-september-2026</x:v>
      </x:c>
    </x:row>
    <x:row r="3744">
      <x:c r="A3744" t="n">
        <x:v>6</x:v>
      </x:c>
      <x:c r="B3744" t="str">
        <x:v>Marquise</x:v>
      </x:c>
      <x:c r="C3744" t="str">
        <x:v>G</x:v>
      </x:c>
      <x:c r="D3744" t="str">
        <x:v>SI1</x:v>
      </x:c>
      <x:c r="E3744" s="36" t="n">
        <x:v>241000</x:v>
      </x:c>
      <x:c r="F3744" s="36" t="n">
        <x:v>3664</x:v>
      </x:c>
      <x:c r="G3744" s="42" t="n">
        <x:v>0.7859287859287859</x:v>
      </x:c>
      <x:c r="H3744" s="36" t="n">
        <x:f>E3744*G3744</x:f>
        <x:v>189408.8374088374</x:v>
      </x:c>
      <x:c r="I3744" s="36" t="n">
        <x:f>IFERROR(H3744/A3744,0)</x:f>
        <x:v>31568.139568139566</x:v>
      </x:c>
      <x:c r="J3744" s="67" t="str">
        <x:v>Modeled from live base + Sep-2026 quality ratio</x:v>
      </x:c>
      <x:c r="K3744" s="67" t="str">
        <x:v>https://www.stonealgo.com/diamond-prices/</x:v>
      </x:c>
      <x:c r="L3744" s="67" t="str">
        <x:v>https://www.pricescope.com/blog/natural-diamond-prices-september-2026</x:v>
      </x:c>
    </x:row>
    <x:row r="3745">
      <x:c r="A3745" t="n">
        <x:v>6</x:v>
      </x:c>
      <x:c r="B3745" t="str">
        <x:v>Marquise</x:v>
      </x:c>
      <x:c r="C3745" t="str">
        <x:v>G</x:v>
      </x:c>
      <x:c r="D3745" t="str">
        <x:v>SI2</x:v>
      </x:c>
      <x:c r="E3745" s="36" t="n">
        <x:v>241000</x:v>
      </x:c>
      <x:c r="F3745" s="36" t="n">
        <x:v>2537</x:v>
      </x:c>
      <x:c r="G3745" s="42" t="n">
        <x:v>0.5441870441870442</x:v>
      </x:c>
      <x:c r="H3745" s="36" t="n">
        <x:f>E3745*G3745</x:f>
        <x:v>131149.07764907766</x:v>
      </x:c>
      <x:c r="I3745" s="36" t="n">
        <x:f>IFERROR(H3745/A3745,0)</x:f>
        <x:v>21858.17960817961</x:v>
      </x:c>
      <x:c r="J3745" s="67" t="str">
        <x:v>Modeled from live base + Sep-2026 quality ratio</x:v>
      </x:c>
      <x:c r="K3745" s="67" t="str">
        <x:v>https://www.stonealgo.com/diamond-prices/</x:v>
      </x:c>
      <x:c r="L3745" s="67" t="str">
        <x:v>https://www.pricescope.com/blog/natural-diamond-prices-september-2026</x:v>
      </x:c>
    </x:row>
    <x:row r="3746">
      <x:c r="A3746" t="n">
        <x:v>6</x:v>
      </x:c>
      <x:c r="B3746" t="str">
        <x:v>Marquise</x:v>
      </x:c>
      <x:c r="C3746" t="str">
        <x:v>H</x:v>
      </x:c>
      <x:c r="D3746" t="str">
        <x:v>FL</x:v>
      </x:c>
      <x:c r="E3746" s="36" t="n">
        <x:v>241000</x:v>
      </x:c>
      <x:c r="F3746" s="36" t="n">
        <x:v>4563</x:v>
      </x:c>
      <x:c r="G3746" s="42" t="n">
        <x:v>0.9787644787644788</x:v>
      </x:c>
      <x:c r="H3746" s="36" t="n">
        <x:f>E3746*G3746</x:f>
        <x:v>235882.23938223938</x:v>
      </x:c>
      <x:c r="I3746" s="36" t="n">
        <x:f>IFERROR(H3746/A3746,0)</x:f>
        <x:v>39313.70656370656</x:v>
      </x:c>
      <x:c r="J3746" s="67" t="str">
        <x:v>Modeled from live base + Sep-2026 quality ratio</x:v>
      </x:c>
      <x:c r="K3746" s="67" t="str">
        <x:v>https://www.stonealgo.com/diamond-prices/</x:v>
      </x:c>
      <x:c r="L3746" s="67" t="str">
        <x:v>https://www.pricescope.com/blog/natural-diamond-prices-september-2026</x:v>
      </x:c>
    </x:row>
    <x:row r="3747">
      <x:c r="A3747" t="n">
        <x:v>6</x:v>
      </x:c>
      <x:c r="B3747" t="str">
        <x:v>Marquise</x:v>
      </x:c>
      <x:c r="C3747" t="str">
        <x:v>H</x:v>
      </x:c>
      <x:c r="D3747" t="str">
        <x:v>IF</x:v>
      </x:c>
      <x:c r="E3747" s="36" t="n">
        <x:v>241000</x:v>
      </x:c>
      <x:c r="F3747" s="36" t="n">
        <x:v>4809</x:v>
      </x:c>
      <x:c r="G3747" s="42" t="n">
        <x:v>1.0315315315315314</x:v>
      </x:c>
      <x:c r="H3747" s="36" t="n">
        <x:f>E3747*G3747</x:f>
        <x:v>248599.09909909908</x:v>
      </x:c>
      <x:c r="I3747" s="36" t="n">
        <x:f>IFERROR(H3747/A3747,0)</x:f>
        <x:v>41433.18318318318</x:v>
      </x:c>
      <x:c r="J3747" s="67" t="str">
        <x:v>Modeled from live base + Sep-2026 quality ratio</x:v>
      </x:c>
      <x:c r="K3747" s="67" t="str">
        <x:v>https://www.stonealgo.com/diamond-prices/</x:v>
      </x:c>
      <x:c r="L3747" s="67" t="str">
        <x:v>https://www.pricescope.com/blog/natural-diamond-prices-september-2026</x:v>
      </x:c>
    </x:row>
    <x:row r="3748">
      <x:c r="A3748" t="n">
        <x:v>6</x:v>
      </x:c>
      <x:c r="B3748" t="str">
        <x:v>Marquise</x:v>
      </x:c>
      <x:c r="C3748" t="str">
        <x:v>H</x:v>
      </x:c>
      <x:c r="D3748" t="str">
        <x:v>VVS1</x:v>
      </x:c>
      <x:c r="E3748" s="36" t="n">
        <x:v>241000</x:v>
      </x:c>
      <x:c r="F3748" s="36" t="n">
        <x:v>4911</x:v>
      </x:c>
      <x:c r="G3748" s="42" t="n">
        <x:v>1.0534105534105533</x:v>
      </x:c>
      <x:c r="H3748" s="36" t="n">
        <x:f>E3748*G3748</x:f>
        <x:v>253871.94337194334</x:v>
      </x:c>
      <x:c r="I3748" s="36" t="n">
        <x:f>IFERROR(H3748/A3748,0)</x:f>
        <x:v>42311.990561990555</x:v>
      </x:c>
      <x:c r="J3748" s="67" t="str">
        <x:v>Modeled from live base + Sep-2026 quality ratio</x:v>
      </x:c>
      <x:c r="K3748" s="67" t="str">
        <x:v>https://www.stonealgo.com/diamond-prices/</x:v>
      </x:c>
      <x:c r="L3748" s="67" t="str">
        <x:v>https://www.pricescope.com/blog/natural-diamond-prices-september-2026</x:v>
      </x:c>
    </x:row>
    <x:row r="3749">
      <x:c r="A3749" t="n">
        <x:v>6</x:v>
      </x:c>
      <x:c r="B3749" t="str">
        <x:v>Marquise</x:v>
      </x:c>
      <x:c r="C3749" t="str">
        <x:v>H</x:v>
      </x:c>
      <x:c r="D3749" t="str">
        <x:v>VVS2</x:v>
      </x:c>
      <x:c r="E3749" s="36" t="n">
        <x:v>241000</x:v>
      </x:c>
      <x:c r="F3749" s="36" t="n">
        <x:v>4046</x:v>
      </x:c>
      <x:c r="G3749" s="42" t="n">
        <x:v>0.8678678678678678</x:v>
      </x:c>
      <x:c r="H3749" s="36" t="n">
        <x:f>E3749*G3749</x:f>
        <x:v>209156.15615615615</x:v>
      </x:c>
      <x:c r="I3749" s="36" t="n">
        <x:f>IFERROR(H3749/A3749,0)</x:f>
        <x:v>34859.35935935936</x:v>
      </x:c>
      <x:c r="J3749" s="67" t="str">
        <x:v>Modeled from live base + Sep-2026 quality ratio</x:v>
      </x:c>
      <x:c r="K3749" s="67" t="str">
        <x:v>https://www.stonealgo.com/diamond-prices/</x:v>
      </x:c>
      <x:c r="L3749" s="67" t="str">
        <x:v>https://www.pricescope.com/blog/natural-diamond-prices-september-2026</x:v>
      </x:c>
    </x:row>
    <x:row r="3750">
      <x:c r="A3750" t="n">
        <x:v>6</x:v>
      </x:c>
      <x:c r="B3750" t="str">
        <x:v>Marquise</x:v>
      </x:c>
      <x:c r="C3750" t="str">
        <x:v>H</x:v>
      </x:c>
      <x:c r="D3750" t="str">
        <x:v>VS1</x:v>
      </x:c>
      <x:c r="E3750" s="36" t="n">
        <x:v>241000</x:v>
      </x:c>
      <x:c r="F3750" s="36" t="n">
        <x:v>3893</x:v>
      </x:c>
      <x:c r="G3750" s="42" t="n">
        <x:v>0.8350493350493351</x:v>
      </x:c>
      <x:c r="H3750" s="36" t="n">
        <x:f>E3750*G3750</x:f>
        <x:v>201246.88974688976</x:v>
      </x:c>
      <x:c r="I3750" s="36" t="n">
        <x:f>IFERROR(H3750/A3750,0)</x:f>
        <x:v>33541.148291148296</x:v>
      </x:c>
      <x:c r="J3750" s="67" t="str">
        <x:v>Modeled from live base + Sep-2026 quality ratio</x:v>
      </x:c>
      <x:c r="K3750" s="67" t="str">
        <x:v>https://www.stonealgo.com/diamond-prices/</x:v>
      </x:c>
      <x:c r="L3750" s="67" t="str">
        <x:v>https://www.pricescope.com/blog/natural-diamond-prices-september-2026</x:v>
      </x:c>
    </x:row>
    <x:row r="3751">
      <x:c r="A3751" t="n">
        <x:v>6</x:v>
      </x:c>
      <x:c r="B3751" t="str">
        <x:v>Marquise</x:v>
      </x:c>
      <x:c r="C3751" t="str">
        <x:v>H</x:v>
      </x:c>
      <x:c r="D3751" t="str">
        <x:v>VS2</x:v>
      </x:c>
      <x:c r="E3751" s="36" t="n">
        <x:v>241000</x:v>
      </x:c>
      <x:c r="F3751" s="36" t="n">
        <x:v>3989</x:v>
      </x:c>
      <x:c r="G3751" s="42" t="n">
        <x:v>0.8556413556413557</x:v>
      </x:c>
      <x:c r="H3751" s="36" t="n">
        <x:f>E3751*G3751</x:f>
        <x:v>206209.56670956672</x:v>
      </x:c>
      <x:c r="I3751" s="36" t="n">
        <x:f>IFERROR(H3751/A3751,0)</x:f>
        <x:v>34368.26111826112</x:v>
      </x:c>
      <x:c r="J3751" s="67" t="str">
        <x:v>Modeled from live base + Sep-2026 quality ratio</x:v>
      </x:c>
      <x:c r="K3751" s="67" t="str">
        <x:v>https://www.stonealgo.com/diamond-prices/</x:v>
      </x:c>
      <x:c r="L3751" s="67" t="str">
        <x:v>https://www.pricescope.com/blog/natural-diamond-prices-september-2026</x:v>
      </x:c>
    </x:row>
    <x:row r="3752">
      <x:c r="A3752" t="n">
        <x:v>6</x:v>
      </x:c>
      <x:c r="B3752" t="str">
        <x:v>Marquise</x:v>
      </x:c>
      <x:c r="C3752" t="str">
        <x:v>H</x:v>
      </x:c>
      <x:c r="D3752" t="str">
        <x:v>SI1</x:v>
      </x:c>
      <x:c r="E3752" s="36" t="n">
        <x:v>241000</x:v>
      </x:c>
      <x:c r="F3752" s="36" t="n">
        <x:v>2828</x:v>
      </x:c>
      <x:c r="G3752" s="42" t="n">
        <x:v>0.6066066066066066</x:v>
      </x:c>
      <x:c r="H3752" s="36" t="n">
        <x:f>E3752*G3752</x:f>
        <x:v>146192.1921921922</x:v>
      </x:c>
      <x:c r="I3752" s="36" t="n">
        <x:f>IFERROR(H3752/A3752,0)</x:f>
        <x:v>24365.365365365364</x:v>
      </x:c>
      <x:c r="J3752" s="67" t="str">
        <x:v>Modeled from live base + Sep-2026 quality ratio</x:v>
      </x:c>
      <x:c r="K3752" s="67" t="str">
        <x:v>https://www.stonealgo.com/diamond-prices/</x:v>
      </x:c>
      <x:c r="L3752" s="67" t="str">
        <x:v>https://www.pricescope.com/blog/natural-diamond-prices-september-2026</x:v>
      </x:c>
    </x:row>
    <x:row r="3753">
      <x:c r="A3753" t="n">
        <x:v>6</x:v>
      </x:c>
      <x:c r="B3753" t="str">
        <x:v>Marquise</x:v>
      </x:c>
      <x:c r="C3753" t="str">
        <x:v>H</x:v>
      </x:c>
      <x:c r="D3753" t="str">
        <x:v>SI2</x:v>
      </x:c>
      <x:c r="E3753" s="36" t="n">
        <x:v>241000</x:v>
      </x:c>
      <x:c r="F3753" s="36" t="n">
        <x:v>2328</x:v>
      </x:c>
      <x:c r="G3753" s="42" t="n">
        <x:v>0.49935649935649934</x:v>
      </x:c>
      <x:c r="H3753" s="36" t="n">
        <x:f>E3753*G3753</x:f>
        <x:v>120344.91634491635</x:v>
      </x:c>
      <x:c r="I3753" s="36" t="n">
        <x:f>IFERROR(H3753/A3753,0)</x:f>
        <x:v>20057.486057486058</x:v>
      </x:c>
      <x:c r="J3753" s="67" t="str">
        <x:v>Modeled from live base + Sep-2026 quality ratio</x:v>
      </x:c>
      <x:c r="K3753" s="67" t="str">
        <x:v>https://www.stonealgo.com/diamond-prices/</x:v>
      </x:c>
      <x:c r="L3753" s="67" t="str">
        <x:v>https://www.pricescope.com/blog/natural-diamond-prices-september-2026</x:v>
      </x:c>
    </x:row>
    <x:row r="3754">
      <x:c r="A3754" t="n">
        <x:v>6</x:v>
      </x:c>
      <x:c r="B3754" t="str">
        <x:v>Marquise</x:v>
      </x:c>
      <x:c r="C3754" t="str">
        <x:v>I</x:v>
      </x:c>
      <x:c r="D3754" t="str">
        <x:v>FL</x:v>
      </x:c>
      <x:c r="E3754" s="36" t="n">
        <x:v>241000</x:v>
      </x:c>
      <x:c r="F3754" s="36" t="n">
        <x:v>4623</x:v>
      </x:c>
      <x:c r="G3754" s="42" t="n">
        <x:v>0.9916344916344917</x:v>
      </x:c>
      <x:c r="H3754" s="36" t="n">
        <x:f>E3754*G3754</x:f>
        <x:v>238983.91248391249</x:v>
      </x:c>
      <x:c r="I3754" s="36" t="n">
        <x:f>IFERROR(H3754/A3754,0)</x:f>
        <x:v>39830.65208065208</x:v>
      </x:c>
      <x:c r="J3754" s="67" t="str">
        <x:v>Modeled from live base + Sep-2026 quality ratio</x:v>
      </x:c>
      <x:c r="K3754" s="67" t="str">
        <x:v>https://www.stonealgo.com/diamond-prices/</x:v>
      </x:c>
      <x:c r="L3754" s="67" t="str">
        <x:v>https://www.pricescope.com/blog/natural-diamond-prices-september-2026</x:v>
      </x:c>
    </x:row>
    <x:row r="3755">
      <x:c r="A3755" t="n">
        <x:v>6</x:v>
      </x:c>
      <x:c r="B3755" t="str">
        <x:v>Marquise</x:v>
      </x:c>
      <x:c r="C3755" t="str">
        <x:v>I</x:v>
      </x:c>
      <x:c r="D3755" t="str">
        <x:v>IF</x:v>
      </x:c>
      <x:c r="E3755" s="36" t="n">
        <x:v>241000</x:v>
      </x:c>
      <x:c r="F3755" s="36" t="n">
        <x:v>4005</x:v>
      </x:c>
      <x:c r="G3755" s="42" t="n">
        <x:v>0.859073359073359</x:v>
      </x:c>
      <x:c r="H3755" s="36" t="n">
        <x:f>E3755*G3755</x:f>
        <x:v>207036.67953667953</x:v>
      </x:c>
      <x:c r="I3755" s="36" t="n">
        <x:f>IFERROR(H3755/A3755,0)</x:f>
        <x:v>34506.113256113254</x:v>
      </x:c>
      <x:c r="J3755" s="67" t="str">
        <x:v>Modeled from live base + Sep-2026 quality ratio</x:v>
      </x:c>
      <x:c r="K3755" s="67" t="str">
        <x:v>https://www.stonealgo.com/diamond-prices/</x:v>
      </x:c>
      <x:c r="L3755" s="67" t="str">
        <x:v>https://www.pricescope.com/blog/natural-diamond-prices-september-2026</x:v>
      </x:c>
    </x:row>
    <x:row r="3756">
      <x:c r="A3756" t="n">
        <x:v>6</x:v>
      </x:c>
      <x:c r="B3756" t="str">
        <x:v>Marquise</x:v>
      </x:c>
      <x:c r="C3756" t="str">
        <x:v>I</x:v>
      </x:c>
      <x:c r="D3756" t="str">
        <x:v>VVS1</x:v>
      </x:c>
      <x:c r="E3756" s="36" t="n">
        <x:v>241000</x:v>
      </x:c>
      <x:c r="F3756" s="36" t="n">
        <x:v>3670</x:v>
      </x:c>
      <x:c r="G3756" s="42" t="n">
        <x:v>0.7872157872157872</x:v>
      </x:c>
      <x:c r="H3756" s="36" t="n">
        <x:f>E3756*G3756</x:f>
        <x:v>189719.00471900473</x:v>
      </x:c>
      <x:c r="I3756" s="36" t="n">
        <x:f>IFERROR(H3756/A3756,0)</x:f>
        <x:v>31619.834119834122</x:v>
      </x:c>
      <x:c r="J3756" s="67" t="str">
        <x:v>Modeled from live base + Sep-2026 quality ratio</x:v>
      </x:c>
      <x:c r="K3756" s="67" t="str">
        <x:v>https://www.stonealgo.com/diamond-prices/</x:v>
      </x:c>
      <x:c r="L3756" s="67" t="str">
        <x:v>https://www.pricescope.com/blog/natural-diamond-prices-september-2026</x:v>
      </x:c>
    </x:row>
    <x:row r="3757">
      <x:c r="A3757" t="n">
        <x:v>6</x:v>
      </x:c>
      <x:c r="B3757" t="str">
        <x:v>Marquise</x:v>
      </x:c>
      <x:c r="C3757" t="str">
        <x:v>I</x:v>
      </x:c>
      <x:c r="D3757" t="str">
        <x:v>VVS2</x:v>
      </x:c>
      <x:c r="E3757" s="36" t="n">
        <x:v>241000</x:v>
      </x:c>
      <x:c r="F3757" s="36" t="n">
        <x:v>3447</x:v>
      </x:c>
      <x:c r="G3757" s="42" t="n">
        <x:v>0.7393822393822393</x:v>
      </x:c>
      <x:c r="H3757" s="36" t="n">
        <x:f>E3757*G3757</x:f>
        <x:v>178191.11969111967</x:v>
      </x:c>
      <x:c r="I3757" s="36" t="n">
        <x:f>IFERROR(H3757/A3757,0)</x:f>
        <x:v>29698.519948519945</x:v>
      </x:c>
      <x:c r="J3757" s="67" t="str">
        <x:v>Modeled from live base + Sep-2026 quality ratio</x:v>
      </x:c>
      <x:c r="K3757" s="67" t="str">
        <x:v>https://www.stonealgo.com/diamond-prices/</x:v>
      </x:c>
      <x:c r="L3757" s="67" t="str">
        <x:v>https://www.pricescope.com/blog/natural-diamond-prices-september-2026</x:v>
      </x:c>
    </x:row>
    <x:row r="3758">
      <x:c r="A3758" t="n">
        <x:v>6</x:v>
      </x:c>
      <x:c r="B3758" t="str">
        <x:v>Marquise</x:v>
      </x:c>
      <x:c r="C3758" t="str">
        <x:v>I</x:v>
      </x:c>
      <x:c r="D3758" t="str">
        <x:v>VS1</x:v>
      </x:c>
      <x:c r="E3758" s="36" t="n">
        <x:v>241000</x:v>
      </x:c>
      <x:c r="F3758" s="36" t="n">
        <x:v>3313</x:v>
      </x:c>
      <x:c r="G3758" s="42" t="n">
        <x:v>0.7106392106392107</x:v>
      </x:c>
      <x:c r="H3758" s="36" t="n">
        <x:f>E3758*G3758</x:f>
        <x:v>171264.04976404976</x:v>
      </x:c>
      <x:c r="I3758" s="36" t="n">
        <x:f>IFERROR(H3758/A3758,0)</x:f>
        <x:v>28544.008294008294</x:v>
      </x:c>
      <x:c r="J3758" s="67" t="str">
        <x:v>Modeled from live base + Sep-2026 quality ratio</x:v>
      </x:c>
      <x:c r="K3758" s="67" t="str">
        <x:v>https://www.stonealgo.com/diamond-prices/</x:v>
      </x:c>
      <x:c r="L3758" s="67" t="str">
        <x:v>https://www.pricescope.com/blog/natural-diamond-prices-september-2026</x:v>
      </x:c>
    </x:row>
    <x:row r="3759">
      <x:c r="A3759" t="n">
        <x:v>6</x:v>
      </x:c>
      <x:c r="B3759" t="str">
        <x:v>Marquise</x:v>
      </x:c>
      <x:c r="C3759" t="str">
        <x:v>I</x:v>
      </x:c>
      <x:c r="D3759" t="str">
        <x:v>VS2</x:v>
      </x:c>
      <x:c r="E3759" s="36" t="n">
        <x:v>241000</x:v>
      </x:c>
      <x:c r="F3759" s="36" t="n">
        <x:v>3240</x:v>
      </x:c>
      <x:c r="G3759" s="42" t="n">
        <x:v>0.694980694980695</x:v>
      </x:c>
      <x:c r="H3759" s="36" t="n">
        <x:f>E3759*G3759</x:f>
        <x:v>167490.3474903475</x:v>
      </x:c>
      <x:c r="I3759" s="36" t="n">
        <x:f>IFERROR(H3759/A3759,0)</x:f>
        <x:v>27915.057915057918</x:v>
      </x:c>
      <x:c r="J3759" s="67" t="str">
        <x:v>Modeled from live base + Sep-2026 quality ratio</x:v>
      </x:c>
      <x:c r="K3759" s="67" t="str">
        <x:v>https://www.stonealgo.com/diamond-prices/</x:v>
      </x:c>
      <x:c r="L3759" s="67" t="str">
        <x:v>https://www.pricescope.com/blog/natural-diamond-prices-september-2026</x:v>
      </x:c>
    </x:row>
    <x:row r="3760">
      <x:c r="A3760" t="n">
        <x:v>6</x:v>
      </x:c>
      <x:c r="B3760" t="str">
        <x:v>Marquise</x:v>
      </x:c>
      <x:c r="C3760" t="str">
        <x:v>I</x:v>
      </x:c>
      <x:c r="D3760" t="str">
        <x:v>SI1</x:v>
      </x:c>
      <x:c r="E3760" s="36" t="n">
        <x:v>241000</x:v>
      </x:c>
      <x:c r="F3760" s="36" t="n">
        <x:v>3199</x:v>
      </x:c>
      <x:c r="G3760" s="42" t="n">
        <x:v>0.6861861861861862</x:v>
      </x:c>
      <x:c r="H3760" s="36" t="n">
        <x:f>E3760*G3760</x:f>
        <x:v>165370.8708708709</x:v>
      </x:c>
      <x:c r="I3760" s="36" t="n">
        <x:f>IFERROR(H3760/A3760,0)</x:f>
        <x:v>27561.811811811815</x:v>
      </x:c>
      <x:c r="J3760" s="67" t="str">
        <x:v>Modeled from live base + Sep-2026 quality ratio</x:v>
      </x:c>
      <x:c r="K3760" s="67" t="str">
        <x:v>https://www.stonealgo.com/diamond-prices/</x:v>
      </x:c>
      <x:c r="L3760" s="67" t="str">
        <x:v>https://www.pricescope.com/blog/natural-diamond-prices-september-2026</x:v>
      </x:c>
    </x:row>
    <x:row r="3761">
      <x:c r="A3761" t="n">
        <x:v>6</x:v>
      </x:c>
      <x:c r="B3761" t="str">
        <x:v>Marquise</x:v>
      </x:c>
      <x:c r="C3761" t="str">
        <x:v>I</x:v>
      </x:c>
      <x:c r="D3761" t="str">
        <x:v>SI2</x:v>
      </x:c>
      <x:c r="E3761" s="36" t="n">
        <x:v>241000</x:v>
      </x:c>
      <x:c r="F3761" s="36" t="n">
        <x:v>2874</x:v>
      </x:c>
      <x:c r="G3761" s="42" t="n">
        <x:v>0.6164736164736164</x:v>
      </x:c>
      <x:c r="H3761" s="36" t="n">
        <x:f>E3761*G3761</x:f>
        <x:v>148570.14157014157</x:v>
      </x:c>
      <x:c r="I3761" s="36" t="n">
        <x:f>IFERROR(H3761/A3761,0)</x:f>
        <x:v>24761.690261690263</x:v>
      </x:c>
      <x:c r="J3761" s="67" t="str">
        <x:v>Modeled from live base + Sep-2026 quality ratio</x:v>
      </x:c>
      <x:c r="K3761" s="67" t="str">
        <x:v>https://www.stonealgo.com/diamond-prices/</x:v>
      </x:c>
      <x:c r="L3761" s="67" t="str">
        <x:v>https://www.pricescope.com/blog/natural-diamond-prices-september-2026</x:v>
      </x:c>
    </x:row>
    <x:row r="3762">
      <x:c r="A3762" t="n">
        <x:v>6</x:v>
      </x:c>
      <x:c r="B3762" t="str">
        <x:v>Marquise</x:v>
      </x:c>
      <x:c r="C3762" t="str">
        <x:v>J</x:v>
      </x:c>
      <x:c r="D3762" t="str">
        <x:v>FL</x:v>
      </x:c>
      <x:c r="E3762" s="36" t="n">
        <x:v>241000</x:v>
      </x:c>
      <x:c r="F3762" s="36" t="n">
        <x:v>3646</x:v>
      </x:c>
      <x:c r="G3762" s="42" t="n">
        <x:v>0.782067782067782</x:v>
      </x:c>
      <x:c r="H3762" s="36" t="n">
        <x:f>E3762*G3762</x:f>
        <x:v>188478.33547833547</x:v>
      </x:c>
      <x:c r="I3762" s="36" t="n">
        <x:f>IFERROR(H3762/A3762,0)</x:f>
        <x:v>31413.055913055912</x:v>
      </x:c>
      <x:c r="J3762" s="67" t="str">
        <x:v>Modeled from live base + Sep-2026 quality ratio</x:v>
      </x:c>
      <x:c r="K3762" s="67" t="str">
        <x:v>https://www.stonealgo.com/diamond-prices/</x:v>
      </x:c>
      <x:c r="L3762" s="67" t="str">
        <x:v>https://www.pricescope.com/blog/natural-diamond-prices-september-2026</x:v>
      </x:c>
    </x:row>
    <x:row r="3763">
      <x:c r="A3763" t="n">
        <x:v>6</x:v>
      </x:c>
      <x:c r="B3763" t="str">
        <x:v>Marquise</x:v>
      </x:c>
      <x:c r="C3763" t="str">
        <x:v>J</x:v>
      </x:c>
      <x:c r="D3763" t="str">
        <x:v>IF</x:v>
      </x:c>
      <x:c r="E3763" s="36" t="n">
        <x:v>241000</x:v>
      </x:c>
      <x:c r="F3763" s="36" t="n">
        <x:v>3368</x:v>
      </x:c>
      <x:c r="G3763" s="42" t="n">
        <x:v>0.7224367224367224</x:v>
      </x:c>
      <x:c r="H3763" s="36" t="n">
        <x:f>E3763*G3763</x:f>
        <x:v>174107.2501072501</x:v>
      </x:c>
      <x:c r="I3763" s="36" t="n">
        <x:f>IFERROR(H3763/A3763,0)</x:f>
        <x:v>29017.875017875016</x:v>
      </x:c>
      <x:c r="J3763" s="67" t="str">
        <x:v>Modeled from live base + Sep-2026 quality ratio</x:v>
      </x:c>
      <x:c r="K3763" s="67" t="str">
        <x:v>https://www.stonealgo.com/diamond-prices/</x:v>
      </x:c>
      <x:c r="L3763" s="67" t="str">
        <x:v>https://www.pricescope.com/blog/natural-diamond-prices-september-2026</x:v>
      </x:c>
    </x:row>
    <x:row r="3764">
      <x:c r="A3764" t="n">
        <x:v>6</x:v>
      </x:c>
      <x:c r="B3764" t="str">
        <x:v>Marquise</x:v>
      </x:c>
      <x:c r="C3764" t="str">
        <x:v>J</x:v>
      </x:c>
      <x:c r="D3764" t="str">
        <x:v>VVS1</x:v>
      </x:c>
      <x:c r="E3764" s="36" t="n">
        <x:v>241000</x:v>
      </x:c>
      <x:c r="F3764" s="36" t="n">
        <x:v>2956</x:v>
      </x:c>
      <x:c r="G3764" s="42" t="n">
        <x:v>0.6340626340626341</x:v>
      </x:c>
      <x:c r="H3764" s="36" t="n">
        <x:f>E3764*G3764</x:f>
        <x:v>152809.09480909482</x:v>
      </x:c>
      <x:c r="I3764" s="36" t="n">
        <x:f>IFERROR(H3764/A3764,0)</x:f>
        <x:v>25468.18246818247</x:v>
      </x:c>
      <x:c r="J3764" s="67" t="str">
        <x:v>Modeled from live base + Sep-2026 quality ratio</x:v>
      </x:c>
      <x:c r="K3764" s="67" t="str">
        <x:v>https://www.stonealgo.com/diamond-prices/</x:v>
      </x:c>
      <x:c r="L3764" s="67" t="str">
        <x:v>https://www.pricescope.com/blog/natural-diamond-prices-september-2026</x:v>
      </x:c>
    </x:row>
    <x:row r="3765">
      <x:c r="A3765" t="n">
        <x:v>6</x:v>
      </x:c>
      <x:c r="B3765" t="str">
        <x:v>Marquise</x:v>
      </x:c>
      <x:c r="C3765" t="str">
        <x:v>J</x:v>
      </x:c>
      <x:c r="D3765" t="str">
        <x:v>VVS2</x:v>
      </x:c>
      <x:c r="E3765" s="36" t="n">
        <x:v>241000</x:v>
      </x:c>
      <x:c r="F3765" s="36" t="n">
        <x:v>2612</x:v>
      </x:c>
      <x:c r="G3765" s="42" t="n">
        <x:v>0.5602745602745602</x:v>
      </x:c>
      <x:c r="H3765" s="36" t="n">
        <x:f>E3765*G3765</x:f>
        <x:v>135026.16902616902</x:v>
      </x:c>
      <x:c r="I3765" s="36" t="n">
        <x:f>IFERROR(H3765/A3765,0)</x:f>
        <x:v>22504.361504361503</x:v>
      </x:c>
      <x:c r="J3765" s="67" t="str">
        <x:v>Modeled from live base + Sep-2026 quality ratio</x:v>
      </x:c>
      <x:c r="K3765" s="67" t="str">
        <x:v>https://www.stonealgo.com/diamond-prices/</x:v>
      </x:c>
      <x:c r="L3765" s="67" t="str">
        <x:v>https://www.pricescope.com/blog/natural-diamond-prices-september-2026</x:v>
      </x:c>
    </x:row>
    <x:row r="3766">
      <x:c r="A3766" t="n">
        <x:v>6</x:v>
      </x:c>
      <x:c r="B3766" t="str">
        <x:v>Marquise</x:v>
      </x:c>
      <x:c r="C3766" t="str">
        <x:v>J</x:v>
      </x:c>
      <x:c r="D3766" t="str">
        <x:v>VS1</x:v>
      </x:c>
      <x:c r="E3766" s="36" t="n">
        <x:v>241000</x:v>
      </x:c>
      <x:c r="F3766" s="36" t="n">
        <x:v>3002</x:v>
      </x:c>
      <x:c r="G3766" s="42" t="n">
        <x:v>0.6439296439296439</x:v>
      </x:c>
      <x:c r="H3766" s="36" t="n">
        <x:f>E3766*G3766</x:f>
        <x:v>155187.04418704417</x:v>
      </x:c>
      <x:c r="I3766" s="36" t="n">
        <x:f>IFERROR(H3766/A3766,0)</x:f>
        <x:v>25864.50736450736</x:v>
      </x:c>
      <x:c r="J3766" s="67" t="str">
        <x:v>Modeled from live base + Sep-2026 quality ratio</x:v>
      </x:c>
      <x:c r="K3766" s="67" t="str">
        <x:v>https://www.stonealgo.com/diamond-prices/</x:v>
      </x:c>
      <x:c r="L3766" s="67" t="str">
        <x:v>https://www.pricescope.com/blog/natural-diamond-prices-september-2026</x:v>
      </x:c>
    </x:row>
    <x:row r="3767">
      <x:c r="A3767" t="n">
        <x:v>6</x:v>
      </x:c>
      <x:c r="B3767" t="str">
        <x:v>Marquise</x:v>
      </x:c>
      <x:c r="C3767" t="str">
        <x:v>J</x:v>
      </x:c>
      <x:c r="D3767" t="str">
        <x:v>VS2</x:v>
      </x:c>
      <x:c r="E3767" s="36" t="n">
        <x:v>241000</x:v>
      </x:c>
      <x:c r="F3767" s="36" t="n">
        <x:v>2559</x:v>
      </x:c>
      <x:c r="G3767" s="42" t="n">
        <x:v>0.5489060489060489</x:v>
      </x:c>
      <x:c r="H3767" s="36" t="n">
        <x:f>E3767*G3767</x:f>
        <x:v>132286.35778635778</x:v>
      </x:c>
      <x:c r="I3767" s="36" t="n">
        <x:f>IFERROR(H3767/A3767,0)</x:f>
        <x:v>22047.726297726298</x:v>
      </x:c>
      <x:c r="J3767" s="67" t="str">
        <x:v>Modeled from live base + Sep-2026 quality ratio</x:v>
      </x:c>
      <x:c r="K3767" s="67" t="str">
        <x:v>https://www.stonealgo.com/diamond-prices/</x:v>
      </x:c>
      <x:c r="L3767" s="67" t="str">
        <x:v>https://www.pricescope.com/blog/natural-diamond-prices-september-2026</x:v>
      </x:c>
    </x:row>
    <x:row r="3768">
      <x:c r="A3768" t="n">
        <x:v>6</x:v>
      </x:c>
      <x:c r="B3768" t="str">
        <x:v>Marquise</x:v>
      </x:c>
      <x:c r="C3768" t="str">
        <x:v>J</x:v>
      </x:c>
      <x:c r="D3768" t="str">
        <x:v>SI1</x:v>
      </x:c>
      <x:c r="E3768" s="36" t="n">
        <x:v>241000</x:v>
      </x:c>
      <x:c r="F3768" s="36" t="n">
        <x:v>2195</x:v>
      </x:c>
      <x:c r="G3768" s="42" t="n">
        <x:v>0.47082797082797084</x:v>
      </x:c>
      <x:c r="H3768" s="36" t="n">
        <x:f>E3768*G3768</x:f>
        <x:v>113469.54096954098</x:v>
      </x:c>
      <x:c r="I3768" s="36" t="n">
        <x:f>IFERROR(H3768/A3768,0)</x:f>
        <x:v>18911.590161590164</x:v>
      </x:c>
      <x:c r="J3768" s="67" t="str">
        <x:v>Modeled from live base + Sep-2026 quality ratio</x:v>
      </x:c>
      <x:c r="K3768" s="67" t="str">
        <x:v>https://www.stonealgo.com/diamond-prices/</x:v>
      </x:c>
      <x:c r="L3768" s="67" t="str">
        <x:v>https://www.pricescope.com/blog/natural-diamond-prices-september-2026</x:v>
      </x:c>
    </x:row>
    <x:row r="3769">
      <x:c r="A3769" t="n">
        <x:v>6</x:v>
      </x:c>
      <x:c r="B3769" t="str">
        <x:v>Marquise</x:v>
      </x:c>
      <x:c r="C3769" t="str">
        <x:v>J</x:v>
      </x:c>
      <x:c r="D3769" t="str">
        <x:v>SI2</x:v>
      </x:c>
      <x:c r="E3769" s="36" t="n">
        <x:v>241000</x:v>
      </x:c>
      <x:c r="F3769" s="36" t="n">
        <x:v>2079</x:v>
      </x:c>
      <x:c r="G3769" s="42" t="n">
        <x:v>0.44594594594594594</x:v>
      </x:c>
      <x:c r="H3769" s="36" t="n">
        <x:f>E3769*G3769</x:f>
        <x:v>107472.97297297297</x:v>
      </x:c>
      <x:c r="I3769" s="36" t="n">
        <x:f>IFERROR(H3769/A3769,0)</x:f>
        <x:v>17912.162162162163</x:v>
      </x:c>
      <x:c r="J3769" s="67" t="str">
        <x:v>Modeled from live base + Sep-2026 quality ratio</x:v>
      </x:c>
      <x:c r="K3769" s="67" t="str">
        <x:v>https://www.stonealgo.com/diamond-prices/</x:v>
      </x:c>
      <x:c r="L3769" s="67" t="str">
        <x:v>https://www.pricescope.com/blog/natural-diamond-prices-september-2026</x:v>
      </x:c>
    </x:row>
    <x:row r="3770">
      <x:c r="A3770" t="n">
        <x:v>6</x:v>
      </x:c>
      <x:c r="B3770" t="str">
        <x:v>Marquise</x:v>
      </x:c>
      <x:c r="C3770" t="str">
        <x:v>K</x:v>
      </x:c>
      <x:c r="D3770" t="str">
        <x:v>FL</x:v>
      </x:c>
      <x:c r="E3770" s="36" t="n">
        <x:v>241000</x:v>
      </x:c>
      <x:c r="F3770" s="36" t="n">
        <x:v>2858</x:v>
      </x:c>
      <x:c r="G3770" s="42" t="n">
        <x:v>0.6130416130416131</x:v>
      </x:c>
      <x:c r="H3770" s="36" t="n">
        <x:f>E3770*G3770</x:f>
        <x:v>147743.02874302876</x:v>
      </x:c>
      <x:c r="I3770" s="36" t="n">
        <x:f>IFERROR(H3770/A3770,0)</x:f>
        <x:v>24623.838123838126</x:v>
      </x:c>
      <x:c r="J3770" s="67" t="str">
        <x:v>Modeled from live base + Sep-2026 quality ratio; K/FL quality cell modeled</x:v>
      </x:c>
      <x:c r="K3770" s="67" t="str">
        <x:v>https://www.stonealgo.com/diamond-prices/</x:v>
      </x:c>
      <x:c r="L3770" s="67" t="str">
        <x:v>https://www.pricescope.com/blog/natural-diamond-prices-september-2026</x:v>
      </x:c>
    </x:row>
    <x:row r="3771">
      <x:c r="A3771" t="n">
        <x:v>6</x:v>
      </x:c>
      <x:c r="B3771" t="str">
        <x:v>Marquise</x:v>
      </x:c>
      <x:c r="C3771" t="str">
        <x:v>K</x:v>
      </x:c>
      <x:c r="D3771" t="str">
        <x:v>IF</x:v>
      </x:c>
      <x:c r="E3771" s="36" t="n">
        <x:v>241000</x:v>
      </x:c>
      <x:c r="F3771" s="36" t="n">
        <x:v>2743</x:v>
      </x:c>
      <x:c r="G3771" s="42" t="n">
        <x:v>0.5883740883740883</x:v>
      </x:c>
      <x:c r="H3771" s="36" t="n">
        <x:f>E3771*G3771</x:f>
        <x:v>141798.1552981553</x:v>
      </x:c>
      <x:c r="I3771" s="36" t="n">
        <x:f>IFERROR(H3771/A3771,0)</x:f>
        <x:v>23633.025883025883</x:v>
      </x:c>
      <x:c r="J3771" s="67" t="str">
        <x:v>Modeled from live base + Sep-2026 quality ratio</x:v>
      </x:c>
      <x:c r="K3771" s="67" t="str">
        <x:v>https://www.stonealgo.com/diamond-prices/</x:v>
      </x:c>
      <x:c r="L3771" s="67" t="str">
        <x:v>https://www.pricescope.com/blog/natural-diamond-prices-september-2026</x:v>
      </x:c>
    </x:row>
    <x:row r="3772">
      <x:c r="A3772" t="n">
        <x:v>6</x:v>
      </x:c>
      <x:c r="B3772" t="str">
        <x:v>Marquise</x:v>
      </x:c>
      <x:c r="C3772" t="str">
        <x:v>K</x:v>
      </x:c>
      <x:c r="D3772" t="str">
        <x:v>VVS1</x:v>
      </x:c>
      <x:c r="E3772" s="36" t="n">
        <x:v>241000</x:v>
      </x:c>
      <x:c r="F3772" s="36" t="n">
        <x:v>2529</x:v>
      </x:c>
      <x:c r="G3772" s="42" t="n">
        <x:v>0.5424710424710425</x:v>
      </x:c>
      <x:c r="H3772" s="36" t="n">
        <x:f>E3772*G3772</x:f>
        <x:v>130735.52123552124</x:v>
      </x:c>
      <x:c r="I3772" s="36" t="n">
        <x:f>IFERROR(H3772/A3772,0)</x:f>
        <x:v>21789.25353925354</x:v>
      </x:c>
      <x:c r="J3772" s="67" t="str">
        <x:v>Modeled from live base + Sep-2026 quality ratio</x:v>
      </x:c>
      <x:c r="K3772" s="67" t="str">
        <x:v>https://www.stonealgo.com/diamond-prices/</x:v>
      </x:c>
      <x:c r="L3772" s="67" t="str">
        <x:v>https://www.pricescope.com/blog/natural-diamond-prices-september-2026</x:v>
      </x:c>
    </x:row>
    <x:row r="3773">
      <x:c r="A3773" t="n">
        <x:v>6</x:v>
      </x:c>
      <x:c r="B3773" t="str">
        <x:v>Marquise</x:v>
      </x:c>
      <x:c r="C3773" t="str">
        <x:v>K</x:v>
      </x:c>
      <x:c r="D3773" t="str">
        <x:v>VVS2</x:v>
      </x:c>
      <x:c r="E3773" s="36" t="n">
        <x:v>241000</x:v>
      </x:c>
      <x:c r="F3773" s="36" t="n">
        <x:v>2374</x:v>
      </x:c>
      <x:c r="G3773" s="42" t="n">
        <x:v>0.5092235092235092</x:v>
      </x:c>
      <x:c r="H3773" s="36" t="n">
        <x:f>E3773*G3773</x:f>
        <x:v>122722.86572286572</x:v>
      </x:c>
      <x:c r="I3773" s="36" t="n">
        <x:f>IFERROR(H3773/A3773,0)</x:f>
        <x:v>20453.810953810953</x:v>
      </x:c>
      <x:c r="J3773" s="67" t="str">
        <x:v>Modeled from live base + Sep-2026 quality ratio</x:v>
      </x:c>
      <x:c r="K3773" s="67" t="str">
        <x:v>https://www.stonealgo.com/diamond-prices/</x:v>
      </x:c>
      <x:c r="L3773" s="67" t="str">
        <x:v>https://www.pricescope.com/blog/natural-diamond-prices-september-2026</x:v>
      </x:c>
    </x:row>
    <x:row r="3774">
      <x:c r="A3774" t="n">
        <x:v>6</x:v>
      </x:c>
      <x:c r="B3774" t="str">
        <x:v>Marquise</x:v>
      </x:c>
      <x:c r="C3774" t="str">
        <x:v>K</x:v>
      </x:c>
      <x:c r="D3774" t="str">
        <x:v>VS1</x:v>
      </x:c>
      <x:c r="E3774" s="36" t="n">
        <x:v>241000</x:v>
      </x:c>
      <x:c r="F3774" s="36" t="n">
        <x:v>2223</x:v>
      </x:c>
      <x:c r="G3774" s="42" t="n">
        <x:v>0.4768339768339768</x:v>
      </x:c>
      <x:c r="H3774" s="36" t="n">
        <x:f>E3774*G3774</x:f>
        <x:v>114916.98841698842</x:v>
      </x:c>
      <x:c r="I3774" s="36" t="n">
        <x:f>IFERROR(H3774/A3774,0)</x:f>
        <x:v>19152.8314028314</x:v>
      </x:c>
      <x:c r="J3774" s="67" t="str">
        <x:v>Modeled from live base + Sep-2026 quality ratio</x:v>
      </x:c>
      <x:c r="K3774" s="67" t="str">
        <x:v>https://www.stonealgo.com/diamond-prices/</x:v>
      </x:c>
      <x:c r="L3774" s="67" t="str">
        <x:v>https://www.pricescope.com/blog/natural-diamond-prices-september-2026</x:v>
      </x:c>
    </x:row>
    <x:row r="3775">
      <x:c r="A3775" t="n">
        <x:v>6</x:v>
      </x:c>
      <x:c r="B3775" t="str">
        <x:v>Marquise</x:v>
      </x:c>
      <x:c r="C3775" t="str">
        <x:v>K</x:v>
      </x:c>
      <x:c r="D3775" t="str">
        <x:v>VS2</x:v>
      </x:c>
      <x:c r="E3775" s="36" t="n">
        <x:v>241000</x:v>
      </x:c>
      <x:c r="F3775" s="36" t="n">
        <x:v>2098</x:v>
      </x:c>
      <x:c r="G3775" s="42" t="n">
        <x:v>0.45002145002145</x:v>
      </x:c>
      <x:c r="H3775" s="36" t="n">
        <x:f>E3775*G3775</x:f>
        <x:v>108455.16945516945</x:v>
      </x:c>
      <x:c r="I3775" s="36" t="n">
        <x:f>IFERROR(H3775/A3775,0)</x:f>
        <x:v>18075.861575861574</x:v>
      </x:c>
      <x:c r="J3775" s="67" t="str">
        <x:v>Modeled from live base + Sep-2026 quality ratio</x:v>
      </x:c>
      <x:c r="K3775" s="67" t="str">
        <x:v>https://www.stonealgo.com/diamond-prices/</x:v>
      </x:c>
      <x:c r="L3775" s="67" t="str">
        <x:v>https://www.pricescope.com/blog/natural-diamond-prices-september-2026</x:v>
      </x:c>
    </x:row>
    <x:row r="3776">
      <x:c r="A3776" t="n">
        <x:v>6</x:v>
      </x:c>
      <x:c r="B3776" t="str">
        <x:v>Marquise</x:v>
      </x:c>
      <x:c r="C3776" t="str">
        <x:v>K</x:v>
      </x:c>
      <x:c r="D3776" t="str">
        <x:v>SI1</x:v>
      </x:c>
      <x:c r="E3776" s="36" t="n">
        <x:v>241000</x:v>
      </x:c>
      <x:c r="F3776" s="36" t="n">
        <x:v>1922</x:v>
      </x:c>
      <x:c r="G3776" s="42" t="n">
        <x:v>0.41226941226941227</x:v>
      </x:c>
      <x:c r="H3776" s="36" t="n">
        <x:f>E3776*G3776</x:f>
        <x:v>99356.92835692836</x:v>
      </x:c>
      <x:c r="I3776" s="36" t="n">
        <x:f>IFERROR(H3776/A3776,0)</x:f>
        <x:v>16559.48805948806</x:v>
      </x:c>
      <x:c r="J3776" s="67" t="str">
        <x:v>Modeled from live base + Sep-2026 quality ratio</x:v>
      </x:c>
      <x:c r="K3776" s="67" t="str">
        <x:v>https://www.stonealgo.com/diamond-prices/</x:v>
      </x:c>
      <x:c r="L3776" s="67" t="str">
        <x:v>https://www.pricescope.com/blog/natural-diamond-prices-september-2026</x:v>
      </x:c>
    </x:row>
    <x:row r="3777">
      <x:c r="A3777" t="n">
        <x:v>6</x:v>
      </x:c>
      <x:c r="B3777" t="str">
        <x:v>Marquise</x:v>
      </x:c>
      <x:c r="C3777" t="str">
        <x:v>K</x:v>
      </x:c>
      <x:c r="D3777" t="str">
        <x:v>SI2</x:v>
      </x:c>
      <x:c r="E3777" s="36" t="n">
        <x:v>241000</x:v>
      </x:c>
      <x:c r="F3777" s="36" t="n">
        <x:v>1764</x:v>
      </x:c>
      <x:c r="G3777" s="42" t="n">
        <x:v>0.3783783783783784</x:v>
      </x:c>
      <x:c r="H3777" s="36" t="n">
        <x:f>E3777*G3777</x:f>
        <x:v>91189.1891891892</x:v>
      </x:c>
      <x:c r="I3777" s="36" t="n">
        <x:f>IFERROR(H3777/A3777,0)</x:f>
        <x:v>15198.1981981982</x:v>
      </x:c>
      <x:c r="J3777" s="67" t="str">
        <x:v>Modeled from live base + Sep-2026 quality ratio</x:v>
      </x:c>
      <x:c r="K3777" s="67" t="str">
        <x:v>https://www.stonealgo.com/diamond-prices/</x:v>
      </x:c>
      <x:c r="L3777" s="67" t="str">
        <x:v>https://www.pricescope.com/blog/natural-diamond-prices-september-2026</x:v>
      </x:c>
    </x:row>
    <x:row r="3778">
      <x:c r="A3778" t="n">
        <x:v>6</x:v>
      </x:c>
      <x:c r="B3778" t="str">
        <x:v>Asscher</x:v>
      </x:c>
      <x:c r="C3778" t="str">
        <x:v>D</x:v>
      </x:c>
      <x:c r="D3778" t="str">
        <x:v>FL</x:v>
      </x:c>
      <x:c r="E3778" s="36" t="n">
        <x:v>141000</x:v>
      </x:c>
      <x:c r="F3778" s="36" t="n">
        <x:v>12665</x:v>
      </x:c>
      <x:c r="G3778" s="42" t="n">
        <x:v>2.7166452166452166</x:v>
      </x:c>
      <x:c r="H3778" s="36" t="n">
        <x:f>E3778*G3778</x:f>
        <x:v>383046.97554697556</x:v>
      </x:c>
      <x:c r="I3778" s="36" t="n">
        <x:f>IFERROR(H3778/A3778,0)</x:f>
        <x:v>63841.162591162596</x:v>
      </x:c>
      <x:c r="J3778" s="67" t="str">
        <x:v>Modeled from live base + Sep-2026 quality ratio</x:v>
      </x:c>
      <x:c r="K3778" s="67" t="str">
        <x:v>https://www.stonealgo.com/diamond-prices/</x:v>
      </x:c>
      <x:c r="L3778" s="67" t="str">
        <x:v>https://www.pricescope.com/blog/natural-diamond-prices-september-2026</x:v>
      </x:c>
    </x:row>
    <x:row r="3779">
      <x:c r="A3779" t="n">
        <x:v>6</x:v>
      </x:c>
      <x:c r="B3779" t="str">
        <x:v>Asscher</x:v>
      </x:c>
      <x:c r="C3779" t="str">
        <x:v>D</x:v>
      </x:c>
      <x:c r="D3779" t="str">
        <x:v>IF</x:v>
      </x:c>
      <x:c r="E3779" s="36" t="n">
        <x:v>141000</x:v>
      </x:c>
      <x:c r="F3779" s="36" t="n">
        <x:v>13240</x:v>
      </x:c>
      <x:c r="G3779" s="42" t="n">
        <x:v>2.83998283998284</x:v>
      </x:c>
      <x:c r="H3779" s="36" t="n">
        <x:f>E3779*G3779</x:f>
        <x:v>400437.5804375805</x:v>
      </x:c>
      <x:c r="I3779" s="36" t="n">
        <x:f>IFERROR(H3779/A3779,0)</x:f>
        <x:v>66739.59673959675</x:v>
      </x:c>
      <x:c r="J3779" s="67" t="str">
        <x:v>Modeled from live base + Sep-2026 quality ratio</x:v>
      </x:c>
      <x:c r="K3779" s="67" t="str">
        <x:v>https://www.stonealgo.com/diamond-prices/</x:v>
      </x:c>
      <x:c r="L3779" s="67" t="str">
        <x:v>https://www.pricescope.com/blog/natural-diamond-prices-september-2026</x:v>
      </x:c>
    </x:row>
    <x:row r="3780">
      <x:c r="A3780" t="n">
        <x:v>6</x:v>
      </x:c>
      <x:c r="B3780" t="str">
        <x:v>Asscher</x:v>
      </x:c>
      <x:c r="C3780" t="str">
        <x:v>D</x:v>
      </x:c>
      <x:c r="D3780" t="str">
        <x:v>VVS1</x:v>
      </x:c>
      <x:c r="E3780" s="36" t="n">
        <x:v>141000</x:v>
      </x:c>
      <x:c r="F3780" s="36" t="n">
        <x:v>9555</x:v>
      </x:c>
      <x:c r="G3780" s="42" t="n">
        <x:v>2.0495495495495497</x:v>
      </x:c>
      <x:c r="H3780" s="36" t="n">
        <x:f>E3780*G3780</x:f>
        <x:v>288986.4864864865</x:v>
      </x:c>
      <x:c r="I3780" s="36" t="n">
        <x:f>IFERROR(H3780/A3780,0)</x:f>
        <x:v>48164.414414414416</x:v>
      </x:c>
      <x:c r="J3780" s="67" t="str">
        <x:v>Modeled from live base + Sep-2026 quality ratio</x:v>
      </x:c>
      <x:c r="K3780" s="67" t="str">
        <x:v>https://www.stonealgo.com/diamond-prices/</x:v>
      </x:c>
      <x:c r="L3780" s="67" t="str">
        <x:v>https://www.pricescope.com/blog/natural-diamond-prices-september-2026</x:v>
      </x:c>
    </x:row>
    <x:row r="3781">
      <x:c r="A3781" t="n">
        <x:v>6</x:v>
      </x:c>
      <x:c r="B3781" t="str">
        <x:v>Asscher</x:v>
      </x:c>
      <x:c r="C3781" t="str">
        <x:v>D</x:v>
      </x:c>
      <x:c r="D3781" t="str">
        <x:v>VVS2</x:v>
      </x:c>
      <x:c r="E3781" s="36" t="n">
        <x:v>141000</x:v>
      </x:c>
      <x:c r="F3781" s="36" t="n">
        <x:v>6660</x:v>
      </x:c>
      <x:c r="G3781" s="42" t="n">
        <x:v>1.4285714285714286</x:v>
      </x:c>
      <x:c r="H3781" s="36" t="n">
        <x:f>E3781*G3781</x:f>
        <x:v>201428.57142857142</x:v>
      </x:c>
      <x:c r="I3781" s="36" t="n">
        <x:f>IFERROR(H3781/A3781,0)</x:f>
        <x:v>33571.42857142857</x:v>
      </x:c>
      <x:c r="J3781" s="67" t="str">
        <x:v>Modeled from live base + Sep-2026 quality ratio</x:v>
      </x:c>
      <x:c r="K3781" s="67" t="str">
        <x:v>https://www.stonealgo.com/diamond-prices/</x:v>
      </x:c>
      <x:c r="L3781" s="67" t="str">
        <x:v>https://www.pricescope.com/blog/natural-diamond-prices-september-2026</x:v>
      </x:c>
    </x:row>
    <x:row r="3782">
      <x:c r="A3782" t="n">
        <x:v>6</x:v>
      </x:c>
      <x:c r="B3782" t="str">
        <x:v>Asscher</x:v>
      </x:c>
      <x:c r="C3782" t="str">
        <x:v>D</x:v>
      </x:c>
      <x:c r="D3782" t="str">
        <x:v>VS1</x:v>
      </x:c>
      <x:c r="E3782" s="36" t="n">
        <x:v>141000</x:v>
      </x:c>
      <x:c r="F3782" s="36" t="n">
        <x:v>6247</x:v>
      </x:c>
      <x:c r="G3782" s="42" t="n">
        <x:v>1.33998283998284</x:v>
      </x:c>
      <x:c r="H3782" s="36" t="n">
        <x:f>E3782*G3782</x:f>
        <x:v>188937.58043758044</x:v>
      </x:c>
      <x:c r="I3782" s="36" t="n">
        <x:f>IFERROR(H3782/A3782,0)</x:f>
        <x:v>31489.596739596742</x:v>
      </x:c>
      <x:c r="J3782" s="67" t="str">
        <x:v>Modeled from live base + Sep-2026 quality ratio</x:v>
      </x:c>
      <x:c r="K3782" s="67" t="str">
        <x:v>https://www.stonealgo.com/diamond-prices/</x:v>
      </x:c>
      <x:c r="L3782" s="67" t="str">
        <x:v>https://www.pricescope.com/blog/natural-diamond-prices-september-2026</x:v>
      </x:c>
    </x:row>
    <x:row r="3783">
      <x:c r="A3783" t="n">
        <x:v>6</x:v>
      </x:c>
      <x:c r="B3783" t="str">
        <x:v>Asscher</x:v>
      </x:c>
      <x:c r="C3783" t="str">
        <x:v>D</x:v>
      </x:c>
      <x:c r="D3783" t="str">
        <x:v>VS2</x:v>
      </x:c>
      <x:c r="E3783" s="36" t="n">
        <x:v>141000</x:v>
      </x:c>
      <x:c r="F3783" s="36" t="n">
        <x:v>5841</x:v>
      </x:c>
      <x:c r="G3783" s="42" t="n">
        <x:v>1.252895752895753</x:v>
      </x:c>
      <x:c r="H3783" s="36" t="n">
        <x:f>E3783*G3783</x:f>
        <x:v>176658.30115830115</x:v>
      </x:c>
      <x:c r="I3783" s="36" t="n">
        <x:f>IFERROR(H3783/A3783,0)</x:f>
        <x:v>29443.050193050192</x:v>
      </x:c>
      <x:c r="J3783" s="67" t="str">
        <x:v>Modeled from live base + Sep-2026 quality ratio</x:v>
      </x:c>
      <x:c r="K3783" s="67" t="str">
        <x:v>https://www.stonealgo.com/diamond-prices/</x:v>
      </x:c>
      <x:c r="L3783" s="67" t="str">
        <x:v>https://www.pricescope.com/blog/natural-diamond-prices-september-2026</x:v>
      </x:c>
    </x:row>
    <x:row r="3784">
      <x:c r="A3784" t="n">
        <x:v>6</x:v>
      </x:c>
      <x:c r="B3784" t="str">
        <x:v>Asscher</x:v>
      </x:c>
      <x:c r="C3784" t="str">
        <x:v>D</x:v>
      </x:c>
      <x:c r="D3784" t="str">
        <x:v>SI1</x:v>
      </x:c>
      <x:c r="E3784" s="36" t="n">
        <x:v>141000</x:v>
      </x:c>
      <x:c r="F3784" s="36" t="n">
        <x:v>3762</x:v>
      </x:c>
      <x:c r="G3784" s="42" t="n">
        <x:v>0.806949806949807</x:v>
      </x:c>
      <x:c r="H3784" s="36" t="n">
        <x:f>E3784*G3784</x:f>
        <x:v>113779.92277992278</x:v>
      </x:c>
      <x:c r="I3784" s="36" t="n">
        <x:f>IFERROR(H3784/A3784,0)</x:f>
        <x:v>18963.320463320462</x:v>
      </x:c>
      <x:c r="J3784" s="67" t="str">
        <x:v>Modeled from live base + Sep-2026 quality ratio</x:v>
      </x:c>
      <x:c r="K3784" s="67" t="str">
        <x:v>https://www.stonealgo.com/diamond-prices/</x:v>
      </x:c>
      <x:c r="L3784" s="67" t="str">
        <x:v>https://www.pricescope.com/blog/natural-diamond-prices-september-2026</x:v>
      </x:c>
    </x:row>
    <x:row r="3785">
      <x:c r="A3785" t="n">
        <x:v>6</x:v>
      </x:c>
      <x:c r="B3785" t="str">
        <x:v>Asscher</x:v>
      </x:c>
      <x:c r="C3785" t="str">
        <x:v>D</x:v>
      </x:c>
      <x:c r="D3785" t="str">
        <x:v>SI2</x:v>
      </x:c>
      <x:c r="E3785" s="36" t="n">
        <x:v>141000</x:v>
      </x:c>
      <x:c r="F3785" s="36" t="n">
        <x:v>3026</x:v>
      </x:c>
      <x:c r="G3785" s="42" t="n">
        <x:v>0.6490776490776491</x:v>
      </x:c>
      <x:c r="H3785" s="36" t="n">
        <x:f>E3785*G3785</x:f>
        <x:v>91519.94851994852</x:v>
      </x:c>
      <x:c r="I3785" s="36" t="n">
        <x:f>IFERROR(H3785/A3785,0)</x:f>
        <x:v>15253.324753324754</x:v>
      </x:c>
      <x:c r="J3785" s="67" t="str">
        <x:v>Modeled from live base + Sep-2026 quality ratio</x:v>
      </x:c>
      <x:c r="K3785" s="67" t="str">
        <x:v>https://www.stonealgo.com/diamond-prices/</x:v>
      </x:c>
      <x:c r="L3785" s="67" t="str">
        <x:v>https://www.pricescope.com/blog/natural-diamond-prices-september-2026</x:v>
      </x:c>
    </x:row>
    <x:row r="3786">
      <x:c r="A3786" t="n">
        <x:v>6</x:v>
      </x:c>
      <x:c r="B3786" t="str">
        <x:v>Asscher</x:v>
      </x:c>
      <x:c r="C3786" t="str">
        <x:v>E</x:v>
      </x:c>
      <x:c r="D3786" t="str">
        <x:v>FL</x:v>
      </x:c>
      <x:c r="E3786" s="36" t="n">
        <x:v>141000</x:v>
      </x:c>
      <x:c r="F3786" s="36" t="n">
        <x:v>10072</x:v>
      </x:c>
      <x:c r="G3786" s="42" t="n">
        <x:v>2.1604461604461602</x:v>
      </x:c>
      <x:c r="H3786" s="36" t="n">
        <x:f>E3786*G3786</x:f>
        <x:v>304622.9086229086</x:v>
      </x:c>
      <x:c r="I3786" s="36" t="n">
        <x:f>IFERROR(H3786/A3786,0)</x:f>
        <x:v>50770.48477048476</x:v>
      </x:c>
      <x:c r="J3786" s="67" t="str">
        <x:v>Modeled from live base + Sep-2026 quality ratio</x:v>
      </x:c>
      <x:c r="K3786" s="67" t="str">
        <x:v>https://www.stonealgo.com/diamond-prices/</x:v>
      </x:c>
      <x:c r="L3786" s="67" t="str">
        <x:v>https://www.pricescope.com/blog/natural-diamond-prices-september-2026</x:v>
      </x:c>
    </x:row>
    <x:row r="3787">
      <x:c r="A3787" t="n">
        <x:v>6</x:v>
      </x:c>
      <x:c r="B3787" t="str">
        <x:v>Asscher</x:v>
      </x:c>
      <x:c r="C3787" t="str">
        <x:v>E</x:v>
      </x:c>
      <x:c r="D3787" t="str">
        <x:v>IF</x:v>
      </x:c>
      <x:c r="E3787" s="36" t="n">
        <x:v>141000</x:v>
      </x:c>
      <x:c r="F3787" s="36" t="n">
        <x:v>8672</x:v>
      </x:c>
      <x:c r="G3787" s="42" t="n">
        <x:v>1.8601458601458603</x:v>
      </x:c>
      <x:c r="H3787" s="36" t="n">
        <x:f>E3787*G3787</x:f>
        <x:v>262280.5662805663</x:v>
      </x:c>
      <x:c r="I3787" s="36" t="n">
        <x:f>IFERROR(H3787/A3787,0)</x:f>
        <x:v>43713.427713427714</x:v>
      </x:c>
      <x:c r="J3787" s="67" t="str">
        <x:v>Modeled from live base + Sep-2026 quality ratio</x:v>
      </x:c>
      <x:c r="K3787" s="67" t="str">
        <x:v>https://www.stonealgo.com/diamond-prices/</x:v>
      </x:c>
      <x:c r="L3787" s="67" t="str">
        <x:v>https://www.pricescope.com/blog/natural-diamond-prices-september-2026</x:v>
      </x:c>
    </x:row>
    <x:row r="3788">
      <x:c r="A3788" t="n">
        <x:v>6</x:v>
      </x:c>
      <x:c r="B3788" t="str">
        <x:v>Asscher</x:v>
      </x:c>
      <x:c r="C3788" t="str">
        <x:v>E</x:v>
      </x:c>
      <x:c r="D3788" t="str">
        <x:v>VVS1</x:v>
      </x:c>
      <x:c r="E3788" s="36" t="n">
        <x:v>141000</x:v>
      </x:c>
      <x:c r="F3788" s="36" t="n">
        <x:v>7842</x:v>
      </x:c>
      <x:c r="G3788" s="42" t="n">
        <x:v>1.6821106821106822</x:v>
      </x:c>
      <x:c r="H3788" s="36" t="n">
        <x:f>E3788*G3788</x:f>
        <x:v>237177.60617760618</x:v>
      </x:c>
      <x:c r="I3788" s="36" t="n">
        <x:f>IFERROR(H3788/A3788,0)</x:f>
        <x:v>39529.60102960103</x:v>
      </x:c>
      <x:c r="J3788" s="67" t="str">
        <x:v>Modeled from live base + Sep-2026 quality ratio</x:v>
      </x:c>
      <x:c r="K3788" s="67" t="str">
        <x:v>https://www.stonealgo.com/diamond-prices/</x:v>
      </x:c>
      <x:c r="L3788" s="67" t="str">
        <x:v>https://www.pricescope.com/blog/natural-diamond-prices-september-2026</x:v>
      </x:c>
    </x:row>
    <x:row r="3789">
      <x:c r="A3789" t="n">
        <x:v>6</x:v>
      </x:c>
      <x:c r="B3789" t="str">
        <x:v>Asscher</x:v>
      </x:c>
      <x:c r="C3789" t="str">
        <x:v>E</x:v>
      </x:c>
      <x:c r="D3789" t="str">
        <x:v>VVS2</x:v>
      </x:c>
      <x:c r="E3789" s="36" t="n">
        <x:v>141000</x:v>
      </x:c>
      <x:c r="F3789" s="36" t="n">
        <x:v>6880</x:v>
      </x:c>
      <x:c r="G3789" s="42" t="n">
        <x:v>1.4757614757614759</x:v>
      </x:c>
      <x:c r="H3789" s="36" t="n">
        <x:f>E3789*G3789</x:f>
        <x:v>208082.3680823681</x:v>
      </x:c>
      <x:c r="I3789" s="36" t="n">
        <x:f>IFERROR(H3789/A3789,0)</x:f>
        <x:v>34680.39468039468</x:v>
      </x:c>
      <x:c r="J3789" s="67" t="str">
        <x:v>Modeled from live base + Sep-2026 quality ratio</x:v>
      </x:c>
      <x:c r="K3789" s="67" t="str">
        <x:v>https://www.stonealgo.com/diamond-prices/</x:v>
      </x:c>
      <x:c r="L3789" s="67" t="str">
        <x:v>https://www.pricescope.com/blog/natural-diamond-prices-september-2026</x:v>
      </x:c>
    </x:row>
    <x:row r="3790">
      <x:c r="A3790" t="n">
        <x:v>6</x:v>
      </x:c>
      <x:c r="B3790" t="str">
        <x:v>Asscher</x:v>
      </x:c>
      <x:c r="C3790" t="str">
        <x:v>E</x:v>
      </x:c>
      <x:c r="D3790" t="str">
        <x:v>VS1</x:v>
      </x:c>
      <x:c r="E3790" s="36" t="n">
        <x:v>141000</x:v>
      </x:c>
      <x:c r="F3790" s="36" t="n">
        <x:v>6307</x:v>
      </x:c>
      <x:c r="G3790" s="42" t="n">
        <x:v>1.352852852852853</x:v>
      </x:c>
      <x:c r="H3790" s="36" t="n">
        <x:f>E3790*G3790</x:f>
        <x:v>190752.25225225228</x:v>
      </x:c>
      <x:c r="I3790" s="36" t="n">
        <x:f>IFERROR(H3790/A3790,0)</x:f>
        <x:v>31792.042042042045</x:v>
      </x:c>
      <x:c r="J3790" s="67" t="str">
        <x:v>Modeled from live base + Sep-2026 quality ratio</x:v>
      </x:c>
      <x:c r="K3790" s="67" t="str">
        <x:v>https://www.stonealgo.com/diamond-prices/</x:v>
      </x:c>
      <x:c r="L3790" s="67" t="str">
        <x:v>https://www.pricescope.com/blog/natural-diamond-prices-september-2026</x:v>
      </x:c>
    </x:row>
    <x:row r="3791">
      <x:c r="A3791" t="n">
        <x:v>6</x:v>
      </x:c>
      <x:c r="B3791" t="str">
        <x:v>Asscher</x:v>
      </x:c>
      <x:c r="C3791" t="str">
        <x:v>E</x:v>
      </x:c>
      <x:c r="D3791" t="str">
        <x:v>VS2</x:v>
      </x:c>
      <x:c r="E3791" s="36" t="n">
        <x:v>141000</x:v>
      </x:c>
      <x:c r="F3791" s="36" t="n">
        <x:v>5249</x:v>
      </x:c>
      <x:c r="G3791" s="42" t="n">
        <x:v>1.125911625911626</x:v>
      </x:c>
      <x:c r="H3791" s="36" t="n">
        <x:f>E3791*G3791</x:f>
        <x:v>158753.53925353926</x:v>
      </x:c>
      <x:c r="I3791" s="36" t="n">
        <x:f>IFERROR(H3791/A3791,0)</x:f>
        <x:v>26458.92320892321</x:v>
      </x:c>
      <x:c r="J3791" s="67" t="str">
        <x:v>Modeled from live base + Sep-2026 quality ratio</x:v>
      </x:c>
      <x:c r="K3791" s="67" t="str">
        <x:v>https://www.stonealgo.com/diamond-prices/</x:v>
      </x:c>
      <x:c r="L3791" s="67" t="str">
        <x:v>https://www.pricescope.com/blog/natural-diamond-prices-september-2026</x:v>
      </x:c>
    </x:row>
    <x:row r="3792">
      <x:c r="A3792" t="n">
        <x:v>6</x:v>
      </x:c>
      <x:c r="B3792" t="str">
        <x:v>Asscher</x:v>
      </x:c>
      <x:c r="C3792" t="str">
        <x:v>E</x:v>
      </x:c>
      <x:c r="D3792" t="str">
        <x:v>SI1</x:v>
      </x:c>
      <x:c r="E3792" s="36" t="n">
        <x:v>141000</x:v>
      </x:c>
      <x:c r="F3792" s="36" t="n">
        <x:v>3551</x:v>
      </x:c>
      <x:c r="G3792" s="42" t="n">
        <x:v>0.7616902616902617</x:v>
      </x:c>
      <x:c r="H3792" s="36" t="n">
        <x:f>E3792*G3792</x:f>
        <x:v>107398.3268983269</x:v>
      </x:c>
      <x:c r="I3792" s="36" t="n">
        <x:f>IFERROR(H3792/A3792,0)</x:f>
        <x:v>17899.72114972115</x:v>
      </x:c>
      <x:c r="J3792" s="67" t="str">
        <x:v>Modeled from live base + Sep-2026 quality ratio</x:v>
      </x:c>
      <x:c r="K3792" s="67" t="str">
        <x:v>https://www.stonealgo.com/diamond-prices/</x:v>
      </x:c>
      <x:c r="L3792" s="67" t="str">
        <x:v>https://www.pricescope.com/blog/natural-diamond-prices-september-2026</x:v>
      </x:c>
    </x:row>
    <x:row r="3793">
      <x:c r="A3793" t="n">
        <x:v>6</x:v>
      </x:c>
      <x:c r="B3793" t="str">
        <x:v>Asscher</x:v>
      </x:c>
      <x:c r="C3793" t="str">
        <x:v>E</x:v>
      </x:c>
      <x:c r="D3793" t="str">
        <x:v>SI2</x:v>
      </x:c>
      <x:c r="E3793" s="36" t="n">
        <x:v>141000</x:v>
      </x:c>
      <x:c r="F3793" s="36" t="n">
        <x:v>2993</x:v>
      </x:c>
      <x:c r="G3793" s="42" t="n">
        <x:v>0.641999141999142</x:v>
      </x:c>
      <x:c r="H3793" s="36" t="n">
        <x:f>E3793*G3793</x:f>
        <x:v>90521.87902187902</x:v>
      </x:c>
      <x:c r="I3793" s="36" t="n">
        <x:f>IFERROR(H3793/A3793,0)</x:f>
        <x:v>15086.979836979837</x:v>
      </x:c>
      <x:c r="J3793" s="67" t="str">
        <x:v>Modeled from live base + Sep-2026 quality ratio</x:v>
      </x:c>
      <x:c r="K3793" s="67" t="str">
        <x:v>https://www.stonealgo.com/diamond-prices/</x:v>
      </x:c>
      <x:c r="L3793" s="67" t="str">
        <x:v>https://www.pricescope.com/blog/natural-diamond-prices-september-2026</x:v>
      </x:c>
    </x:row>
    <x:row r="3794">
      <x:c r="A3794" t="n">
        <x:v>6</x:v>
      </x:c>
      <x:c r="B3794" t="str">
        <x:v>Asscher</x:v>
      </x:c>
      <x:c r="C3794" t="str">
        <x:v>F</x:v>
      </x:c>
      <x:c r="D3794" t="str">
        <x:v>FL</x:v>
      </x:c>
      <x:c r="E3794" s="36" t="n">
        <x:v>141000</x:v>
      </x:c>
      <x:c r="F3794" s="36" t="n">
        <x:v>6830</x:v>
      </x:c>
      <x:c r="G3794" s="42" t="n">
        <x:v>1.4650364650364651</x:v>
      </x:c>
      <x:c r="H3794" s="36" t="n">
        <x:f>E3794*G3794</x:f>
        <x:v>206570.14157014157</x:v>
      </x:c>
      <x:c r="I3794" s="36" t="n">
        <x:f>IFERROR(H3794/A3794,0)</x:f>
        <x:v>34428.35692835693</x:v>
      </x:c>
      <x:c r="J3794" s="67" t="str">
        <x:v>Modeled from live base + Sep-2026 quality ratio</x:v>
      </x:c>
      <x:c r="K3794" s="67" t="str">
        <x:v>https://www.stonealgo.com/diamond-prices/</x:v>
      </x:c>
      <x:c r="L3794" s="67" t="str">
        <x:v>https://www.pricescope.com/blog/natural-diamond-prices-september-2026</x:v>
      </x:c>
    </x:row>
    <x:row r="3795">
      <x:c r="A3795" t="n">
        <x:v>6</x:v>
      </x:c>
      <x:c r="B3795" t="str">
        <x:v>Asscher</x:v>
      </x:c>
      <x:c r="C3795" t="str">
        <x:v>F</x:v>
      </x:c>
      <x:c r="D3795" t="str">
        <x:v>IF</x:v>
      </x:c>
      <x:c r="E3795" s="36" t="n">
        <x:v>141000</x:v>
      </x:c>
      <x:c r="F3795" s="36" t="n">
        <x:v>7302</x:v>
      </x:c>
      <x:c r="G3795" s="42" t="n">
        <x:v>1.5662805662805663</x:v>
      </x:c>
      <x:c r="H3795" s="36" t="n">
        <x:f>E3795*G3795</x:f>
        <x:v>220845.55984555985</x:v>
      </x:c>
      <x:c r="I3795" s="36" t="n">
        <x:f>IFERROR(H3795/A3795,0)</x:f>
        <x:v>36807.593307593306</x:v>
      </x:c>
      <x:c r="J3795" s="67" t="str">
        <x:v>Modeled from live base + Sep-2026 quality ratio</x:v>
      </x:c>
      <x:c r="K3795" s="67" t="str">
        <x:v>https://www.stonealgo.com/diamond-prices/</x:v>
      </x:c>
      <x:c r="L3795" s="67" t="str">
        <x:v>https://www.pricescope.com/blog/natural-diamond-prices-september-2026</x:v>
      </x:c>
    </x:row>
    <x:row r="3796">
      <x:c r="A3796" t="n">
        <x:v>6</x:v>
      </x:c>
      <x:c r="B3796" t="str">
        <x:v>Asscher</x:v>
      </x:c>
      <x:c r="C3796" t="str">
        <x:v>F</x:v>
      </x:c>
      <x:c r="D3796" t="str">
        <x:v>VVS1</x:v>
      </x:c>
      <x:c r="E3796" s="36" t="n">
        <x:v>141000</x:v>
      </x:c>
      <x:c r="F3796" s="36" t="n">
        <x:v>7542</x:v>
      </x:c>
      <x:c r="G3796" s="42" t="n">
        <x:v>1.6177606177606179</x:v>
      </x:c>
      <x:c r="H3796" s="36" t="n">
        <x:f>E3796*G3796</x:f>
        <x:v>228104.24710424713</x:v>
      </x:c>
      <x:c r="I3796" s="36" t="n">
        <x:f>IFERROR(H3796/A3796,0)</x:f>
        <x:v>38017.37451737452</x:v>
      </x:c>
      <x:c r="J3796" s="67" t="str">
        <x:v>Modeled from live base + Sep-2026 quality ratio</x:v>
      </x:c>
      <x:c r="K3796" s="67" t="str">
        <x:v>https://www.stonealgo.com/diamond-prices/</x:v>
      </x:c>
      <x:c r="L3796" s="67" t="str">
        <x:v>https://www.pricescope.com/blog/natural-diamond-prices-september-2026</x:v>
      </x:c>
    </x:row>
    <x:row r="3797">
      <x:c r="A3797" t="n">
        <x:v>6</x:v>
      </x:c>
      <x:c r="B3797" t="str">
        <x:v>Asscher</x:v>
      </x:c>
      <x:c r="C3797" t="str">
        <x:v>F</x:v>
      </x:c>
      <x:c r="D3797" t="str">
        <x:v>VVS2</x:v>
      </x:c>
      <x:c r="E3797" s="36" t="n">
        <x:v>141000</x:v>
      </x:c>
      <x:c r="F3797" s="36" t="n">
        <x:v>6352</x:v>
      </x:c>
      <x:c r="G3797" s="42" t="n">
        <x:v>1.3625053625053625</x:v>
      </x:c>
      <x:c r="H3797" s="36" t="n">
        <x:f>E3797*G3797</x:f>
        <x:v>192113.2561132561</x:v>
      </x:c>
      <x:c r="I3797" s="36" t="n">
        <x:f>IFERROR(H3797/A3797,0)</x:f>
        <x:v>32018.876018876017</x:v>
      </x:c>
      <x:c r="J3797" s="67" t="str">
        <x:v>Modeled from live base + Sep-2026 quality ratio</x:v>
      </x:c>
      <x:c r="K3797" s="67" t="str">
        <x:v>https://www.stonealgo.com/diamond-prices/</x:v>
      </x:c>
      <x:c r="L3797" s="67" t="str">
        <x:v>https://www.pricescope.com/blog/natural-diamond-prices-september-2026</x:v>
      </x:c>
    </x:row>
    <x:row r="3798">
      <x:c r="A3798" t="n">
        <x:v>6</x:v>
      </x:c>
      <x:c r="B3798" t="str">
        <x:v>Asscher</x:v>
      </x:c>
      <x:c r="C3798" t="str">
        <x:v>F</x:v>
      </x:c>
      <x:c r="D3798" t="str">
        <x:v>VS1</x:v>
      </x:c>
      <x:c r="E3798" s="36" t="n">
        <x:v>141000</x:v>
      </x:c>
      <x:c r="F3798" s="36" t="n">
        <x:v>5647</x:v>
      </x:c>
      <x:c r="G3798" s="42" t="n">
        <x:v>1.2112827112827114</x:v>
      </x:c>
      <x:c r="H3798" s="36" t="n">
        <x:f>E3798*G3798</x:f>
        <x:v>170790.8622908623</x:v>
      </x:c>
      <x:c r="I3798" s="36" t="n">
        <x:f>IFERROR(H3798/A3798,0)</x:f>
        <x:v>28465.143715143717</x:v>
      </x:c>
      <x:c r="J3798" s="67" t="str">
        <x:v>Modeled from live base + Sep-2026 quality ratio</x:v>
      </x:c>
      <x:c r="K3798" s="67" t="str">
        <x:v>https://www.stonealgo.com/diamond-prices/</x:v>
      </x:c>
      <x:c r="L3798" s="67" t="str">
        <x:v>https://www.pricescope.com/blog/natural-diamond-prices-september-2026</x:v>
      </x:c>
    </x:row>
    <x:row r="3799">
      <x:c r="A3799" t="n">
        <x:v>6</x:v>
      </x:c>
      <x:c r="B3799" t="str">
        <x:v>Asscher</x:v>
      </x:c>
      <x:c r="C3799" t="str">
        <x:v>F</x:v>
      </x:c>
      <x:c r="D3799" t="str">
        <x:v>VS2</x:v>
      </x:c>
      <x:c r="E3799" s="36" t="n">
        <x:v>141000</x:v>
      </x:c>
      <x:c r="F3799" s="36" t="n">
        <x:v>4730</x:v>
      </x:c>
      <x:c r="G3799" s="42" t="n">
        <x:v>1.0145860145860146</x:v>
      </x:c>
      <x:c r="H3799" s="36" t="n">
        <x:f>E3799*G3799</x:f>
        <x:v>143056.62805662805</x:v>
      </x:c>
      <x:c r="I3799" s="36" t="n">
        <x:f>IFERROR(H3799/A3799,0)</x:f>
        <x:v>23842.771342771342</x:v>
      </x:c>
      <x:c r="J3799" s="67" t="str">
        <x:v>Modeled from live base + Sep-2026 quality ratio</x:v>
      </x:c>
      <x:c r="K3799" s="67" t="str">
        <x:v>https://www.stonealgo.com/diamond-prices/</x:v>
      </x:c>
      <x:c r="L3799" s="67" t="str">
        <x:v>https://www.pricescope.com/blog/natural-diamond-prices-september-2026</x:v>
      </x:c>
    </x:row>
    <x:row r="3800">
      <x:c r="A3800" t="n">
        <x:v>6</x:v>
      </x:c>
      <x:c r="B3800" t="str">
        <x:v>Asscher</x:v>
      </x:c>
      <x:c r="C3800" t="str">
        <x:v>F</x:v>
      </x:c>
      <x:c r="D3800" t="str">
        <x:v>SI1</x:v>
      </x:c>
      <x:c r="E3800" s="36" t="n">
        <x:v>141000</x:v>
      </x:c>
      <x:c r="F3800" s="36" t="n">
        <x:v>3331</x:v>
      </x:c>
      <x:c r="G3800" s="42" t="n">
        <x:v>0.7145002145002145</x:v>
      </x:c>
      <x:c r="H3800" s="36" t="n">
        <x:f>E3800*G3800</x:f>
        <x:v>100744.53024453025</x:v>
      </x:c>
      <x:c r="I3800" s="36" t="n">
        <x:f>IFERROR(H3800/A3800,0)</x:f>
        <x:v>16790.75504075504</x:v>
      </x:c>
      <x:c r="J3800" s="67" t="str">
        <x:v>Modeled from live base + Sep-2026 quality ratio</x:v>
      </x:c>
      <x:c r="K3800" s="67" t="str">
        <x:v>https://www.stonealgo.com/diamond-prices/</x:v>
      </x:c>
      <x:c r="L3800" s="67" t="str">
        <x:v>https://www.pricescope.com/blog/natural-diamond-prices-september-2026</x:v>
      </x:c>
    </x:row>
    <x:row r="3801">
      <x:c r="A3801" t="n">
        <x:v>6</x:v>
      </x:c>
      <x:c r="B3801" t="str">
        <x:v>Asscher</x:v>
      </x:c>
      <x:c r="C3801" t="str">
        <x:v>F</x:v>
      </x:c>
      <x:c r="D3801" t="str">
        <x:v>SI2</x:v>
      </x:c>
      <x:c r="E3801" s="36" t="n">
        <x:v>141000</x:v>
      </x:c>
      <x:c r="F3801" s="36" t="n">
        <x:v>2733</x:v>
      </x:c>
      <x:c r="G3801" s="42" t="n">
        <x:v>0.5862290862290862</x:v>
      </x:c>
      <x:c r="H3801" s="36" t="n">
        <x:f>E3801*G3801</x:f>
        <x:v>82658.30115830115</x:v>
      </x:c>
      <x:c r="I3801" s="36" t="n">
        <x:f>IFERROR(H3801/A3801,0)</x:f>
        <x:v>13776.383526383526</x:v>
      </x:c>
      <x:c r="J3801" s="67" t="str">
        <x:v>Modeled from live base + Sep-2026 quality ratio</x:v>
      </x:c>
      <x:c r="K3801" s="67" t="str">
        <x:v>https://www.stonealgo.com/diamond-prices/</x:v>
      </x:c>
      <x:c r="L3801" s="67" t="str">
        <x:v>https://www.pricescope.com/blog/natural-diamond-prices-september-2026</x:v>
      </x:c>
    </x:row>
    <x:row r="3802">
      <x:c r="A3802" t="n">
        <x:v>6</x:v>
      </x:c>
      <x:c r="B3802" t="str">
        <x:v>Asscher</x:v>
      </x:c>
      <x:c r="C3802" t="str">
        <x:v>G</x:v>
      </x:c>
      <x:c r="D3802" t="str">
        <x:v>FL</x:v>
      </x:c>
      <x:c r="E3802" s="36" t="n">
        <x:v>141000</x:v>
      </x:c>
      <x:c r="F3802" s="36" t="n">
        <x:v>5905</x:v>
      </x:c>
      <x:c r="G3802" s="42" t="n">
        <x:v>1.2666237666237665</x:v>
      </x:c>
      <x:c r="H3802" s="36" t="n">
        <x:f>E3802*G3802</x:f>
        <x:v>178593.95109395107</x:v>
      </x:c>
      <x:c r="I3802" s="36" t="n">
        <x:f>IFERROR(H3802/A3802,0)</x:f>
        <x:v>29765.65851565851</x:v>
      </x:c>
      <x:c r="J3802" s="67" t="str">
        <x:v>Modeled from live base + Sep-2026 quality ratio</x:v>
      </x:c>
      <x:c r="K3802" s="67" t="str">
        <x:v>https://www.stonealgo.com/diamond-prices/</x:v>
      </x:c>
      <x:c r="L3802" s="67" t="str">
        <x:v>https://www.pricescope.com/blog/natural-diamond-prices-september-2026</x:v>
      </x:c>
    </x:row>
    <x:row r="3803">
      <x:c r="A3803" t="n">
        <x:v>6</x:v>
      </x:c>
      <x:c r="B3803" t="str">
        <x:v>Asscher</x:v>
      </x:c>
      <x:c r="C3803" t="str">
        <x:v>G</x:v>
      </x:c>
      <x:c r="D3803" t="str">
        <x:v>IF</x:v>
      </x:c>
      <x:c r="E3803" s="36" t="n">
        <x:v>141000</x:v>
      </x:c>
      <x:c r="F3803" s="36" t="n">
        <x:v>5601</x:v>
      </x:c>
      <x:c r="G3803" s="42" t="n">
        <x:v>1.2014157014157014</x:v>
      </x:c>
      <x:c r="H3803" s="36" t="n">
        <x:f>E3803*G3803</x:f>
        <x:v>169399.6138996139</x:v>
      </x:c>
      <x:c r="I3803" s="36" t="n">
        <x:f>IFERROR(H3803/A3803,0)</x:f>
        <x:v>28233.268983268983</x:v>
      </x:c>
      <x:c r="J3803" s="67" t="str">
        <x:v>Modeled from live base + Sep-2026 quality ratio</x:v>
      </x:c>
      <x:c r="K3803" s="67" t="str">
        <x:v>https://www.stonealgo.com/diamond-prices/</x:v>
      </x:c>
      <x:c r="L3803" s="67" t="str">
        <x:v>https://www.pricescope.com/blog/natural-diamond-prices-september-2026</x:v>
      </x:c>
    </x:row>
    <x:row r="3804">
      <x:c r="A3804" t="n">
        <x:v>6</x:v>
      </x:c>
      <x:c r="B3804" t="str">
        <x:v>Asscher</x:v>
      </x:c>
      <x:c r="C3804" t="str">
        <x:v>G</x:v>
      </x:c>
      <x:c r="D3804" t="str">
        <x:v>VVS1</x:v>
      </x:c>
      <x:c r="E3804" s="36" t="n">
        <x:v>141000</x:v>
      </x:c>
      <x:c r="F3804" s="36" t="n">
        <x:v>5124</x:v>
      </x:c>
      <x:c r="G3804" s="42" t="n">
        <x:v>1.0990990990990992</x:v>
      </x:c>
      <x:c r="H3804" s="36" t="n">
        <x:f>E3804*G3804</x:f>
        <x:v>154972.972972973</x:v>
      </x:c>
      <x:c r="I3804" s="36" t="n">
        <x:f>IFERROR(H3804/A3804,0)</x:f>
        <x:v>25828.82882882883</x:v>
      </x:c>
      <x:c r="J3804" s="67" t="str">
        <x:v>Modeled from live base + Sep-2026 quality ratio</x:v>
      </x:c>
      <x:c r="K3804" s="67" t="str">
        <x:v>https://www.stonealgo.com/diamond-prices/</x:v>
      </x:c>
      <x:c r="L3804" s="67" t="str">
        <x:v>https://www.pricescope.com/blog/natural-diamond-prices-september-2026</x:v>
      </x:c>
    </x:row>
    <x:row r="3805">
      <x:c r="A3805" t="n">
        <x:v>6</x:v>
      </x:c>
      <x:c r="B3805" t="str">
        <x:v>Asscher</x:v>
      </x:c>
      <x:c r="C3805" t="str">
        <x:v>G</x:v>
      </x:c>
      <x:c r="D3805" t="str">
        <x:v>VVS2</x:v>
      </x:c>
      <x:c r="E3805" s="36" t="n">
        <x:v>141000</x:v>
      </x:c>
      <x:c r="F3805" s="36" t="n">
        <x:v>4962</x:v>
      </x:c>
      <x:c r="G3805" s="42" t="n">
        <x:v>1.0643500643500643</x:v>
      </x:c>
      <x:c r="H3805" s="36" t="n">
        <x:f>E3805*G3805</x:f>
        <x:v>150073.35907335905</x:v>
      </x:c>
      <x:c r="I3805" s="36" t="n">
        <x:f>IFERROR(H3805/A3805,0)</x:f>
        <x:v>25012.22651222651</x:v>
      </x:c>
      <x:c r="J3805" s="67" t="str">
        <x:v>Modeled from live base + Sep-2026 quality ratio</x:v>
      </x:c>
      <x:c r="K3805" s="67" t="str">
        <x:v>https://www.stonealgo.com/diamond-prices/</x:v>
      </x:c>
      <x:c r="L3805" s="67" t="str">
        <x:v>https://www.pricescope.com/blog/natural-diamond-prices-september-2026</x:v>
      </x:c>
    </x:row>
    <x:row r="3806">
      <x:c r="A3806" t="n">
        <x:v>6</x:v>
      </x:c>
      <x:c r="B3806" t="str">
        <x:v>Asscher</x:v>
      </x:c>
      <x:c r="C3806" t="str">
        <x:v>G</x:v>
      </x:c>
      <x:c r="D3806" t="str">
        <x:v>VS1</x:v>
      </x:c>
      <x:c r="E3806" s="36" t="n">
        <x:v>141000</x:v>
      </x:c>
      <x:c r="F3806" s="36" t="n">
        <x:v>4615</x:v>
      </x:c>
      <x:c r="G3806" s="42" t="n">
        <x:v>0.98991848991849</x:v>
      </x:c>
      <x:c r="H3806" s="36" t="n">
        <x:f>E3806*G3806</x:f>
        <x:v>139578.50707850707</x:v>
      </x:c>
      <x:c r="I3806" s="36" t="n">
        <x:f>IFERROR(H3806/A3806,0)</x:f>
        <x:v>23263.084513084512</x:v>
      </x:c>
      <x:c r="J3806" s="67" t="str">
        <x:v>Modeled from live base + Sep-2026 quality ratio</x:v>
      </x:c>
      <x:c r="K3806" s="67" t="str">
        <x:v>https://www.stonealgo.com/diamond-prices/</x:v>
      </x:c>
      <x:c r="L3806" s="67" t="str">
        <x:v>https://www.pricescope.com/blog/natural-diamond-prices-september-2026</x:v>
      </x:c>
    </x:row>
    <x:row r="3807">
      <x:c r="A3807" t="n">
        <x:v>6</x:v>
      </x:c>
      <x:c r="B3807" t="str">
        <x:v>Asscher</x:v>
      </x:c>
      <x:c r="C3807" t="str">
        <x:v>G</x:v>
      </x:c>
      <x:c r="D3807" t="str">
        <x:v>VS2</x:v>
      </x:c>
      <x:c r="E3807" s="36" t="n">
        <x:v>141000</x:v>
      </x:c>
      <x:c r="F3807" s="36" t="n">
        <x:v>4585</x:v>
      </x:c>
      <x:c r="G3807" s="42" t="n">
        <x:v>0.9834834834834835</x:v>
      </x:c>
      <x:c r="H3807" s="36" t="n">
        <x:f>E3807*G3807</x:f>
        <x:v>138671.17117117118</x:v>
      </x:c>
      <x:c r="I3807" s="36" t="n">
        <x:f>IFERROR(H3807/A3807,0)</x:f>
        <x:v>23111.861861861864</x:v>
      </x:c>
      <x:c r="J3807" s="67" t="str">
        <x:v>Modeled from live base + Sep-2026 quality ratio</x:v>
      </x:c>
      <x:c r="K3807" s="67" t="str">
        <x:v>https://www.stonealgo.com/diamond-prices/</x:v>
      </x:c>
      <x:c r="L3807" s="67" t="str">
        <x:v>https://www.pricescope.com/blog/natural-diamond-prices-september-2026</x:v>
      </x:c>
    </x:row>
    <x:row r="3808">
      <x:c r="A3808" t="n">
        <x:v>6</x:v>
      </x:c>
      <x:c r="B3808" t="str">
        <x:v>Asscher</x:v>
      </x:c>
      <x:c r="C3808" t="str">
        <x:v>G</x:v>
      </x:c>
      <x:c r="D3808" t="str">
        <x:v>SI1</x:v>
      </x:c>
      <x:c r="E3808" s="36" t="n">
        <x:v>141000</x:v>
      </x:c>
      <x:c r="F3808" s="36" t="n">
        <x:v>3664</x:v>
      </x:c>
      <x:c r="G3808" s="42" t="n">
        <x:v>0.7859287859287859</x:v>
      </x:c>
      <x:c r="H3808" s="36" t="n">
        <x:f>E3808*G3808</x:f>
        <x:v>110815.95881595882</x:v>
      </x:c>
      <x:c r="I3808" s="36" t="n">
        <x:f>IFERROR(H3808/A3808,0)</x:f>
        <x:v>18469.32646932647</x:v>
      </x:c>
      <x:c r="J3808" s="67" t="str">
        <x:v>Modeled from live base + Sep-2026 quality ratio</x:v>
      </x:c>
      <x:c r="K3808" s="67" t="str">
        <x:v>https://www.stonealgo.com/diamond-prices/</x:v>
      </x:c>
      <x:c r="L3808" s="67" t="str">
        <x:v>https://www.pricescope.com/blog/natural-diamond-prices-september-2026</x:v>
      </x:c>
    </x:row>
    <x:row r="3809">
      <x:c r="A3809" t="n">
        <x:v>6</x:v>
      </x:c>
      <x:c r="B3809" t="str">
        <x:v>Asscher</x:v>
      </x:c>
      <x:c r="C3809" t="str">
        <x:v>G</x:v>
      </x:c>
      <x:c r="D3809" t="str">
        <x:v>SI2</x:v>
      </x:c>
      <x:c r="E3809" s="36" t="n">
        <x:v>141000</x:v>
      </x:c>
      <x:c r="F3809" s="36" t="n">
        <x:v>2537</x:v>
      </x:c>
      <x:c r="G3809" s="42" t="n">
        <x:v>0.5441870441870442</x:v>
      </x:c>
      <x:c r="H3809" s="36" t="n">
        <x:f>E3809*G3809</x:f>
        <x:v>76730.37323037324</x:v>
      </x:c>
      <x:c r="I3809" s="36" t="n">
        <x:f>IFERROR(H3809/A3809,0)</x:f>
        <x:v>12788.39553839554</x:v>
      </x:c>
      <x:c r="J3809" s="67" t="str">
        <x:v>Modeled from live base + Sep-2026 quality ratio</x:v>
      </x:c>
      <x:c r="K3809" s="67" t="str">
        <x:v>https://www.stonealgo.com/diamond-prices/</x:v>
      </x:c>
      <x:c r="L3809" s="67" t="str">
        <x:v>https://www.pricescope.com/blog/natural-diamond-prices-september-2026</x:v>
      </x:c>
    </x:row>
    <x:row r="3810">
      <x:c r="A3810" t="n">
        <x:v>6</x:v>
      </x:c>
      <x:c r="B3810" t="str">
        <x:v>Asscher</x:v>
      </x:c>
      <x:c r="C3810" t="str">
        <x:v>H</x:v>
      </x:c>
      <x:c r="D3810" t="str">
        <x:v>FL</x:v>
      </x:c>
      <x:c r="E3810" s="36" t="n">
        <x:v>141000</x:v>
      </x:c>
      <x:c r="F3810" s="36" t="n">
        <x:v>4563</x:v>
      </x:c>
      <x:c r="G3810" s="42" t="n">
        <x:v>0.9787644787644788</x:v>
      </x:c>
      <x:c r="H3810" s="36" t="n">
        <x:f>E3810*G3810</x:f>
        <x:v>138005.7915057915</x:v>
      </x:c>
      <x:c r="I3810" s="36" t="n">
        <x:f>IFERROR(H3810/A3810,0)</x:f>
        <x:v>23000.96525096525</x:v>
      </x:c>
      <x:c r="J3810" s="67" t="str">
        <x:v>Modeled from live base + Sep-2026 quality ratio</x:v>
      </x:c>
      <x:c r="K3810" s="67" t="str">
        <x:v>https://www.stonealgo.com/diamond-prices/</x:v>
      </x:c>
      <x:c r="L3810" s="67" t="str">
        <x:v>https://www.pricescope.com/blog/natural-diamond-prices-september-2026</x:v>
      </x:c>
    </x:row>
    <x:row r="3811">
      <x:c r="A3811" t="n">
        <x:v>6</x:v>
      </x:c>
      <x:c r="B3811" t="str">
        <x:v>Asscher</x:v>
      </x:c>
      <x:c r="C3811" t="str">
        <x:v>H</x:v>
      </x:c>
      <x:c r="D3811" t="str">
        <x:v>IF</x:v>
      </x:c>
      <x:c r="E3811" s="36" t="n">
        <x:v>141000</x:v>
      </x:c>
      <x:c r="F3811" s="36" t="n">
        <x:v>4809</x:v>
      </x:c>
      <x:c r="G3811" s="42" t="n">
        <x:v>1.0315315315315314</x:v>
      </x:c>
      <x:c r="H3811" s="36" t="n">
        <x:f>E3811*G3811</x:f>
        <x:v>145445.94594594592</x:v>
      </x:c>
      <x:c r="I3811" s="36" t="n">
        <x:f>IFERROR(H3811/A3811,0)</x:f>
        <x:v>24240.990990990987</x:v>
      </x:c>
      <x:c r="J3811" s="67" t="str">
        <x:v>Modeled from live base + Sep-2026 quality ratio</x:v>
      </x:c>
      <x:c r="K3811" s="67" t="str">
        <x:v>https://www.stonealgo.com/diamond-prices/</x:v>
      </x:c>
      <x:c r="L3811" s="67" t="str">
        <x:v>https://www.pricescope.com/blog/natural-diamond-prices-september-2026</x:v>
      </x:c>
    </x:row>
    <x:row r="3812">
      <x:c r="A3812" t="n">
        <x:v>6</x:v>
      </x:c>
      <x:c r="B3812" t="str">
        <x:v>Asscher</x:v>
      </x:c>
      <x:c r="C3812" t="str">
        <x:v>H</x:v>
      </x:c>
      <x:c r="D3812" t="str">
        <x:v>VVS1</x:v>
      </x:c>
      <x:c r="E3812" s="36" t="n">
        <x:v>141000</x:v>
      </x:c>
      <x:c r="F3812" s="36" t="n">
        <x:v>4911</x:v>
      </x:c>
      <x:c r="G3812" s="42" t="n">
        <x:v>1.0534105534105533</x:v>
      </x:c>
      <x:c r="H3812" s="36" t="n">
        <x:f>E3812*G3812</x:f>
        <x:v>148530.88803088802</x:v>
      </x:c>
      <x:c r="I3812" s="36" t="n">
        <x:f>IFERROR(H3812/A3812,0)</x:f>
        <x:v>24755.148005148003</x:v>
      </x:c>
      <x:c r="J3812" s="67" t="str">
        <x:v>Modeled from live base + Sep-2026 quality ratio</x:v>
      </x:c>
      <x:c r="K3812" s="67" t="str">
        <x:v>https://www.stonealgo.com/diamond-prices/</x:v>
      </x:c>
      <x:c r="L3812" s="67" t="str">
        <x:v>https://www.pricescope.com/blog/natural-diamond-prices-september-2026</x:v>
      </x:c>
    </x:row>
    <x:row r="3813">
      <x:c r="A3813" t="n">
        <x:v>6</x:v>
      </x:c>
      <x:c r="B3813" t="str">
        <x:v>Asscher</x:v>
      </x:c>
      <x:c r="C3813" t="str">
        <x:v>H</x:v>
      </x:c>
      <x:c r="D3813" t="str">
        <x:v>VVS2</x:v>
      </x:c>
      <x:c r="E3813" s="36" t="n">
        <x:v>141000</x:v>
      </x:c>
      <x:c r="F3813" s="36" t="n">
        <x:v>4046</x:v>
      </x:c>
      <x:c r="G3813" s="42" t="n">
        <x:v>0.8678678678678678</x:v>
      </x:c>
      <x:c r="H3813" s="36" t="n">
        <x:f>E3813*G3813</x:f>
        <x:v>122369.36936936936</x:v>
      </x:c>
      <x:c r="I3813" s="36" t="n">
        <x:f>IFERROR(H3813/A3813,0)</x:f>
        <x:v>20394.894894894893</x:v>
      </x:c>
      <x:c r="J3813" s="67" t="str">
        <x:v>Modeled from live base + Sep-2026 quality ratio</x:v>
      </x:c>
      <x:c r="K3813" s="67" t="str">
        <x:v>https://www.stonealgo.com/diamond-prices/</x:v>
      </x:c>
      <x:c r="L3813" s="67" t="str">
        <x:v>https://www.pricescope.com/blog/natural-diamond-prices-september-2026</x:v>
      </x:c>
    </x:row>
    <x:row r="3814">
      <x:c r="A3814" t="n">
        <x:v>6</x:v>
      </x:c>
      <x:c r="B3814" t="str">
        <x:v>Asscher</x:v>
      </x:c>
      <x:c r="C3814" t="str">
        <x:v>H</x:v>
      </x:c>
      <x:c r="D3814" t="str">
        <x:v>VS1</x:v>
      </x:c>
      <x:c r="E3814" s="36" t="n">
        <x:v>141000</x:v>
      </x:c>
      <x:c r="F3814" s="36" t="n">
        <x:v>3893</x:v>
      </x:c>
      <x:c r="G3814" s="42" t="n">
        <x:v>0.8350493350493351</x:v>
      </x:c>
      <x:c r="H3814" s="36" t="n">
        <x:f>E3814*G3814</x:f>
        <x:v>117741.95624195624</x:v>
      </x:c>
      <x:c r="I3814" s="36" t="n">
        <x:f>IFERROR(H3814/A3814,0)</x:f>
        <x:v>19623.659373659375</x:v>
      </x:c>
      <x:c r="J3814" s="67" t="str">
        <x:v>Modeled from live base + Sep-2026 quality ratio</x:v>
      </x:c>
      <x:c r="K3814" s="67" t="str">
        <x:v>https://www.stonealgo.com/diamond-prices/</x:v>
      </x:c>
      <x:c r="L3814" s="67" t="str">
        <x:v>https://www.pricescope.com/blog/natural-diamond-prices-september-2026</x:v>
      </x:c>
    </x:row>
    <x:row r="3815">
      <x:c r="A3815" t="n">
        <x:v>6</x:v>
      </x:c>
      <x:c r="B3815" t="str">
        <x:v>Asscher</x:v>
      </x:c>
      <x:c r="C3815" t="str">
        <x:v>H</x:v>
      </x:c>
      <x:c r="D3815" t="str">
        <x:v>VS2</x:v>
      </x:c>
      <x:c r="E3815" s="36" t="n">
        <x:v>141000</x:v>
      </x:c>
      <x:c r="F3815" s="36" t="n">
        <x:v>3989</x:v>
      </x:c>
      <x:c r="G3815" s="42" t="n">
        <x:v>0.8556413556413557</x:v>
      </x:c>
      <x:c r="H3815" s="36" t="n">
        <x:f>E3815*G3815</x:f>
        <x:v>120645.43114543115</x:v>
      </x:c>
      <x:c r="I3815" s="36" t="n">
        <x:f>IFERROR(H3815/A3815,0)</x:f>
        <x:v>20107.57185757186</x:v>
      </x:c>
      <x:c r="J3815" s="67" t="str">
        <x:v>Modeled from live base + Sep-2026 quality ratio</x:v>
      </x:c>
      <x:c r="K3815" s="67" t="str">
        <x:v>https://www.stonealgo.com/diamond-prices/</x:v>
      </x:c>
      <x:c r="L3815" s="67" t="str">
        <x:v>https://www.pricescope.com/blog/natural-diamond-prices-september-2026</x:v>
      </x:c>
    </x:row>
    <x:row r="3816">
      <x:c r="A3816" t="n">
        <x:v>6</x:v>
      </x:c>
      <x:c r="B3816" t="str">
        <x:v>Asscher</x:v>
      </x:c>
      <x:c r="C3816" t="str">
        <x:v>H</x:v>
      </x:c>
      <x:c r="D3816" t="str">
        <x:v>SI1</x:v>
      </x:c>
      <x:c r="E3816" s="36" t="n">
        <x:v>141000</x:v>
      </x:c>
      <x:c r="F3816" s="36" t="n">
        <x:v>2828</x:v>
      </x:c>
      <x:c r="G3816" s="42" t="n">
        <x:v>0.6066066066066066</x:v>
      </x:c>
      <x:c r="H3816" s="36" t="n">
        <x:f>E3816*G3816</x:f>
        <x:v>85531.53153153152</x:v>
      </x:c>
      <x:c r="I3816" s="36" t="n">
        <x:f>IFERROR(H3816/A3816,0)</x:f>
        <x:v>14255.255255255253</x:v>
      </x:c>
      <x:c r="J3816" s="67" t="str">
        <x:v>Modeled from live base + Sep-2026 quality ratio</x:v>
      </x:c>
      <x:c r="K3816" s="67" t="str">
        <x:v>https://www.stonealgo.com/diamond-prices/</x:v>
      </x:c>
      <x:c r="L3816" s="67" t="str">
        <x:v>https://www.pricescope.com/blog/natural-diamond-prices-september-2026</x:v>
      </x:c>
    </x:row>
    <x:row r="3817">
      <x:c r="A3817" t="n">
        <x:v>6</x:v>
      </x:c>
      <x:c r="B3817" t="str">
        <x:v>Asscher</x:v>
      </x:c>
      <x:c r="C3817" t="str">
        <x:v>H</x:v>
      </x:c>
      <x:c r="D3817" t="str">
        <x:v>SI2</x:v>
      </x:c>
      <x:c r="E3817" s="36" t="n">
        <x:v>141000</x:v>
      </x:c>
      <x:c r="F3817" s="36" t="n">
        <x:v>2328</x:v>
      </x:c>
      <x:c r="G3817" s="42" t="n">
        <x:v>0.49935649935649934</x:v>
      </x:c>
      <x:c r="H3817" s="36" t="n">
        <x:f>E3817*G3817</x:f>
        <x:v>70409.2664092664</x:v>
      </x:c>
      <x:c r="I3817" s="36" t="n">
        <x:f>IFERROR(H3817/A3817,0)</x:f>
        <x:v>11734.877734877735</x:v>
      </x:c>
      <x:c r="J3817" s="67" t="str">
        <x:v>Modeled from live base + Sep-2026 quality ratio</x:v>
      </x:c>
      <x:c r="K3817" s="67" t="str">
        <x:v>https://www.stonealgo.com/diamond-prices/</x:v>
      </x:c>
      <x:c r="L3817" s="67" t="str">
        <x:v>https://www.pricescope.com/blog/natural-diamond-prices-september-2026</x:v>
      </x:c>
    </x:row>
    <x:row r="3818">
      <x:c r="A3818" t="n">
        <x:v>6</x:v>
      </x:c>
      <x:c r="B3818" t="str">
        <x:v>Asscher</x:v>
      </x:c>
      <x:c r="C3818" t="str">
        <x:v>I</x:v>
      </x:c>
      <x:c r="D3818" t="str">
        <x:v>FL</x:v>
      </x:c>
      <x:c r="E3818" s="36" t="n">
        <x:v>141000</x:v>
      </x:c>
      <x:c r="F3818" s="36" t="n">
        <x:v>4623</x:v>
      </x:c>
      <x:c r="G3818" s="42" t="n">
        <x:v>0.9916344916344917</x:v>
      </x:c>
      <x:c r="H3818" s="36" t="n">
        <x:f>E3818*G3818</x:f>
        <x:v>139820.4633204633</x:v>
      </x:c>
      <x:c r="I3818" s="36" t="n">
        <x:f>IFERROR(H3818/A3818,0)</x:f>
        <x:v>23303.41055341055</x:v>
      </x:c>
      <x:c r="J3818" s="67" t="str">
        <x:v>Modeled from live base + Sep-2026 quality ratio</x:v>
      </x:c>
      <x:c r="K3818" s="67" t="str">
        <x:v>https://www.stonealgo.com/diamond-prices/</x:v>
      </x:c>
      <x:c r="L3818" s="67" t="str">
        <x:v>https://www.pricescope.com/blog/natural-diamond-prices-september-2026</x:v>
      </x:c>
    </x:row>
    <x:row r="3819">
      <x:c r="A3819" t="n">
        <x:v>6</x:v>
      </x:c>
      <x:c r="B3819" t="str">
        <x:v>Asscher</x:v>
      </x:c>
      <x:c r="C3819" t="str">
        <x:v>I</x:v>
      </x:c>
      <x:c r="D3819" t="str">
        <x:v>IF</x:v>
      </x:c>
      <x:c r="E3819" s="36" t="n">
        <x:v>141000</x:v>
      </x:c>
      <x:c r="F3819" s="36" t="n">
        <x:v>4005</x:v>
      </x:c>
      <x:c r="G3819" s="42" t="n">
        <x:v>0.859073359073359</x:v>
      </x:c>
      <x:c r="H3819" s="36" t="n">
        <x:f>E3819*G3819</x:f>
        <x:v>121129.34362934362</x:v>
      </x:c>
      <x:c r="I3819" s="36" t="n">
        <x:f>IFERROR(H3819/A3819,0)</x:f>
        <x:v>20188.22393822394</x:v>
      </x:c>
      <x:c r="J3819" s="67" t="str">
        <x:v>Modeled from live base + Sep-2026 quality ratio</x:v>
      </x:c>
      <x:c r="K3819" s="67" t="str">
        <x:v>https://www.stonealgo.com/diamond-prices/</x:v>
      </x:c>
      <x:c r="L3819" s="67" t="str">
        <x:v>https://www.pricescope.com/blog/natural-diamond-prices-september-2026</x:v>
      </x:c>
    </x:row>
    <x:row r="3820">
      <x:c r="A3820" t="n">
        <x:v>6</x:v>
      </x:c>
      <x:c r="B3820" t="str">
        <x:v>Asscher</x:v>
      </x:c>
      <x:c r="C3820" t="str">
        <x:v>I</x:v>
      </x:c>
      <x:c r="D3820" t="str">
        <x:v>VVS1</x:v>
      </x:c>
      <x:c r="E3820" s="36" t="n">
        <x:v>141000</x:v>
      </x:c>
      <x:c r="F3820" s="36" t="n">
        <x:v>3670</x:v>
      </x:c>
      <x:c r="G3820" s="42" t="n">
        <x:v>0.7872157872157872</x:v>
      </x:c>
      <x:c r="H3820" s="36" t="n">
        <x:f>E3820*G3820</x:f>
        <x:v>110997.42599742599</x:v>
      </x:c>
      <x:c r="I3820" s="36" t="n">
        <x:f>IFERROR(H3820/A3820,0)</x:f>
        <x:v>18499.570999571</x:v>
      </x:c>
      <x:c r="J3820" s="67" t="str">
        <x:v>Modeled from live base + Sep-2026 quality ratio</x:v>
      </x:c>
      <x:c r="K3820" s="67" t="str">
        <x:v>https://www.stonealgo.com/diamond-prices/</x:v>
      </x:c>
      <x:c r="L3820" s="67" t="str">
        <x:v>https://www.pricescope.com/blog/natural-diamond-prices-september-2026</x:v>
      </x:c>
    </x:row>
    <x:row r="3821">
      <x:c r="A3821" t="n">
        <x:v>6</x:v>
      </x:c>
      <x:c r="B3821" t="str">
        <x:v>Asscher</x:v>
      </x:c>
      <x:c r="C3821" t="str">
        <x:v>I</x:v>
      </x:c>
      <x:c r="D3821" t="str">
        <x:v>VVS2</x:v>
      </x:c>
      <x:c r="E3821" s="36" t="n">
        <x:v>141000</x:v>
      </x:c>
      <x:c r="F3821" s="36" t="n">
        <x:v>3447</x:v>
      </x:c>
      <x:c r="G3821" s="42" t="n">
        <x:v>0.7393822393822393</x:v>
      </x:c>
      <x:c r="H3821" s="36" t="n">
        <x:f>E3821*G3821</x:f>
        <x:v>104252.89575289575</x:v>
      </x:c>
      <x:c r="I3821" s="36" t="n">
        <x:f>IFERROR(H3821/A3821,0)</x:f>
        <x:v>17375.482625482626</x:v>
      </x:c>
      <x:c r="J3821" s="67" t="str">
        <x:v>Modeled from live base + Sep-2026 quality ratio</x:v>
      </x:c>
      <x:c r="K3821" s="67" t="str">
        <x:v>https://www.stonealgo.com/diamond-prices/</x:v>
      </x:c>
      <x:c r="L3821" s="67" t="str">
        <x:v>https://www.pricescope.com/blog/natural-diamond-prices-september-2026</x:v>
      </x:c>
    </x:row>
    <x:row r="3822">
      <x:c r="A3822" t="n">
        <x:v>6</x:v>
      </x:c>
      <x:c r="B3822" t="str">
        <x:v>Asscher</x:v>
      </x:c>
      <x:c r="C3822" t="str">
        <x:v>I</x:v>
      </x:c>
      <x:c r="D3822" t="str">
        <x:v>VS1</x:v>
      </x:c>
      <x:c r="E3822" s="36" t="n">
        <x:v>141000</x:v>
      </x:c>
      <x:c r="F3822" s="36" t="n">
        <x:v>3313</x:v>
      </x:c>
      <x:c r="G3822" s="42" t="n">
        <x:v>0.7106392106392107</x:v>
      </x:c>
      <x:c r="H3822" s="36" t="n">
        <x:f>E3822*G3822</x:f>
        <x:v>100200.1287001287</x:v>
      </x:c>
      <x:c r="I3822" s="36" t="n">
        <x:f>IFERROR(H3822/A3822,0)</x:f>
        <x:v>16700.02145002145</x:v>
      </x:c>
      <x:c r="J3822" s="67" t="str">
        <x:v>Modeled from live base + Sep-2026 quality ratio</x:v>
      </x:c>
      <x:c r="K3822" s="67" t="str">
        <x:v>https://www.stonealgo.com/diamond-prices/</x:v>
      </x:c>
      <x:c r="L3822" s="67" t="str">
        <x:v>https://www.pricescope.com/blog/natural-diamond-prices-september-2026</x:v>
      </x:c>
    </x:row>
    <x:row r="3823">
      <x:c r="A3823" t="n">
        <x:v>6</x:v>
      </x:c>
      <x:c r="B3823" t="str">
        <x:v>Asscher</x:v>
      </x:c>
      <x:c r="C3823" t="str">
        <x:v>I</x:v>
      </x:c>
      <x:c r="D3823" t="str">
        <x:v>VS2</x:v>
      </x:c>
      <x:c r="E3823" s="36" t="n">
        <x:v>141000</x:v>
      </x:c>
      <x:c r="F3823" s="36" t="n">
        <x:v>3240</x:v>
      </x:c>
      <x:c r="G3823" s="42" t="n">
        <x:v>0.694980694980695</x:v>
      </x:c>
      <x:c r="H3823" s="36" t="n">
        <x:f>E3823*G3823</x:f>
        <x:v>97992.277992278</x:v>
      </x:c>
      <x:c r="I3823" s="36" t="n">
        <x:f>IFERROR(H3823/A3823,0)</x:f>
        <x:v>16332.046332046333</x:v>
      </x:c>
      <x:c r="J3823" s="67" t="str">
        <x:v>Modeled from live base + Sep-2026 quality ratio</x:v>
      </x:c>
      <x:c r="K3823" s="67" t="str">
        <x:v>https://www.stonealgo.com/diamond-prices/</x:v>
      </x:c>
      <x:c r="L3823" s="67" t="str">
        <x:v>https://www.pricescope.com/blog/natural-diamond-prices-september-2026</x:v>
      </x:c>
    </x:row>
    <x:row r="3824">
      <x:c r="A3824" t="n">
        <x:v>6</x:v>
      </x:c>
      <x:c r="B3824" t="str">
        <x:v>Asscher</x:v>
      </x:c>
      <x:c r="C3824" t="str">
        <x:v>I</x:v>
      </x:c>
      <x:c r="D3824" t="str">
        <x:v>SI1</x:v>
      </x:c>
      <x:c r="E3824" s="36" t="n">
        <x:v>141000</x:v>
      </x:c>
      <x:c r="F3824" s="36" t="n">
        <x:v>3199</x:v>
      </x:c>
      <x:c r="G3824" s="42" t="n">
        <x:v>0.6861861861861862</x:v>
      </x:c>
      <x:c r="H3824" s="36" t="n">
        <x:f>E3824*G3824</x:f>
        <x:v>96752.25225225225</x:v>
      </x:c>
      <x:c r="I3824" s="36" t="n">
        <x:f>IFERROR(H3824/A3824,0)</x:f>
        <x:v>16125.375375375375</x:v>
      </x:c>
      <x:c r="J3824" s="67" t="str">
        <x:v>Modeled from live base + Sep-2026 quality ratio</x:v>
      </x:c>
      <x:c r="K3824" s="67" t="str">
        <x:v>https://www.stonealgo.com/diamond-prices/</x:v>
      </x:c>
      <x:c r="L3824" s="67" t="str">
        <x:v>https://www.pricescope.com/blog/natural-diamond-prices-september-2026</x:v>
      </x:c>
    </x:row>
    <x:row r="3825">
      <x:c r="A3825" t="n">
        <x:v>6</x:v>
      </x:c>
      <x:c r="B3825" t="str">
        <x:v>Asscher</x:v>
      </x:c>
      <x:c r="C3825" t="str">
        <x:v>I</x:v>
      </x:c>
      <x:c r="D3825" t="str">
        <x:v>SI2</x:v>
      </x:c>
      <x:c r="E3825" s="36" t="n">
        <x:v>141000</x:v>
      </x:c>
      <x:c r="F3825" s="36" t="n">
        <x:v>2874</x:v>
      </x:c>
      <x:c r="G3825" s="42" t="n">
        <x:v>0.6164736164736164</x:v>
      </x:c>
      <x:c r="H3825" s="36" t="n">
        <x:f>E3825*G3825</x:f>
        <x:v>86922.77992277991</x:v>
      </x:c>
      <x:c r="I3825" s="36" t="n">
        <x:f>IFERROR(H3825/A3825,0)</x:f>
        <x:v>14487.129987129985</x:v>
      </x:c>
      <x:c r="J3825" s="67" t="str">
        <x:v>Modeled from live base + Sep-2026 quality ratio</x:v>
      </x:c>
      <x:c r="K3825" s="67" t="str">
        <x:v>https://www.stonealgo.com/diamond-prices/</x:v>
      </x:c>
      <x:c r="L3825" s="67" t="str">
        <x:v>https://www.pricescope.com/blog/natural-diamond-prices-september-2026</x:v>
      </x:c>
    </x:row>
    <x:row r="3826">
      <x:c r="A3826" t="n">
        <x:v>6</x:v>
      </x:c>
      <x:c r="B3826" t="str">
        <x:v>Asscher</x:v>
      </x:c>
      <x:c r="C3826" t="str">
        <x:v>J</x:v>
      </x:c>
      <x:c r="D3826" t="str">
        <x:v>FL</x:v>
      </x:c>
      <x:c r="E3826" s="36" t="n">
        <x:v>141000</x:v>
      </x:c>
      <x:c r="F3826" s="36" t="n">
        <x:v>3646</x:v>
      </x:c>
      <x:c r="G3826" s="42" t="n">
        <x:v>0.782067782067782</x:v>
      </x:c>
      <x:c r="H3826" s="36" t="n">
        <x:f>E3826*G3826</x:f>
        <x:v>110271.55727155726</x:v>
      </x:c>
      <x:c r="I3826" s="36" t="n">
        <x:f>IFERROR(H3826/A3826,0)</x:f>
        <x:v>18378.592878592877</x:v>
      </x:c>
      <x:c r="J3826" s="67" t="str">
        <x:v>Modeled from live base + Sep-2026 quality ratio</x:v>
      </x:c>
      <x:c r="K3826" s="67" t="str">
        <x:v>https://www.stonealgo.com/diamond-prices/</x:v>
      </x:c>
      <x:c r="L3826" s="67" t="str">
        <x:v>https://www.pricescope.com/blog/natural-diamond-prices-september-2026</x:v>
      </x:c>
    </x:row>
    <x:row r="3827">
      <x:c r="A3827" t="n">
        <x:v>6</x:v>
      </x:c>
      <x:c r="B3827" t="str">
        <x:v>Asscher</x:v>
      </x:c>
      <x:c r="C3827" t="str">
        <x:v>J</x:v>
      </x:c>
      <x:c r="D3827" t="str">
        <x:v>IF</x:v>
      </x:c>
      <x:c r="E3827" s="36" t="n">
        <x:v>141000</x:v>
      </x:c>
      <x:c r="F3827" s="36" t="n">
        <x:v>3368</x:v>
      </x:c>
      <x:c r="G3827" s="42" t="n">
        <x:v>0.7224367224367224</x:v>
      </x:c>
      <x:c r="H3827" s="36" t="n">
        <x:f>E3827*G3827</x:f>
        <x:v>101863.57786357786</x:v>
      </x:c>
      <x:c r="I3827" s="36" t="n">
        <x:f>IFERROR(H3827/A3827,0)</x:f>
        <x:v>16977.262977262977</x:v>
      </x:c>
      <x:c r="J3827" s="67" t="str">
        <x:v>Modeled from live base + Sep-2026 quality ratio</x:v>
      </x:c>
      <x:c r="K3827" s="67" t="str">
        <x:v>https://www.stonealgo.com/diamond-prices/</x:v>
      </x:c>
      <x:c r="L3827" s="67" t="str">
        <x:v>https://www.pricescope.com/blog/natural-diamond-prices-september-2026</x:v>
      </x:c>
    </x:row>
    <x:row r="3828">
      <x:c r="A3828" t="n">
        <x:v>6</x:v>
      </x:c>
      <x:c r="B3828" t="str">
        <x:v>Asscher</x:v>
      </x:c>
      <x:c r="C3828" t="str">
        <x:v>J</x:v>
      </x:c>
      <x:c r="D3828" t="str">
        <x:v>VVS1</x:v>
      </x:c>
      <x:c r="E3828" s="36" t="n">
        <x:v>141000</x:v>
      </x:c>
      <x:c r="F3828" s="36" t="n">
        <x:v>2956</x:v>
      </x:c>
      <x:c r="G3828" s="42" t="n">
        <x:v>0.6340626340626341</x:v>
      </x:c>
      <x:c r="H3828" s="36" t="n">
        <x:f>E3828*G3828</x:f>
        <x:v>89402.8314028314</x:v>
      </x:c>
      <x:c r="I3828" s="36" t="n">
        <x:f>IFERROR(H3828/A3828,0)</x:f>
        <x:v>14900.4719004719</x:v>
      </x:c>
      <x:c r="J3828" s="67" t="str">
        <x:v>Modeled from live base + Sep-2026 quality ratio</x:v>
      </x:c>
      <x:c r="K3828" s="67" t="str">
        <x:v>https://www.stonealgo.com/diamond-prices/</x:v>
      </x:c>
      <x:c r="L3828" s="67" t="str">
        <x:v>https://www.pricescope.com/blog/natural-diamond-prices-september-2026</x:v>
      </x:c>
    </x:row>
    <x:row r="3829">
      <x:c r="A3829" t="n">
        <x:v>6</x:v>
      </x:c>
      <x:c r="B3829" t="str">
        <x:v>Asscher</x:v>
      </x:c>
      <x:c r="C3829" t="str">
        <x:v>J</x:v>
      </x:c>
      <x:c r="D3829" t="str">
        <x:v>VVS2</x:v>
      </x:c>
      <x:c r="E3829" s="36" t="n">
        <x:v>141000</x:v>
      </x:c>
      <x:c r="F3829" s="36" t="n">
        <x:v>2612</x:v>
      </x:c>
      <x:c r="G3829" s="42" t="n">
        <x:v>0.5602745602745602</x:v>
      </x:c>
      <x:c r="H3829" s="36" t="n">
        <x:f>E3829*G3829</x:f>
        <x:v>78998.71299871299</x:v>
      </x:c>
      <x:c r="I3829" s="36" t="n">
        <x:f>IFERROR(H3829/A3829,0)</x:f>
        <x:v>13166.452166452165</x:v>
      </x:c>
      <x:c r="J3829" s="67" t="str">
        <x:v>Modeled from live base + Sep-2026 quality ratio</x:v>
      </x:c>
      <x:c r="K3829" s="67" t="str">
        <x:v>https://www.stonealgo.com/diamond-prices/</x:v>
      </x:c>
      <x:c r="L3829" s="67" t="str">
        <x:v>https://www.pricescope.com/blog/natural-diamond-prices-september-2026</x:v>
      </x:c>
    </x:row>
    <x:row r="3830">
      <x:c r="A3830" t="n">
        <x:v>6</x:v>
      </x:c>
      <x:c r="B3830" t="str">
        <x:v>Asscher</x:v>
      </x:c>
      <x:c r="C3830" t="str">
        <x:v>J</x:v>
      </x:c>
      <x:c r="D3830" t="str">
        <x:v>VS1</x:v>
      </x:c>
      <x:c r="E3830" s="36" t="n">
        <x:v>141000</x:v>
      </x:c>
      <x:c r="F3830" s="36" t="n">
        <x:v>3002</x:v>
      </x:c>
      <x:c r="G3830" s="42" t="n">
        <x:v>0.6439296439296439</x:v>
      </x:c>
      <x:c r="H3830" s="36" t="n">
        <x:f>E3830*G3830</x:f>
        <x:v>90794.0797940798</x:v>
      </x:c>
      <x:c r="I3830" s="36" t="n">
        <x:f>IFERROR(H3830/A3830,0)</x:f>
        <x:v>15132.346632346633</x:v>
      </x:c>
      <x:c r="J3830" s="67" t="str">
        <x:v>Modeled from live base + Sep-2026 quality ratio</x:v>
      </x:c>
      <x:c r="K3830" s="67" t="str">
        <x:v>https://www.stonealgo.com/diamond-prices/</x:v>
      </x:c>
      <x:c r="L3830" s="67" t="str">
        <x:v>https://www.pricescope.com/blog/natural-diamond-prices-september-2026</x:v>
      </x:c>
    </x:row>
    <x:row r="3831">
      <x:c r="A3831" t="n">
        <x:v>6</x:v>
      </x:c>
      <x:c r="B3831" t="str">
        <x:v>Asscher</x:v>
      </x:c>
      <x:c r="C3831" t="str">
        <x:v>J</x:v>
      </x:c>
      <x:c r="D3831" t="str">
        <x:v>VS2</x:v>
      </x:c>
      <x:c r="E3831" s="36" t="n">
        <x:v>141000</x:v>
      </x:c>
      <x:c r="F3831" s="36" t="n">
        <x:v>2559</x:v>
      </x:c>
      <x:c r="G3831" s="42" t="n">
        <x:v>0.5489060489060489</x:v>
      </x:c>
      <x:c r="H3831" s="36" t="n">
        <x:f>E3831*G3831</x:f>
        <x:v>77395.7528957529</x:v>
      </x:c>
      <x:c r="I3831" s="36" t="n">
        <x:f>IFERROR(H3831/A3831,0)</x:f>
        <x:v>12899.29214929215</x:v>
      </x:c>
      <x:c r="J3831" s="67" t="str">
        <x:v>Modeled from live base + Sep-2026 quality ratio</x:v>
      </x:c>
      <x:c r="K3831" s="67" t="str">
        <x:v>https://www.stonealgo.com/diamond-prices/</x:v>
      </x:c>
      <x:c r="L3831" s="67" t="str">
        <x:v>https://www.pricescope.com/blog/natural-diamond-prices-september-2026</x:v>
      </x:c>
    </x:row>
    <x:row r="3832">
      <x:c r="A3832" t="n">
        <x:v>6</x:v>
      </x:c>
      <x:c r="B3832" t="str">
        <x:v>Asscher</x:v>
      </x:c>
      <x:c r="C3832" t="str">
        <x:v>J</x:v>
      </x:c>
      <x:c r="D3832" t="str">
        <x:v>SI1</x:v>
      </x:c>
      <x:c r="E3832" s="36" t="n">
        <x:v>141000</x:v>
      </x:c>
      <x:c r="F3832" s="36" t="n">
        <x:v>2195</x:v>
      </x:c>
      <x:c r="G3832" s="42" t="n">
        <x:v>0.47082797082797084</x:v>
      </x:c>
      <x:c r="H3832" s="36" t="n">
        <x:f>E3832*G3832</x:f>
        <x:v>66386.74388674389</x:v>
      </x:c>
      <x:c r="I3832" s="36" t="n">
        <x:f>IFERROR(H3832/A3832,0)</x:f>
        <x:v>11064.457314457315</x:v>
      </x:c>
      <x:c r="J3832" s="67" t="str">
        <x:v>Modeled from live base + Sep-2026 quality ratio</x:v>
      </x:c>
      <x:c r="K3832" s="67" t="str">
        <x:v>https://www.stonealgo.com/diamond-prices/</x:v>
      </x:c>
      <x:c r="L3832" s="67" t="str">
        <x:v>https://www.pricescope.com/blog/natural-diamond-prices-september-2026</x:v>
      </x:c>
    </x:row>
    <x:row r="3833">
      <x:c r="A3833" t="n">
        <x:v>6</x:v>
      </x:c>
      <x:c r="B3833" t="str">
        <x:v>Asscher</x:v>
      </x:c>
      <x:c r="C3833" t="str">
        <x:v>J</x:v>
      </x:c>
      <x:c r="D3833" t="str">
        <x:v>SI2</x:v>
      </x:c>
      <x:c r="E3833" s="36" t="n">
        <x:v>141000</x:v>
      </x:c>
      <x:c r="F3833" s="36" t="n">
        <x:v>2079</x:v>
      </x:c>
      <x:c r="G3833" s="42" t="n">
        <x:v>0.44594594594594594</x:v>
      </x:c>
      <x:c r="H3833" s="36" t="n">
        <x:f>E3833*G3833</x:f>
        <x:v>62878.37837837838</x:v>
      </x:c>
      <x:c r="I3833" s="36" t="n">
        <x:f>IFERROR(H3833/A3833,0)</x:f>
        <x:v>10479.72972972973</x:v>
      </x:c>
      <x:c r="J3833" s="67" t="str">
        <x:v>Modeled from live base + Sep-2026 quality ratio</x:v>
      </x:c>
      <x:c r="K3833" s="67" t="str">
        <x:v>https://www.stonealgo.com/diamond-prices/</x:v>
      </x:c>
      <x:c r="L3833" s="67" t="str">
        <x:v>https://www.pricescope.com/blog/natural-diamond-prices-september-2026</x:v>
      </x:c>
    </x:row>
    <x:row r="3834">
      <x:c r="A3834" t="n">
        <x:v>6</x:v>
      </x:c>
      <x:c r="B3834" t="str">
        <x:v>Asscher</x:v>
      </x:c>
      <x:c r="C3834" t="str">
        <x:v>K</x:v>
      </x:c>
      <x:c r="D3834" t="str">
        <x:v>FL</x:v>
      </x:c>
      <x:c r="E3834" s="36" t="n">
        <x:v>141000</x:v>
      </x:c>
      <x:c r="F3834" s="36" t="n">
        <x:v>2858</x:v>
      </x:c>
      <x:c r="G3834" s="42" t="n">
        <x:v>0.6130416130416131</x:v>
      </x:c>
      <x:c r="H3834" s="36" t="n">
        <x:f>E3834*G3834</x:f>
        <x:v>86438.86743886744</x:v>
      </x:c>
      <x:c r="I3834" s="36" t="n">
        <x:f>IFERROR(H3834/A3834,0)</x:f>
        <x:v>14406.477906477907</x:v>
      </x:c>
      <x:c r="J3834" s="67" t="str">
        <x:v>Modeled from live base + Sep-2026 quality ratio; K/FL quality cell modeled</x:v>
      </x:c>
      <x:c r="K3834" s="67" t="str">
        <x:v>https://www.stonealgo.com/diamond-prices/</x:v>
      </x:c>
      <x:c r="L3834" s="67" t="str">
        <x:v>https://www.pricescope.com/blog/natural-diamond-prices-september-2026</x:v>
      </x:c>
    </x:row>
    <x:row r="3835">
      <x:c r="A3835" t="n">
        <x:v>6</x:v>
      </x:c>
      <x:c r="B3835" t="str">
        <x:v>Asscher</x:v>
      </x:c>
      <x:c r="C3835" t="str">
        <x:v>K</x:v>
      </x:c>
      <x:c r="D3835" t="str">
        <x:v>IF</x:v>
      </x:c>
      <x:c r="E3835" s="36" t="n">
        <x:v>141000</x:v>
      </x:c>
      <x:c r="F3835" s="36" t="n">
        <x:v>2743</x:v>
      </x:c>
      <x:c r="G3835" s="42" t="n">
        <x:v>0.5883740883740883</x:v>
      </x:c>
      <x:c r="H3835" s="36" t="n">
        <x:f>E3835*G3835</x:f>
        <x:v>82960.74646074645</x:v>
      </x:c>
      <x:c r="I3835" s="36" t="n">
        <x:f>IFERROR(H3835/A3835,0)</x:f>
        <x:v>13826.791076791074</x:v>
      </x:c>
      <x:c r="J3835" s="67" t="str">
        <x:v>Modeled from live base + Sep-2026 quality ratio</x:v>
      </x:c>
      <x:c r="K3835" s="67" t="str">
        <x:v>https://www.stonealgo.com/diamond-prices/</x:v>
      </x:c>
      <x:c r="L3835" s="67" t="str">
        <x:v>https://www.pricescope.com/blog/natural-diamond-prices-september-2026</x:v>
      </x:c>
    </x:row>
    <x:row r="3836">
      <x:c r="A3836" t="n">
        <x:v>6</x:v>
      </x:c>
      <x:c r="B3836" t="str">
        <x:v>Asscher</x:v>
      </x:c>
      <x:c r="C3836" t="str">
        <x:v>K</x:v>
      </x:c>
      <x:c r="D3836" t="str">
        <x:v>VVS1</x:v>
      </x:c>
      <x:c r="E3836" s="36" t="n">
        <x:v>141000</x:v>
      </x:c>
      <x:c r="F3836" s="36" t="n">
        <x:v>2529</x:v>
      </x:c>
      <x:c r="G3836" s="42" t="n">
        <x:v>0.5424710424710425</x:v>
      </x:c>
      <x:c r="H3836" s="36" t="n">
        <x:f>E3836*G3836</x:f>
        <x:v>76488.416988417</x:v>
      </x:c>
      <x:c r="I3836" s="36" t="n">
        <x:f>IFERROR(H3836/A3836,0)</x:f>
        <x:v>12748.069498069499</x:v>
      </x:c>
      <x:c r="J3836" s="67" t="str">
        <x:v>Modeled from live base + Sep-2026 quality ratio</x:v>
      </x:c>
      <x:c r="K3836" s="67" t="str">
        <x:v>https://www.stonealgo.com/diamond-prices/</x:v>
      </x:c>
      <x:c r="L3836" s="67" t="str">
        <x:v>https://www.pricescope.com/blog/natural-diamond-prices-september-2026</x:v>
      </x:c>
    </x:row>
    <x:row r="3837">
      <x:c r="A3837" t="n">
        <x:v>6</x:v>
      </x:c>
      <x:c r="B3837" t="str">
        <x:v>Asscher</x:v>
      </x:c>
      <x:c r="C3837" t="str">
        <x:v>K</x:v>
      </x:c>
      <x:c r="D3837" t="str">
        <x:v>VVS2</x:v>
      </x:c>
      <x:c r="E3837" s="36" t="n">
        <x:v>141000</x:v>
      </x:c>
      <x:c r="F3837" s="36" t="n">
        <x:v>2374</x:v>
      </x:c>
      <x:c r="G3837" s="42" t="n">
        <x:v>0.5092235092235092</x:v>
      </x:c>
      <x:c r="H3837" s="36" t="n">
        <x:f>E3837*G3837</x:f>
        <x:v>71800.51480051481</x:v>
      </x:c>
      <x:c r="I3837" s="36" t="n">
        <x:f>IFERROR(H3837/A3837,0)</x:f>
        <x:v>11966.752466752469</x:v>
      </x:c>
      <x:c r="J3837" s="67" t="str">
        <x:v>Modeled from live base + Sep-2026 quality ratio</x:v>
      </x:c>
      <x:c r="K3837" s="67" t="str">
        <x:v>https://www.stonealgo.com/diamond-prices/</x:v>
      </x:c>
      <x:c r="L3837" s="67" t="str">
        <x:v>https://www.pricescope.com/blog/natural-diamond-prices-september-2026</x:v>
      </x:c>
    </x:row>
    <x:row r="3838">
      <x:c r="A3838" t="n">
        <x:v>6</x:v>
      </x:c>
      <x:c r="B3838" t="str">
        <x:v>Asscher</x:v>
      </x:c>
      <x:c r="C3838" t="str">
        <x:v>K</x:v>
      </x:c>
      <x:c r="D3838" t="str">
        <x:v>VS1</x:v>
      </x:c>
      <x:c r="E3838" s="36" t="n">
        <x:v>141000</x:v>
      </x:c>
      <x:c r="F3838" s="36" t="n">
        <x:v>2223</x:v>
      </x:c>
      <x:c r="G3838" s="42" t="n">
        <x:v>0.4768339768339768</x:v>
      </x:c>
      <x:c r="H3838" s="36" t="n">
        <x:f>E3838*G3838</x:f>
        <x:v>67233.59073359074</x:v>
      </x:c>
      <x:c r="I3838" s="36" t="n">
        <x:f>IFERROR(H3838/A3838,0)</x:f>
        <x:v>11205.598455598456</x:v>
      </x:c>
      <x:c r="J3838" s="67" t="str">
        <x:v>Modeled from live base + Sep-2026 quality ratio</x:v>
      </x:c>
      <x:c r="K3838" s="67" t="str">
        <x:v>https://www.stonealgo.com/diamond-prices/</x:v>
      </x:c>
      <x:c r="L3838" s="67" t="str">
        <x:v>https://www.pricescope.com/blog/natural-diamond-prices-september-2026</x:v>
      </x:c>
    </x:row>
    <x:row r="3839">
      <x:c r="A3839" t="n">
        <x:v>6</x:v>
      </x:c>
      <x:c r="B3839" t="str">
        <x:v>Asscher</x:v>
      </x:c>
      <x:c r="C3839" t="str">
        <x:v>K</x:v>
      </x:c>
      <x:c r="D3839" t="str">
        <x:v>VS2</x:v>
      </x:c>
      <x:c r="E3839" s="36" t="n">
        <x:v>141000</x:v>
      </x:c>
      <x:c r="F3839" s="36" t="n">
        <x:v>2098</x:v>
      </x:c>
      <x:c r="G3839" s="42" t="n">
        <x:v>0.45002145002145</x:v>
      </x:c>
      <x:c r="H3839" s="36" t="n">
        <x:f>E3839*G3839</x:f>
        <x:v>63453.02445302445</x:v>
      </x:c>
      <x:c r="I3839" s="36" t="n">
        <x:f>IFERROR(H3839/A3839,0)</x:f>
        <x:v>10575.504075504075</x:v>
      </x:c>
      <x:c r="J3839" s="67" t="str">
        <x:v>Modeled from live base + Sep-2026 quality ratio</x:v>
      </x:c>
      <x:c r="K3839" s="67" t="str">
        <x:v>https://www.stonealgo.com/diamond-prices/</x:v>
      </x:c>
      <x:c r="L3839" s="67" t="str">
        <x:v>https://www.pricescope.com/blog/natural-diamond-prices-september-2026</x:v>
      </x:c>
    </x:row>
    <x:row r="3840">
      <x:c r="A3840" t="n">
        <x:v>6</x:v>
      </x:c>
      <x:c r="B3840" t="str">
        <x:v>Asscher</x:v>
      </x:c>
      <x:c r="C3840" t="str">
        <x:v>K</x:v>
      </x:c>
      <x:c r="D3840" t="str">
        <x:v>SI1</x:v>
      </x:c>
      <x:c r="E3840" s="36" t="n">
        <x:v>141000</x:v>
      </x:c>
      <x:c r="F3840" s="36" t="n">
        <x:v>1922</x:v>
      </x:c>
      <x:c r="G3840" s="42" t="n">
        <x:v>0.41226941226941227</x:v>
      </x:c>
      <x:c r="H3840" s="36" t="n">
        <x:f>E3840*G3840</x:f>
        <x:v>58129.98712998713</x:v>
      </x:c>
      <x:c r="I3840" s="36" t="n">
        <x:f>IFERROR(H3840/A3840,0)</x:f>
        <x:v>9688.331188331189</x:v>
      </x:c>
      <x:c r="J3840" s="67" t="str">
        <x:v>Modeled from live base + Sep-2026 quality ratio</x:v>
      </x:c>
      <x:c r="K3840" s="67" t="str">
        <x:v>https://www.stonealgo.com/diamond-prices/</x:v>
      </x:c>
      <x:c r="L3840" s="67" t="str">
        <x:v>https://www.pricescope.com/blog/natural-diamond-prices-september-2026</x:v>
      </x:c>
    </x:row>
    <x:row r="3841">
      <x:c r="A3841" t="n">
        <x:v>6</x:v>
      </x:c>
      <x:c r="B3841" t="str">
        <x:v>Asscher</x:v>
      </x:c>
      <x:c r="C3841" t="str">
        <x:v>K</x:v>
      </x:c>
      <x:c r="D3841" t="str">
        <x:v>SI2</x:v>
      </x:c>
      <x:c r="E3841" s="36" t="n">
        <x:v>141000</x:v>
      </x:c>
      <x:c r="F3841" s="36" t="n">
        <x:v>1764</x:v>
      </x:c>
      <x:c r="G3841" s="42" t="n">
        <x:v>0.3783783783783784</x:v>
      </x:c>
      <x:c r="H3841" s="36" t="n">
        <x:f>E3841*G3841</x:f>
        <x:v>53351.35135135135</x:v>
      </x:c>
      <x:c r="I3841" s="36" t="n">
        <x:f>IFERROR(H3841/A3841,0)</x:f>
        <x:v>8891.891891891892</x:v>
      </x:c>
      <x:c r="J3841" s="67" t="str">
        <x:v>Modeled from live base + Sep-2026 quality ratio</x:v>
      </x:c>
      <x:c r="K3841" s="67" t="str">
        <x:v>https://www.stonealgo.com/diamond-prices/</x:v>
      </x:c>
      <x:c r="L3841" s="67" t="str">
        <x:v>https://www.pricescope.com/blog/natural-diamond-prices-september-2026</x:v>
      </x:c>
    </x:row>
    <x:row r="3842">
      <x:c r="A3842" t="n">
        <x:v>7</x:v>
      </x:c>
      <x:c r="B3842" t="str">
        <x:v>Round</x:v>
      </x:c>
      <x:c r="C3842" t="str">
        <x:v>D</x:v>
      </x:c>
      <x:c r="D3842" t="str">
        <x:v>FL</x:v>
      </x:c>
      <x:c r="E3842" s="36" t="n">
        <x:v>197887</x:v>
      </x:c>
      <x:c r="F3842" s="36" t="n">
        <x:v>12665</x:v>
      </x:c>
      <x:c r="G3842" s="42" t="n">
        <x:v>2.7166452166452166</x:v>
      </x:c>
      <x:c r="H3842" s="36" t="n">
        <x:f>E3842*G3842</x:f>
        <x:v>537588.771986272</x:v>
      </x:c>
      <x:c r="I3842" s="36" t="n">
        <x:f>IFERROR(H3842/A3842,0)</x:f>
        <x:v>76798.39599803885</x:v>
      </x:c>
      <x:c r="J3842" s="67" t="str">
        <x:v>Modeled from live base + Sep-2026 quality ratio</x:v>
      </x:c>
      <x:c r="K3842" s="67" t="str">
        <x:v>https://www.stonealgo.com/diamond-prices/</x:v>
      </x:c>
      <x:c r="L3842" s="67" t="str">
        <x:v>https://www.pricescope.com/blog/natural-diamond-prices-september-2026</x:v>
      </x:c>
    </x:row>
    <x:row r="3843">
      <x:c r="A3843" t="n">
        <x:v>7</x:v>
      </x:c>
      <x:c r="B3843" t="str">
        <x:v>Round</x:v>
      </x:c>
      <x:c r="C3843" t="str">
        <x:v>D</x:v>
      </x:c>
      <x:c r="D3843" t="str">
        <x:v>IF</x:v>
      </x:c>
      <x:c r="E3843" s="36" t="n">
        <x:v>197887</x:v>
      </x:c>
      <x:c r="F3843" s="36" t="n">
        <x:v>13240</x:v>
      </x:c>
      <x:c r="G3843" s="42" t="n">
        <x:v>2.83998283998284</x:v>
      </x:c>
      <x:c r="H3843" s="36" t="n">
        <x:f>E3843*G3843</x:f>
        <x:v>561995.6842556843</x:v>
      </x:c>
      <x:c r="I3843" s="36" t="n">
        <x:f>IFERROR(H3843/A3843,0)</x:f>
        <x:v>80285.09775081204</x:v>
      </x:c>
      <x:c r="J3843" s="67" t="str">
        <x:v>Modeled from live base + Sep-2026 quality ratio</x:v>
      </x:c>
      <x:c r="K3843" s="67" t="str">
        <x:v>https://www.stonealgo.com/diamond-prices/</x:v>
      </x:c>
      <x:c r="L3843" s="67" t="str">
        <x:v>https://www.pricescope.com/blog/natural-diamond-prices-september-2026</x:v>
      </x:c>
    </x:row>
    <x:row r="3844">
      <x:c r="A3844" t="n">
        <x:v>7</x:v>
      </x:c>
      <x:c r="B3844" t="str">
        <x:v>Round</x:v>
      </x:c>
      <x:c r="C3844" t="str">
        <x:v>D</x:v>
      </x:c>
      <x:c r="D3844" t="str">
        <x:v>VVS1</x:v>
      </x:c>
      <x:c r="E3844" s="36" t="n">
        <x:v>197887</x:v>
      </x:c>
      <x:c r="F3844" s="36" t="n">
        <x:v>9555</x:v>
      </x:c>
      <x:c r="G3844" s="42" t="n">
        <x:v>2.0495495495495497</x:v>
      </x:c>
      <x:c r="H3844" s="36" t="n">
        <x:f>E3844*G3844</x:f>
        <x:v>405579.2117117117</x:v>
      </x:c>
      <x:c r="I3844" s="36" t="n">
        <x:f>IFERROR(H3844/A3844,0)</x:f>
        <x:v>57939.88738738739</x:v>
      </x:c>
      <x:c r="J3844" s="67" t="str">
        <x:v>Modeled from live base + Sep-2026 quality ratio</x:v>
      </x:c>
      <x:c r="K3844" s="67" t="str">
        <x:v>https://www.stonealgo.com/diamond-prices/</x:v>
      </x:c>
      <x:c r="L3844" s="67" t="str">
        <x:v>https://www.pricescope.com/blog/natural-diamond-prices-september-2026</x:v>
      </x:c>
    </x:row>
    <x:row r="3845">
      <x:c r="A3845" t="n">
        <x:v>7</x:v>
      </x:c>
      <x:c r="B3845" t="str">
        <x:v>Round</x:v>
      </x:c>
      <x:c r="C3845" t="str">
        <x:v>D</x:v>
      </x:c>
      <x:c r="D3845" t="str">
        <x:v>VVS2</x:v>
      </x:c>
      <x:c r="E3845" s="36" t="n">
        <x:v>197887</x:v>
      </x:c>
      <x:c r="F3845" s="36" t="n">
        <x:v>6660</x:v>
      </x:c>
      <x:c r="G3845" s="42" t="n">
        <x:v>1.4285714285714286</x:v>
      </x:c>
      <x:c r="H3845" s="36" t="n">
        <x:f>E3845*G3845</x:f>
        <x:v>282695.7142857143</x:v>
      </x:c>
      <x:c r="I3845" s="36" t="n">
        <x:f>IFERROR(H3845/A3845,0)</x:f>
        <x:v>40385.10204081633</x:v>
      </x:c>
      <x:c r="J3845" s="67" t="str">
        <x:v>Modeled from live base + Sep-2026 quality ratio</x:v>
      </x:c>
      <x:c r="K3845" s="67" t="str">
        <x:v>https://www.stonealgo.com/diamond-prices/</x:v>
      </x:c>
      <x:c r="L3845" s="67" t="str">
        <x:v>https://www.pricescope.com/blog/natural-diamond-prices-september-2026</x:v>
      </x:c>
    </x:row>
    <x:row r="3846">
      <x:c r="A3846" t="n">
        <x:v>7</x:v>
      </x:c>
      <x:c r="B3846" t="str">
        <x:v>Round</x:v>
      </x:c>
      <x:c r="C3846" t="str">
        <x:v>D</x:v>
      </x:c>
      <x:c r="D3846" t="str">
        <x:v>VS1</x:v>
      </x:c>
      <x:c r="E3846" s="36" t="n">
        <x:v>197887</x:v>
      </x:c>
      <x:c r="F3846" s="36" t="n">
        <x:v>6247</x:v>
      </x:c>
      <x:c r="G3846" s="42" t="n">
        <x:v>1.33998283998284</x:v>
      </x:c>
      <x:c r="H3846" s="36" t="n">
        <x:f>E3846*G3846</x:f>
        <x:v>265165.18425568426</x:v>
      </x:c>
      <x:c r="I3846" s="36" t="n">
        <x:f>IFERROR(H3846/A3846,0)</x:f>
        <x:v>37880.7406079549</x:v>
      </x:c>
      <x:c r="J3846" s="67" t="str">
        <x:v>Modeled from live base + Sep-2026 quality ratio</x:v>
      </x:c>
      <x:c r="K3846" s="67" t="str">
        <x:v>https://www.stonealgo.com/diamond-prices/</x:v>
      </x:c>
      <x:c r="L3846" s="67" t="str">
        <x:v>https://www.pricescope.com/blog/natural-diamond-prices-september-2026</x:v>
      </x:c>
    </x:row>
    <x:row r="3847">
      <x:c r="A3847" t="n">
        <x:v>7</x:v>
      </x:c>
      <x:c r="B3847" t="str">
        <x:v>Round</x:v>
      </x:c>
      <x:c r="C3847" t="str">
        <x:v>D</x:v>
      </x:c>
      <x:c r="D3847" t="str">
        <x:v>VS2</x:v>
      </x:c>
      <x:c r="E3847" s="36" t="n">
        <x:v>197887</x:v>
      </x:c>
      <x:c r="F3847" s="36" t="n">
        <x:v>5841</x:v>
      </x:c>
      <x:c r="G3847" s="42" t="n">
        <x:v>1.252895752895753</x:v>
      </x:c>
      <x:c r="H3847" s="36" t="n">
        <x:f>E3847*G3847</x:f>
        <x:v>247931.78185328186</x:v>
      </x:c>
      <x:c r="I3847" s="36" t="n">
        <x:f>IFERROR(H3847/A3847,0)</x:f>
        <x:v>35418.825979040266</x:v>
      </x:c>
      <x:c r="J3847" s="67" t="str">
        <x:v>Modeled from live base + Sep-2026 quality ratio</x:v>
      </x:c>
      <x:c r="K3847" s="67" t="str">
        <x:v>https://www.stonealgo.com/diamond-prices/</x:v>
      </x:c>
      <x:c r="L3847" s="67" t="str">
        <x:v>https://www.pricescope.com/blog/natural-diamond-prices-september-2026</x:v>
      </x:c>
    </x:row>
    <x:row r="3848">
      <x:c r="A3848" t="n">
        <x:v>7</x:v>
      </x:c>
      <x:c r="B3848" t="str">
        <x:v>Round</x:v>
      </x:c>
      <x:c r="C3848" t="str">
        <x:v>D</x:v>
      </x:c>
      <x:c r="D3848" t="str">
        <x:v>SI1</x:v>
      </x:c>
      <x:c r="E3848" s="36" t="n">
        <x:v>197887</x:v>
      </x:c>
      <x:c r="F3848" s="36" t="n">
        <x:v>3762</x:v>
      </x:c>
      <x:c r="G3848" s="42" t="n">
        <x:v>0.806949806949807</x:v>
      </x:c>
      <x:c r="H3848" s="36" t="n">
        <x:f>E3848*G3848</x:f>
        <x:v>159684.87644787645</x:v>
      </x:c>
      <x:c r="I3848" s="36" t="n">
        <x:f>IFERROR(H3848/A3848,0)</x:f>
        <x:v>22812.125206839493</x:v>
      </x:c>
      <x:c r="J3848" s="67" t="str">
        <x:v>Modeled from live base + Sep-2026 quality ratio</x:v>
      </x:c>
      <x:c r="K3848" s="67" t="str">
        <x:v>https://www.stonealgo.com/diamond-prices/</x:v>
      </x:c>
      <x:c r="L3848" s="67" t="str">
        <x:v>https://www.pricescope.com/blog/natural-diamond-prices-september-2026</x:v>
      </x:c>
    </x:row>
    <x:row r="3849">
      <x:c r="A3849" t="n">
        <x:v>7</x:v>
      </x:c>
      <x:c r="B3849" t="str">
        <x:v>Round</x:v>
      </x:c>
      <x:c r="C3849" t="str">
        <x:v>D</x:v>
      </x:c>
      <x:c r="D3849" t="str">
        <x:v>SI2</x:v>
      </x:c>
      <x:c r="E3849" s="36" t="n">
        <x:v>197887</x:v>
      </x:c>
      <x:c r="F3849" s="36" t="n">
        <x:v>3026</x:v>
      </x:c>
      <x:c r="G3849" s="42" t="n">
        <x:v>0.6490776490776491</x:v>
      </x:c>
      <x:c r="H3849" s="36" t="n">
        <x:f>E3849*G3849</x:f>
        <x:v>128444.02874302874</x:v>
      </x:c>
      <x:c r="I3849" s="36" t="n">
        <x:f>IFERROR(H3849/A3849,0)</x:f>
        <x:v>18349.14696328982</x:v>
      </x:c>
      <x:c r="J3849" s="67" t="str">
        <x:v>Modeled from live base + Sep-2026 quality ratio</x:v>
      </x:c>
      <x:c r="K3849" s="67" t="str">
        <x:v>https://www.stonealgo.com/diamond-prices/</x:v>
      </x:c>
      <x:c r="L3849" s="67" t="str">
        <x:v>https://www.pricescope.com/blog/natural-diamond-prices-september-2026</x:v>
      </x:c>
    </x:row>
    <x:row r="3850">
      <x:c r="A3850" t="n">
        <x:v>7</x:v>
      </x:c>
      <x:c r="B3850" t="str">
        <x:v>Round</x:v>
      </x:c>
      <x:c r="C3850" t="str">
        <x:v>E</x:v>
      </x:c>
      <x:c r="D3850" t="str">
        <x:v>FL</x:v>
      </x:c>
      <x:c r="E3850" s="36" t="n">
        <x:v>197887</x:v>
      </x:c>
      <x:c r="F3850" s="36" t="n">
        <x:v>10072</x:v>
      </x:c>
      <x:c r="G3850" s="42" t="n">
        <x:v>2.1604461604461602</x:v>
      </x:c>
      <x:c r="H3850" s="36" t="n">
        <x:f>E3850*G3850</x:f>
        <x:v>427524.2093522093</x:v>
      </x:c>
      <x:c r="I3850" s="36" t="n">
        <x:f>IFERROR(H3850/A3850,0)</x:f>
        <x:v>61074.887050315614</x:v>
      </x:c>
      <x:c r="J3850" s="67" t="str">
        <x:v>Modeled from live base + Sep-2026 quality ratio</x:v>
      </x:c>
      <x:c r="K3850" s="67" t="str">
        <x:v>https://www.stonealgo.com/diamond-prices/</x:v>
      </x:c>
      <x:c r="L3850" s="67" t="str">
        <x:v>https://www.pricescope.com/blog/natural-diamond-prices-september-2026</x:v>
      </x:c>
    </x:row>
    <x:row r="3851">
      <x:c r="A3851" t="n">
        <x:v>7</x:v>
      </x:c>
      <x:c r="B3851" t="str">
        <x:v>Round</x:v>
      </x:c>
      <x:c r="C3851" t="str">
        <x:v>E</x:v>
      </x:c>
      <x:c r="D3851" t="str">
        <x:v>IF</x:v>
      </x:c>
      <x:c r="E3851" s="36" t="n">
        <x:v>197887</x:v>
      </x:c>
      <x:c r="F3851" s="36" t="n">
        <x:v>8672</x:v>
      </x:c>
      <x:c r="G3851" s="42" t="n">
        <x:v>1.8601458601458603</x:v>
      </x:c>
      <x:c r="H3851" s="36" t="n">
        <x:f>E3851*G3851</x:f>
        <x:v>368098.68382668385</x:v>
      </x:c>
      <x:c r="I3851" s="36" t="n">
        <x:f>IFERROR(H3851/A3851,0)</x:f>
        <x:v>52585.52626095484</x:v>
      </x:c>
      <x:c r="J3851" s="67" t="str">
        <x:v>Modeled from live base + Sep-2026 quality ratio</x:v>
      </x:c>
      <x:c r="K3851" s="67" t="str">
        <x:v>https://www.stonealgo.com/diamond-prices/</x:v>
      </x:c>
      <x:c r="L3851" s="67" t="str">
        <x:v>https://www.pricescope.com/blog/natural-diamond-prices-september-2026</x:v>
      </x:c>
    </x:row>
    <x:row r="3852">
      <x:c r="A3852" t="n">
        <x:v>7</x:v>
      </x:c>
      <x:c r="B3852" t="str">
        <x:v>Round</x:v>
      </x:c>
      <x:c r="C3852" t="str">
        <x:v>E</x:v>
      </x:c>
      <x:c r="D3852" t="str">
        <x:v>VVS1</x:v>
      </x:c>
      <x:c r="E3852" s="36" t="n">
        <x:v>197887</x:v>
      </x:c>
      <x:c r="F3852" s="36" t="n">
        <x:v>7842</x:v>
      </x:c>
      <x:c r="G3852" s="42" t="n">
        <x:v>1.6821106821106822</x:v>
      </x:c>
      <x:c r="H3852" s="36" t="n">
        <x:f>E3852*G3852</x:f>
        <x:v>332867.83655083657</x:v>
      </x:c>
      <x:c r="I3852" s="36" t="n">
        <x:f>IFERROR(H3852/A3852,0)</x:f>
        <x:v>47552.54807869094</x:v>
      </x:c>
      <x:c r="J3852" s="67" t="str">
        <x:v>Modeled from live base + Sep-2026 quality ratio</x:v>
      </x:c>
      <x:c r="K3852" s="67" t="str">
        <x:v>https://www.stonealgo.com/diamond-prices/</x:v>
      </x:c>
      <x:c r="L3852" s="67" t="str">
        <x:v>https://www.pricescope.com/blog/natural-diamond-prices-september-2026</x:v>
      </x:c>
    </x:row>
    <x:row r="3853">
      <x:c r="A3853" t="n">
        <x:v>7</x:v>
      </x:c>
      <x:c r="B3853" t="str">
        <x:v>Round</x:v>
      </x:c>
      <x:c r="C3853" t="str">
        <x:v>E</x:v>
      </x:c>
      <x:c r="D3853" t="str">
        <x:v>VVS2</x:v>
      </x:c>
      <x:c r="E3853" s="36" t="n">
        <x:v>197887</x:v>
      </x:c>
      <x:c r="F3853" s="36" t="n">
        <x:v>6880</x:v>
      </x:c>
      <x:c r="G3853" s="42" t="n">
        <x:v>1.4757614757614759</x:v>
      </x:c>
      <x:c r="H3853" s="36" t="n">
        <x:f>E3853*G3853</x:f>
        <x:v>292034.0111540112</x:v>
      </x:c>
      <x:c r="I3853" s="36" t="n">
        <x:f>IFERROR(H3853/A3853,0)</x:f>
        <x:v>41719.144450573025</x:v>
      </x:c>
      <x:c r="J3853" s="67" t="str">
        <x:v>Modeled from live base + Sep-2026 quality ratio</x:v>
      </x:c>
      <x:c r="K3853" s="67" t="str">
        <x:v>https://www.stonealgo.com/diamond-prices/</x:v>
      </x:c>
      <x:c r="L3853" s="67" t="str">
        <x:v>https://www.pricescope.com/blog/natural-diamond-prices-september-2026</x:v>
      </x:c>
    </x:row>
    <x:row r="3854">
      <x:c r="A3854" t="n">
        <x:v>7</x:v>
      </x:c>
      <x:c r="B3854" t="str">
        <x:v>Round</x:v>
      </x:c>
      <x:c r="C3854" t="str">
        <x:v>E</x:v>
      </x:c>
      <x:c r="D3854" t="str">
        <x:v>VS1</x:v>
      </x:c>
      <x:c r="E3854" s="36" t="n">
        <x:v>197887</x:v>
      </x:c>
      <x:c r="F3854" s="36" t="n">
        <x:v>6307</x:v>
      </x:c>
      <x:c r="G3854" s="42" t="n">
        <x:v>1.352852852852853</x:v>
      </x:c>
      <x:c r="H3854" s="36" t="n">
        <x:f>E3854*G3854</x:f>
        <x:v>267711.9924924925</x:v>
      </x:c>
      <x:c r="I3854" s="36" t="n">
        <x:f>IFERROR(H3854/A3854,0)</x:f>
        <x:v>38244.570356070355</x:v>
      </x:c>
      <x:c r="J3854" s="67" t="str">
        <x:v>Modeled from live base + Sep-2026 quality ratio</x:v>
      </x:c>
      <x:c r="K3854" s="67" t="str">
        <x:v>https://www.stonealgo.com/diamond-prices/</x:v>
      </x:c>
      <x:c r="L3854" s="67" t="str">
        <x:v>https://www.pricescope.com/blog/natural-diamond-prices-september-2026</x:v>
      </x:c>
    </x:row>
    <x:row r="3855">
      <x:c r="A3855" t="n">
        <x:v>7</x:v>
      </x:c>
      <x:c r="B3855" t="str">
        <x:v>Round</x:v>
      </x:c>
      <x:c r="C3855" t="str">
        <x:v>E</x:v>
      </x:c>
      <x:c r="D3855" t="str">
        <x:v>VS2</x:v>
      </x:c>
      <x:c r="E3855" s="36" t="n">
        <x:v>197887</x:v>
      </x:c>
      <x:c r="F3855" s="36" t="n">
        <x:v>5249</x:v>
      </x:c>
      <x:c r="G3855" s="42" t="n">
        <x:v>1.125911625911626</x:v>
      </x:c>
      <x:c r="H3855" s="36" t="n">
        <x:f>E3855*G3855</x:f>
        <x:v>222803.27391677393</x:v>
      </x:c>
      <x:c r="I3855" s="36" t="n">
        <x:f>IFERROR(H3855/A3855,0)</x:f>
        <x:v>31829.039130967703</x:v>
      </x:c>
      <x:c r="J3855" s="67" t="str">
        <x:v>Modeled from live base + Sep-2026 quality ratio</x:v>
      </x:c>
      <x:c r="K3855" s="67" t="str">
        <x:v>https://www.stonealgo.com/diamond-prices/</x:v>
      </x:c>
      <x:c r="L3855" s="67" t="str">
        <x:v>https://www.pricescope.com/blog/natural-diamond-prices-september-2026</x:v>
      </x:c>
    </x:row>
    <x:row r="3856">
      <x:c r="A3856" t="n">
        <x:v>7</x:v>
      </x:c>
      <x:c r="B3856" t="str">
        <x:v>Round</x:v>
      </x:c>
      <x:c r="C3856" t="str">
        <x:v>E</x:v>
      </x:c>
      <x:c r="D3856" t="str">
        <x:v>SI1</x:v>
      </x:c>
      <x:c r="E3856" s="36" t="n">
        <x:v>197887</x:v>
      </x:c>
      <x:c r="F3856" s="36" t="n">
        <x:v>3551</x:v>
      </x:c>
      <x:c r="G3856" s="42" t="n">
        <x:v>0.7616902616902617</x:v>
      </x:c>
      <x:c r="H3856" s="36" t="n">
        <x:f>E3856*G3856</x:f>
        <x:v>150728.6008151008</x:v>
      </x:c>
      <x:c r="I3856" s="36" t="n">
        <x:f>IFERROR(H3856/A3856,0)</x:f>
        <x:v>21532.657259300115</x:v>
      </x:c>
      <x:c r="J3856" s="67" t="str">
        <x:v>Modeled from live base + Sep-2026 quality ratio</x:v>
      </x:c>
      <x:c r="K3856" s="67" t="str">
        <x:v>https://www.stonealgo.com/diamond-prices/</x:v>
      </x:c>
      <x:c r="L3856" s="67" t="str">
        <x:v>https://www.pricescope.com/blog/natural-diamond-prices-september-2026</x:v>
      </x:c>
    </x:row>
    <x:row r="3857">
      <x:c r="A3857" t="n">
        <x:v>7</x:v>
      </x:c>
      <x:c r="B3857" t="str">
        <x:v>Round</x:v>
      </x:c>
      <x:c r="C3857" t="str">
        <x:v>E</x:v>
      </x:c>
      <x:c r="D3857" t="str">
        <x:v>SI2</x:v>
      </x:c>
      <x:c r="E3857" s="36" t="n">
        <x:v>197887</x:v>
      </x:c>
      <x:c r="F3857" s="36" t="n">
        <x:v>2993</x:v>
      </x:c>
      <x:c r="G3857" s="42" t="n">
        <x:v>0.641999141999142</x:v>
      </x:c>
      <x:c r="H3857" s="36" t="n">
        <x:f>E3857*G3857</x:f>
        <x:v>127043.28421278422</x:v>
      </x:c>
      <x:c r="I3857" s="36" t="n">
        <x:f>IFERROR(H3857/A3857,0)</x:f>
        <x:v>18149.040601826317</x:v>
      </x:c>
      <x:c r="J3857" s="67" t="str">
        <x:v>Modeled from live base + Sep-2026 quality ratio</x:v>
      </x:c>
      <x:c r="K3857" s="67" t="str">
        <x:v>https://www.stonealgo.com/diamond-prices/</x:v>
      </x:c>
      <x:c r="L3857" s="67" t="str">
        <x:v>https://www.pricescope.com/blog/natural-diamond-prices-september-2026</x:v>
      </x:c>
    </x:row>
    <x:row r="3858">
      <x:c r="A3858" t="n">
        <x:v>7</x:v>
      </x:c>
      <x:c r="B3858" t="str">
        <x:v>Round</x:v>
      </x:c>
      <x:c r="C3858" t="str">
        <x:v>F</x:v>
      </x:c>
      <x:c r="D3858" t="str">
        <x:v>FL</x:v>
      </x:c>
      <x:c r="E3858" s="36" t="n">
        <x:v>197887</x:v>
      </x:c>
      <x:c r="F3858" s="36" t="n">
        <x:v>6830</x:v>
      </x:c>
      <x:c r="G3858" s="42" t="n">
        <x:v>1.4650364650364651</x:v>
      </x:c>
      <x:c r="H3858" s="36" t="n">
        <x:f>E3858*G3858</x:f>
        <x:v>289911.67095667095</x:v>
      </x:c>
      <x:c r="I3858" s="36" t="n">
        <x:f>IFERROR(H3858/A3858,0)</x:f>
        <x:v>41415.95299381013</x:v>
      </x:c>
      <x:c r="J3858" s="67" t="str">
        <x:v>Modeled from live base + Sep-2026 quality ratio</x:v>
      </x:c>
      <x:c r="K3858" s="67" t="str">
        <x:v>https://www.stonealgo.com/diamond-prices/</x:v>
      </x:c>
      <x:c r="L3858" s="67" t="str">
        <x:v>https://www.pricescope.com/blog/natural-diamond-prices-september-2026</x:v>
      </x:c>
    </x:row>
    <x:row r="3859">
      <x:c r="A3859" t="n">
        <x:v>7</x:v>
      </x:c>
      <x:c r="B3859" t="str">
        <x:v>Round</x:v>
      </x:c>
      <x:c r="C3859" t="str">
        <x:v>F</x:v>
      </x:c>
      <x:c r="D3859" t="str">
        <x:v>IF</x:v>
      </x:c>
      <x:c r="E3859" s="36" t="n">
        <x:v>197887</x:v>
      </x:c>
      <x:c r="F3859" s="36" t="n">
        <x:v>7302</x:v>
      </x:c>
      <x:c r="G3859" s="42" t="n">
        <x:v>1.5662805662805663</x:v>
      </x:c>
      <x:c r="H3859" s="36" t="n">
        <x:f>E3859*G3859</x:f>
        <x:v>309946.5624195624</x:v>
      </x:c>
      <x:c r="I3859" s="36" t="n">
        <x:f>IFERROR(H3859/A3859,0)</x:f>
        <x:v>44278.080345651775</x:v>
      </x:c>
      <x:c r="J3859" s="67" t="str">
        <x:v>Modeled from live base + Sep-2026 quality ratio</x:v>
      </x:c>
      <x:c r="K3859" s="67" t="str">
        <x:v>https://www.stonealgo.com/diamond-prices/</x:v>
      </x:c>
      <x:c r="L3859" s="67" t="str">
        <x:v>https://www.pricescope.com/blog/natural-diamond-prices-september-2026</x:v>
      </x:c>
    </x:row>
    <x:row r="3860">
      <x:c r="A3860" t="n">
        <x:v>7</x:v>
      </x:c>
      <x:c r="B3860" t="str">
        <x:v>Round</x:v>
      </x:c>
      <x:c r="C3860" t="str">
        <x:v>F</x:v>
      </x:c>
      <x:c r="D3860" t="str">
        <x:v>VVS1</x:v>
      </x:c>
      <x:c r="E3860" s="36" t="n">
        <x:v>197887</x:v>
      </x:c>
      <x:c r="F3860" s="36" t="n">
        <x:v>7542</x:v>
      </x:c>
      <x:c r="G3860" s="42" t="n">
        <x:v>1.6177606177606179</x:v>
      </x:c>
      <x:c r="H3860" s="36" t="n">
        <x:f>E3860*G3860</x:f>
        <x:v>320133.7953667954</x:v>
      </x:c>
      <x:c r="I3860" s="36" t="n">
        <x:f>IFERROR(H3860/A3860,0)</x:f>
        <x:v>45733.399338113624</x:v>
      </x:c>
      <x:c r="J3860" s="67" t="str">
        <x:v>Modeled from live base + Sep-2026 quality ratio</x:v>
      </x:c>
      <x:c r="K3860" s="67" t="str">
        <x:v>https://www.stonealgo.com/diamond-prices/</x:v>
      </x:c>
      <x:c r="L3860" s="67" t="str">
        <x:v>https://www.pricescope.com/blog/natural-diamond-prices-september-2026</x:v>
      </x:c>
    </x:row>
    <x:row r="3861">
      <x:c r="A3861" t="n">
        <x:v>7</x:v>
      </x:c>
      <x:c r="B3861" t="str">
        <x:v>Round</x:v>
      </x:c>
      <x:c r="C3861" t="str">
        <x:v>F</x:v>
      </x:c>
      <x:c r="D3861" t="str">
        <x:v>VVS2</x:v>
      </x:c>
      <x:c r="E3861" s="36" t="n">
        <x:v>197887</x:v>
      </x:c>
      <x:c r="F3861" s="36" t="n">
        <x:v>6352</x:v>
      </x:c>
      <x:c r="G3861" s="42" t="n">
        <x:v>1.3625053625053625</x:v>
      </x:c>
      <x:c r="H3861" s="36" t="n">
        <x:f>E3861*G3861</x:f>
        <x:v>269622.09867009864</x:v>
      </x:c>
      <x:c r="I3861" s="36" t="n">
        <x:f>IFERROR(H3861/A3861,0)</x:f>
        <x:v>38517.442667156945</x:v>
      </x:c>
      <x:c r="J3861" s="67" t="str">
        <x:v>Modeled from live base + Sep-2026 quality ratio</x:v>
      </x:c>
      <x:c r="K3861" s="67" t="str">
        <x:v>https://www.stonealgo.com/diamond-prices/</x:v>
      </x:c>
      <x:c r="L3861" s="67" t="str">
        <x:v>https://www.pricescope.com/blog/natural-diamond-prices-september-2026</x:v>
      </x:c>
    </x:row>
    <x:row r="3862">
      <x:c r="A3862" t="n">
        <x:v>7</x:v>
      </x:c>
      <x:c r="B3862" t="str">
        <x:v>Round</x:v>
      </x:c>
      <x:c r="C3862" t="str">
        <x:v>F</x:v>
      </x:c>
      <x:c r="D3862" t="str">
        <x:v>VS1</x:v>
      </x:c>
      <x:c r="E3862" s="36" t="n">
        <x:v>197887</x:v>
      </x:c>
      <x:c r="F3862" s="36" t="n">
        <x:v>5647</x:v>
      </x:c>
      <x:c r="G3862" s="42" t="n">
        <x:v>1.2112827112827114</x:v>
      </x:c>
      <x:c r="H3862" s="36" t="n">
        <x:f>E3862*G3862</x:f>
        <x:v>239697.1018876019</x:v>
      </x:c>
      <x:c r="I3862" s="36" t="n">
        <x:f>IFERROR(H3862/A3862,0)</x:f>
        <x:v>34242.44312680027</x:v>
      </x:c>
      <x:c r="J3862" s="67" t="str">
        <x:v>Modeled from live base + Sep-2026 quality ratio</x:v>
      </x:c>
      <x:c r="K3862" s="67" t="str">
        <x:v>https://www.stonealgo.com/diamond-prices/</x:v>
      </x:c>
      <x:c r="L3862" s="67" t="str">
        <x:v>https://www.pricescope.com/blog/natural-diamond-prices-september-2026</x:v>
      </x:c>
    </x:row>
    <x:row r="3863">
      <x:c r="A3863" t="n">
        <x:v>7</x:v>
      </x:c>
      <x:c r="B3863" t="str">
        <x:v>Round</x:v>
      </x:c>
      <x:c r="C3863" t="str">
        <x:v>F</x:v>
      </x:c>
      <x:c r="D3863" t="str">
        <x:v>VS2</x:v>
      </x:c>
      <x:c r="E3863" s="36" t="n">
        <x:v>197887</x:v>
      </x:c>
      <x:c r="F3863" s="36" t="n">
        <x:v>4730</x:v>
      </x:c>
      <x:c r="G3863" s="42" t="n">
        <x:v>1.0145860145860146</x:v>
      </x:c>
      <x:c r="H3863" s="36" t="n">
        <x:f>E3863*G3863</x:f>
        <x:v>200773.38266838266</x:v>
      </x:c>
      <x:c r="I3863" s="36" t="n">
        <x:f>IFERROR(H3863/A3863,0)</x:f>
        <x:v>28681.911809768953</x:v>
      </x:c>
      <x:c r="J3863" s="67" t="str">
        <x:v>Modeled from live base + Sep-2026 quality ratio</x:v>
      </x:c>
      <x:c r="K3863" s="67" t="str">
        <x:v>https://www.stonealgo.com/diamond-prices/</x:v>
      </x:c>
      <x:c r="L3863" s="67" t="str">
        <x:v>https://www.pricescope.com/blog/natural-diamond-prices-september-2026</x:v>
      </x:c>
    </x:row>
    <x:row r="3864">
      <x:c r="A3864" t="n">
        <x:v>7</x:v>
      </x:c>
      <x:c r="B3864" t="str">
        <x:v>Round</x:v>
      </x:c>
      <x:c r="C3864" t="str">
        <x:v>F</x:v>
      </x:c>
      <x:c r="D3864" t="str">
        <x:v>SI1</x:v>
      </x:c>
      <x:c r="E3864" s="36" t="n">
        <x:v>197887</x:v>
      </x:c>
      <x:c r="F3864" s="36" t="n">
        <x:v>3331</x:v>
      </x:c>
      <x:c r="G3864" s="42" t="n">
        <x:v>0.7145002145002145</x:v>
      </x:c>
      <x:c r="H3864" s="36" t="n">
        <x:f>E3864*G3864</x:f>
        <x:v>141390.30394680394</x:v>
      </x:c>
      <x:c r="I3864" s="36" t="n">
        <x:f>IFERROR(H3864/A3864,0)</x:f>
        <x:v>20198.61484954342</x:v>
      </x:c>
      <x:c r="J3864" s="67" t="str">
        <x:v>Modeled from live base + Sep-2026 quality ratio</x:v>
      </x:c>
      <x:c r="K3864" s="67" t="str">
        <x:v>https://www.stonealgo.com/diamond-prices/</x:v>
      </x:c>
      <x:c r="L3864" s="67" t="str">
        <x:v>https://www.pricescope.com/blog/natural-diamond-prices-september-2026</x:v>
      </x:c>
    </x:row>
    <x:row r="3865">
      <x:c r="A3865" t="n">
        <x:v>7</x:v>
      </x:c>
      <x:c r="B3865" t="str">
        <x:v>Round</x:v>
      </x:c>
      <x:c r="C3865" t="str">
        <x:v>F</x:v>
      </x:c>
      <x:c r="D3865" t="str">
        <x:v>SI2</x:v>
      </x:c>
      <x:c r="E3865" s="36" t="n">
        <x:v>197887</x:v>
      </x:c>
      <x:c r="F3865" s="36" t="n">
        <x:v>2733</x:v>
      </x:c>
      <x:c r="G3865" s="42" t="n">
        <x:v>0.5862290862290862</x:v>
      </x:c>
      <x:c r="H3865" s="36" t="n">
        <x:f>E3865*G3865</x:f>
        <x:v>116007.11518661518</x:v>
      </x:c>
      <x:c r="I3865" s="36" t="n">
        <x:f>IFERROR(H3865/A3865,0)</x:f>
        <x:v>16572.445026659312</x:v>
      </x:c>
      <x:c r="J3865" s="67" t="str">
        <x:v>Modeled from live base + Sep-2026 quality ratio</x:v>
      </x:c>
      <x:c r="K3865" s="67" t="str">
        <x:v>https://www.stonealgo.com/diamond-prices/</x:v>
      </x:c>
      <x:c r="L3865" s="67" t="str">
        <x:v>https://www.pricescope.com/blog/natural-diamond-prices-september-2026</x:v>
      </x:c>
    </x:row>
    <x:row r="3866">
      <x:c r="A3866" t="n">
        <x:v>7</x:v>
      </x:c>
      <x:c r="B3866" t="str">
        <x:v>Round</x:v>
      </x:c>
      <x:c r="C3866" t="str">
        <x:v>G</x:v>
      </x:c>
      <x:c r="D3866" t="str">
        <x:v>FL</x:v>
      </x:c>
      <x:c r="E3866" s="36" t="n">
        <x:v>197887</x:v>
      </x:c>
      <x:c r="F3866" s="36" t="n">
        <x:v>5905</x:v>
      </x:c>
      <x:c r="G3866" s="42" t="n">
        <x:v>1.2666237666237665</x:v>
      </x:c>
      <x:c r="H3866" s="36" t="n">
        <x:f>E3866*G3866</x:f>
        <x:v>250648.37730587728</x:v>
      </x:c>
      <x:c r="I3866" s="36" t="n">
        <x:f>IFERROR(H3866/A3866,0)</x:f>
        <x:v>35806.91104369675</x:v>
      </x:c>
      <x:c r="J3866" s="67" t="str">
        <x:v>Modeled from live base + Sep-2026 quality ratio</x:v>
      </x:c>
      <x:c r="K3866" s="67" t="str">
        <x:v>https://www.stonealgo.com/diamond-prices/</x:v>
      </x:c>
      <x:c r="L3866" s="67" t="str">
        <x:v>https://www.pricescope.com/blog/natural-diamond-prices-september-2026</x:v>
      </x:c>
    </x:row>
    <x:row r="3867">
      <x:c r="A3867" t="n">
        <x:v>7</x:v>
      </x:c>
      <x:c r="B3867" t="str">
        <x:v>Round</x:v>
      </x:c>
      <x:c r="C3867" t="str">
        <x:v>G</x:v>
      </x:c>
      <x:c r="D3867" t="str">
        <x:v>IF</x:v>
      </x:c>
      <x:c r="E3867" s="36" t="n">
        <x:v>197887</x:v>
      </x:c>
      <x:c r="F3867" s="36" t="n">
        <x:v>5601</x:v>
      </x:c>
      <x:c r="G3867" s="42" t="n">
        <x:v>1.2014157014157014</x:v>
      </x:c>
      <x:c r="H3867" s="36" t="n">
        <x:f>E3867*G3867</x:f>
        <x:v>237744.5489060489</x:v>
      </x:c>
      <x:c r="I3867" s="36" t="n">
        <x:f>IFERROR(H3867/A3867,0)</x:f>
        <x:v>33963.50698657842</x:v>
      </x:c>
      <x:c r="J3867" s="67" t="str">
        <x:v>Modeled from live base + Sep-2026 quality ratio</x:v>
      </x:c>
      <x:c r="K3867" s="67" t="str">
        <x:v>https://www.stonealgo.com/diamond-prices/</x:v>
      </x:c>
      <x:c r="L3867" s="67" t="str">
        <x:v>https://www.pricescope.com/blog/natural-diamond-prices-september-2026</x:v>
      </x:c>
    </x:row>
    <x:row r="3868">
      <x:c r="A3868" t="n">
        <x:v>7</x:v>
      </x:c>
      <x:c r="B3868" t="str">
        <x:v>Round</x:v>
      </x:c>
      <x:c r="C3868" t="str">
        <x:v>G</x:v>
      </x:c>
      <x:c r="D3868" t="str">
        <x:v>VVS1</x:v>
      </x:c>
      <x:c r="E3868" s="36" t="n">
        <x:v>197887</x:v>
      </x:c>
      <x:c r="F3868" s="36" t="n">
        <x:v>5124</x:v>
      </x:c>
      <x:c r="G3868" s="42" t="n">
        <x:v>1.0990990990990992</x:v>
      </x:c>
      <x:c r="H3868" s="36" t="n">
        <x:f>E3868*G3868</x:f>
        <x:v>217497.42342342343</x:v>
      </x:c>
      <x:c r="I3868" s="36" t="n">
        <x:f>IFERROR(H3868/A3868,0)</x:f>
        <x:v>31071.06048906049</x:v>
      </x:c>
      <x:c r="J3868" s="67" t="str">
        <x:v>Modeled from live base + Sep-2026 quality ratio</x:v>
      </x:c>
      <x:c r="K3868" s="67" t="str">
        <x:v>https://www.stonealgo.com/diamond-prices/</x:v>
      </x:c>
      <x:c r="L3868" s="67" t="str">
        <x:v>https://www.pricescope.com/blog/natural-diamond-prices-september-2026</x:v>
      </x:c>
    </x:row>
    <x:row r="3869">
      <x:c r="A3869" t="n">
        <x:v>7</x:v>
      </x:c>
      <x:c r="B3869" t="str">
        <x:v>Round</x:v>
      </x:c>
      <x:c r="C3869" t="str">
        <x:v>G</x:v>
      </x:c>
      <x:c r="D3869" t="str">
        <x:v>VVS2</x:v>
      </x:c>
      <x:c r="E3869" s="36" t="n">
        <x:v>197887</x:v>
      </x:c>
      <x:c r="F3869" s="36" t="n">
        <x:v>4962</x:v>
      </x:c>
      <x:c r="G3869" s="42" t="n">
        <x:v>1.0643500643500643</x:v>
      </x:c>
      <x:c r="H3869" s="36" t="n">
        <x:f>E3869*G3869</x:f>
        <x:v>210621.04118404118</x:v>
      </x:c>
      <x:c r="I3869" s="36" t="n">
        <x:f>IFERROR(H3869/A3869,0)</x:f>
        <x:v>30088.72016914874</x:v>
      </x:c>
      <x:c r="J3869" s="67" t="str">
        <x:v>Modeled from live base + Sep-2026 quality ratio</x:v>
      </x:c>
      <x:c r="K3869" s="67" t="str">
        <x:v>https://www.stonealgo.com/diamond-prices/</x:v>
      </x:c>
      <x:c r="L3869" s="67" t="str">
        <x:v>https://www.pricescope.com/blog/natural-diamond-prices-september-2026</x:v>
      </x:c>
    </x:row>
    <x:row r="3870">
      <x:c r="A3870" t="n">
        <x:v>7</x:v>
      </x:c>
      <x:c r="B3870" t="str">
        <x:v>Round</x:v>
      </x:c>
      <x:c r="C3870" t="str">
        <x:v>G</x:v>
      </x:c>
      <x:c r="D3870" t="str">
        <x:v>VS1</x:v>
      </x:c>
      <x:c r="E3870" s="36" t="n">
        <x:v>197887</x:v>
      </x:c>
      <x:c r="F3870" s="36" t="n">
        <x:v>4615</x:v>
      </x:c>
      <x:c r="G3870" s="42" t="n">
        <x:v>0.98991848991849</x:v>
      </x:c>
      <x:c r="H3870" s="36" t="n">
        <x:f>E3870*G3870</x:f>
        <x:v>195892.00021450024</x:v>
      </x:c>
      <x:c r="I3870" s="36" t="n">
        <x:f>IFERROR(H3870/A3870,0)</x:f>
        <x:v>27984.57145921432</x:v>
      </x:c>
      <x:c r="J3870" s="67" t="str">
        <x:v>Modeled from live base + Sep-2026 quality ratio</x:v>
      </x:c>
      <x:c r="K3870" s="67" t="str">
        <x:v>https://www.stonealgo.com/diamond-prices/</x:v>
      </x:c>
      <x:c r="L3870" s="67" t="str">
        <x:v>https://www.pricescope.com/blog/natural-diamond-prices-september-2026</x:v>
      </x:c>
    </x:row>
    <x:row r="3871">
      <x:c r="A3871" t="n">
        <x:v>7</x:v>
      </x:c>
      <x:c r="B3871" t="str">
        <x:v>Round</x:v>
      </x:c>
      <x:c r="C3871" t="str">
        <x:v>G</x:v>
      </x:c>
      <x:c r="D3871" t="str">
        <x:v>VS2</x:v>
      </x:c>
      <x:c r="E3871" s="36" t="n">
        <x:v>197887</x:v>
      </x:c>
      <x:c r="F3871" s="36" t="n">
        <x:v>4585</x:v>
      </x:c>
      <x:c r="G3871" s="42" t="n">
        <x:v>0.9834834834834835</x:v>
      </x:c>
      <x:c r="H3871" s="36" t="n">
        <x:f>E3871*G3871</x:f>
        <x:v>194618.5960960961</x:v>
      </x:c>
      <x:c r="I3871" s="36" t="n">
        <x:f>IFERROR(H3871/A3871,0)</x:f>
        <x:v>27802.656585156587</x:v>
      </x:c>
      <x:c r="J3871" s="67" t="str">
        <x:v>Modeled from live base + Sep-2026 quality ratio</x:v>
      </x:c>
      <x:c r="K3871" s="67" t="str">
        <x:v>https://www.stonealgo.com/diamond-prices/</x:v>
      </x:c>
      <x:c r="L3871" s="67" t="str">
        <x:v>https://www.pricescope.com/blog/natural-diamond-prices-september-2026</x:v>
      </x:c>
    </x:row>
    <x:row r="3872">
      <x:c r="A3872" t="n">
        <x:v>7</x:v>
      </x:c>
      <x:c r="B3872" t="str">
        <x:v>Round</x:v>
      </x:c>
      <x:c r="C3872" t="str">
        <x:v>G</x:v>
      </x:c>
      <x:c r="D3872" t="str">
        <x:v>SI1</x:v>
      </x:c>
      <x:c r="E3872" s="36" t="n">
        <x:v>197887</x:v>
      </x:c>
      <x:c r="F3872" s="36" t="n">
        <x:v>3664</x:v>
      </x:c>
      <x:c r="G3872" s="42" t="n">
        <x:v>0.7859287859287859</x:v>
      </x:c>
      <x:c r="H3872" s="36" t="n">
        <x:f>E3872*G3872</x:f>
        <x:v>155525.08966108965</x:v>
      </x:c>
      <x:c r="I3872" s="36" t="n">
        <x:f>IFERROR(H3872/A3872,0)</x:f>
        <x:v>22217.869951584235</x:v>
      </x:c>
      <x:c r="J3872" s="67" t="str">
        <x:v>Modeled from live base + Sep-2026 quality ratio</x:v>
      </x:c>
      <x:c r="K3872" s="67" t="str">
        <x:v>https://www.stonealgo.com/diamond-prices/</x:v>
      </x:c>
      <x:c r="L3872" s="67" t="str">
        <x:v>https://www.pricescope.com/blog/natural-diamond-prices-september-2026</x:v>
      </x:c>
    </x:row>
    <x:row r="3873">
      <x:c r="A3873" t="n">
        <x:v>7</x:v>
      </x:c>
      <x:c r="B3873" t="str">
        <x:v>Round</x:v>
      </x:c>
      <x:c r="C3873" t="str">
        <x:v>G</x:v>
      </x:c>
      <x:c r="D3873" t="str">
        <x:v>SI2</x:v>
      </x:c>
      <x:c r="E3873" s="36" t="n">
        <x:v>197887</x:v>
      </x:c>
      <x:c r="F3873" s="36" t="n">
        <x:v>2537</x:v>
      </x:c>
      <x:c r="G3873" s="42" t="n">
        <x:v>0.5441870441870442</x:v>
      </x:c>
      <x:c r="H3873" s="36" t="n">
        <x:f>E3873*G3873</x:f>
        <x:v>107687.54161304163</x:v>
      </x:c>
      <x:c r="I3873" s="36" t="n">
        <x:f>IFERROR(H3873/A3873,0)</x:f>
        <x:v>15383.934516148804</x:v>
      </x:c>
      <x:c r="J3873" s="67" t="str">
        <x:v>Modeled from live base + Sep-2026 quality ratio</x:v>
      </x:c>
      <x:c r="K3873" s="67" t="str">
        <x:v>https://www.stonealgo.com/diamond-prices/</x:v>
      </x:c>
      <x:c r="L3873" s="67" t="str">
        <x:v>https://www.pricescope.com/blog/natural-diamond-prices-september-2026</x:v>
      </x:c>
    </x:row>
    <x:row r="3874">
      <x:c r="A3874" t="n">
        <x:v>7</x:v>
      </x:c>
      <x:c r="B3874" t="str">
        <x:v>Round</x:v>
      </x:c>
      <x:c r="C3874" t="str">
        <x:v>H</x:v>
      </x:c>
      <x:c r="D3874" t="str">
        <x:v>FL</x:v>
      </x:c>
      <x:c r="E3874" s="36" t="n">
        <x:v>197887</x:v>
      </x:c>
      <x:c r="F3874" s="36" t="n">
        <x:v>4563</x:v>
      </x:c>
      <x:c r="G3874" s="42" t="n">
        <x:v>0.9787644787644788</x:v>
      </x:c>
      <x:c r="H3874" s="36" t="n">
        <x:f>E3874*G3874</x:f>
        <x:v>193684.76640926642</x:v>
      </x:c>
      <x:c r="I3874" s="36" t="n">
        <x:f>IFERROR(H3874/A3874,0)</x:f>
        <x:v>27669.252344180917</x:v>
      </x:c>
      <x:c r="J3874" s="67" t="str">
        <x:v>Modeled from live base + Sep-2026 quality ratio</x:v>
      </x:c>
      <x:c r="K3874" s="67" t="str">
        <x:v>https://www.stonealgo.com/diamond-prices/</x:v>
      </x:c>
      <x:c r="L3874" s="67" t="str">
        <x:v>https://www.pricescope.com/blog/natural-diamond-prices-september-2026</x:v>
      </x:c>
    </x:row>
    <x:row r="3875">
      <x:c r="A3875" t="n">
        <x:v>7</x:v>
      </x:c>
      <x:c r="B3875" t="str">
        <x:v>Round</x:v>
      </x:c>
      <x:c r="C3875" t="str">
        <x:v>H</x:v>
      </x:c>
      <x:c r="D3875" t="str">
        <x:v>IF</x:v>
      </x:c>
      <x:c r="E3875" s="36" t="n">
        <x:v>197887</x:v>
      </x:c>
      <x:c r="F3875" s="36" t="n">
        <x:v>4809</x:v>
      </x:c>
      <x:c r="G3875" s="42" t="n">
        <x:v>1.0315315315315314</x:v>
      </x:c>
      <x:c r="H3875" s="36" t="n">
        <x:f>E3875*G3875</x:f>
        <x:v>204126.68018018015</x:v>
      </x:c>
      <x:c r="I3875" s="36" t="n">
        <x:f>IFERROR(H3875/A3875,0)</x:f>
        <x:v>29160.95431145431</x:v>
      </x:c>
      <x:c r="J3875" s="67" t="str">
        <x:v>Modeled from live base + Sep-2026 quality ratio</x:v>
      </x:c>
      <x:c r="K3875" s="67" t="str">
        <x:v>https://www.stonealgo.com/diamond-prices/</x:v>
      </x:c>
      <x:c r="L3875" s="67" t="str">
        <x:v>https://www.pricescope.com/blog/natural-diamond-prices-september-2026</x:v>
      </x:c>
    </x:row>
    <x:row r="3876">
      <x:c r="A3876" t="n">
        <x:v>7</x:v>
      </x:c>
      <x:c r="B3876" t="str">
        <x:v>Round</x:v>
      </x:c>
      <x:c r="C3876" t="str">
        <x:v>H</x:v>
      </x:c>
      <x:c r="D3876" t="str">
        <x:v>VVS1</x:v>
      </x:c>
      <x:c r="E3876" s="36" t="n">
        <x:v>197887</x:v>
      </x:c>
      <x:c r="F3876" s="36" t="n">
        <x:v>4911</x:v>
      </x:c>
      <x:c r="G3876" s="42" t="n">
        <x:v>1.0534105534105533</x:v>
      </x:c>
      <x:c r="H3876" s="36" t="n">
        <x:f>E3876*G3876</x:f>
        <x:v>208456.25418275417</x:v>
      </x:c>
      <x:c r="I3876" s="36" t="n">
        <x:f>IFERROR(H3876/A3876,0)</x:f>
        <x:v>29779.464883250595</x:v>
      </x:c>
      <x:c r="J3876" s="67" t="str">
        <x:v>Modeled from live base + Sep-2026 quality ratio</x:v>
      </x:c>
      <x:c r="K3876" s="67" t="str">
        <x:v>https://www.stonealgo.com/diamond-prices/</x:v>
      </x:c>
      <x:c r="L3876" s="67" t="str">
        <x:v>https://www.pricescope.com/blog/natural-diamond-prices-september-2026</x:v>
      </x:c>
    </x:row>
    <x:row r="3877">
      <x:c r="A3877" t="n">
        <x:v>7</x:v>
      </x:c>
      <x:c r="B3877" t="str">
        <x:v>Round</x:v>
      </x:c>
      <x:c r="C3877" t="str">
        <x:v>H</x:v>
      </x:c>
      <x:c r="D3877" t="str">
        <x:v>VVS2</x:v>
      </x:c>
      <x:c r="E3877" s="36" t="n">
        <x:v>197887</x:v>
      </x:c>
      <x:c r="F3877" s="36" t="n">
        <x:v>4046</x:v>
      </x:c>
      <x:c r="G3877" s="42" t="n">
        <x:v>0.8678678678678678</x:v>
      </x:c>
      <x:c r="H3877" s="36" t="n">
        <x:f>E3877*G3877</x:f>
        <x:v>171739.76876876876</x:v>
      </x:c>
      <x:c r="I3877" s="36" t="n">
        <x:f>IFERROR(H3877/A3877,0)</x:f>
        <x:v>24534.25268125268</x:v>
      </x:c>
      <x:c r="J3877" s="67" t="str">
        <x:v>Modeled from live base + Sep-2026 quality ratio</x:v>
      </x:c>
      <x:c r="K3877" s="67" t="str">
        <x:v>https://www.stonealgo.com/diamond-prices/</x:v>
      </x:c>
      <x:c r="L3877" s="67" t="str">
        <x:v>https://www.pricescope.com/blog/natural-diamond-prices-september-2026</x:v>
      </x:c>
    </x:row>
    <x:row r="3878">
      <x:c r="A3878" t="n">
        <x:v>7</x:v>
      </x:c>
      <x:c r="B3878" t="str">
        <x:v>Round</x:v>
      </x:c>
      <x:c r="C3878" t="str">
        <x:v>H</x:v>
      </x:c>
      <x:c r="D3878" t="str">
        <x:v>VS1</x:v>
      </x:c>
      <x:c r="E3878" s="36" t="n">
        <x:v>197887</x:v>
      </x:c>
      <x:c r="F3878" s="36" t="n">
        <x:v>3893</x:v>
      </x:c>
      <x:c r="G3878" s="42" t="n">
        <x:v>0.8350493350493351</x:v>
      </x:c>
      <x:c r="H3878" s="36" t="n">
        <x:f>E3878*G3878</x:f>
        <x:v>165245.40776490778</x:v>
      </x:c>
      <x:c r="I3878" s="36" t="n">
        <x:f>IFERROR(H3878/A3878,0)</x:f>
        <x:v>23606.486823558254</x:v>
      </x:c>
      <x:c r="J3878" s="67" t="str">
        <x:v>Modeled from live base + Sep-2026 quality ratio</x:v>
      </x:c>
      <x:c r="K3878" s="67" t="str">
        <x:v>https://www.stonealgo.com/diamond-prices/</x:v>
      </x:c>
      <x:c r="L3878" s="67" t="str">
        <x:v>https://www.pricescope.com/blog/natural-diamond-prices-september-2026</x:v>
      </x:c>
    </x:row>
    <x:row r="3879">
      <x:c r="A3879" t="n">
        <x:v>7</x:v>
      </x:c>
      <x:c r="B3879" t="str">
        <x:v>Round</x:v>
      </x:c>
      <x:c r="C3879" t="str">
        <x:v>H</x:v>
      </x:c>
      <x:c r="D3879" t="str">
        <x:v>VS2</x:v>
      </x:c>
      <x:c r="E3879" s="36" t="n">
        <x:v>197887</x:v>
      </x:c>
      <x:c r="F3879" s="36" t="n">
        <x:v>3989</x:v>
      </x:c>
      <x:c r="G3879" s="42" t="n">
        <x:v>0.8556413556413557</x:v>
      </x:c>
      <x:c r="H3879" s="36" t="n">
        <x:f>E3879*G3879</x:f>
        <x:v>169320.30094380095</x:v>
      </x:c>
      <x:c r="I3879" s="36" t="n">
        <x:f>IFERROR(H3879/A3879,0)</x:f>
        <x:v>24188.614420542992</x:v>
      </x:c>
      <x:c r="J3879" s="67" t="str">
        <x:v>Modeled from live base + Sep-2026 quality ratio</x:v>
      </x:c>
      <x:c r="K3879" s="67" t="str">
        <x:v>https://www.stonealgo.com/diamond-prices/</x:v>
      </x:c>
      <x:c r="L3879" s="67" t="str">
        <x:v>https://www.pricescope.com/blog/natural-diamond-prices-september-2026</x:v>
      </x:c>
    </x:row>
    <x:row r="3880">
      <x:c r="A3880" t="n">
        <x:v>7</x:v>
      </x:c>
      <x:c r="B3880" t="str">
        <x:v>Round</x:v>
      </x:c>
      <x:c r="C3880" t="str">
        <x:v>H</x:v>
      </x:c>
      <x:c r="D3880" t="str">
        <x:v>SI1</x:v>
      </x:c>
      <x:c r="E3880" s="36" t="n">
        <x:v>197887</x:v>
      </x:c>
      <x:c r="F3880" s="36" t="n">
        <x:v>2828</x:v>
      </x:c>
      <x:c r="G3880" s="42" t="n">
        <x:v>0.6066066066066066</x:v>
      </x:c>
      <x:c r="H3880" s="36" t="n">
        <x:f>E3880*G3880</x:f>
        <x:v>120039.56156156155</x:v>
      </x:c>
      <x:c r="I3880" s="36" t="n">
        <x:f>IFERROR(H3880/A3880,0)</x:f>
        <x:v>17148.508794508794</x:v>
      </x:c>
      <x:c r="J3880" s="67" t="str">
        <x:v>Modeled from live base + Sep-2026 quality ratio</x:v>
      </x:c>
      <x:c r="K3880" s="67" t="str">
        <x:v>https://www.stonealgo.com/diamond-prices/</x:v>
      </x:c>
      <x:c r="L3880" s="67" t="str">
        <x:v>https://www.pricescope.com/blog/natural-diamond-prices-september-2026</x:v>
      </x:c>
    </x:row>
    <x:row r="3881">
      <x:c r="A3881" t="n">
        <x:v>7</x:v>
      </x:c>
      <x:c r="B3881" t="str">
        <x:v>Round</x:v>
      </x:c>
      <x:c r="C3881" t="str">
        <x:v>H</x:v>
      </x:c>
      <x:c r="D3881" t="str">
        <x:v>SI2</x:v>
      </x:c>
      <x:c r="E3881" s="36" t="n">
        <x:v>197887</x:v>
      </x:c>
      <x:c r="F3881" s="36" t="n">
        <x:v>2328</x:v>
      </x:c>
      <x:c r="G3881" s="42" t="n">
        <x:v>0.49935649935649934</x:v>
      </x:c>
      <x:c r="H3881" s="36" t="n">
        <x:f>E3881*G3881</x:f>
        <x:v>98816.15958815959</x:v>
      </x:c>
      <x:c r="I3881" s="36" t="n">
        <x:f>IFERROR(H3881/A3881,0)</x:f>
        <x:v>14116.59422687994</x:v>
      </x:c>
      <x:c r="J3881" s="67" t="str">
        <x:v>Modeled from live base + Sep-2026 quality ratio</x:v>
      </x:c>
      <x:c r="K3881" s="67" t="str">
        <x:v>https://www.stonealgo.com/diamond-prices/</x:v>
      </x:c>
      <x:c r="L3881" s="67" t="str">
        <x:v>https://www.pricescope.com/blog/natural-diamond-prices-september-2026</x:v>
      </x:c>
    </x:row>
    <x:row r="3882">
      <x:c r="A3882" t="n">
        <x:v>7</x:v>
      </x:c>
      <x:c r="B3882" t="str">
        <x:v>Round</x:v>
      </x:c>
      <x:c r="C3882" t="str">
        <x:v>I</x:v>
      </x:c>
      <x:c r="D3882" t="str">
        <x:v>FL</x:v>
      </x:c>
      <x:c r="E3882" s="36" t="n">
        <x:v>197887</x:v>
      </x:c>
      <x:c r="F3882" s="36" t="n">
        <x:v>4623</x:v>
      </x:c>
      <x:c r="G3882" s="42" t="n">
        <x:v>0.9916344916344917</x:v>
      </x:c>
      <x:c r="H3882" s="36" t="n">
        <x:f>E3882*G3882</x:f>
        <x:v>196231.57464607464</x:v>
      </x:c>
      <x:c r="I3882" s="36" t="n">
        <x:f>IFERROR(H3882/A3882,0)</x:f>
        <x:v>28033.08209229638</x:v>
      </x:c>
      <x:c r="J3882" s="67" t="str">
        <x:v>Modeled from live base + Sep-2026 quality ratio</x:v>
      </x:c>
      <x:c r="K3882" s="67" t="str">
        <x:v>https://www.stonealgo.com/diamond-prices/</x:v>
      </x:c>
      <x:c r="L3882" s="67" t="str">
        <x:v>https://www.pricescope.com/blog/natural-diamond-prices-september-2026</x:v>
      </x:c>
    </x:row>
    <x:row r="3883">
      <x:c r="A3883" t="n">
        <x:v>7</x:v>
      </x:c>
      <x:c r="B3883" t="str">
        <x:v>Round</x:v>
      </x:c>
      <x:c r="C3883" t="str">
        <x:v>I</x:v>
      </x:c>
      <x:c r="D3883" t="str">
        <x:v>IF</x:v>
      </x:c>
      <x:c r="E3883" s="36" t="n">
        <x:v>197887</x:v>
      </x:c>
      <x:c r="F3883" s="36" t="n">
        <x:v>4005</x:v>
      </x:c>
      <x:c r="G3883" s="42" t="n">
        <x:v>0.859073359073359</x:v>
      </x:c>
      <x:c r="H3883" s="36" t="n">
        <x:f>E3883*G3883</x:f>
        <x:v>169999.4498069498</x:v>
      </x:c>
      <x:c r="I3883" s="36" t="n">
        <x:f>IFERROR(H3883/A3883,0)</x:f>
        <x:v>24285.63568670711</x:v>
      </x:c>
      <x:c r="J3883" s="67" t="str">
        <x:v>Modeled from live base + Sep-2026 quality ratio</x:v>
      </x:c>
      <x:c r="K3883" s="67" t="str">
        <x:v>https://www.stonealgo.com/diamond-prices/</x:v>
      </x:c>
      <x:c r="L3883" s="67" t="str">
        <x:v>https://www.pricescope.com/blog/natural-diamond-prices-september-2026</x:v>
      </x:c>
    </x:row>
    <x:row r="3884">
      <x:c r="A3884" t="n">
        <x:v>7</x:v>
      </x:c>
      <x:c r="B3884" t="str">
        <x:v>Round</x:v>
      </x:c>
      <x:c r="C3884" t="str">
        <x:v>I</x:v>
      </x:c>
      <x:c r="D3884" t="str">
        <x:v>VVS1</x:v>
      </x:c>
      <x:c r="E3884" s="36" t="n">
        <x:v>197887</x:v>
      </x:c>
      <x:c r="F3884" s="36" t="n">
        <x:v>3670</x:v>
      </x:c>
      <x:c r="G3884" s="42" t="n">
        <x:v>0.7872157872157872</x:v>
      </x:c>
      <x:c r="H3884" s="36" t="n">
        <x:f>E3884*G3884</x:f>
        <x:v>155779.77048477047</x:v>
      </x:c>
      <x:c r="I3884" s="36" t="n">
        <x:f>IFERROR(H3884/A3884,0)</x:f>
        <x:v>22254.25292639578</x:v>
      </x:c>
      <x:c r="J3884" s="67" t="str">
        <x:v>Modeled from live base + Sep-2026 quality ratio</x:v>
      </x:c>
      <x:c r="K3884" s="67" t="str">
        <x:v>https://www.stonealgo.com/diamond-prices/</x:v>
      </x:c>
      <x:c r="L3884" s="67" t="str">
        <x:v>https://www.pricescope.com/blog/natural-diamond-prices-september-2026</x:v>
      </x:c>
    </x:row>
    <x:row r="3885">
      <x:c r="A3885" t="n">
        <x:v>7</x:v>
      </x:c>
      <x:c r="B3885" t="str">
        <x:v>Round</x:v>
      </x:c>
      <x:c r="C3885" t="str">
        <x:v>I</x:v>
      </x:c>
      <x:c r="D3885" t="str">
        <x:v>VVS2</x:v>
      </x:c>
      <x:c r="E3885" s="36" t="n">
        <x:v>197887</x:v>
      </x:c>
      <x:c r="F3885" s="36" t="n">
        <x:v>3447</x:v>
      </x:c>
      <x:c r="G3885" s="42" t="n">
        <x:v>0.7393822393822393</x:v>
      </x:c>
      <x:c r="H3885" s="36" t="n">
        <x:f>E3885*G3885</x:f>
        <x:v>146314.1332046332</x:v>
      </x:c>
      <x:c r="I3885" s="36" t="n">
        <x:f>IFERROR(H3885/A3885,0)</x:f>
        <x:v>20902.019029233314</x:v>
      </x:c>
      <x:c r="J3885" s="67" t="str">
        <x:v>Modeled from live base + Sep-2026 quality ratio</x:v>
      </x:c>
      <x:c r="K3885" s="67" t="str">
        <x:v>https://www.stonealgo.com/diamond-prices/</x:v>
      </x:c>
      <x:c r="L3885" s="67" t="str">
        <x:v>https://www.pricescope.com/blog/natural-diamond-prices-september-2026</x:v>
      </x:c>
    </x:row>
    <x:row r="3886">
      <x:c r="A3886" t="n">
        <x:v>7</x:v>
      </x:c>
      <x:c r="B3886" t="str">
        <x:v>Round</x:v>
      </x:c>
      <x:c r="C3886" t="str">
        <x:v>I</x:v>
      </x:c>
      <x:c r="D3886" t="str">
        <x:v>VS1</x:v>
      </x:c>
      <x:c r="E3886" s="36" t="n">
        <x:v>197887</x:v>
      </x:c>
      <x:c r="F3886" s="36" t="n">
        <x:v>3313</x:v>
      </x:c>
      <x:c r="G3886" s="42" t="n">
        <x:v>0.7106392106392107</x:v>
      </x:c>
      <x:c r="H3886" s="36" t="n">
        <x:f>E3886*G3886</x:f>
        <x:v>140626.26147576148</x:v>
      </x:c>
      <x:c r="I3886" s="36" t="n">
        <x:f>IFERROR(H3886/A3886,0)</x:f>
        <x:v>20089.465925108783</x:v>
      </x:c>
      <x:c r="J3886" s="67" t="str">
        <x:v>Modeled from live base + Sep-2026 quality ratio</x:v>
      </x:c>
      <x:c r="K3886" s="67" t="str">
        <x:v>https://www.stonealgo.com/diamond-prices/</x:v>
      </x:c>
      <x:c r="L3886" s="67" t="str">
        <x:v>https://www.pricescope.com/blog/natural-diamond-prices-september-2026</x:v>
      </x:c>
    </x:row>
    <x:row r="3887">
      <x:c r="A3887" t="n">
        <x:v>7</x:v>
      </x:c>
      <x:c r="B3887" t="str">
        <x:v>Round</x:v>
      </x:c>
      <x:c r="C3887" t="str">
        <x:v>I</x:v>
      </x:c>
      <x:c r="D3887" t="str">
        <x:v>VS2</x:v>
      </x:c>
      <x:c r="E3887" s="36" t="n">
        <x:v>197887</x:v>
      </x:c>
      <x:c r="F3887" s="36" t="n">
        <x:v>3240</x:v>
      </x:c>
      <x:c r="G3887" s="42" t="n">
        <x:v>0.694980694980695</x:v>
      </x:c>
      <x:c r="H3887" s="36" t="n">
        <x:f>E3887*G3887</x:f>
        <x:v>137527.6447876448</x:v>
      </x:c>
      <x:c r="I3887" s="36" t="n">
        <x:f>IFERROR(H3887/A3887,0)</x:f>
        <x:v>19646.80639823497</x:v>
      </x:c>
      <x:c r="J3887" s="67" t="str">
        <x:v>Modeled from live base + Sep-2026 quality ratio</x:v>
      </x:c>
      <x:c r="K3887" s="67" t="str">
        <x:v>https://www.stonealgo.com/diamond-prices/</x:v>
      </x:c>
      <x:c r="L3887" s="67" t="str">
        <x:v>https://www.pricescope.com/blog/natural-diamond-prices-september-2026</x:v>
      </x:c>
    </x:row>
    <x:row r="3888">
      <x:c r="A3888" t="n">
        <x:v>7</x:v>
      </x:c>
      <x:c r="B3888" t="str">
        <x:v>Round</x:v>
      </x:c>
      <x:c r="C3888" t="str">
        <x:v>I</x:v>
      </x:c>
      <x:c r="D3888" t="str">
        <x:v>SI1</x:v>
      </x:c>
      <x:c r="E3888" s="36" t="n">
        <x:v>197887</x:v>
      </x:c>
      <x:c r="F3888" s="36" t="n">
        <x:v>3199</x:v>
      </x:c>
      <x:c r="G3888" s="42" t="n">
        <x:v>0.6861861861861862</x:v>
      </x:c>
      <x:c r="H3888" s="36" t="n">
        <x:f>E3888*G3888</x:f>
        <x:v>135787.32582582583</x:v>
      </x:c>
      <x:c r="I3888" s="36" t="n">
        <x:f>IFERROR(H3888/A3888,0)</x:f>
        <x:v>19398.189403689405</x:v>
      </x:c>
      <x:c r="J3888" s="67" t="str">
        <x:v>Modeled from live base + Sep-2026 quality ratio</x:v>
      </x:c>
      <x:c r="K3888" s="67" t="str">
        <x:v>https://www.stonealgo.com/diamond-prices/</x:v>
      </x:c>
      <x:c r="L3888" s="67" t="str">
        <x:v>https://www.pricescope.com/blog/natural-diamond-prices-september-2026</x:v>
      </x:c>
    </x:row>
    <x:row r="3889">
      <x:c r="A3889" t="n">
        <x:v>7</x:v>
      </x:c>
      <x:c r="B3889" t="str">
        <x:v>Round</x:v>
      </x:c>
      <x:c r="C3889" t="str">
        <x:v>I</x:v>
      </x:c>
      <x:c r="D3889" t="str">
        <x:v>SI2</x:v>
      </x:c>
      <x:c r="E3889" s="36" t="n">
        <x:v>197887</x:v>
      </x:c>
      <x:c r="F3889" s="36" t="n">
        <x:v>2874</x:v>
      </x:c>
      <x:c r="G3889" s="42" t="n">
        <x:v>0.6164736164736164</x:v>
      </x:c>
      <x:c r="H3889" s="36" t="n">
        <x:f>E3889*G3889</x:f>
        <x:v>121992.11454311453</x:v>
      </x:c>
      <x:c r="I3889" s="36" t="n">
        <x:f>IFERROR(H3889/A3889,0)</x:f>
        <x:v>17427.444934730647</x:v>
      </x:c>
      <x:c r="J3889" s="67" t="str">
        <x:v>Modeled from live base + Sep-2026 quality ratio</x:v>
      </x:c>
      <x:c r="K3889" s="67" t="str">
        <x:v>https://www.stonealgo.com/diamond-prices/</x:v>
      </x:c>
      <x:c r="L3889" s="67" t="str">
        <x:v>https://www.pricescope.com/blog/natural-diamond-prices-september-2026</x:v>
      </x:c>
    </x:row>
    <x:row r="3890">
      <x:c r="A3890" t="n">
        <x:v>7</x:v>
      </x:c>
      <x:c r="B3890" t="str">
        <x:v>Round</x:v>
      </x:c>
      <x:c r="C3890" t="str">
        <x:v>J</x:v>
      </x:c>
      <x:c r="D3890" t="str">
        <x:v>FL</x:v>
      </x:c>
      <x:c r="E3890" s="36" t="n">
        <x:v>197887</x:v>
      </x:c>
      <x:c r="F3890" s="36" t="n">
        <x:v>3646</x:v>
      </x:c>
      <x:c r="G3890" s="42" t="n">
        <x:v>0.782067782067782</x:v>
      </x:c>
      <x:c r="H3890" s="36" t="n">
        <x:f>E3890*G3890</x:f>
        <x:v>154761.0471900472</x:v>
      </x:c>
      <x:c r="I3890" s="36" t="n">
        <x:f>IFERROR(H3890/A3890,0)</x:f>
        <x:v>22108.721027149597</x:v>
      </x:c>
      <x:c r="J3890" s="67" t="str">
        <x:v>Modeled from live base + Sep-2026 quality ratio</x:v>
      </x:c>
      <x:c r="K3890" s="67" t="str">
        <x:v>https://www.stonealgo.com/diamond-prices/</x:v>
      </x:c>
      <x:c r="L3890" s="67" t="str">
        <x:v>https://www.pricescope.com/blog/natural-diamond-prices-september-2026</x:v>
      </x:c>
    </x:row>
    <x:row r="3891">
      <x:c r="A3891" t="n">
        <x:v>7</x:v>
      </x:c>
      <x:c r="B3891" t="str">
        <x:v>Round</x:v>
      </x:c>
      <x:c r="C3891" t="str">
        <x:v>J</x:v>
      </x:c>
      <x:c r="D3891" t="str">
        <x:v>IF</x:v>
      </x:c>
      <x:c r="E3891" s="36" t="n">
        <x:v>197887</x:v>
      </x:c>
      <x:c r="F3891" s="36" t="n">
        <x:v>3368</x:v>
      </x:c>
      <x:c r="G3891" s="42" t="n">
        <x:v>0.7224367224367224</x:v>
      </x:c>
      <x:c r="H3891" s="36" t="n">
        <x:f>E3891*G3891</x:f>
        <x:v>142960.83569283568</x:v>
      </x:c>
      <x:c r="I3891" s="36" t="n">
        <x:f>IFERROR(H3891/A3891,0)</x:f>
        <x:v>20422.976527547955</x:v>
      </x:c>
      <x:c r="J3891" s="67" t="str">
        <x:v>Modeled from live base + Sep-2026 quality ratio</x:v>
      </x:c>
      <x:c r="K3891" s="67" t="str">
        <x:v>https://www.stonealgo.com/diamond-prices/</x:v>
      </x:c>
      <x:c r="L3891" s="67" t="str">
        <x:v>https://www.pricescope.com/blog/natural-diamond-prices-september-2026</x:v>
      </x:c>
    </x:row>
    <x:row r="3892">
      <x:c r="A3892" t="n">
        <x:v>7</x:v>
      </x:c>
      <x:c r="B3892" t="str">
        <x:v>Round</x:v>
      </x:c>
      <x:c r="C3892" t="str">
        <x:v>J</x:v>
      </x:c>
      <x:c r="D3892" t="str">
        <x:v>VVS1</x:v>
      </x:c>
      <x:c r="E3892" s="36" t="n">
        <x:v>197887</x:v>
      </x:c>
      <x:c r="F3892" s="36" t="n">
        <x:v>2956</x:v>
      </x:c>
      <x:c r="G3892" s="42" t="n">
        <x:v>0.6340626340626341</x:v>
      </x:c>
      <x:c r="H3892" s="36" t="n">
        <x:f>E3892*G3892</x:f>
        <x:v>125472.75246675247</x:v>
      </x:c>
      <x:c r="I3892" s="36" t="n">
        <x:f>IFERROR(H3892/A3892,0)</x:f>
        <x:v>17924.678923821783</x:v>
      </x:c>
      <x:c r="J3892" s="67" t="str">
        <x:v>Modeled from live base + Sep-2026 quality ratio</x:v>
      </x:c>
      <x:c r="K3892" s="67" t="str">
        <x:v>https://www.stonealgo.com/diamond-prices/</x:v>
      </x:c>
      <x:c r="L3892" s="67" t="str">
        <x:v>https://www.pricescope.com/blog/natural-diamond-prices-september-2026</x:v>
      </x:c>
    </x:row>
    <x:row r="3893">
      <x:c r="A3893" t="n">
        <x:v>7</x:v>
      </x:c>
      <x:c r="B3893" t="str">
        <x:v>Round</x:v>
      </x:c>
      <x:c r="C3893" t="str">
        <x:v>J</x:v>
      </x:c>
      <x:c r="D3893" t="str">
        <x:v>VVS2</x:v>
      </x:c>
      <x:c r="E3893" s="36" t="n">
        <x:v>197887</x:v>
      </x:c>
      <x:c r="F3893" s="36" t="n">
        <x:v>2612</x:v>
      </x:c>
      <x:c r="G3893" s="42" t="n">
        <x:v>0.5602745602745602</x:v>
      </x:c>
      <x:c r="H3893" s="36" t="n">
        <x:f>E3893*G3893</x:f>
        <x:v>110871.05190905191</x:v>
      </x:c>
      <x:c r="I3893" s="36" t="n">
        <x:f>IFERROR(H3893/A3893,0)</x:f>
        <x:v>15838.72170129313</x:v>
      </x:c>
      <x:c r="J3893" s="67" t="str">
        <x:v>Modeled from live base + Sep-2026 quality ratio</x:v>
      </x:c>
      <x:c r="K3893" s="67" t="str">
        <x:v>https://www.stonealgo.com/diamond-prices/</x:v>
      </x:c>
      <x:c r="L3893" s="67" t="str">
        <x:v>https://www.pricescope.com/blog/natural-diamond-prices-september-2026</x:v>
      </x:c>
    </x:row>
    <x:row r="3894">
      <x:c r="A3894" t="n">
        <x:v>7</x:v>
      </x:c>
      <x:c r="B3894" t="str">
        <x:v>Round</x:v>
      </x:c>
      <x:c r="C3894" t="str">
        <x:v>J</x:v>
      </x:c>
      <x:c r="D3894" t="str">
        <x:v>VS1</x:v>
      </x:c>
      <x:c r="E3894" s="36" t="n">
        <x:v>197887</x:v>
      </x:c>
      <x:c r="F3894" s="36" t="n">
        <x:v>3002</x:v>
      </x:c>
      <x:c r="G3894" s="42" t="n">
        <x:v>0.6439296439296439</x:v>
      </x:c>
      <x:c r="H3894" s="36" t="n">
        <x:f>E3894*G3894</x:f>
        <x:v>127425.30544830544</x:v>
      </x:c>
      <x:c r="I3894" s="36" t="n">
        <x:f>IFERROR(H3894/A3894,0)</x:f>
        <x:v>18203.615064043635</x:v>
      </x:c>
      <x:c r="J3894" s="67" t="str">
        <x:v>Modeled from live base + Sep-2026 quality ratio</x:v>
      </x:c>
      <x:c r="K3894" s="67" t="str">
        <x:v>https://www.stonealgo.com/diamond-prices/</x:v>
      </x:c>
      <x:c r="L3894" s="67" t="str">
        <x:v>https://www.pricescope.com/blog/natural-diamond-prices-september-2026</x:v>
      </x:c>
    </x:row>
    <x:row r="3895">
      <x:c r="A3895" t="n">
        <x:v>7</x:v>
      </x:c>
      <x:c r="B3895" t="str">
        <x:v>Round</x:v>
      </x:c>
      <x:c r="C3895" t="str">
        <x:v>J</x:v>
      </x:c>
      <x:c r="D3895" t="str">
        <x:v>VS2</x:v>
      </x:c>
      <x:c r="E3895" s="36" t="n">
        <x:v>197887</x:v>
      </x:c>
      <x:c r="F3895" s="36" t="n">
        <x:v>2559</x:v>
      </x:c>
      <x:c r="G3895" s="42" t="n">
        <x:v>0.5489060489060489</x:v>
      </x:c>
      <x:c r="H3895" s="36" t="n">
        <x:f>E3895*G3895</x:f>
        <x:v>108621.3712998713</x:v>
      </x:c>
      <x:c r="I3895" s="36" t="n">
        <x:f>IFERROR(H3895/A3895,0)</x:f>
        <x:v>15517.338757124471</x:v>
      </x:c>
      <x:c r="J3895" s="67" t="str">
        <x:v>Modeled from live base + Sep-2026 quality ratio</x:v>
      </x:c>
      <x:c r="K3895" s="67" t="str">
        <x:v>https://www.stonealgo.com/diamond-prices/</x:v>
      </x:c>
      <x:c r="L3895" s="67" t="str">
        <x:v>https://www.pricescope.com/blog/natural-diamond-prices-september-2026</x:v>
      </x:c>
    </x:row>
    <x:row r="3896">
      <x:c r="A3896" t="n">
        <x:v>7</x:v>
      </x:c>
      <x:c r="B3896" t="str">
        <x:v>Round</x:v>
      </x:c>
      <x:c r="C3896" t="str">
        <x:v>J</x:v>
      </x:c>
      <x:c r="D3896" t="str">
        <x:v>SI1</x:v>
      </x:c>
      <x:c r="E3896" s="36" t="n">
        <x:v>197887</x:v>
      </x:c>
      <x:c r="F3896" s="36" t="n">
        <x:v>2195</x:v>
      </x:c>
      <x:c r="G3896" s="42" t="n">
        <x:v>0.47082797082797084</x:v>
      </x:c>
      <x:c r="H3896" s="36" t="n">
        <x:f>E3896*G3896</x:f>
        <x:v>93170.73466323466</x:v>
      </x:c>
      <x:c r="I3896" s="36" t="n">
        <x:f>IFERROR(H3896/A3896,0)</x:f>
        <x:v>13310.104951890666</x:v>
      </x:c>
      <x:c r="J3896" s="67" t="str">
        <x:v>Modeled from live base + Sep-2026 quality ratio</x:v>
      </x:c>
      <x:c r="K3896" s="67" t="str">
        <x:v>https://www.stonealgo.com/diamond-prices/</x:v>
      </x:c>
      <x:c r="L3896" s="67" t="str">
        <x:v>https://www.pricescope.com/blog/natural-diamond-prices-september-2026</x:v>
      </x:c>
    </x:row>
    <x:row r="3897">
      <x:c r="A3897" t="n">
        <x:v>7</x:v>
      </x:c>
      <x:c r="B3897" t="str">
        <x:v>Round</x:v>
      </x:c>
      <x:c r="C3897" t="str">
        <x:v>J</x:v>
      </x:c>
      <x:c r="D3897" t="str">
        <x:v>SI2</x:v>
      </x:c>
      <x:c r="E3897" s="36" t="n">
        <x:v>197887</x:v>
      </x:c>
      <x:c r="F3897" s="36" t="n">
        <x:v>2079</x:v>
      </x:c>
      <x:c r="G3897" s="42" t="n">
        <x:v>0.44594594594594594</x:v>
      </x:c>
      <x:c r="H3897" s="36" t="n">
        <x:f>E3897*G3897</x:f>
        <x:v>88246.9054054054</x:v>
      </x:c>
      <x:c r="I3897" s="36" t="n">
        <x:f>IFERROR(H3897/A3897,0)</x:f>
        <x:v>12606.700772200771</x:v>
      </x:c>
      <x:c r="J3897" s="67" t="str">
        <x:v>Modeled from live base + Sep-2026 quality ratio</x:v>
      </x:c>
      <x:c r="K3897" s="67" t="str">
        <x:v>https://www.stonealgo.com/diamond-prices/</x:v>
      </x:c>
      <x:c r="L3897" s="67" t="str">
        <x:v>https://www.pricescope.com/blog/natural-diamond-prices-september-2026</x:v>
      </x:c>
    </x:row>
    <x:row r="3898">
      <x:c r="A3898" t="n">
        <x:v>7</x:v>
      </x:c>
      <x:c r="B3898" t="str">
        <x:v>Round</x:v>
      </x:c>
      <x:c r="C3898" t="str">
        <x:v>K</x:v>
      </x:c>
      <x:c r="D3898" t="str">
        <x:v>FL</x:v>
      </x:c>
      <x:c r="E3898" s="36" t="n">
        <x:v>197887</x:v>
      </x:c>
      <x:c r="F3898" s="36" t="n">
        <x:v>2858</x:v>
      </x:c>
      <x:c r="G3898" s="42" t="n">
        <x:v>0.6130416130416131</x:v>
      </x:c>
      <x:c r="H3898" s="36" t="n">
        <x:f>E3898*G3898</x:f>
        <x:v>121312.9656799657</x:v>
      </x:c>
      <x:c r="I3898" s="36" t="n">
        <x:f>IFERROR(H3898/A3898,0)</x:f>
        <x:v>17330.423668566527</x:v>
      </x:c>
      <x:c r="J3898" s="67" t="str">
        <x:v>Modeled from live base + Sep-2026 quality ratio; K/FL quality cell modeled</x:v>
      </x:c>
      <x:c r="K3898" s="67" t="str">
        <x:v>https://www.stonealgo.com/diamond-prices/</x:v>
      </x:c>
      <x:c r="L3898" s="67" t="str">
        <x:v>https://www.pricescope.com/blog/natural-diamond-prices-september-2026</x:v>
      </x:c>
    </x:row>
    <x:row r="3899">
      <x:c r="A3899" t="n">
        <x:v>7</x:v>
      </x:c>
      <x:c r="B3899" t="str">
        <x:v>Round</x:v>
      </x:c>
      <x:c r="C3899" t="str">
        <x:v>K</x:v>
      </x:c>
      <x:c r="D3899" t="str">
        <x:v>IF</x:v>
      </x:c>
      <x:c r="E3899" s="36" t="n">
        <x:v>197887</x:v>
      </x:c>
      <x:c r="F3899" s="36" t="n">
        <x:v>2743</x:v>
      </x:c>
      <x:c r="G3899" s="42" t="n">
        <x:v>0.5883740883740883</x:v>
      </x:c>
      <x:c r="H3899" s="36" t="n">
        <x:f>E3899*G3899</x:f>
        <x:v>116431.58322608322</x:v>
      </x:c>
      <x:c r="I3899" s="36" t="n">
        <x:f>IFERROR(H3899/A3899,0)</x:f>
        <x:v>16633.08331801189</x:v>
      </x:c>
      <x:c r="J3899" s="67" t="str">
        <x:v>Modeled from live base + Sep-2026 quality ratio</x:v>
      </x:c>
      <x:c r="K3899" s="67" t="str">
        <x:v>https://www.stonealgo.com/diamond-prices/</x:v>
      </x:c>
      <x:c r="L3899" s="67" t="str">
        <x:v>https://www.pricescope.com/blog/natural-diamond-prices-september-2026</x:v>
      </x:c>
    </x:row>
    <x:row r="3900">
      <x:c r="A3900" t="n">
        <x:v>7</x:v>
      </x:c>
      <x:c r="B3900" t="str">
        <x:v>Round</x:v>
      </x:c>
      <x:c r="C3900" t="str">
        <x:v>K</x:v>
      </x:c>
      <x:c r="D3900" t="str">
        <x:v>VVS1</x:v>
      </x:c>
      <x:c r="E3900" s="36" t="n">
        <x:v>197887</x:v>
      </x:c>
      <x:c r="F3900" s="36" t="n">
        <x:v>2529</x:v>
      </x:c>
      <x:c r="G3900" s="42" t="n">
        <x:v>0.5424710424710425</x:v>
      </x:c>
      <x:c r="H3900" s="36" t="n">
        <x:f>E3900*G3900</x:f>
        <x:v>107347.96718146719</x:v>
      </x:c>
      <x:c r="I3900" s="36" t="n">
        <x:f>IFERROR(H3900/A3900,0)</x:f>
        <x:v>15335.423883066742</x:v>
      </x:c>
      <x:c r="J3900" s="67" t="str">
        <x:v>Modeled from live base + Sep-2026 quality ratio</x:v>
      </x:c>
      <x:c r="K3900" s="67" t="str">
        <x:v>https://www.stonealgo.com/diamond-prices/</x:v>
      </x:c>
      <x:c r="L3900" s="67" t="str">
        <x:v>https://www.pricescope.com/blog/natural-diamond-prices-september-2026</x:v>
      </x:c>
    </x:row>
    <x:row r="3901">
      <x:c r="A3901" t="n">
        <x:v>7</x:v>
      </x:c>
      <x:c r="B3901" t="str">
        <x:v>Round</x:v>
      </x:c>
      <x:c r="C3901" t="str">
        <x:v>K</x:v>
      </x:c>
      <x:c r="D3901" t="str">
        <x:v>VVS2</x:v>
      </x:c>
      <x:c r="E3901" s="36" t="n">
        <x:v>197887</x:v>
      </x:c>
      <x:c r="F3901" s="36" t="n">
        <x:v>2374</x:v>
      </x:c>
      <x:c r="G3901" s="42" t="n">
        <x:v>0.5092235092235092</x:v>
      </x:c>
      <x:c r="H3901" s="36" t="n">
        <x:f>E3901*G3901</x:f>
        <x:v>100768.71256971257</x:v>
      </x:c>
      <x:c r="I3901" s="36" t="n">
        <x:f>IFERROR(H3901/A3901,0)</x:f>
        <x:v>14395.530367101795</x:v>
      </x:c>
      <x:c r="J3901" s="67" t="str">
        <x:v>Modeled from live base + Sep-2026 quality ratio</x:v>
      </x:c>
      <x:c r="K3901" s="67" t="str">
        <x:v>https://www.stonealgo.com/diamond-prices/</x:v>
      </x:c>
      <x:c r="L3901" s="67" t="str">
        <x:v>https://www.pricescope.com/blog/natural-diamond-prices-september-2026</x:v>
      </x:c>
    </x:row>
    <x:row r="3902">
      <x:c r="A3902" t="n">
        <x:v>7</x:v>
      </x:c>
      <x:c r="B3902" t="str">
        <x:v>Round</x:v>
      </x:c>
      <x:c r="C3902" t="str">
        <x:v>K</x:v>
      </x:c>
      <x:c r="D3902" t="str">
        <x:v>VS1</x:v>
      </x:c>
      <x:c r="E3902" s="36" t="n">
        <x:v>197887</x:v>
      </x:c>
      <x:c r="F3902" s="36" t="n">
        <x:v>2223</x:v>
      </x:c>
      <x:c r="G3902" s="42" t="n">
        <x:v>0.4768339768339768</x:v>
      </x:c>
      <x:c r="H3902" s="36" t="n">
        <x:f>E3902*G3902</x:f>
        <x:v>94359.24517374518</x:v>
      </x:c>
      <x:c r="I3902" s="36" t="n">
        <x:f>IFERROR(H3902/A3902,0)</x:f>
        <x:v>13479.892167677883</x:v>
      </x:c>
      <x:c r="J3902" s="67" t="str">
        <x:v>Modeled from live base + Sep-2026 quality ratio</x:v>
      </x:c>
      <x:c r="K3902" s="67" t="str">
        <x:v>https://www.stonealgo.com/diamond-prices/</x:v>
      </x:c>
      <x:c r="L3902" s="67" t="str">
        <x:v>https://www.pricescope.com/blog/natural-diamond-prices-september-2026</x:v>
      </x:c>
    </x:row>
    <x:row r="3903">
      <x:c r="A3903" t="n">
        <x:v>7</x:v>
      </x:c>
      <x:c r="B3903" t="str">
        <x:v>Round</x:v>
      </x:c>
      <x:c r="C3903" t="str">
        <x:v>K</x:v>
      </x:c>
      <x:c r="D3903" t="str">
        <x:v>VS2</x:v>
      </x:c>
      <x:c r="E3903" s="36" t="n">
        <x:v>197887</x:v>
      </x:c>
      <x:c r="F3903" s="36" t="n">
        <x:v>2098</x:v>
      </x:c>
      <x:c r="G3903" s="42" t="n">
        <x:v>0.45002145002145</x:v>
      </x:c>
      <x:c r="H3903" s="36" t="n">
        <x:f>E3903*G3903</x:f>
        <x:v>89053.39468039467</x:v>
      </x:c>
      <x:c r="I3903" s="36" t="n">
        <x:f>IFERROR(H3903/A3903,0)</x:f>
        <x:v>12721.913525770668</x:v>
      </x:c>
      <x:c r="J3903" s="67" t="str">
        <x:v>Modeled from live base + Sep-2026 quality ratio</x:v>
      </x:c>
      <x:c r="K3903" s="67" t="str">
        <x:v>https://www.stonealgo.com/diamond-prices/</x:v>
      </x:c>
      <x:c r="L3903" s="67" t="str">
        <x:v>https://www.pricescope.com/blog/natural-diamond-prices-september-2026</x:v>
      </x:c>
    </x:row>
    <x:row r="3904">
      <x:c r="A3904" t="n">
        <x:v>7</x:v>
      </x:c>
      <x:c r="B3904" t="str">
        <x:v>Round</x:v>
      </x:c>
      <x:c r="C3904" t="str">
        <x:v>K</x:v>
      </x:c>
      <x:c r="D3904" t="str">
        <x:v>SI1</x:v>
      </x:c>
      <x:c r="E3904" s="36" t="n">
        <x:v>197887</x:v>
      </x:c>
      <x:c r="F3904" s="36" t="n">
        <x:v>1922</x:v>
      </x:c>
      <x:c r="G3904" s="42" t="n">
        <x:v>0.41226941226941227</x:v>
      </x:c>
      <x:c r="H3904" s="36" t="n">
        <x:f>E3904*G3904</x:f>
        <x:v>81582.75718575719</x:v>
      </x:c>
      <x:c r="I3904" s="36" t="n">
        <x:f>IFERROR(H3904/A3904,0)</x:f>
        <x:v>11654.679597965312</x:v>
      </x:c>
      <x:c r="J3904" s="67" t="str">
        <x:v>Modeled from live base + Sep-2026 quality ratio</x:v>
      </x:c>
      <x:c r="K3904" s="67" t="str">
        <x:v>https://www.stonealgo.com/diamond-prices/</x:v>
      </x:c>
      <x:c r="L3904" s="67" t="str">
        <x:v>https://www.pricescope.com/blog/natural-diamond-prices-september-2026</x:v>
      </x:c>
    </x:row>
    <x:row r="3905">
      <x:c r="A3905" t="n">
        <x:v>7</x:v>
      </x:c>
      <x:c r="B3905" t="str">
        <x:v>Round</x:v>
      </x:c>
      <x:c r="C3905" t="str">
        <x:v>K</x:v>
      </x:c>
      <x:c r="D3905" t="str">
        <x:v>SI2</x:v>
      </x:c>
      <x:c r="E3905" s="36" t="n">
        <x:v>197887</x:v>
      </x:c>
      <x:c r="F3905" s="36" t="n">
        <x:v>1764</x:v>
      </x:c>
      <x:c r="G3905" s="42" t="n">
        <x:v>0.3783783783783784</x:v>
      </x:c>
      <x:c r="H3905" s="36" t="n">
        <x:f>E3905*G3905</x:f>
        <x:v>74876.16216216216</x:v>
      </x:c>
      <x:c r="I3905" s="36" t="n">
        <x:f>IFERROR(H3905/A3905,0)</x:f>
        <x:v>10696.594594594595</x:v>
      </x:c>
      <x:c r="J3905" s="67" t="str">
        <x:v>Modeled from live base + Sep-2026 quality ratio</x:v>
      </x:c>
      <x:c r="K3905" s="67" t="str">
        <x:v>https://www.stonealgo.com/diamond-prices/</x:v>
      </x:c>
      <x:c r="L3905" s="67" t="str">
        <x:v>https://www.pricescope.com/blog/natural-diamond-prices-september-2026</x:v>
      </x:c>
    </x:row>
    <x:row r="3906">
      <x:c r="A3906" t="n">
        <x:v>7</x:v>
      </x:c>
      <x:c r="B3906" t="str">
        <x:v>Oval</x:v>
      </x:c>
      <x:c r="C3906" t="str">
        <x:v>D</x:v>
      </x:c>
      <x:c r="D3906" t="str">
        <x:v>FL</x:v>
      </x:c>
      <x:c r="E3906" s="36" t="n">
        <x:v>216500</x:v>
      </x:c>
      <x:c r="F3906" s="36" t="n">
        <x:v>12665</x:v>
      </x:c>
      <x:c r="G3906" s="42" t="n">
        <x:v>2.7166452166452166</x:v>
      </x:c>
      <x:c r="H3906" s="36" t="n">
        <x:f>E3906*G3906</x:f>
        <x:v>588153.6894036894</x:v>
      </x:c>
      <x:c r="I3906" s="36" t="n">
        <x:f>IFERROR(H3906/A3906,0)</x:f>
        <x:v>84021.95562909848</x:v>
      </x:c>
      <x:c r="J3906" s="67" t="str">
        <x:v>Modeled from live base + Sep-2026 quality ratio</x:v>
      </x:c>
      <x:c r="K3906" s="67" t="str">
        <x:v>https://www.stonealgo.com/diamond-prices/</x:v>
      </x:c>
      <x:c r="L3906" s="67" t="str">
        <x:v>https://www.pricescope.com/blog/natural-diamond-prices-september-2026</x:v>
      </x:c>
    </x:row>
    <x:row r="3907">
      <x:c r="A3907" t="n">
        <x:v>7</x:v>
      </x:c>
      <x:c r="B3907" t="str">
        <x:v>Oval</x:v>
      </x:c>
      <x:c r="C3907" t="str">
        <x:v>D</x:v>
      </x:c>
      <x:c r="D3907" t="str">
        <x:v>IF</x:v>
      </x:c>
      <x:c r="E3907" s="36" t="n">
        <x:v>216500</x:v>
      </x:c>
      <x:c r="F3907" s="36" t="n">
        <x:v>13240</x:v>
      </x:c>
      <x:c r="G3907" s="42" t="n">
        <x:v>2.83998283998284</x:v>
      </x:c>
      <x:c r="H3907" s="36" t="n">
        <x:f>E3907*G3907</x:f>
        <x:v>614856.2848562849</x:v>
      </x:c>
      <x:c r="I3907" s="36" t="n">
        <x:f>IFERROR(H3907/A3907,0)</x:f>
        <x:v>87836.6121223264</x:v>
      </x:c>
      <x:c r="J3907" s="67" t="str">
        <x:v>Modeled from live base + Sep-2026 quality ratio</x:v>
      </x:c>
      <x:c r="K3907" s="67" t="str">
        <x:v>https://www.stonealgo.com/diamond-prices/</x:v>
      </x:c>
      <x:c r="L3907" s="67" t="str">
        <x:v>https://www.pricescope.com/blog/natural-diamond-prices-september-2026</x:v>
      </x:c>
    </x:row>
    <x:row r="3908">
      <x:c r="A3908" t="n">
        <x:v>7</x:v>
      </x:c>
      <x:c r="B3908" t="str">
        <x:v>Oval</x:v>
      </x:c>
      <x:c r="C3908" t="str">
        <x:v>D</x:v>
      </x:c>
      <x:c r="D3908" t="str">
        <x:v>VVS1</x:v>
      </x:c>
      <x:c r="E3908" s="36" t="n">
        <x:v>216500</x:v>
      </x:c>
      <x:c r="F3908" s="36" t="n">
        <x:v>9555</x:v>
      </x:c>
      <x:c r="G3908" s="42" t="n">
        <x:v>2.0495495495495497</x:v>
      </x:c>
      <x:c r="H3908" s="36" t="n">
        <x:f>E3908*G3908</x:f>
        <x:v>443727.4774774775</x:v>
      </x:c>
      <x:c r="I3908" s="36" t="n">
        <x:f>IFERROR(H3908/A3908,0)</x:f>
        <x:v>63389.639639639645</x:v>
      </x:c>
      <x:c r="J3908" s="67" t="str">
        <x:v>Modeled from live base + Sep-2026 quality ratio</x:v>
      </x:c>
      <x:c r="K3908" s="67" t="str">
        <x:v>https://www.stonealgo.com/diamond-prices/</x:v>
      </x:c>
      <x:c r="L3908" s="67" t="str">
        <x:v>https://www.pricescope.com/blog/natural-diamond-prices-september-2026</x:v>
      </x:c>
    </x:row>
    <x:row r="3909">
      <x:c r="A3909" t="n">
        <x:v>7</x:v>
      </x:c>
      <x:c r="B3909" t="str">
        <x:v>Oval</x:v>
      </x:c>
      <x:c r="C3909" t="str">
        <x:v>D</x:v>
      </x:c>
      <x:c r="D3909" t="str">
        <x:v>VVS2</x:v>
      </x:c>
      <x:c r="E3909" s="36" t="n">
        <x:v>216500</x:v>
      </x:c>
      <x:c r="F3909" s="36" t="n">
        <x:v>6660</x:v>
      </x:c>
      <x:c r="G3909" s="42" t="n">
        <x:v>1.4285714285714286</x:v>
      </x:c>
      <x:c r="H3909" s="36" t="n">
        <x:f>E3909*G3909</x:f>
        <x:v>309285.7142857143</x:v>
      </x:c>
      <x:c r="I3909" s="36" t="n">
        <x:f>IFERROR(H3909/A3909,0)</x:f>
        <x:v>44183.67346938776</x:v>
      </x:c>
      <x:c r="J3909" s="67" t="str">
        <x:v>Modeled from live base + Sep-2026 quality ratio</x:v>
      </x:c>
      <x:c r="K3909" s="67" t="str">
        <x:v>https://www.stonealgo.com/diamond-prices/</x:v>
      </x:c>
      <x:c r="L3909" s="67" t="str">
        <x:v>https://www.pricescope.com/blog/natural-diamond-prices-september-2026</x:v>
      </x:c>
    </x:row>
    <x:row r="3910">
      <x:c r="A3910" t="n">
        <x:v>7</x:v>
      </x:c>
      <x:c r="B3910" t="str">
        <x:v>Oval</x:v>
      </x:c>
      <x:c r="C3910" t="str">
        <x:v>D</x:v>
      </x:c>
      <x:c r="D3910" t="str">
        <x:v>VS1</x:v>
      </x:c>
      <x:c r="E3910" s="36" t="n">
        <x:v>216500</x:v>
      </x:c>
      <x:c r="F3910" s="36" t="n">
        <x:v>6247</x:v>
      </x:c>
      <x:c r="G3910" s="42" t="n">
        <x:v>1.33998283998284</x:v>
      </x:c>
      <x:c r="H3910" s="36" t="n">
        <x:f>E3910*G3910</x:f>
        <x:v>290106.28485628485</x:v>
      </x:c>
      <x:c r="I3910" s="36" t="n">
        <x:f>IFERROR(H3910/A3910,0)</x:f>
        <x:v>41443.75497946927</x:v>
      </x:c>
      <x:c r="J3910" s="67" t="str">
        <x:v>Modeled from live base + Sep-2026 quality ratio</x:v>
      </x:c>
      <x:c r="K3910" s="67" t="str">
        <x:v>https://www.stonealgo.com/diamond-prices/</x:v>
      </x:c>
      <x:c r="L3910" s="67" t="str">
        <x:v>https://www.pricescope.com/blog/natural-diamond-prices-september-2026</x:v>
      </x:c>
    </x:row>
    <x:row r="3911">
      <x:c r="A3911" t="n">
        <x:v>7</x:v>
      </x:c>
      <x:c r="B3911" t="str">
        <x:v>Oval</x:v>
      </x:c>
      <x:c r="C3911" t="str">
        <x:v>D</x:v>
      </x:c>
      <x:c r="D3911" t="str">
        <x:v>VS2</x:v>
      </x:c>
      <x:c r="E3911" s="36" t="n">
        <x:v>216500</x:v>
      </x:c>
      <x:c r="F3911" s="36" t="n">
        <x:v>5841</x:v>
      </x:c>
      <x:c r="G3911" s="42" t="n">
        <x:v>1.252895752895753</x:v>
      </x:c>
      <x:c r="H3911" s="36" t="n">
        <x:f>E3911*G3911</x:f>
        <x:v>271251.93050193053</x:v>
      </x:c>
      <x:c r="I3911" s="36" t="n">
        <x:f>IFERROR(H3911/A3911,0)</x:f>
        <x:v>38750.275785990074</x:v>
      </x:c>
      <x:c r="J3911" s="67" t="str">
        <x:v>Modeled from live base + Sep-2026 quality ratio</x:v>
      </x:c>
      <x:c r="K3911" s="67" t="str">
        <x:v>https://www.stonealgo.com/diamond-prices/</x:v>
      </x:c>
      <x:c r="L3911" s="67" t="str">
        <x:v>https://www.pricescope.com/blog/natural-diamond-prices-september-2026</x:v>
      </x:c>
    </x:row>
    <x:row r="3912">
      <x:c r="A3912" t="n">
        <x:v>7</x:v>
      </x:c>
      <x:c r="B3912" t="str">
        <x:v>Oval</x:v>
      </x:c>
      <x:c r="C3912" t="str">
        <x:v>D</x:v>
      </x:c>
      <x:c r="D3912" t="str">
        <x:v>SI1</x:v>
      </x:c>
      <x:c r="E3912" s="36" t="n">
        <x:v>216500</x:v>
      </x:c>
      <x:c r="F3912" s="36" t="n">
        <x:v>3762</x:v>
      </x:c>
      <x:c r="G3912" s="42" t="n">
        <x:v>0.806949806949807</x:v>
      </x:c>
      <x:c r="H3912" s="36" t="n">
        <x:f>E3912*G3912</x:f>
        <x:v>174704.63320463322</x:v>
      </x:c>
      <x:c r="I3912" s="36" t="n">
        <x:f>IFERROR(H3912/A3912,0)</x:f>
        <x:v>24957.80474351903</x:v>
      </x:c>
      <x:c r="J3912" s="67" t="str">
        <x:v>Modeled from live base + Sep-2026 quality ratio</x:v>
      </x:c>
      <x:c r="K3912" s="67" t="str">
        <x:v>https://www.stonealgo.com/diamond-prices/</x:v>
      </x:c>
      <x:c r="L3912" s="67" t="str">
        <x:v>https://www.pricescope.com/blog/natural-diamond-prices-september-2026</x:v>
      </x:c>
    </x:row>
    <x:row r="3913">
      <x:c r="A3913" t="n">
        <x:v>7</x:v>
      </x:c>
      <x:c r="B3913" t="str">
        <x:v>Oval</x:v>
      </x:c>
      <x:c r="C3913" t="str">
        <x:v>D</x:v>
      </x:c>
      <x:c r="D3913" t="str">
        <x:v>SI2</x:v>
      </x:c>
      <x:c r="E3913" s="36" t="n">
        <x:v>216500</x:v>
      </x:c>
      <x:c r="F3913" s="36" t="n">
        <x:v>3026</x:v>
      </x:c>
      <x:c r="G3913" s="42" t="n">
        <x:v>0.6490776490776491</x:v>
      </x:c>
      <x:c r="H3913" s="36" t="n">
        <x:f>E3913*G3913</x:f>
        <x:v>140525.31102531104</x:v>
      </x:c>
      <x:c r="I3913" s="36" t="n">
        <x:f>IFERROR(H3913/A3913,0)</x:f>
        <x:v>20075.04443218729</x:v>
      </x:c>
      <x:c r="J3913" s="67" t="str">
        <x:v>Modeled from live base + Sep-2026 quality ratio</x:v>
      </x:c>
      <x:c r="K3913" s="67" t="str">
        <x:v>https://www.stonealgo.com/diamond-prices/</x:v>
      </x:c>
      <x:c r="L3913" s="67" t="str">
        <x:v>https://www.pricescope.com/blog/natural-diamond-prices-september-2026</x:v>
      </x:c>
    </x:row>
    <x:row r="3914">
      <x:c r="A3914" t="n">
        <x:v>7</x:v>
      </x:c>
      <x:c r="B3914" t="str">
        <x:v>Oval</x:v>
      </x:c>
      <x:c r="C3914" t="str">
        <x:v>E</x:v>
      </x:c>
      <x:c r="D3914" t="str">
        <x:v>FL</x:v>
      </x:c>
      <x:c r="E3914" s="36" t="n">
        <x:v>216500</x:v>
      </x:c>
      <x:c r="F3914" s="36" t="n">
        <x:v>10072</x:v>
      </x:c>
      <x:c r="G3914" s="42" t="n">
        <x:v>2.1604461604461602</x:v>
      </x:c>
      <x:c r="H3914" s="36" t="n">
        <x:f>E3914*G3914</x:f>
        <x:v>467736.59373659367</x:v>
      </x:c>
      <x:c r="I3914" s="36" t="n">
        <x:f>IFERROR(H3914/A3914,0)</x:f>
        <x:v>66819.51339094195</x:v>
      </x:c>
      <x:c r="J3914" s="67" t="str">
        <x:v>Modeled from live base + Sep-2026 quality ratio</x:v>
      </x:c>
      <x:c r="K3914" s="67" t="str">
        <x:v>https://www.stonealgo.com/diamond-prices/</x:v>
      </x:c>
      <x:c r="L3914" s="67" t="str">
        <x:v>https://www.pricescope.com/blog/natural-diamond-prices-september-2026</x:v>
      </x:c>
    </x:row>
    <x:row r="3915">
      <x:c r="A3915" t="n">
        <x:v>7</x:v>
      </x:c>
      <x:c r="B3915" t="str">
        <x:v>Oval</x:v>
      </x:c>
      <x:c r="C3915" t="str">
        <x:v>E</x:v>
      </x:c>
      <x:c r="D3915" t="str">
        <x:v>IF</x:v>
      </x:c>
      <x:c r="E3915" s="36" t="n">
        <x:v>216500</x:v>
      </x:c>
      <x:c r="F3915" s="36" t="n">
        <x:v>8672</x:v>
      </x:c>
      <x:c r="G3915" s="42" t="n">
        <x:v>1.8601458601458603</x:v>
      </x:c>
      <x:c r="H3915" s="36" t="n">
        <x:f>E3915*G3915</x:f>
        <x:v>402721.57872157876</x:v>
      </x:c>
      <x:c r="I3915" s="36" t="n">
        <x:f>IFERROR(H3915/A3915,0)</x:f>
        <x:v>57531.65410308268</x:v>
      </x:c>
      <x:c r="J3915" s="67" t="str">
        <x:v>Modeled from live base + Sep-2026 quality ratio</x:v>
      </x:c>
      <x:c r="K3915" s="67" t="str">
        <x:v>https://www.stonealgo.com/diamond-prices/</x:v>
      </x:c>
      <x:c r="L3915" s="67" t="str">
        <x:v>https://www.pricescope.com/blog/natural-diamond-prices-september-2026</x:v>
      </x:c>
    </x:row>
    <x:row r="3916">
      <x:c r="A3916" t="n">
        <x:v>7</x:v>
      </x:c>
      <x:c r="B3916" t="str">
        <x:v>Oval</x:v>
      </x:c>
      <x:c r="C3916" t="str">
        <x:v>E</x:v>
      </x:c>
      <x:c r="D3916" t="str">
        <x:v>VVS1</x:v>
      </x:c>
      <x:c r="E3916" s="36" t="n">
        <x:v>216500</x:v>
      </x:c>
      <x:c r="F3916" s="36" t="n">
        <x:v>7842</x:v>
      </x:c>
      <x:c r="G3916" s="42" t="n">
        <x:v>1.6821106821106822</x:v>
      </x:c>
      <x:c r="H3916" s="36" t="n">
        <x:f>E3916*G3916</x:f>
        <x:v>364176.96267696266</x:v>
      </x:c>
      <x:c r="I3916" s="36" t="n">
        <x:f>IFERROR(H3916/A3916,0)</x:f>
        <x:v>52025.28038242324</x:v>
      </x:c>
      <x:c r="J3916" s="67" t="str">
        <x:v>Modeled from live base + Sep-2026 quality ratio</x:v>
      </x:c>
      <x:c r="K3916" s="67" t="str">
        <x:v>https://www.stonealgo.com/diamond-prices/</x:v>
      </x:c>
      <x:c r="L3916" s="67" t="str">
        <x:v>https://www.pricescope.com/blog/natural-diamond-prices-september-2026</x:v>
      </x:c>
    </x:row>
    <x:row r="3917">
      <x:c r="A3917" t="n">
        <x:v>7</x:v>
      </x:c>
      <x:c r="B3917" t="str">
        <x:v>Oval</x:v>
      </x:c>
      <x:c r="C3917" t="str">
        <x:v>E</x:v>
      </x:c>
      <x:c r="D3917" t="str">
        <x:v>VVS2</x:v>
      </x:c>
      <x:c r="E3917" s="36" t="n">
        <x:v>216500</x:v>
      </x:c>
      <x:c r="F3917" s="36" t="n">
        <x:v>6880</x:v>
      </x:c>
      <x:c r="G3917" s="42" t="n">
        <x:v>1.4757614757614759</x:v>
      </x:c>
      <x:c r="H3917" s="36" t="n">
        <x:f>E3917*G3917</x:f>
        <x:v>319502.3595023595</x:v>
      </x:c>
      <x:c r="I3917" s="36" t="n">
        <x:f>IFERROR(H3917/A3917,0)</x:f>
        <x:v>45643.19421462279</x:v>
      </x:c>
      <x:c r="J3917" s="67" t="str">
        <x:v>Modeled from live base + Sep-2026 quality ratio</x:v>
      </x:c>
      <x:c r="K3917" s="67" t="str">
        <x:v>https://www.stonealgo.com/diamond-prices/</x:v>
      </x:c>
      <x:c r="L3917" s="67" t="str">
        <x:v>https://www.pricescope.com/blog/natural-diamond-prices-september-2026</x:v>
      </x:c>
    </x:row>
    <x:row r="3918">
      <x:c r="A3918" t="n">
        <x:v>7</x:v>
      </x:c>
      <x:c r="B3918" t="str">
        <x:v>Oval</x:v>
      </x:c>
      <x:c r="C3918" t="str">
        <x:v>E</x:v>
      </x:c>
      <x:c r="D3918" t="str">
        <x:v>VS1</x:v>
      </x:c>
      <x:c r="E3918" s="36" t="n">
        <x:v>216500</x:v>
      </x:c>
      <x:c r="F3918" s="36" t="n">
        <x:v>6307</x:v>
      </x:c>
      <x:c r="G3918" s="42" t="n">
        <x:v>1.352852852852853</x:v>
      </x:c>
      <x:c r="H3918" s="36" t="n">
        <x:f>E3918*G3918</x:f>
        <x:v>292892.64264264266</x:v>
      </x:c>
      <x:c r="I3918" s="36" t="n">
        <x:f>IFERROR(H3918/A3918,0)</x:f>
        <x:v>41841.806091806095</x:v>
      </x:c>
      <x:c r="J3918" s="67" t="str">
        <x:v>Modeled from live base + Sep-2026 quality ratio</x:v>
      </x:c>
      <x:c r="K3918" s="67" t="str">
        <x:v>https://www.stonealgo.com/diamond-prices/</x:v>
      </x:c>
      <x:c r="L3918" s="67" t="str">
        <x:v>https://www.pricescope.com/blog/natural-diamond-prices-september-2026</x:v>
      </x:c>
    </x:row>
    <x:row r="3919">
      <x:c r="A3919" t="n">
        <x:v>7</x:v>
      </x:c>
      <x:c r="B3919" t="str">
        <x:v>Oval</x:v>
      </x:c>
      <x:c r="C3919" t="str">
        <x:v>E</x:v>
      </x:c>
      <x:c r="D3919" t="str">
        <x:v>VS2</x:v>
      </x:c>
      <x:c r="E3919" s="36" t="n">
        <x:v>216500</x:v>
      </x:c>
      <x:c r="F3919" s="36" t="n">
        <x:v>5249</x:v>
      </x:c>
      <x:c r="G3919" s="42" t="n">
        <x:v>1.125911625911626</x:v>
      </x:c>
      <x:c r="H3919" s="36" t="n">
        <x:f>E3919*G3919</x:f>
        <x:v>243759.867009867</x:v>
      </x:c>
      <x:c r="I3919" s="36" t="n">
        <x:f>IFERROR(H3919/A3919,0)</x:f>
        <x:v>34822.838144266716</x:v>
      </x:c>
      <x:c r="J3919" s="67" t="str">
        <x:v>Modeled from live base + Sep-2026 quality ratio</x:v>
      </x:c>
      <x:c r="K3919" s="67" t="str">
        <x:v>https://www.stonealgo.com/diamond-prices/</x:v>
      </x:c>
      <x:c r="L3919" s="67" t="str">
        <x:v>https://www.pricescope.com/blog/natural-diamond-prices-september-2026</x:v>
      </x:c>
    </x:row>
    <x:row r="3920">
      <x:c r="A3920" t="n">
        <x:v>7</x:v>
      </x:c>
      <x:c r="B3920" t="str">
        <x:v>Oval</x:v>
      </x:c>
      <x:c r="C3920" t="str">
        <x:v>E</x:v>
      </x:c>
      <x:c r="D3920" t="str">
        <x:v>SI1</x:v>
      </x:c>
      <x:c r="E3920" s="36" t="n">
        <x:v>216500</x:v>
      </x:c>
      <x:c r="F3920" s="36" t="n">
        <x:v>3551</x:v>
      </x:c>
      <x:c r="G3920" s="42" t="n">
        <x:v>0.7616902616902617</x:v>
      </x:c>
      <x:c r="H3920" s="36" t="n">
        <x:f>E3920*G3920</x:f>
        <x:v>164905.94165594166</x:v>
      </x:c>
      <x:c r="I3920" s="36" t="n">
        <x:f>IFERROR(H3920/A3920,0)</x:f>
        <x:v>23557.991665134523</x:v>
      </x:c>
      <x:c r="J3920" s="67" t="str">
        <x:v>Modeled from live base + Sep-2026 quality ratio</x:v>
      </x:c>
      <x:c r="K3920" s="67" t="str">
        <x:v>https://www.stonealgo.com/diamond-prices/</x:v>
      </x:c>
      <x:c r="L3920" s="67" t="str">
        <x:v>https://www.pricescope.com/blog/natural-diamond-prices-september-2026</x:v>
      </x:c>
    </x:row>
    <x:row r="3921">
      <x:c r="A3921" t="n">
        <x:v>7</x:v>
      </x:c>
      <x:c r="B3921" t="str">
        <x:v>Oval</x:v>
      </x:c>
      <x:c r="C3921" t="str">
        <x:v>E</x:v>
      </x:c>
      <x:c r="D3921" t="str">
        <x:v>SI2</x:v>
      </x:c>
      <x:c r="E3921" s="36" t="n">
        <x:v>216500</x:v>
      </x:c>
      <x:c r="F3921" s="36" t="n">
        <x:v>2993</x:v>
      </x:c>
      <x:c r="G3921" s="42" t="n">
        <x:v>0.641999141999142</x:v>
      </x:c>
      <x:c r="H3921" s="36" t="n">
        <x:f>E3921*G3921</x:f>
        <x:v>138992.81424281423</x:v>
      </x:c>
      <x:c r="I3921" s="36" t="n">
        <x:f>IFERROR(H3921/A3921,0)</x:f>
        <x:v>19856.116320402034</x:v>
      </x:c>
      <x:c r="J3921" s="67" t="str">
        <x:v>Modeled from live base + Sep-2026 quality ratio</x:v>
      </x:c>
      <x:c r="K3921" s="67" t="str">
        <x:v>https://www.stonealgo.com/diamond-prices/</x:v>
      </x:c>
      <x:c r="L3921" s="67" t="str">
        <x:v>https://www.pricescope.com/blog/natural-diamond-prices-september-2026</x:v>
      </x:c>
    </x:row>
    <x:row r="3922">
      <x:c r="A3922" t="n">
        <x:v>7</x:v>
      </x:c>
      <x:c r="B3922" t="str">
        <x:v>Oval</x:v>
      </x:c>
      <x:c r="C3922" t="str">
        <x:v>F</x:v>
      </x:c>
      <x:c r="D3922" t="str">
        <x:v>FL</x:v>
      </x:c>
      <x:c r="E3922" s="36" t="n">
        <x:v>216500</x:v>
      </x:c>
      <x:c r="F3922" s="36" t="n">
        <x:v>6830</x:v>
      </x:c>
      <x:c r="G3922" s="42" t="n">
        <x:v>1.4650364650364651</x:v>
      </x:c>
      <x:c r="H3922" s="36" t="n">
        <x:f>E3922*G3922</x:f>
        <x:v>317180.3946803947</x:v>
      </x:c>
      <x:c r="I3922" s="36" t="n">
        <x:f>IFERROR(H3922/A3922,0)</x:f>
        <x:v>45311.48495434209</x:v>
      </x:c>
      <x:c r="J3922" s="67" t="str">
        <x:v>Modeled from live base + Sep-2026 quality ratio</x:v>
      </x:c>
      <x:c r="K3922" s="67" t="str">
        <x:v>https://www.stonealgo.com/diamond-prices/</x:v>
      </x:c>
      <x:c r="L3922" s="67" t="str">
        <x:v>https://www.pricescope.com/blog/natural-diamond-prices-september-2026</x:v>
      </x:c>
    </x:row>
    <x:row r="3923">
      <x:c r="A3923" t="n">
        <x:v>7</x:v>
      </x:c>
      <x:c r="B3923" t="str">
        <x:v>Oval</x:v>
      </x:c>
      <x:c r="C3923" t="str">
        <x:v>F</x:v>
      </x:c>
      <x:c r="D3923" t="str">
        <x:v>IF</x:v>
      </x:c>
      <x:c r="E3923" s="36" t="n">
        <x:v>216500</x:v>
      </x:c>
      <x:c r="F3923" s="36" t="n">
        <x:v>7302</x:v>
      </x:c>
      <x:c r="G3923" s="42" t="n">
        <x:v>1.5662805662805663</x:v>
      </x:c>
      <x:c r="H3923" s="36" t="n">
        <x:f>E3923*G3923</x:f>
        <x:v>339099.7425997426</x:v>
      </x:c>
      <x:c r="I3923" s="36" t="n">
        <x:f>IFERROR(H3923/A3923,0)</x:f>
        <x:v>48442.8203713918</x:v>
      </x:c>
      <x:c r="J3923" s="67" t="str">
        <x:v>Modeled from live base + Sep-2026 quality ratio</x:v>
      </x:c>
      <x:c r="K3923" s="67" t="str">
        <x:v>https://www.stonealgo.com/diamond-prices/</x:v>
      </x:c>
      <x:c r="L3923" s="67" t="str">
        <x:v>https://www.pricescope.com/blog/natural-diamond-prices-september-2026</x:v>
      </x:c>
    </x:row>
    <x:row r="3924">
      <x:c r="A3924" t="n">
        <x:v>7</x:v>
      </x:c>
      <x:c r="B3924" t="str">
        <x:v>Oval</x:v>
      </x:c>
      <x:c r="C3924" t="str">
        <x:v>F</x:v>
      </x:c>
      <x:c r="D3924" t="str">
        <x:v>VVS1</x:v>
      </x:c>
      <x:c r="E3924" s="36" t="n">
        <x:v>216500</x:v>
      </x:c>
      <x:c r="F3924" s="36" t="n">
        <x:v>7542</x:v>
      </x:c>
      <x:c r="G3924" s="42" t="n">
        <x:v>1.6177606177606179</x:v>
      </x:c>
      <x:c r="H3924" s="36" t="n">
        <x:f>E3924*G3924</x:f>
        <x:v>350245.1737451738</x:v>
      </x:c>
      <x:c r="I3924" s="36" t="n">
        <x:f>IFERROR(H3924/A3924,0)</x:f>
        <x:v>50035.02482073911</x:v>
      </x:c>
      <x:c r="J3924" s="67" t="str">
        <x:v>Modeled from live base + Sep-2026 quality ratio</x:v>
      </x:c>
      <x:c r="K3924" s="67" t="str">
        <x:v>https://www.stonealgo.com/diamond-prices/</x:v>
      </x:c>
      <x:c r="L3924" s="67" t="str">
        <x:v>https://www.pricescope.com/blog/natural-diamond-prices-september-2026</x:v>
      </x:c>
    </x:row>
    <x:row r="3925">
      <x:c r="A3925" t="n">
        <x:v>7</x:v>
      </x:c>
      <x:c r="B3925" t="str">
        <x:v>Oval</x:v>
      </x:c>
      <x:c r="C3925" t="str">
        <x:v>F</x:v>
      </x:c>
      <x:c r="D3925" t="str">
        <x:v>VVS2</x:v>
      </x:c>
      <x:c r="E3925" s="36" t="n">
        <x:v>216500</x:v>
      </x:c>
      <x:c r="F3925" s="36" t="n">
        <x:v>6352</x:v>
      </x:c>
      <x:c r="G3925" s="42" t="n">
        <x:v>1.3625053625053625</x:v>
      </x:c>
      <x:c r="H3925" s="36" t="n">
        <x:f>E3925*G3925</x:f>
        <x:v>294982.41098241095</x:v>
      </x:c>
      <x:c r="I3925" s="36" t="n">
        <x:f>IFERROR(H3925/A3925,0)</x:f>
        <x:v>42140.344426058706</x:v>
      </x:c>
      <x:c r="J3925" s="67" t="str">
        <x:v>Modeled from live base + Sep-2026 quality ratio</x:v>
      </x:c>
      <x:c r="K3925" s="67" t="str">
        <x:v>https://www.stonealgo.com/diamond-prices/</x:v>
      </x:c>
      <x:c r="L3925" s="67" t="str">
        <x:v>https://www.pricescope.com/blog/natural-diamond-prices-september-2026</x:v>
      </x:c>
    </x:row>
    <x:row r="3926">
      <x:c r="A3926" t="n">
        <x:v>7</x:v>
      </x:c>
      <x:c r="B3926" t="str">
        <x:v>Oval</x:v>
      </x:c>
      <x:c r="C3926" t="str">
        <x:v>F</x:v>
      </x:c>
      <x:c r="D3926" t="str">
        <x:v>VS1</x:v>
      </x:c>
      <x:c r="E3926" s="36" t="n">
        <x:v>216500</x:v>
      </x:c>
      <x:c r="F3926" s="36" t="n">
        <x:v>5647</x:v>
      </x:c>
      <x:c r="G3926" s="42" t="n">
        <x:v>1.2112827112827114</x:v>
      </x:c>
      <x:c r="H3926" s="36" t="n">
        <x:f>E3926*G3926</x:f>
        <x:v>262242.706992707</x:v>
      </x:c>
      <x:c r="I3926" s="36" t="n">
        <x:f>IFERROR(H3926/A3926,0)</x:f>
        <x:v>37463.243856101</x:v>
      </x:c>
      <x:c r="J3926" s="67" t="str">
        <x:v>Modeled from live base + Sep-2026 quality ratio</x:v>
      </x:c>
      <x:c r="K3926" s="67" t="str">
        <x:v>https://www.stonealgo.com/diamond-prices/</x:v>
      </x:c>
      <x:c r="L3926" s="67" t="str">
        <x:v>https://www.pricescope.com/blog/natural-diamond-prices-september-2026</x:v>
      </x:c>
    </x:row>
    <x:row r="3927">
      <x:c r="A3927" t="n">
        <x:v>7</x:v>
      </x:c>
      <x:c r="B3927" t="str">
        <x:v>Oval</x:v>
      </x:c>
      <x:c r="C3927" t="str">
        <x:v>F</x:v>
      </x:c>
      <x:c r="D3927" t="str">
        <x:v>VS2</x:v>
      </x:c>
      <x:c r="E3927" s="36" t="n">
        <x:v>216500</x:v>
      </x:c>
      <x:c r="F3927" s="36" t="n">
        <x:v>4730</x:v>
      </x:c>
      <x:c r="G3927" s="42" t="n">
        <x:v>1.0145860145860146</x:v>
      </x:c>
      <x:c r="H3927" s="36" t="n">
        <x:f>E3927*G3927</x:f>
        <x:v>219657.87215787216</x:v>
      </x:c>
      <x:c r="I3927" s="36" t="n">
        <x:f>IFERROR(H3927/A3927,0)</x:f>
        <x:v>31379.696022553166</x:v>
      </x:c>
      <x:c r="J3927" s="67" t="str">
        <x:v>Modeled from live base + Sep-2026 quality ratio</x:v>
      </x:c>
      <x:c r="K3927" s="67" t="str">
        <x:v>https://www.stonealgo.com/diamond-prices/</x:v>
      </x:c>
      <x:c r="L3927" s="67" t="str">
        <x:v>https://www.pricescope.com/blog/natural-diamond-prices-september-2026</x:v>
      </x:c>
    </x:row>
    <x:row r="3928">
      <x:c r="A3928" t="n">
        <x:v>7</x:v>
      </x:c>
      <x:c r="B3928" t="str">
        <x:v>Oval</x:v>
      </x:c>
      <x:c r="C3928" t="str">
        <x:v>F</x:v>
      </x:c>
      <x:c r="D3928" t="str">
        <x:v>SI1</x:v>
      </x:c>
      <x:c r="E3928" s="36" t="n">
        <x:v>216500</x:v>
      </x:c>
      <x:c r="F3928" s="36" t="n">
        <x:v>3331</x:v>
      </x:c>
      <x:c r="G3928" s="42" t="n">
        <x:v>0.7145002145002145</x:v>
      </x:c>
      <x:c r="H3928" s="36" t="n">
        <x:f>E3928*G3928</x:f>
        <x:v>154689.29643929645</x:v>
      </x:c>
      <x:c r="I3928" s="36" t="n">
        <x:f>IFERROR(H3928/A3928,0)</x:f>
        <x:v>22098.470919899493</x:v>
      </x:c>
      <x:c r="J3928" s="67" t="str">
        <x:v>Modeled from live base + Sep-2026 quality ratio</x:v>
      </x:c>
      <x:c r="K3928" s="67" t="str">
        <x:v>https://www.stonealgo.com/diamond-prices/</x:v>
      </x:c>
      <x:c r="L3928" s="67" t="str">
        <x:v>https://www.pricescope.com/blog/natural-diamond-prices-september-2026</x:v>
      </x:c>
    </x:row>
    <x:row r="3929">
      <x:c r="A3929" t="n">
        <x:v>7</x:v>
      </x:c>
      <x:c r="B3929" t="str">
        <x:v>Oval</x:v>
      </x:c>
      <x:c r="C3929" t="str">
        <x:v>F</x:v>
      </x:c>
      <x:c r="D3929" t="str">
        <x:v>SI2</x:v>
      </x:c>
      <x:c r="E3929" s="36" t="n">
        <x:v>216500</x:v>
      </x:c>
      <x:c r="F3929" s="36" t="n">
        <x:v>2733</x:v>
      </x:c>
      <x:c r="G3929" s="42" t="n">
        <x:v>0.5862290862290862</x:v>
      </x:c>
      <x:c r="H3929" s="36" t="n">
        <x:f>E3929*G3929</x:f>
        <x:v>126918.59716859716</x:v>
      </x:c>
      <x:c r="I3929" s="36" t="n">
        <x:f>IFERROR(H3929/A3929,0)</x:f>
        <x:v>18131.228166942452</x:v>
      </x:c>
      <x:c r="J3929" s="67" t="str">
        <x:v>Modeled from live base + Sep-2026 quality ratio</x:v>
      </x:c>
      <x:c r="K3929" s="67" t="str">
        <x:v>https://www.stonealgo.com/diamond-prices/</x:v>
      </x:c>
      <x:c r="L3929" s="67" t="str">
        <x:v>https://www.pricescope.com/blog/natural-diamond-prices-september-2026</x:v>
      </x:c>
    </x:row>
    <x:row r="3930">
      <x:c r="A3930" t="n">
        <x:v>7</x:v>
      </x:c>
      <x:c r="B3930" t="str">
        <x:v>Oval</x:v>
      </x:c>
      <x:c r="C3930" t="str">
        <x:v>G</x:v>
      </x:c>
      <x:c r="D3930" t="str">
        <x:v>FL</x:v>
      </x:c>
      <x:c r="E3930" s="36" t="n">
        <x:v>216500</x:v>
      </x:c>
      <x:c r="F3930" s="36" t="n">
        <x:v>5905</x:v>
      </x:c>
      <x:c r="G3930" s="42" t="n">
        <x:v>1.2666237666237665</x:v>
      </x:c>
      <x:c r="H3930" s="36" t="n">
        <x:f>E3930*G3930</x:f>
        <x:v>274224.04547404544</x:v>
      </x:c>
      <x:c r="I3930" s="36" t="n">
        <x:f>IFERROR(H3930/A3930,0)</x:f>
        <x:v>39174.86363914935</x:v>
      </x:c>
      <x:c r="J3930" s="67" t="str">
        <x:v>Modeled from live base + Sep-2026 quality ratio</x:v>
      </x:c>
      <x:c r="K3930" s="67" t="str">
        <x:v>https://www.stonealgo.com/diamond-prices/</x:v>
      </x:c>
      <x:c r="L3930" s="67" t="str">
        <x:v>https://www.pricescope.com/blog/natural-diamond-prices-september-2026</x:v>
      </x:c>
    </x:row>
    <x:row r="3931">
      <x:c r="A3931" t="n">
        <x:v>7</x:v>
      </x:c>
      <x:c r="B3931" t="str">
        <x:v>Oval</x:v>
      </x:c>
      <x:c r="C3931" t="str">
        <x:v>G</x:v>
      </x:c>
      <x:c r="D3931" t="str">
        <x:v>IF</x:v>
      </x:c>
      <x:c r="E3931" s="36" t="n">
        <x:v>216500</x:v>
      </x:c>
      <x:c r="F3931" s="36" t="n">
        <x:v>5601</x:v>
      </x:c>
      <x:c r="G3931" s="42" t="n">
        <x:v>1.2014157014157014</x:v>
      </x:c>
      <x:c r="H3931" s="36" t="n">
        <x:f>E3931*G3931</x:f>
        <x:v>260106.49935649935</x:v>
      </x:c>
      <x:c r="I3931" s="36" t="n">
        <x:f>IFERROR(H3931/A3931,0)</x:f>
        <x:v>37158.071336642766</x:v>
      </x:c>
      <x:c r="J3931" s="67" t="str">
        <x:v>Modeled from live base + Sep-2026 quality ratio</x:v>
      </x:c>
      <x:c r="K3931" s="67" t="str">
        <x:v>https://www.stonealgo.com/diamond-prices/</x:v>
      </x:c>
      <x:c r="L3931" s="67" t="str">
        <x:v>https://www.pricescope.com/blog/natural-diamond-prices-september-2026</x:v>
      </x:c>
    </x:row>
    <x:row r="3932">
      <x:c r="A3932" t="n">
        <x:v>7</x:v>
      </x:c>
      <x:c r="B3932" t="str">
        <x:v>Oval</x:v>
      </x:c>
      <x:c r="C3932" t="str">
        <x:v>G</x:v>
      </x:c>
      <x:c r="D3932" t="str">
        <x:v>VVS1</x:v>
      </x:c>
      <x:c r="E3932" s="36" t="n">
        <x:v>216500</x:v>
      </x:c>
      <x:c r="F3932" s="36" t="n">
        <x:v>5124</x:v>
      </x:c>
      <x:c r="G3932" s="42" t="n">
        <x:v>1.0990990990990992</x:v>
      </x:c>
      <x:c r="H3932" s="36" t="n">
        <x:f>E3932*G3932</x:f>
        <x:v>237954.95495495497</x:v>
      </x:c>
      <x:c r="I3932" s="36" t="n">
        <x:f>IFERROR(H3932/A3932,0)</x:f>
        <x:v>33993.56499356499</x:v>
      </x:c>
      <x:c r="J3932" s="67" t="str">
        <x:v>Modeled from live base + Sep-2026 quality ratio</x:v>
      </x:c>
      <x:c r="K3932" s="67" t="str">
        <x:v>https://www.stonealgo.com/diamond-prices/</x:v>
      </x:c>
      <x:c r="L3932" s="67" t="str">
        <x:v>https://www.pricescope.com/blog/natural-diamond-prices-september-2026</x:v>
      </x:c>
    </x:row>
    <x:row r="3933">
      <x:c r="A3933" t="n">
        <x:v>7</x:v>
      </x:c>
      <x:c r="B3933" t="str">
        <x:v>Oval</x:v>
      </x:c>
      <x:c r="C3933" t="str">
        <x:v>G</x:v>
      </x:c>
      <x:c r="D3933" t="str">
        <x:v>VVS2</x:v>
      </x:c>
      <x:c r="E3933" s="36" t="n">
        <x:v>216500</x:v>
      </x:c>
      <x:c r="F3933" s="36" t="n">
        <x:v>4962</x:v>
      </x:c>
      <x:c r="G3933" s="42" t="n">
        <x:v>1.0643500643500643</x:v>
      </x:c>
      <x:c r="H3933" s="36" t="n">
        <x:f>E3933*G3933</x:f>
        <x:v>230431.7889317889</x:v>
      </x:c>
      <x:c r="I3933" s="36" t="n">
        <x:f>IFERROR(H3933/A3933,0)</x:f>
        <x:v>32918.826990255555</x:v>
      </x:c>
      <x:c r="J3933" s="67" t="str">
        <x:v>Modeled from live base + Sep-2026 quality ratio</x:v>
      </x:c>
      <x:c r="K3933" s="67" t="str">
        <x:v>https://www.stonealgo.com/diamond-prices/</x:v>
      </x:c>
      <x:c r="L3933" s="67" t="str">
        <x:v>https://www.pricescope.com/blog/natural-diamond-prices-september-2026</x:v>
      </x:c>
    </x:row>
    <x:row r="3934">
      <x:c r="A3934" t="n">
        <x:v>7</x:v>
      </x:c>
      <x:c r="B3934" t="str">
        <x:v>Oval</x:v>
      </x:c>
      <x:c r="C3934" t="str">
        <x:v>G</x:v>
      </x:c>
      <x:c r="D3934" t="str">
        <x:v>VS1</x:v>
      </x:c>
      <x:c r="E3934" s="36" t="n">
        <x:v>216500</x:v>
      </x:c>
      <x:c r="F3934" s="36" t="n">
        <x:v>4615</x:v>
      </x:c>
      <x:c r="G3934" s="42" t="n">
        <x:v>0.98991848991849</x:v>
      </x:c>
      <x:c r="H3934" s="36" t="n">
        <x:f>E3934*G3934</x:f>
        <x:v>214317.35306735308</x:v>
      </x:c>
      <x:c r="I3934" s="36" t="n">
        <x:f>IFERROR(H3934/A3934,0)</x:f>
        <x:v>30616.76472390758</x:v>
      </x:c>
      <x:c r="J3934" s="67" t="str">
        <x:v>Modeled from live base + Sep-2026 quality ratio</x:v>
      </x:c>
      <x:c r="K3934" s="67" t="str">
        <x:v>https://www.stonealgo.com/diamond-prices/</x:v>
      </x:c>
      <x:c r="L3934" s="67" t="str">
        <x:v>https://www.pricescope.com/blog/natural-diamond-prices-september-2026</x:v>
      </x:c>
    </x:row>
    <x:row r="3935">
      <x:c r="A3935" t="n">
        <x:v>7</x:v>
      </x:c>
      <x:c r="B3935" t="str">
        <x:v>Oval</x:v>
      </x:c>
      <x:c r="C3935" t="str">
        <x:v>G</x:v>
      </x:c>
      <x:c r="D3935" t="str">
        <x:v>VS2</x:v>
      </x:c>
      <x:c r="E3935" s="36" t="n">
        <x:v>216500</x:v>
      </x:c>
      <x:c r="F3935" s="36" t="n">
        <x:v>4585</x:v>
      </x:c>
      <x:c r="G3935" s="42" t="n">
        <x:v>0.9834834834834835</x:v>
      </x:c>
      <x:c r="H3935" s="36" t="n">
        <x:f>E3935*G3935</x:f>
        <x:v>212924.17417417417</x:v>
      </x:c>
      <x:c r="I3935" s="36" t="n">
        <x:f>IFERROR(H3935/A3935,0)</x:f>
        <x:v>30417.739167739168</x:v>
      </x:c>
      <x:c r="J3935" s="67" t="str">
        <x:v>Modeled from live base + Sep-2026 quality ratio</x:v>
      </x:c>
      <x:c r="K3935" s="67" t="str">
        <x:v>https://www.stonealgo.com/diamond-prices/</x:v>
      </x:c>
      <x:c r="L3935" s="67" t="str">
        <x:v>https://www.pricescope.com/blog/natural-diamond-prices-september-2026</x:v>
      </x:c>
    </x:row>
    <x:row r="3936">
      <x:c r="A3936" t="n">
        <x:v>7</x:v>
      </x:c>
      <x:c r="B3936" t="str">
        <x:v>Oval</x:v>
      </x:c>
      <x:c r="C3936" t="str">
        <x:v>G</x:v>
      </x:c>
      <x:c r="D3936" t="str">
        <x:v>SI1</x:v>
      </x:c>
      <x:c r="E3936" s="36" t="n">
        <x:v>216500</x:v>
      </x:c>
      <x:c r="F3936" s="36" t="n">
        <x:v>3664</x:v>
      </x:c>
      <x:c r="G3936" s="42" t="n">
        <x:v>0.7859287859287859</x:v>
      </x:c>
      <x:c r="H3936" s="36" t="n">
        <x:f>E3936*G3936</x:f>
        <x:v>170153.58215358216</x:v>
      </x:c>
      <x:c r="I3936" s="36" t="n">
        <x:f>IFERROR(H3936/A3936,0)</x:f>
        <x:v>24307.65459336888</x:v>
      </x:c>
      <x:c r="J3936" s="67" t="str">
        <x:v>Modeled from live base + Sep-2026 quality ratio</x:v>
      </x:c>
      <x:c r="K3936" s="67" t="str">
        <x:v>https://www.stonealgo.com/diamond-prices/</x:v>
      </x:c>
      <x:c r="L3936" s="67" t="str">
        <x:v>https://www.pricescope.com/blog/natural-diamond-prices-september-2026</x:v>
      </x:c>
    </x:row>
    <x:row r="3937">
      <x:c r="A3937" t="n">
        <x:v>7</x:v>
      </x:c>
      <x:c r="B3937" t="str">
        <x:v>Oval</x:v>
      </x:c>
      <x:c r="C3937" t="str">
        <x:v>G</x:v>
      </x:c>
      <x:c r="D3937" t="str">
        <x:v>SI2</x:v>
      </x:c>
      <x:c r="E3937" s="36" t="n">
        <x:v>216500</x:v>
      </x:c>
      <x:c r="F3937" s="36" t="n">
        <x:v>2537</x:v>
      </x:c>
      <x:c r="G3937" s="42" t="n">
        <x:v>0.5441870441870442</x:v>
      </x:c>
      <x:c r="H3937" s="36" t="n">
        <x:f>E3937*G3937</x:f>
        <x:v>117816.49506649507</x:v>
      </x:c>
      <x:c r="I3937" s="36" t="n">
        <x:f>IFERROR(H3937/A3937,0)</x:f>
        <x:v>16830.927866642152</x:v>
      </x:c>
      <x:c r="J3937" s="67" t="str">
        <x:v>Modeled from live base + Sep-2026 quality ratio</x:v>
      </x:c>
      <x:c r="K3937" s="67" t="str">
        <x:v>https://www.stonealgo.com/diamond-prices/</x:v>
      </x:c>
      <x:c r="L3937" s="67" t="str">
        <x:v>https://www.pricescope.com/blog/natural-diamond-prices-september-2026</x:v>
      </x:c>
    </x:row>
    <x:row r="3938">
      <x:c r="A3938" t="n">
        <x:v>7</x:v>
      </x:c>
      <x:c r="B3938" t="str">
        <x:v>Oval</x:v>
      </x:c>
      <x:c r="C3938" t="str">
        <x:v>H</x:v>
      </x:c>
      <x:c r="D3938" t="str">
        <x:v>FL</x:v>
      </x:c>
      <x:c r="E3938" s="36" t="n">
        <x:v>216500</x:v>
      </x:c>
      <x:c r="F3938" s="36" t="n">
        <x:v>4563</x:v>
      </x:c>
      <x:c r="G3938" s="42" t="n">
        <x:v>0.9787644787644788</x:v>
      </x:c>
      <x:c r="H3938" s="36" t="n">
        <x:f>E3938*G3938</x:f>
        <x:v>211902.50965250967</x:v>
      </x:c>
      <x:c r="I3938" s="36" t="n">
        <x:f>IFERROR(H3938/A3938,0)</x:f>
        <x:v>30271.78709321567</x:v>
      </x:c>
      <x:c r="J3938" s="67" t="str">
        <x:v>Modeled from live base + Sep-2026 quality ratio</x:v>
      </x:c>
      <x:c r="K3938" s="67" t="str">
        <x:v>https://www.stonealgo.com/diamond-prices/</x:v>
      </x:c>
      <x:c r="L3938" s="67" t="str">
        <x:v>https://www.pricescope.com/blog/natural-diamond-prices-september-2026</x:v>
      </x:c>
    </x:row>
    <x:row r="3939">
      <x:c r="A3939" t="n">
        <x:v>7</x:v>
      </x:c>
      <x:c r="B3939" t="str">
        <x:v>Oval</x:v>
      </x:c>
      <x:c r="C3939" t="str">
        <x:v>H</x:v>
      </x:c>
      <x:c r="D3939" t="str">
        <x:v>IF</x:v>
      </x:c>
      <x:c r="E3939" s="36" t="n">
        <x:v>216500</x:v>
      </x:c>
      <x:c r="F3939" s="36" t="n">
        <x:v>4809</x:v>
      </x:c>
      <x:c r="G3939" s="42" t="n">
        <x:v>1.0315315315315314</x:v>
      </x:c>
      <x:c r="H3939" s="36" t="n">
        <x:f>E3939*G3939</x:f>
        <x:v>223326.57657657657</x:v>
      </x:c>
      <x:c r="I3939" s="36" t="n">
        <x:f>IFERROR(H3939/A3939,0)</x:f>
        <x:v>31903.796653796653</x:v>
      </x:c>
      <x:c r="J3939" s="67" t="str">
        <x:v>Modeled from live base + Sep-2026 quality ratio</x:v>
      </x:c>
      <x:c r="K3939" s="67" t="str">
        <x:v>https://www.stonealgo.com/diamond-prices/</x:v>
      </x:c>
      <x:c r="L3939" s="67" t="str">
        <x:v>https://www.pricescope.com/blog/natural-diamond-prices-september-2026</x:v>
      </x:c>
    </x:row>
    <x:row r="3940">
      <x:c r="A3940" t="n">
        <x:v>7</x:v>
      </x:c>
      <x:c r="B3940" t="str">
        <x:v>Oval</x:v>
      </x:c>
      <x:c r="C3940" t="str">
        <x:v>H</x:v>
      </x:c>
      <x:c r="D3940" t="str">
        <x:v>VVS1</x:v>
      </x:c>
      <x:c r="E3940" s="36" t="n">
        <x:v>216500</x:v>
      </x:c>
      <x:c r="F3940" s="36" t="n">
        <x:v>4911</x:v>
      </x:c>
      <x:c r="G3940" s="42" t="n">
        <x:v>1.0534105534105533</x:v>
      </x:c>
      <x:c r="H3940" s="36" t="n">
        <x:f>E3940*G3940</x:f>
        <x:v>228063.3848133848</x:v>
      </x:c>
      <x:c r="I3940" s="36" t="n">
        <x:f>IFERROR(H3940/A3940,0)</x:f>
        <x:v>32580.483544769257</x:v>
      </x:c>
      <x:c r="J3940" s="67" t="str">
        <x:v>Modeled from live base + Sep-2026 quality ratio</x:v>
      </x:c>
      <x:c r="K3940" s="67" t="str">
        <x:v>https://www.stonealgo.com/diamond-prices/</x:v>
      </x:c>
      <x:c r="L3940" s="67" t="str">
        <x:v>https://www.pricescope.com/blog/natural-diamond-prices-september-2026</x:v>
      </x:c>
    </x:row>
    <x:row r="3941">
      <x:c r="A3941" t="n">
        <x:v>7</x:v>
      </x:c>
      <x:c r="B3941" t="str">
        <x:v>Oval</x:v>
      </x:c>
      <x:c r="C3941" t="str">
        <x:v>H</x:v>
      </x:c>
      <x:c r="D3941" t="str">
        <x:v>VVS2</x:v>
      </x:c>
      <x:c r="E3941" s="36" t="n">
        <x:v>216500</x:v>
      </x:c>
      <x:c r="F3941" s="36" t="n">
        <x:v>4046</x:v>
      </x:c>
      <x:c r="G3941" s="42" t="n">
        <x:v>0.8678678678678678</x:v>
      </x:c>
      <x:c r="H3941" s="36" t="n">
        <x:f>E3941*G3941</x:f>
        <x:v>187893.3933933934</x:v>
      </x:c>
      <x:c r="I3941" s="36" t="n">
        <x:f>IFERROR(H3941/A3941,0)</x:f>
        <x:v>26841.913341913343</x:v>
      </x:c>
      <x:c r="J3941" s="67" t="str">
        <x:v>Modeled from live base + Sep-2026 quality ratio</x:v>
      </x:c>
      <x:c r="K3941" s="67" t="str">
        <x:v>https://www.stonealgo.com/diamond-prices/</x:v>
      </x:c>
      <x:c r="L3941" s="67" t="str">
        <x:v>https://www.pricescope.com/blog/natural-diamond-prices-september-2026</x:v>
      </x:c>
    </x:row>
    <x:row r="3942">
      <x:c r="A3942" t="n">
        <x:v>7</x:v>
      </x:c>
      <x:c r="B3942" t="str">
        <x:v>Oval</x:v>
      </x:c>
      <x:c r="C3942" t="str">
        <x:v>H</x:v>
      </x:c>
      <x:c r="D3942" t="str">
        <x:v>VS1</x:v>
      </x:c>
      <x:c r="E3942" s="36" t="n">
        <x:v>216500</x:v>
      </x:c>
      <x:c r="F3942" s="36" t="n">
        <x:v>3893</x:v>
      </x:c>
      <x:c r="G3942" s="42" t="n">
        <x:v>0.8350493350493351</x:v>
      </x:c>
      <x:c r="H3942" s="36" t="n">
        <x:f>E3942*G3942</x:f>
        <x:v>180788.18103818104</x:v>
      </x:c>
      <x:c r="I3942" s="36" t="n">
        <x:f>IFERROR(H3942/A3942,0)</x:f>
        <x:v>25826.883005454434</x:v>
      </x:c>
      <x:c r="J3942" s="67" t="str">
        <x:v>Modeled from live base + Sep-2026 quality ratio</x:v>
      </x:c>
      <x:c r="K3942" s="67" t="str">
        <x:v>https://www.stonealgo.com/diamond-prices/</x:v>
      </x:c>
      <x:c r="L3942" s="67" t="str">
        <x:v>https://www.pricescope.com/blog/natural-diamond-prices-september-2026</x:v>
      </x:c>
    </x:row>
    <x:row r="3943">
      <x:c r="A3943" t="n">
        <x:v>7</x:v>
      </x:c>
      <x:c r="B3943" t="str">
        <x:v>Oval</x:v>
      </x:c>
      <x:c r="C3943" t="str">
        <x:v>H</x:v>
      </x:c>
      <x:c r="D3943" t="str">
        <x:v>VS2</x:v>
      </x:c>
      <x:c r="E3943" s="36" t="n">
        <x:v>216500</x:v>
      </x:c>
      <x:c r="F3943" s="36" t="n">
        <x:v>3989</x:v>
      </x:c>
      <x:c r="G3943" s="42" t="n">
        <x:v>0.8556413556413557</x:v>
      </x:c>
      <x:c r="H3943" s="36" t="n">
        <x:f>E3943*G3943</x:f>
        <x:v>185246.3534963535</x:v>
      </x:c>
      <x:c r="I3943" s="36" t="n">
        <x:f>IFERROR(H3943/A3943,0)</x:f>
        <x:v>26463.764785193354</x:v>
      </x:c>
      <x:c r="J3943" s="67" t="str">
        <x:v>Modeled from live base + Sep-2026 quality ratio</x:v>
      </x:c>
      <x:c r="K3943" s="67" t="str">
        <x:v>https://www.stonealgo.com/diamond-prices/</x:v>
      </x:c>
      <x:c r="L3943" s="67" t="str">
        <x:v>https://www.pricescope.com/blog/natural-diamond-prices-september-2026</x:v>
      </x:c>
    </x:row>
    <x:row r="3944">
      <x:c r="A3944" t="n">
        <x:v>7</x:v>
      </x:c>
      <x:c r="B3944" t="str">
        <x:v>Oval</x:v>
      </x:c>
      <x:c r="C3944" t="str">
        <x:v>H</x:v>
      </x:c>
      <x:c r="D3944" t="str">
        <x:v>SI1</x:v>
      </x:c>
      <x:c r="E3944" s="36" t="n">
        <x:v>216500</x:v>
      </x:c>
      <x:c r="F3944" s="36" t="n">
        <x:v>2828</x:v>
      </x:c>
      <x:c r="G3944" s="42" t="n">
        <x:v>0.6066066066066066</x:v>
      </x:c>
      <x:c r="H3944" s="36" t="n">
        <x:f>E3944*G3944</x:f>
        <x:v>131330.33033033033</x:v>
      </x:c>
      <x:c r="I3944" s="36" t="n">
        <x:f>IFERROR(H3944/A3944,0)</x:f>
        <x:v>18761.475761475762</x:v>
      </x:c>
      <x:c r="J3944" s="67" t="str">
        <x:v>Modeled from live base + Sep-2026 quality ratio</x:v>
      </x:c>
      <x:c r="K3944" s="67" t="str">
        <x:v>https://www.stonealgo.com/diamond-prices/</x:v>
      </x:c>
      <x:c r="L3944" s="67" t="str">
        <x:v>https://www.pricescope.com/blog/natural-diamond-prices-september-2026</x:v>
      </x:c>
    </x:row>
    <x:row r="3945">
      <x:c r="A3945" t="n">
        <x:v>7</x:v>
      </x:c>
      <x:c r="B3945" t="str">
        <x:v>Oval</x:v>
      </x:c>
      <x:c r="C3945" t="str">
        <x:v>H</x:v>
      </x:c>
      <x:c r="D3945" t="str">
        <x:v>SI2</x:v>
      </x:c>
      <x:c r="E3945" s="36" t="n">
        <x:v>216500</x:v>
      </x:c>
      <x:c r="F3945" s="36" t="n">
        <x:v>2328</x:v>
      </x:c>
      <x:c r="G3945" s="42" t="n">
        <x:v>0.49935649935649934</x:v>
      </x:c>
      <x:c r="H3945" s="36" t="n">
        <x:f>E3945*G3945</x:f>
        <x:v>108110.6821106821</x:v>
      </x:c>
      <x:c r="I3945" s="36" t="n">
        <x:f>IFERROR(H3945/A3945,0)</x:f>
        <x:v>15444.383158668872</x:v>
      </x:c>
      <x:c r="J3945" s="67" t="str">
        <x:v>Modeled from live base + Sep-2026 quality ratio</x:v>
      </x:c>
      <x:c r="K3945" s="67" t="str">
        <x:v>https://www.stonealgo.com/diamond-prices/</x:v>
      </x:c>
      <x:c r="L3945" s="67" t="str">
        <x:v>https://www.pricescope.com/blog/natural-diamond-prices-september-2026</x:v>
      </x:c>
    </x:row>
    <x:row r="3946">
      <x:c r="A3946" t="n">
        <x:v>7</x:v>
      </x:c>
      <x:c r="B3946" t="str">
        <x:v>Oval</x:v>
      </x:c>
      <x:c r="C3946" t="str">
        <x:v>I</x:v>
      </x:c>
      <x:c r="D3946" t="str">
        <x:v>FL</x:v>
      </x:c>
      <x:c r="E3946" s="36" t="n">
        <x:v>216500</x:v>
      </x:c>
      <x:c r="F3946" s="36" t="n">
        <x:v>4623</x:v>
      </x:c>
      <x:c r="G3946" s="42" t="n">
        <x:v>0.9916344916344917</x:v>
      </x:c>
      <x:c r="H3946" s="36" t="n">
        <x:f>E3946*G3946</x:f>
        <x:v>214688.86743886746</x:v>
      </x:c>
      <x:c r="I3946" s="36" t="n">
        <x:f>IFERROR(H3946/A3946,0)</x:f>
        <x:v>30669.838205552493</x:v>
      </x:c>
      <x:c r="J3946" s="67" t="str">
        <x:v>Modeled from live base + Sep-2026 quality ratio</x:v>
      </x:c>
      <x:c r="K3946" s="67" t="str">
        <x:v>https://www.stonealgo.com/diamond-prices/</x:v>
      </x:c>
      <x:c r="L3946" s="67" t="str">
        <x:v>https://www.pricescope.com/blog/natural-diamond-prices-september-2026</x:v>
      </x:c>
    </x:row>
    <x:row r="3947">
      <x:c r="A3947" t="n">
        <x:v>7</x:v>
      </x:c>
      <x:c r="B3947" t="str">
        <x:v>Oval</x:v>
      </x:c>
      <x:c r="C3947" t="str">
        <x:v>I</x:v>
      </x:c>
      <x:c r="D3947" t="str">
        <x:v>IF</x:v>
      </x:c>
      <x:c r="E3947" s="36" t="n">
        <x:v>216500</x:v>
      </x:c>
      <x:c r="F3947" s="36" t="n">
        <x:v>4005</x:v>
      </x:c>
      <x:c r="G3947" s="42" t="n">
        <x:v>0.859073359073359</x:v>
      </x:c>
      <x:c r="H3947" s="36" t="n">
        <x:f>E3947*G3947</x:f>
        <x:v>185989.38223938222</x:v>
      </x:c>
      <x:c r="I3947" s="36" t="n">
        <x:f>IFERROR(H3947/A3947,0)</x:f>
        <x:v>26569.911748483173</x:v>
      </x:c>
      <x:c r="J3947" s="67" t="str">
        <x:v>Modeled from live base + Sep-2026 quality ratio</x:v>
      </x:c>
      <x:c r="K3947" s="67" t="str">
        <x:v>https://www.stonealgo.com/diamond-prices/</x:v>
      </x:c>
      <x:c r="L3947" s="67" t="str">
        <x:v>https://www.pricescope.com/blog/natural-diamond-prices-september-2026</x:v>
      </x:c>
    </x:row>
    <x:row r="3948">
      <x:c r="A3948" t="n">
        <x:v>7</x:v>
      </x:c>
      <x:c r="B3948" t="str">
        <x:v>Oval</x:v>
      </x:c>
      <x:c r="C3948" t="str">
        <x:v>I</x:v>
      </x:c>
      <x:c r="D3948" t="str">
        <x:v>VVS1</x:v>
      </x:c>
      <x:c r="E3948" s="36" t="n">
        <x:v>216500</x:v>
      </x:c>
      <x:c r="F3948" s="36" t="n">
        <x:v>3670</x:v>
      </x:c>
      <x:c r="G3948" s="42" t="n">
        <x:v>0.7872157872157872</x:v>
      </x:c>
      <x:c r="H3948" s="36" t="n">
        <x:f>E3948*G3948</x:f>
        <x:v>170432.21793221793</x:v>
      </x:c>
      <x:c r="I3948" s="36" t="n">
        <x:f>IFERROR(H3948/A3948,0)</x:f>
        <x:v>24347.459704602563</x:v>
      </x:c>
      <x:c r="J3948" s="67" t="str">
        <x:v>Modeled from live base + Sep-2026 quality ratio</x:v>
      </x:c>
      <x:c r="K3948" s="67" t="str">
        <x:v>https://www.stonealgo.com/diamond-prices/</x:v>
      </x:c>
      <x:c r="L3948" s="67" t="str">
        <x:v>https://www.pricescope.com/blog/natural-diamond-prices-september-2026</x:v>
      </x:c>
    </x:row>
    <x:row r="3949">
      <x:c r="A3949" t="n">
        <x:v>7</x:v>
      </x:c>
      <x:c r="B3949" t="str">
        <x:v>Oval</x:v>
      </x:c>
      <x:c r="C3949" t="str">
        <x:v>I</x:v>
      </x:c>
      <x:c r="D3949" t="str">
        <x:v>VVS2</x:v>
      </x:c>
      <x:c r="E3949" s="36" t="n">
        <x:v>216500</x:v>
      </x:c>
      <x:c r="F3949" s="36" t="n">
        <x:v>3447</x:v>
      </x:c>
      <x:c r="G3949" s="42" t="n">
        <x:v>0.7393822393822393</x:v>
      </x:c>
      <x:c r="H3949" s="36" t="n">
        <x:f>E3949*G3949</x:f>
        <x:v>160076.25482625482</x:v>
      </x:c>
      <x:c r="I3949" s="36" t="n">
        <x:f>IFERROR(H3949/A3949,0)</x:f>
        <x:v>22868.036403750688</x:v>
      </x:c>
      <x:c r="J3949" s="67" t="str">
        <x:v>Modeled from live base + Sep-2026 quality ratio</x:v>
      </x:c>
      <x:c r="K3949" s="67" t="str">
        <x:v>https://www.stonealgo.com/diamond-prices/</x:v>
      </x:c>
      <x:c r="L3949" s="67" t="str">
        <x:v>https://www.pricescope.com/blog/natural-diamond-prices-september-2026</x:v>
      </x:c>
    </x:row>
    <x:row r="3950">
      <x:c r="A3950" t="n">
        <x:v>7</x:v>
      </x:c>
      <x:c r="B3950" t="str">
        <x:v>Oval</x:v>
      </x:c>
      <x:c r="C3950" t="str">
        <x:v>I</x:v>
      </x:c>
      <x:c r="D3950" t="str">
        <x:v>VS1</x:v>
      </x:c>
      <x:c r="E3950" s="36" t="n">
        <x:v>216500</x:v>
      </x:c>
      <x:c r="F3950" s="36" t="n">
        <x:v>3313</x:v>
      </x:c>
      <x:c r="G3950" s="42" t="n">
        <x:v>0.7106392106392107</x:v>
      </x:c>
      <x:c r="H3950" s="36" t="n">
        <x:f>E3950*G3950</x:f>
        <x:v>153853.3891033891</x:v>
      </x:c>
      <x:c r="I3950" s="36" t="n">
        <x:f>IFERROR(H3950/A3950,0)</x:f>
        <x:v>21979.055586198443</x:v>
      </x:c>
      <x:c r="J3950" s="67" t="str">
        <x:v>Modeled from live base + Sep-2026 quality ratio</x:v>
      </x:c>
      <x:c r="K3950" s="67" t="str">
        <x:v>https://www.stonealgo.com/diamond-prices/</x:v>
      </x:c>
      <x:c r="L3950" s="67" t="str">
        <x:v>https://www.pricescope.com/blog/natural-diamond-prices-september-2026</x:v>
      </x:c>
    </x:row>
    <x:row r="3951">
      <x:c r="A3951" t="n">
        <x:v>7</x:v>
      </x:c>
      <x:c r="B3951" t="str">
        <x:v>Oval</x:v>
      </x:c>
      <x:c r="C3951" t="str">
        <x:v>I</x:v>
      </x:c>
      <x:c r="D3951" t="str">
        <x:v>VS2</x:v>
      </x:c>
      <x:c r="E3951" s="36" t="n">
        <x:v>216500</x:v>
      </x:c>
      <x:c r="F3951" s="36" t="n">
        <x:v>3240</x:v>
      </x:c>
      <x:c r="G3951" s="42" t="n">
        <x:v>0.694980694980695</x:v>
      </x:c>
      <x:c r="H3951" s="36" t="n">
        <x:f>E3951*G3951</x:f>
        <x:v>150463.32046332047</x:v>
      </x:c>
      <x:c r="I3951" s="36" t="n">
        <x:f>IFERROR(H3951/A3951,0)</x:f>
        <x:v>21494.76006618864</x:v>
      </x:c>
      <x:c r="J3951" s="67" t="str">
        <x:v>Modeled from live base + Sep-2026 quality ratio</x:v>
      </x:c>
      <x:c r="K3951" s="67" t="str">
        <x:v>https://www.stonealgo.com/diamond-prices/</x:v>
      </x:c>
      <x:c r="L3951" s="67" t="str">
        <x:v>https://www.pricescope.com/blog/natural-diamond-prices-september-2026</x:v>
      </x:c>
    </x:row>
    <x:row r="3952">
      <x:c r="A3952" t="n">
        <x:v>7</x:v>
      </x:c>
      <x:c r="B3952" t="str">
        <x:v>Oval</x:v>
      </x:c>
      <x:c r="C3952" t="str">
        <x:v>I</x:v>
      </x:c>
      <x:c r="D3952" t="str">
        <x:v>SI1</x:v>
      </x:c>
      <x:c r="E3952" s="36" t="n">
        <x:v>216500</x:v>
      </x:c>
      <x:c r="F3952" s="36" t="n">
        <x:v>3199</x:v>
      </x:c>
      <x:c r="G3952" s="42" t="n">
        <x:v>0.6861861861861862</x:v>
      </x:c>
      <x:c r="H3952" s="36" t="n">
        <x:f>E3952*G3952</x:f>
        <x:v>148559.30930930932</x:v>
      </x:c>
      <x:c r="I3952" s="36" t="n">
        <x:f>IFERROR(H3952/A3952,0)</x:f>
        <x:v>21222.758472758473</x:v>
      </x:c>
      <x:c r="J3952" s="67" t="str">
        <x:v>Modeled from live base + Sep-2026 quality ratio</x:v>
      </x:c>
      <x:c r="K3952" s="67" t="str">
        <x:v>https://www.stonealgo.com/diamond-prices/</x:v>
      </x:c>
      <x:c r="L3952" s="67" t="str">
        <x:v>https://www.pricescope.com/blog/natural-diamond-prices-september-2026</x:v>
      </x:c>
    </x:row>
    <x:row r="3953">
      <x:c r="A3953" t="n">
        <x:v>7</x:v>
      </x:c>
      <x:c r="B3953" t="str">
        <x:v>Oval</x:v>
      </x:c>
      <x:c r="C3953" t="str">
        <x:v>I</x:v>
      </x:c>
      <x:c r="D3953" t="str">
        <x:v>SI2</x:v>
      </x:c>
      <x:c r="E3953" s="36" t="n">
        <x:v>216500</x:v>
      </x:c>
      <x:c r="F3953" s="36" t="n">
        <x:v>2874</x:v>
      </x:c>
      <x:c r="G3953" s="42" t="n">
        <x:v>0.6164736164736164</x:v>
      </x:c>
      <x:c r="H3953" s="36" t="n">
        <x:f>E3953*G3953</x:f>
        <x:v>133466.53796653796</x:v>
      </x:c>
      <x:c r="I3953" s="36" t="n">
        <x:f>IFERROR(H3953/A3953,0)</x:f>
        <x:v>19066.648280933994</x:v>
      </x:c>
      <x:c r="J3953" s="67" t="str">
        <x:v>Modeled from live base + Sep-2026 quality ratio</x:v>
      </x:c>
      <x:c r="K3953" s="67" t="str">
        <x:v>https://www.stonealgo.com/diamond-prices/</x:v>
      </x:c>
      <x:c r="L3953" s="67" t="str">
        <x:v>https://www.pricescope.com/blog/natural-diamond-prices-september-2026</x:v>
      </x:c>
    </x:row>
    <x:row r="3954">
      <x:c r="A3954" t="n">
        <x:v>7</x:v>
      </x:c>
      <x:c r="B3954" t="str">
        <x:v>Oval</x:v>
      </x:c>
      <x:c r="C3954" t="str">
        <x:v>J</x:v>
      </x:c>
      <x:c r="D3954" t="str">
        <x:v>FL</x:v>
      </x:c>
      <x:c r="E3954" s="36" t="n">
        <x:v>216500</x:v>
      </x:c>
      <x:c r="F3954" s="36" t="n">
        <x:v>3646</x:v>
      </x:c>
      <x:c r="G3954" s="42" t="n">
        <x:v>0.782067782067782</x:v>
      </x:c>
      <x:c r="H3954" s="36" t="n">
        <x:f>E3954*G3954</x:f>
        <x:v>169317.67481767482</x:v>
      </x:c>
      <x:c r="I3954" s="36" t="n">
        <x:f>IFERROR(H3954/A3954,0)</x:f>
        <x:v>24188.239259667833</x:v>
      </x:c>
      <x:c r="J3954" s="67" t="str">
        <x:v>Modeled from live base + Sep-2026 quality ratio</x:v>
      </x:c>
      <x:c r="K3954" s="67" t="str">
        <x:v>https://www.stonealgo.com/diamond-prices/</x:v>
      </x:c>
      <x:c r="L3954" s="67" t="str">
        <x:v>https://www.pricescope.com/blog/natural-diamond-prices-september-2026</x:v>
      </x:c>
    </x:row>
    <x:row r="3955">
      <x:c r="A3955" t="n">
        <x:v>7</x:v>
      </x:c>
      <x:c r="B3955" t="str">
        <x:v>Oval</x:v>
      </x:c>
      <x:c r="C3955" t="str">
        <x:v>J</x:v>
      </x:c>
      <x:c r="D3955" t="str">
        <x:v>IF</x:v>
      </x:c>
      <x:c r="E3955" s="36" t="n">
        <x:v>216500</x:v>
      </x:c>
      <x:c r="F3955" s="36" t="n">
        <x:v>3368</x:v>
      </x:c>
      <x:c r="G3955" s="42" t="n">
        <x:v>0.7224367224367224</x:v>
      </x:c>
      <x:c r="H3955" s="36" t="n">
        <x:f>E3955*G3955</x:f>
        <x:v>156407.5504075504</x:v>
      </x:c>
      <x:c r="I3955" s="36" t="n">
        <x:f>IFERROR(H3955/A3955,0)</x:f>
        <x:v>22343.9357725072</x:v>
      </x:c>
      <x:c r="J3955" s="67" t="str">
        <x:v>Modeled from live base + Sep-2026 quality ratio</x:v>
      </x:c>
      <x:c r="K3955" s="67" t="str">
        <x:v>https://www.stonealgo.com/diamond-prices/</x:v>
      </x:c>
      <x:c r="L3955" s="67" t="str">
        <x:v>https://www.pricescope.com/blog/natural-diamond-prices-september-2026</x:v>
      </x:c>
    </x:row>
    <x:row r="3956">
      <x:c r="A3956" t="n">
        <x:v>7</x:v>
      </x:c>
      <x:c r="B3956" t="str">
        <x:v>Oval</x:v>
      </x:c>
      <x:c r="C3956" t="str">
        <x:v>J</x:v>
      </x:c>
      <x:c r="D3956" t="str">
        <x:v>VVS1</x:v>
      </x:c>
      <x:c r="E3956" s="36" t="n">
        <x:v>216500</x:v>
      </x:c>
      <x:c r="F3956" s="36" t="n">
        <x:v>2956</x:v>
      </x:c>
      <x:c r="G3956" s="42" t="n">
        <x:v>0.6340626340626341</x:v>
      </x:c>
      <x:c r="H3956" s="36" t="n">
        <x:f>E3956*G3956</x:f>
        <x:v>137274.56027456027</x:v>
      </x:c>
      <x:c r="I3956" s="36" t="n">
        <x:f>IFERROR(H3956/A3956,0)</x:f>
        <x:v>19610.651467794323</x:v>
      </x:c>
      <x:c r="J3956" s="67" t="str">
        <x:v>Modeled from live base + Sep-2026 quality ratio</x:v>
      </x:c>
      <x:c r="K3956" s="67" t="str">
        <x:v>https://www.stonealgo.com/diamond-prices/</x:v>
      </x:c>
      <x:c r="L3956" s="67" t="str">
        <x:v>https://www.pricescope.com/blog/natural-diamond-prices-september-2026</x:v>
      </x:c>
    </x:row>
    <x:row r="3957">
      <x:c r="A3957" t="n">
        <x:v>7</x:v>
      </x:c>
      <x:c r="B3957" t="str">
        <x:v>Oval</x:v>
      </x:c>
      <x:c r="C3957" t="str">
        <x:v>J</x:v>
      </x:c>
      <x:c r="D3957" t="str">
        <x:v>VVS2</x:v>
      </x:c>
      <x:c r="E3957" s="36" t="n">
        <x:v>216500</x:v>
      </x:c>
      <x:c r="F3957" s="36" t="n">
        <x:v>2612</x:v>
      </x:c>
      <x:c r="G3957" s="42" t="n">
        <x:v>0.5602745602745602</x:v>
      </x:c>
      <x:c r="H3957" s="36" t="n">
        <x:f>E3957*G3957</x:f>
        <x:v>121299.4422994423</x:v>
      </x:c>
      <x:c r="I3957" s="36" t="n">
        <x:f>IFERROR(H3957/A3957,0)</x:f>
        <x:v>17328.491757063184</x:v>
      </x:c>
      <x:c r="J3957" s="67" t="str">
        <x:v>Modeled from live base + Sep-2026 quality ratio</x:v>
      </x:c>
      <x:c r="K3957" s="67" t="str">
        <x:v>https://www.stonealgo.com/diamond-prices/</x:v>
      </x:c>
      <x:c r="L3957" s="67" t="str">
        <x:v>https://www.pricescope.com/blog/natural-diamond-prices-september-2026</x:v>
      </x:c>
    </x:row>
    <x:row r="3958">
      <x:c r="A3958" t="n">
        <x:v>7</x:v>
      </x:c>
      <x:c r="B3958" t="str">
        <x:v>Oval</x:v>
      </x:c>
      <x:c r="C3958" t="str">
        <x:v>J</x:v>
      </x:c>
      <x:c r="D3958" t="str">
        <x:v>VS1</x:v>
      </x:c>
      <x:c r="E3958" s="36" t="n">
        <x:v>216500</x:v>
      </x:c>
      <x:c r="F3958" s="36" t="n">
        <x:v>3002</x:v>
      </x:c>
      <x:c r="G3958" s="42" t="n">
        <x:v>0.6439296439296439</x:v>
      </x:c>
      <x:c r="H3958" s="36" t="n">
        <x:f>E3958*G3958</x:f>
        <x:v>139410.7679107679</x:v>
      </x:c>
      <x:c r="I3958" s="36" t="n">
        <x:f>IFERROR(H3958/A3958,0)</x:f>
        <x:v>19915.823987252556</x:v>
      </x:c>
      <x:c r="J3958" s="67" t="str">
        <x:v>Modeled from live base + Sep-2026 quality ratio</x:v>
      </x:c>
      <x:c r="K3958" s="67" t="str">
        <x:v>https://www.stonealgo.com/diamond-prices/</x:v>
      </x:c>
      <x:c r="L3958" s="67" t="str">
        <x:v>https://www.pricescope.com/blog/natural-diamond-prices-september-2026</x:v>
      </x:c>
    </x:row>
    <x:row r="3959">
      <x:c r="A3959" t="n">
        <x:v>7</x:v>
      </x:c>
      <x:c r="B3959" t="str">
        <x:v>Oval</x:v>
      </x:c>
      <x:c r="C3959" t="str">
        <x:v>J</x:v>
      </x:c>
      <x:c r="D3959" t="str">
        <x:v>VS2</x:v>
      </x:c>
      <x:c r="E3959" s="36" t="n">
        <x:v>216500</x:v>
      </x:c>
      <x:c r="F3959" s="36" t="n">
        <x:v>2559</x:v>
      </x:c>
      <x:c r="G3959" s="42" t="n">
        <x:v>0.5489060489060489</x:v>
      </x:c>
      <x:c r="H3959" s="36" t="n">
        <x:f>E3959*G3959</x:f>
        <x:v>118838.15958815959</x:v>
      </x:c>
      <x:c r="I3959" s="36" t="n">
        <x:f>IFERROR(H3959/A3959,0)</x:f>
        <x:v>16976.879941165655</x:v>
      </x:c>
      <x:c r="J3959" s="67" t="str">
        <x:v>Modeled from live base + Sep-2026 quality ratio</x:v>
      </x:c>
      <x:c r="K3959" s="67" t="str">
        <x:v>https://www.stonealgo.com/diamond-prices/</x:v>
      </x:c>
      <x:c r="L3959" s="67" t="str">
        <x:v>https://www.pricescope.com/blog/natural-diamond-prices-september-2026</x:v>
      </x:c>
    </x:row>
    <x:row r="3960">
      <x:c r="A3960" t="n">
        <x:v>7</x:v>
      </x:c>
      <x:c r="B3960" t="str">
        <x:v>Oval</x:v>
      </x:c>
      <x:c r="C3960" t="str">
        <x:v>J</x:v>
      </x:c>
      <x:c r="D3960" t="str">
        <x:v>SI1</x:v>
      </x:c>
      <x:c r="E3960" s="36" t="n">
        <x:v>216500</x:v>
      </x:c>
      <x:c r="F3960" s="36" t="n">
        <x:v>2195</x:v>
      </x:c>
      <x:c r="G3960" s="42" t="n">
        <x:v>0.47082797082797084</x:v>
      </x:c>
      <x:c r="H3960" s="36" t="n">
        <x:f>E3960*G3960</x:f>
        <x:v>101934.25568425568</x:v>
      </x:c>
      <x:c r="I3960" s="36" t="n">
        <x:f>IFERROR(H3960/A3960,0)</x:f>
        <x:v>14562.03652632224</x:v>
      </x:c>
      <x:c r="J3960" s="67" t="str">
        <x:v>Modeled from live base + Sep-2026 quality ratio</x:v>
      </x:c>
      <x:c r="K3960" s="67" t="str">
        <x:v>https://www.stonealgo.com/diamond-prices/</x:v>
      </x:c>
      <x:c r="L3960" s="67" t="str">
        <x:v>https://www.pricescope.com/blog/natural-diamond-prices-september-2026</x:v>
      </x:c>
    </x:row>
    <x:row r="3961">
      <x:c r="A3961" t="n">
        <x:v>7</x:v>
      </x:c>
      <x:c r="B3961" t="str">
        <x:v>Oval</x:v>
      </x:c>
      <x:c r="C3961" t="str">
        <x:v>J</x:v>
      </x:c>
      <x:c r="D3961" t="str">
        <x:v>SI2</x:v>
      </x:c>
      <x:c r="E3961" s="36" t="n">
        <x:v>216500</x:v>
      </x:c>
      <x:c r="F3961" s="36" t="n">
        <x:v>2079</x:v>
      </x:c>
      <x:c r="G3961" s="42" t="n">
        <x:v>0.44594594594594594</x:v>
      </x:c>
      <x:c r="H3961" s="36" t="n">
        <x:f>E3961*G3961</x:f>
        <x:v>96547.2972972973</x:v>
      </x:c>
      <x:c r="I3961" s="36" t="n">
        <x:f>IFERROR(H3961/A3961,0)</x:f>
        <x:v>13792.471042471041</x:v>
      </x:c>
      <x:c r="J3961" s="67" t="str">
        <x:v>Modeled from live base + Sep-2026 quality ratio</x:v>
      </x:c>
      <x:c r="K3961" s="67" t="str">
        <x:v>https://www.stonealgo.com/diamond-prices/</x:v>
      </x:c>
      <x:c r="L3961" s="67" t="str">
        <x:v>https://www.pricescope.com/blog/natural-diamond-prices-september-2026</x:v>
      </x:c>
    </x:row>
    <x:row r="3962">
      <x:c r="A3962" t="n">
        <x:v>7</x:v>
      </x:c>
      <x:c r="B3962" t="str">
        <x:v>Oval</x:v>
      </x:c>
      <x:c r="C3962" t="str">
        <x:v>K</x:v>
      </x:c>
      <x:c r="D3962" t="str">
        <x:v>FL</x:v>
      </x:c>
      <x:c r="E3962" s="36" t="n">
        <x:v>216500</x:v>
      </x:c>
      <x:c r="F3962" s="36" t="n">
        <x:v>2858</x:v>
      </x:c>
      <x:c r="G3962" s="42" t="n">
        <x:v>0.6130416130416131</x:v>
      </x:c>
      <x:c r="H3962" s="36" t="n">
        <x:f>E3962*G3962</x:f>
        <x:v>132723.50922350923</x:v>
      </x:c>
      <x:c r="I3962" s="36" t="n">
        <x:f>IFERROR(H3962/A3962,0)</x:f>
        <x:v>18960.501317644175</x:v>
      </x:c>
      <x:c r="J3962" s="67" t="str">
        <x:v>Modeled from live base + Sep-2026 quality ratio; K/FL quality cell modeled</x:v>
      </x:c>
      <x:c r="K3962" s="67" t="str">
        <x:v>https://www.stonealgo.com/diamond-prices/</x:v>
      </x:c>
      <x:c r="L3962" s="67" t="str">
        <x:v>https://www.pricescope.com/blog/natural-diamond-prices-september-2026</x:v>
      </x:c>
    </x:row>
    <x:row r="3963">
      <x:c r="A3963" t="n">
        <x:v>7</x:v>
      </x:c>
      <x:c r="B3963" t="str">
        <x:v>Oval</x:v>
      </x:c>
      <x:c r="C3963" t="str">
        <x:v>K</x:v>
      </x:c>
      <x:c r="D3963" t="str">
        <x:v>IF</x:v>
      </x:c>
      <x:c r="E3963" s="36" t="n">
        <x:v>216500</x:v>
      </x:c>
      <x:c r="F3963" s="36" t="n">
        <x:v>2743</x:v>
      </x:c>
      <x:c r="G3963" s="42" t="n">
        <x:v>0.5883740883740883</x:v>
      </x:c>
      <x:c r="H3963" s="36" t="n">
        <x:f>E3963*G3963</x:f>
        <x:v>127382.99013299012</x:v>
      </x:c>
      <x:c r="I3963" s="36" t="n">
        <x:f>IFERROR(H3963/A3963,0)</x:f>
        <x:v>18197.570018998587</x:v>
      </x:c>
      <x:c r="J3963" s="67" t="str">
        <x:v>Modeled from live base + Sep-2026 quality ratio</x:v>
      </x:c>
      <x:c r="K3963" s="67" t="str">
        <x:v>https://www.stonealgo.com/diamond-prices/</x:v>
      </x:c>
      <x:c r="L3963" s="67" t="str">
        <x:v>https://www.pricescope.com/blog/natural-diamond-prices-september-2026</x:v>
      </x:c>
    </x:row>
    <x:row r="3964">
      <x:c r="A3964" t="n">
        <x:v>7</x:v>
      </x:c>
      <x:c r="B3964" t="str">
        <x:v>Oval</x:v>
      </x:c>
      <x:c r="C3964" t="str">
        <x:v>K</x:v>
      </x:c>
      <x:c r="D3964" t="str">
        <x:v>VVS1</x:v>
      </x:c>
      <x:c r="E3964" s="36" t="n">
        <x:v>216500</x:v>
      </x:c>
      <x:c r="F3964" s="36" t="n">
        <x:v>2529</x:v>
      </x:c>
      <x:c r="G3964" s="42" t="n">
        <x:v>0.5424710424710425</x:v>
      </x:c>
      <x:c r="H3964" s="36" t="n">
        <x:f>E3964*G3964</x:f>
        <x:v>117444.9806949807</x:v>
      </x:c>
      <x:c r="I3964" s="36" t="n">
        <x:f>IFERROR(H3964/A3964,0)</x:f>
        <x:v>16777.85438499724</x:v>
      </x:c>
      <x:c r="J3964" s="67" t="str">
        <x:v>Modeled from live base + Sep-2026 quality ratio</x:v>
      </x:c>
      <x:c r="K3964" s="67" t="str">
        <x:v>https://www.stonealgo.com/diamond-prices/</x:v>
      </x:c>
      <x:c r="L3964" s="67" t="str">
        <x:v>https://www.pricescope.com/blog/natural-diamond-prices-september-2026</x:v>
      </x:c>
    </x:row>
    <x:row r="3965">
      <x:c r="A3965" t="n">
        <x:v>7</x:v>
      </x:c>
      <x:c r="B3965" t="str">
        <x:v>Oval</x:v>
      </x:c>
      <x:c r="C3965" t="str">
        <x:v>K</x:v>
      </x:c>
      <x:c r="D3965" t="str">
        <x:v>VVS2</x:v>
      </x:c>
      <x:c r="E3965" s="36" t="n">
        <x:v>216500</x:v>
      </x:c>
      <x:c r="F3965" s="36" t="n">
        <x:v>2374</x:v>
      </x:c>
      <x:c r="G3965" s="42" t="n">
        <x:v>0.5092235092235092</x:v>
      </x:c>
      <x:c r="H3965" s="36" t="n">
        <x:f>E3965*G3965</x:f>
        <x:v>110246.88974688975</x:v>
      </x:c>
      <x:c r="I3965" s="36" t="n">
        <x:f>IFERROR(H3965/A3965,0)</x:f>
        <x:v>15749.555678127106</x:v>
      </x:c>
      <x:c r="J3965" s="67" t="str">
        <x:v>Modeled from live base + Sep-2026 quality ratio</x:v>
      </x:c>
      <x:c r="K3965" s="67" t="str">
        <x:v>https://www.stonealgo.com/diamond-prices/</x:v>
      </x:c>
      <x:c r="L3965" s="67" t="str">
        <x:v>https://www.pricescope.com/blog/natural-diamond-prices-september-2026</x:v>
      </x:c>
    </x:row>
    <x:row r="3966">
      <x:c r="A3966" t="n">
        <x:v>7</x:v>
      </x:c>
      <x:c r="B3966" t="str">
        <x:v>Oval</x:v>
      </x:c>
      <x:c r="C3966" t="str">
        <x:v>K</x:v>
      </x:c>
      <x:c r="D3966" t="str">
        <x:v>VS1</x:v>
      </x:c>
      <x:c r="E3966" s="36" t="n">
        <x:v>216500</x:v>
      </x:c>
      <x:c r="F3966" s="36" t="n">
        <x:v>2223</x:v>
      </x:c>
      <x:c r="G3966" s="42" t="n">
        <x:v>0.4768339768339768</x:v>
      </x:c>
      <x:c r="H3966" s="36" t="n">
        <x:f>E3966*G3966</x:f>
        <x:v>103234.55598455598</x:v>
      </x:c>
      <x:c r="I3966" s="36" t="n">
        <x:f>IFERROR(H3966/A3966,0)</x:f>
        <x:v>14747.793712079425</x:v>
      </x:c>
      <x:c r="J3966" s="67" t="str">
        <x:v>Modeled from live base + Sep-2026 quality ratio</x:v>
      </x:c>
      <x:c r="K3966" s="67" t="str">
        <x:v>https://www.stonealgo.com/diamond-prices/</x:v>
      </x:c>
      <x:c r="L3966" s="67" t="str">
        <x:v>https://www.pricescope.com/blog/natural-diamond-prices-september-2026</x:v>
      </x:c>
    </x:row>
    <x:row r="3967">
      <x:c r="A3967" t="n">
        <x:v>7</x:v>
      </x:c>
      <x:c r="B3967" t="str">
        <x:v>Oval</x:v>
      </x:c>
      <x:c r="C3967" t="str">
        <x:v>K</x:v>
      </x:c>
      <x:c r="D3967" t="str">
        <x:v>VS2</x:v>
      </x:c>
      <x:c r="E3967" s="36" t="n">
        <x:v>216500</x:v>
      </x:c>
      <x:c r="F3967" s="36" t="n">
        <x:v>2098</x:v>
      </x:c>
      <x:c r="G3967" s="42" t="n">
        <x:v>0.45002145002145</x:v>
      </x:c>
      <x:c r="H3967" s="36" t="n">
        <x:f>E3967*G3967</x:f>
        <x:v>97429.64392964392</x:v>
      </x:c>
      <x:c r="I3967" s="36" t="n">
        <x:f>IFERROR(H3967/A3967,0)</x:f>
        <x:v>13918.520561377703</x:v>
      </x:c>
      <x:c r="J3967" s="67" t="str">
        <x:v>Modeled from live base + Sep-2026 quality ratio</x:v>
      </x:c>
      <x:c r="K3967" s="67" t="str">
        <x:v>https://www.stonealgo.com/diamond-prices/</x:v>
      </x:c>
      <x:c r="L3967" s="67" t="str">
        <x:v>https://www.pricescope.com/blog/natural-diamond-prices-september-2026</x:v>
      </x:c>
    </x:row>
    <x:row r="3968">
      <x:c r="A3968" t="n">
        <x:v>7</x:v>
      </x:c>
      <x:c r="B3968" t="str">
        <x:v>Oval</x:v>
      </x:c>
      <x:c r="C3968" t="str">
        <x:v>K</x:v>
      </x:c>
      <x:c r="D3968" t="str">
        <x:v>SI1</x:v>
      </x:c>
      <x:c r="E3968" s="36" t="n">
        <x:v>216500</x:v>
      </x:c>
      <x:c r="F3968" s="36" t="n">
        <x:v>1922</x:v>
      </x:c>
      <x:c r="G3968" s="42" t="n">
        <x:v>0.41226941226941227</x:v>
      </x:c>
      <x:c r="H3968" s="36" t="n">
        <x:f>E3968*G3968</x:f>
        <x:v>89256.32775632775</x:v>
      </x:c>
      <x:c r="I3968" s="36" t="n">
        <x:f>IFERROR(H3968/A3968,0)</x:f>
        <x:v>12750.903965189678</x:v>
      </x:c>
      <x:c r="J3968" s="67" t="str">
        <x:v>Modeled from live base + Sep-2026 quality ratio</x:v>
      </x:c>
      <x:c r="K3968" s="67" t="str">
        <x:v>https://www.stonealgo.com/diamond-prices/</x:v>
      </x:c>
      <x:c r="L3968" s="67" t="str">
        <x:v>https://www.pricescope.com/blog/natural-diamond-prices-september-2026</x:v>
      </x:c>
    </x:row>
    <x:row r="3969">
      <x:c r="A3969" t="n">
        <x:v>7</x:v>
      </x:c>
      <x:c r="B3969" t="str">
        <x:v>Oval</x:v>
      </x:c>
      <x:c r="C3969" t="str">
        <x:v>K</x:v>
      </x:c>
      <x:c r="D3969" t="str">
        <x:v>SI2</x:v>
      </x:c>
      <x:c r="E3969" s="36" t="n">
        <x:v>216500</x:v>
      </x:c>
      <x:c r="F3969" s="36" t="n">
        <x:v>1764</x:v>
      </x:c>
      <x:c r="G3969" s="42" t="n">
        <x:v>0.3783783783783784</x:v>
      </x:c>
      <x:c r="H3969" s="36" t="n">
        <x:f>E3969*G3969</x:f>
        <x:v>81918.91891891892</x:v>
      </x:c>
      <x:c r="I3969" s="36" t="n">
        <x:f>IFERROR(H3969/A3969,0)</x:f>
        <x:v>11702.702702702703</x:v>
      </x:c>
      <x:c r="J3969" s="67" t="str">
        <x:v>Modeled from live base + Sep-2026 quality ratio</x:v>
      </x:c>
      <x:c r="K3969" s="67" t="str">
        <x:v>https://www.stonealgo.com/diamond-prices/</x:v>
      </x:c>
      <x:c r="L3969" s="67" t="str">
        <x:v>https://www.pricescope.com/blog/natural-diamond-prices-september-2026</x:v>
      </x:c>
    </x:row>
    <x:row r="3970">
      <x:c r="A3970" t="n">
        <x:v>7</x:v>
      </x:c>
      <x:c r="B3970" t="str">
        <x:v>Princess</x:v>
      </x:c>
      <x:c r="C3970" t="str">
        <x:v>D</x:v>
      </x:c>
      <x:c r="D3970" t="str">
        <x:v>FL</x:v>
      </x:c>
      <x:c r="E3970" s="36" t="n">
        <x:v>112000</x:v>
      </x:c>
      <x:c r="F3970" s="36" t="n">
        <x:v>12665</x:v>
      </x:c>
      <x:c r="G3970" s="42" t="n">
        <x:v>2.7166452166452166</x:v>
      </x:c>
      <x:c r="H3970" s="36" t="n">
        <x:f>E3970*G3970</x:f>
        <x:v>304264.26426426426</x:v>
      </x:c>
      <x:c r="I3970" s="36" t="n">
        <x:f>IFERROR(H3970/A3970,0)</x:f>
        <x:v>43466.32346632347</x:v>
      </x:c>
      <x:c r="J3970" s="67" t="str">
        <x:v>Modeled from live base + Sep-2026 quality ratio</x:v>
      </x:c>
      <x:c r="K3970" s="67" t="str">
        <x:v>https://www.stonealgo.com/diamond-prices/</x:v>
      </x:c>
      <x:c r="L3970" s="67" t="str">
        <x:v>https://www.pricescope.com/blog/natural-diamond-prices-september-2026</x:v>
      </x:c>
    </x:row>
    <x:row r="3971">
      <x:c r="A3971" t="n">
        <x:v>7</x:v>
      </x:c>
      <x:c r="B3971" t="str">
        <x:v>Princess</x:v>
      </x:c>
      <x:c r="C3971" t="str">
        <x:v>D</x:v>
      </x:c>
      <x:c r="D3971" t="str">
        <x:v>IF</x:v>
      </x:c>
      <x:c r="E3971" s="36" t="n">
        <x:v>112000</x:v>
      </x:c>
      <x:c r="F3971" s="36" t="n">
        <x:v>13240</x:v>
      </x:c>
      <x:c r="G3971" s="42" t="n">
        <x:v>2.83998283998284</x:v>
      </x:c>
      <x:c r="H3971" s="36" t="n">
        <x:f>E3971*G3971</x:f>
        <x:v>318078.0780780781</x:v>
      </x:c>
      <x:c r="I3971" s="36" t="n">
        <x:f>IFERROR(H3971/A3971,0)</x:f>
        <x:v>45439.725439725444</x:v>
      </x:c>
      <x:c r="J3971" s="67" t="str">
        <x:v>Modeled from live base + Sep-2026 quality ratio</x:v>
      </x:c>
      <x:c r="K3971" s="67" t="str">
        <x:v>https://www.stonealgo.com/diamond-prices/</x:v>
      </x:c>
      <x:c r="L3971" s="67" t="str">
        <x:v>https://www.pricescope.com/blog/natural-diamond-prices-september-2026</x:v>
      </x:c>
    </x:row>
    <x:row r="3972">
      <x:c r="A3972" t="n">
        <x:v>7</x:v>
      </x:c>
      <x:c r="B3972" t="str">
        <x:v>Princess</x:v>
      </x:c>
      <x:c r="C3972" t="str">
        <x:v>D</x:v>
      </x:c>
      <x:c r="D3972" t="str">
        <x:v>VVS1</x:v>
      </x:c>
      <x:c r="E3972" s="36" t="n">
        <x:v>112000</x:v>
      </x:c>
      <x:c r="F3972" s="36" t="n">
        <x:v>9555</x:v>
      </x:c>
      <x:c r="G3972" s="42" t="n">
        <x:v>2.0495495495495497</x:v>
      </x:c>
      <x:c r="H3972" s="36" t="n">
        <x:f>E3972*G3972</x:f>
        <x:v>229549.54954954956</x:v>
      </x:c>
      <x:c r="I3972" s="36" t="n">
        <x:f>IFERROR(H3972/A3972,0)</x:f>
        <x:v>32792.792792792796</x:v>
      </x:c>
      <x:c r="J3972" s="67" t="str">
        <x:v>Modeled from live base + Sep-2026 quality ratio</x:v>
      </x:c>
      <x:c r="K3972" s="67" t="str">
        <x:v>https://www.stonealgo.com/diamond-prices/</x:v>
      </x:c>
      <x:c r="L3972" s="67" t="str">
        <x:v>https://www.pricescope.com/blog/natural-diamond-prices-september-2026</x:v>
      </x:c>
    </x:row>
    <x:row r="3973">
      <x:c r="A3973" t="n">
        <x:v>7</x:v>
      </x:c>
      <x:c r="B3973" t="str">
        <x:v>Princess</x:v>
      </x:c>
      <x:c r="C3973" t="str">
        <x:v>D</x:v>
      </x:c>
      <x:c r="D3973" t="str">
        <x:v>VVS2</x:v>
      </x:c>
      <x:c r="E3973" s="36" t="n">
        <x:v>112000</x:v>
      </x:c>
      <x:c r="F3973" s="36" t="n">
        <x:v>6660</x:v>
      </x:c>
      <x:c r="G3973" s="42" t="n">
        <x:v>1.4285714285714286</x:v>
      </x:c>
      <x:c r="H3973" s="36" t="n">
        <x:f>E3973*G3973</x:f>
        <x:v>160000</x:v>
      </x:c>
      <x:c r="I3973" s="36" t="n">
        <x:f>IFERROR(H3973/A3973,0)</x:f>
        <x:v>22857.14285714286</x:v>
      </x:c>
      <x:c r="J3973" s="67" t="str">
        <x:v>Modeled from live base + Sep-2026 quality ratio</x:v>
      </x:c>
      <x:c r="K3973" s="67" t="str">
        <x:v>https://www.stonealgo.com/diamond-prices/</x:v>
      </x:c>
      <x:c r="L3973" s="67" t="str">
        <x:v>https://www.pricescope.com/blog/natural-diamond-prices-september-2026</x:v>
      </x:c>
    </x:row>
    <x:row r="3974">
      <x:c r="A3974" t="n">
        <x:v>7</x:v>
      </x:c>
      <x:c r="B3974" t="str">
        <x:v>Princess</x:v>
      </x:c>
      <x:c r="C3974" t="str">
        <x:v>D</x:v>
      </x:c>
      <x:c r="D3974" t="str">
        <x:v>VS1</x:v>
      </x:c>
      <x:c r="E3974" s="36" t="n">
        <x:v>112000</x:v>
      </x:c>
      <x:c r="F3974" s="36" t="n">
        <x:v>6247</x:v>
      </x:c>
      <x:c r="G3974" s="42" t="n">
        <x:v>1.33998283998284</x:v>
      </x:c>
      <x:c r="H3974" s="36" t="n">
        <x:f>E3974*G3974</x:f>
        <x:v>150078.07807807808</x:v>
      </x:c>
      <x:c r="I3974" s="36" t="n">
        <x:f>IFERROR(H3974/A3974,0)</x:f>
        <x:v>21439.72543972544</x:v>
      </x:c>
      <x:c r="J3974" s="67" t="str">
        <x:v>Modeled from live base + Sep-2026 quality ratio</x:v>
      </x:c>
      <x:c r="K3974" s="67" t="str">
        <x:v>https://www.stonealgo.com/diamond-prices/</x:v>
      </x:c>
      <x:c r="L3974" s="67" t="str">
        <x:v>https://www.pricescope.com/blog/natural-diamond-prices-september-2026</x:v>
      </x:c>
    </x:row>
    <x:row r="3975">
      <x:c r="A3975" t="n">
        <x:v>7</x:v>
      </x:c>
      <x:c r="B3975" t="str">
        <x:v>Princess</x:v>
      </x:c>
      <x:c r="C3975" t="str">
        <x:v>D</x:v>
      </x:c>
      <x:c r="D3975" t="str">
        <x:v>VS2</x:v>
      </x:c>
      <x:c r="E3975" s="36" t="n">
        <x:v>112000</x:v>
      </x:c>
      <x:c r="F3975" s="36" t="n">
        <x:v>5841</x:v>
      </x:c>
      <x:c r="G3975" s="42" t="n">
        <x:v>1.252895752895753</x:v>
      </x:c>
      <x:c r="H3975" s="36" t="n">
        <x:f>E3975*G3975</x:f>
        <x:v>140324.32432432432</x:v>
      </x:c>
      <x:c r="I3975" s="36" t="n">
        <x:f>IFERROR(H3975/A3975,0)</x:f>
        <x:v>20046.332046332045</x:v>
      </x:c>
      <x:c r="J3975" s="67" t="str">
        <x:v>Modeled from live base + Sep-2026 quality ratio</x:v>
      </x:c>
      <x:c r="K3975" s="67" t="str">
        <x:v>https://www.stonealgo.com/diamond-prices/</x:v>
      </x:c>
      <x:c r="L3975" s="67" t="str">
        <x:v>https://www.pricescope.com/blog/natural-diamond-prices-september-2026</x:v>
      </x:c>
    </x:row>
    <x:row r="3976">
      <x:c r="A3976" t="n">
        <x:v>7</x:v>
      </x:c>
      <x:c r="B3976" t="str">
        <x:v>Princess</x:v>
      </x:c>
      <x:c r="C3976" t="str">
        <x:v>D</x:v>
      </x:c>
      <x:c r="D3976" t="str">
        <x:v>SI1</x:v>
      </x:c>
      <x:c r="E3976" s="36" t="n">
        <x:v>112000</x:v>
      </x:c>
      <x:c r="F3976" s="36" t="n">
        <x:v>3762</x:v>
      </x:c>
      <x:c r="G3976" s="42" t="n">
        <x:v>0.806949806949807</x:v>
      </x:c>
      <x:c r="H3976" s="36" t="n">
        <x:f>E3976*G3976</x:f>
        <x:v>90378.37837837839</x:v>
      </x:c>
      <x:c r="I3976" s="36" t="n">
        <x:f>IFERROR(H3976/A3976,0)</x:f>
        <x:v>12911.196911196912</x:v>
      </x:c>
      <x:c r="J3976" s="67" t="str">
        <x:v>Modeled from live base + Sep-2026 quality ratio</x:v>
      </x:c>
      <x:c r="K3976" s="67" t="str">
        <x:v>https://www.stonealgo.com/diamond-prices/</x:v>
      </x:c>
      <x:c r="L3976" s="67" t="str">
        <x:v>https://www.pricescope.com/blog/natural-diamond-prices-september-2026</x:v>
      </x:c>
    </x:row>
    <x:row r="3977">
      <x:c r="A3977" t="n">
        <x:v>7</x:v>
      </x:c>
      <x:c r="B3977" t="str">
        <x:v>Princess</x:v>
      </x:c>
      <x:c r="C3977" t="str">
        <x:v>D</x:v>
      </x:c>
      <x:c r="D3977" t="str">
        <x:v>SI2</x:v>
      </x:c>
      <x:c r="E3977" s="36" t="n">
        <x:v>112000</x:v>
      </x:c>
      <x:c r="F3977" s="36" t="n">
        <x:v>3026</x:v>
      </x:c>
      <x:c r="G3977" s="42" t="n">
        <x:v>0.6490776490776491</x:v>
      </x:c>
      <x:c r="H3977" s="36" t="n">
        <x:f>E3977*G3977</x:f>
        <x:v>72696.6966966967</x:v>
      </x:c>
      <x:c r="I3977" s="36" t="n">
        <x:f>IFERROR(H3977/A3977,0)</x:f>
        <x:v>10385.242385242385</x:v>
      </x:c>
      <x:c r="J3977" s="67" t="str">
        <x:v>Modeled from live base + Sep-2026 quality ratio</x:v>
      </x:c>
      <x:c r="K3977" s="67" t="str">
        <x:v>https://www.stonealgo.com/diamond-prices/</x:v>
      </x:c>
      <x:c r="L3977" s="67" t="str">
        <x:v>https://www.pricescope.com/blog/natural-diamond-prices-september-2026</x:v>
      </x:c>
    </x:row>
    <x:row r="3978">
      <x:c r="A3978" t="n">
        <x:v>7</x:v>
      </x:c>
      <x:c r="B3978" t="str">
        <x:v>Princess</x:v>
      </x:c>
      <x:c r="C3978" t="str">
        <x:v>E</x:v>
      </x:c>
      <x:c r="D3978" t="str">
        <x:v>FL</x:v>
      </x:c>
      <x:c r="E3978" s="36" t="n">
        <x:v>112000</x:v>
      </x:c>
      <x:c r="F3978" s="36" t="n">
        <x:v>10072</x:v>
      </x:c>
      <x:c r="G3978" s="42" t="n">
        <x:v>2.1604461604461602</x:v>
      </x:c>
      <x:c r="H3978" s="36" t="n">
        <x:f>E3978*G3978</x:f>
        <x:v>241969.96996996994</x:v>
      </x:c>
      <x:c r="I3978" s="36" t="n">
        <x:f>IFERROR(H3978/A3978,0)</x:f>
        <x:v>34567.138567138565</x:v>
      </x:c>
      <x:c r="J3978" s="67" t="str">
        <x:v>Modeled from live base + Sep-2026 quality ratio</x:v>
      </x:c>
      <x:c r="K3978" s="67" t="str">
        <x:v>https://www.stonealgo.com/diamond-prices/</x:v>
      </x:c>
      <x:c r="L3978" s="67" t="str">
        <x:v>https://www.pricescope.com/blog/natural-diamond-prices-september-2026</x:v>
      </x:c>
    </x:row>
    <x:row r="3979">
      <x:c r="A3979" t="n">
        <x:v>7</x:v>
      </x:c>
      <x:c r="B3979" t="str">
        <x:v>Princess</x:v>
      </x:c>
      <x:c r="C3979" t="str">
        <x:v>E</x:v>
      </x:c>
      <x:c r="D3979" t="str">
        <x:v>IF</x:v>
      </x:c>
      <x:c r="E3979" s="36" t="n">
        <x:v>112000</x:v>
      </x:c>
      <x:c r="F3979" s="36" t="n">
        <x:v>8672</x:v>
      </x:c>
      <x:c r="G3979" s="42" t="n">
        <x:v>1.8601458601458603</x:v>
      </x:c>
      <x:c r="H3979" s="36" t="n">
        <x:f>E3979*G3979</x:f>
        <x:v>208336.33633633636</x:v>
      </x:c>
      <x:c r="I3979" s="36" t="n">
        <x:f>IFERROR(H3979/A3979,0)</x:f>
        <x:v>29762.333762333765</x:v>
      </x:c>
      <x:c r="J3979" s="67" t="str">
        <x:v>Modeled from live base + Sep-2026 quality ratio</x:v>
      </x:c>
      <x:c r="K3979" s="67" t="str">
        <x:v>https://www.stonealgo.com/diamond-prices/</x:v>
      </x:c>
      <x:c r="L3979" s="67" t="str">
        <x:v>https://www.pricescope.com/blog/natural-diamond-prices-september-2026</x:v>
      </x:c>
    </x:row>
    <x:row r="3980">
      <x:c r="A3980" t="n">
        <x:v>7</x:v>
      </x:c>
      <x:c r="B3980" t="str">
        <x:v>Princess</x:v>
      </x:c>
      <x:c r="C3980" t="str">
        <x:v>E</x:v>
      </x:c>
      <x:c r="D3980" t="str">
        <x:v>VVS1</x:v>
      </x:c>
      <x:c r="E3980" s="36" t="n">
        <x:v>112000</x:v>
      </x:c>
      <x:c r="F3980" s="36" t="n">
        <x:v>7842</x:v>
      </x:c>
      <x:c r="G3980" s="42" t="n">
        <x:v>1.6821106821106822</x:v>
      </x:c>
      <x:c r="H3980" s="36" t="n">
        <x:f>E3980*G3980</x:f>
        <x:v>188396.3963963964</x:v>
      </x:c>
      <x:c r="I3980" s="36" t="n">
        <x:f>IFERROR(H3980/A3980,0)</x:f>
        <x:v>26913.770913770913</x:v>
      </x:c>
      <x:c r="J3980" s="67" t="str">
        <x:v>Modeled from live base + Sep-2026 quality ratio</x:v>
      </x:c>
      <x:c r="K3980" s="67" t="str">
        <x:v>https://www.stonealgo.com/diamond-prices/</x:v>
      </x:c>
      <x:c r="L3980" s="67" t="str">
        <x:v>https://www.pricescope.com/blog/natural-diamond-prices-september-2026</x:v>
      </x:c>
    </x:row>
    <x:row r="3981">
      <x:c r="A3981" t="n">
        <x:v>7</x:v>
      </x:c>
      <x:c r="B3981" t="str">
        <x:v>Princess</x:v>
      </x:c>
      <x:c r="C3981" t="str">
        <x:v>E</x:v>
      </x:c>
      <x:c r="D3981" t="str">
        <x:v>VVS2</x:v>
      </x:c>
      <x:c r="E3981" s="36" t="n">
        <x:v>112000</x:v>
      </x:c>
      <x:c r="F3981" s="36" t="n">
        <x:v>6880</x:v>
      </x:c>
      <x:c r="G3981" s="42" t="n">
        <x:v>1.4757614757614759</x:v>
      </x:c>
      <x:c r="H3981" s="36" t="n">
        <x:f>E3981*G3981</x:f>
        <x:v>165285.2852852853</x:v>
      </x:c>
      <x:c r="I3981" s="36" t="n">
        <x:f>IFERROR(H3981/A3981,0)</x:f>
        <x:v>23612.183612183613</x:v>
      </x:c>
      <x:c r="J3981" s="67" t="str">
        <x:v>Modeled from live base + Sep-2026 quality ratio</x:v>
      </x:c>
      <x:c r="K3981" s="67" t="str">
        <x:v>https://www.stonealgo.com/diamond-prices/</x:v>
      </x:c>
      <x:c r="L3981" s="67" t="str">
        <x:v>https://www.pricescope.com/blog/natural-diamond-prices-september-2026</x:v>
      </x:c>
    </x:row>
    <x:row r="3982">
      <x:c r="A3982" t="n">
        <x:v>7</x:v>
      </x:c>
      <x:c r="B3982" t="str">
        <x:v>Princess</x:v>
      </x:c>
      <x:c r="C3982" t="str">
        <x:v>E</x:v>
      </x:c>
      <x:c r="D3982" t="str">
        <x:v>VS1</x:v>
      </x:c>
      <x:c r="E3982" s="36" t="n">
        <x:v>112000</x:v>
      </x:c>
      <x:c r="F3982" s="36" t="n">
        <x:v>6307</x:v>
      </x:c>
      <x:c r="G3982" s="42" t="n">
        <x:v>1.352852852852853</x:v>
      </x:c>
      <x:c r="H3982" s="36" t="n">
        <x:f>E3982*G3982</x:f>
        <x:v>151519.51951951953</x:v>
      </x:c>
      <x:c r="I3982" s="36" t="n">
        <x:f>IFERROR(H3982/A3982,0)</x:f>
        <x:v>21645.645645645647</x:v>
      </x:c>
      <x:c r="J3982" s="67" t="str">
        <x:v>Modeled from live base + Sep-2026 quality ratio</x:v>
      </x:c>
      <x:c r="K3982" s="67" t="str">
        <x:v>https://www.stonealgo.com/diamond-prices/</x:v>
      </x:c>
      <x:c r="L3982" s="67" t="str">
        <x:v>https://www.pricescope.com/blog/natural-diamond-prices-september-2026</x:v>
      </x:c>
    </x:row>
    <x:row r="3983">
      <x:c r="A3983" t="n">
        <x:v>7</x:v>
      </x:c>
      <x:c r="B3983" t="str">
        <x:v>Princess</x:v>
      </x:c>
      <x:c r="C3983" t="str">
        <x:v>E</x:v>
      </x:c>
      <x:c r="D3983" t="str">
        <x:v>VS2</x:v>
      </x:c>
      <x:c r="E3983" s="36" t="n">
        <x:v>112000</x:v>
      </x:c>
      <x:c r="F3983" s="36" t="n">
        <x:v>5249</x:v>
      </x:c>
      <x:c r="G3983" s="42" t="n">
        <x:v>1.125911625911626</x:v>
      </x:c>
      <x:c r="H3983" s="36" t="n">
        <x:f>E3983*G3983</x:f>
        <x:v>126102.10210210212</x:v>
      </x:c>
      <x:c r="I3983" s="36" t="n">
        <x:f>IFERROR(H3983/A3983,0)</x:f>
        <x:v>18014.586014586017</x:v>
      </x:c>
      <x:c r="J3983" s="67" t="str">
        <x:v>Modeled from live base + Sep-2026 quality ratio</x:v>
      </x:c>
      <x:c r="K3983" s="67" t="str">
        <x:v>https://www.stonealgo.com/diamond-prices/</x:v>
      </x:c>
      <x:c r="L3983" s="67" t="str">
        <x:v>https://www.pricescope.com/blog/natural-diamond-prices-september-2026</x:v>
      </x:c>
    </x:row>
    <x:row r="3984">
      <x:c r="A3984" t="n">
        <x:v>7</x:v>
      </x:c>
      <x:c r="B3984" t="str">
        <x:v>Princess</x:v>
      </x:c>
      <x:c r="C3984" t="str">
        <x:v>E</x:v>
      </x:c>
      <x:c r="D3984" t="str">
        <x:v>SI1</x:v>
      </x:c>
      <x:c r="E3984" s="36" t="n">
        <x:v>112000</x:v>
      </x:c>
      <x:c r="F3984" s="36" t="n">
        <x:v>3551</x:v>
      </x:c>
      <x:c r="G3984" s="42" t="n">
        <x:v>0.7616902616902617</x:v>
      </x:c>
      <x:c r="H3984" s="36" t="n">
        <x:f>E3984*G3984</x:f>
        <x:v>85309.3093093093</x:v>
      </x:c>
      <x:c r="I3984" s="36" t="n">
        <x:f>IFERROR(H3984/A3984,0)</x:f>
        <x:v>12187.044187044186</x:v>
      </x:c>
      <x:c r="J3984" s="67" t="str">
        <x:v>Modeled from live base + Sep-2026 quality ratio</x:v>
      </x:c>
      <x:c r="K3984" s="67" t="str">
        <x:v>https://www.stonealgo.com/diamond-prices/</x:v>
      </x:c>
      <x:c r="L3984" s="67" t="str">
        <x:v>https://www.pricescope.com/blog/natural-diamond-prices-september-2026</x:v>
      </x:c>
    </x:row>
    <x:row r="3985">
      <x:c r="A3985" t="n">
        <x:v>7</x:v>
      </x:c>
      <x:c r="B3985" t="str">
        <x:v>Princess</x:v>
      </x:c>
      <x:c r="C3985" t="str">
        <x:v>E</x:v>
      </x:c>
      <x:c r="D3985" t="str">
        <x:v>SI2</x:v>
      </x:c>
      <x:c r="E3985" s="36" t="n">
        <x:v>112000</x:v>
      </x:c>
      <x:c r="F3985" s="36" t="n">
        <x:v>2993</x:v>
      </x:c>
      <x:c r="G3985" s="42" t="n">
        <x:v>0.641999141999142</x:v>
      </x:c>
      <x:c r="H3985" s="36" t="n">
        <x:f>E3985*G3985</x:f>
        <x:v>71903.9039039039</x:v>
      </x:c>
      <x:c r="I3985" s="36" t="n">
        <x:f>IFERROR(H3985/A3985,0)</x:f>
        <x:v>10271.986271986272</x:v>
      </x:c>
      <x:c r="J3985" s="67" t="str">
        <x:v>Modeled from live base + Sep-2026 quality ratio</x:v>
      </x:c>
      <x:c r="K3985" s="67" t="str">
        <x:v>https://www.stonealgo.com/diamond-prices/</x:v>
      </x:c>
      <x:c r="L3985" s="67" t="str">
        <x:v>https://www.pricescope.com/blog/natural-diamond-prices-september-2026</x:v>
      </x:c>
    </x:row>
    <x:row r="3986">
      <x:c r="A3986" t="n">
        <x:v>7</x:v>
      </x:c>
      <x:c r="B3986" t="str">
        <x:v>Princess</x:v>
      </x:c>
      <x:c r="C3986" t="str">
        <x:v>F</x:v>
      </x:c>
      <x:c r="D3986" t="str">
        <x:v>FL</x:v>
      </x:c>
      <x:c r="E3986" s="36" t="n">
        <x:v>112000</x:v>
      </x:c>
      <x:c r="F3986" s="36" t="n">
        <x:v>6830</x:v>
      </x:c>
      <x:c r="G3986" s="42" t="n">
        <x:v>1.4650364650364651</x:v>
      </x:c>
      <x:c r="H3986" s="36" t="n">
        <x:f>E3986*G3986</x:f>
        <x:v>164084.08408408408</x:v>
      </x:c>
      <x:c r="I3986" s="36" t="n">
        <x:f>IFERROR(H3986/A3986,0)</x:f>
        <x:v>23440.58344058344</x:v>
      </x:c>
      <x:c r="J3986" s="67" t="str">
        <x:v>Modeled from live base + Sep-2026 quality ratio</x:v>
      </x:c>
      <x:c r="K3986" s="67" t="str">
        <x:v>https://www.stonealgo.com/diamond-prices/</x:v>
      </x:c>
      <x:c r="L3986" s="67" t="str">
        <x:v>https://www.pricescope.com/blog/natural-diamond-prices-september-2026</x:v>
      </x:c>
    </x:row>
    <x:row r="3987">
      <x:c r="A3987" t="n">
        <x:v>7</x:v>
      </x:c>
      <x:c r="B3987" t="str">
        <x:v>Princess</x:v>
      </x:c>
      <x:c r="C3987" t="str">
        <x:v>F</x:v>
      </x:c>
      <x:c r="D3987" t="str">
        <x:v>IF</x:v>
      </x:c>
      <x:c r="E3987" s="36" t="n">
        <x:v>112000</x:v>
      </x:c>
      <x:c r="F3987" s="36" t="n">
        <x:v>7302</x:v>
      </x:c>
      <x:c r="G3987" s="42" t="n">
        <x:v>1.5662805662805663</x:v>
      </x:c>
      <x:c r="H3987" s="36" t="n">
        <x:f>E3987*G3987</x:f>
        <x:v>175423.42342342343</x:v>
      </x:c>
      <x:c r="I3987" s="36" t="n">
        <x:f>IFERROR(H3987/A3987,0)</x:f>
        <x:v>25060.48906048906</x:v>
      </x:c>
      <x:c r="J3987" s="67" t="str">
        <x:v>Modeled from live base + Sep-2026 quality ratio</x:v>
      </x:c>
      <x:c r="K3987" s="67" t="str">
        <x:v>https://www.stonealgo.com/diamond-prices/</x:v>
      </x:c>
      <x:c r="L3987" s="67" t="str">
        <x:v>https://www.pricescope.com/blog/natural-diamond-prices-september-2026</x:v>
      </x:c>
    </x:row>
    <x:row r="3988">
      <x:c r="A3988" t="n">
        <x:v>7</x:v>
      </x:c>
      <x:c r="B3988" t="str">
        <x:v>Princess</x:v>
      </x:c>
      <x:c r="C3988" t="str">
        <x:v>F</x:v>
      </x:c>
      <x:c r="D3988" t="str">
        <x:v>VVS1</x:v>
      </x:c>
      <x:c r="E3988" s="36" t="n">
        <x:v>112000</x:v>
      </x:c>
      <x:c r="F3988" s="36" t="n">
        <x:v>7542</x:v>
      </x:c>
      <x:c r="G3988" s="42" t="n">
        <x:v>1.6177606177606179</x:v>
      </x:c>
      <x:c r="H3988" s="36" t="n">
        <x:f>E3988*G3988</x:f>
        <x:v>181189.1891891892</x:v>
      </x:c>
      <x:c r="I3988" s="36" t="n">
        <x:f>IFERROR(H3988/A3988,0)</x:f>
        <x:v>25884.169884169885</x:v>
      </x:c>
      <x:c r="J3988" s="67" t="str">
        <x:v>Modeled from live base + Sep-2026 quality ratio</x:v>
      </x:c>
      <x:c r="K3988" s="67" t="str">
        <x:v>https://www.stonealgo.com/diamond-prices/</x:v>
      </x:c>
      <x:c r="L3988" s="67" t="str">
        <x:v>https://www.pricescope.com/blog/natural-diamond-prices-september-2026</x:v>
      </x:c>
    </x:row>
    <x:row r="3989">
      <x:c r="A3989" t="n">
        <x:v>7</x:v>
      </x:c>
      <x:c r="B3989" t="str">
        <x:v>Princess</x:v>
      </x:c>
      <x:c r="C3989" t="str">
        <x:v>F</x:v>
      </x:c>
      <x:c r="D3989" t="str">
        <x:v>VVS2</x:v>
      </x:c>
      <x:c r="E3989" s="36" t="n">
        <x:v>112000</x:v>
      </x:c>
      <x:c r="F3989" s="36" t="n">
        <x:v>6352</x:v>
      </x:c>
      <x:c r="G3989" s="42" t="n">
        <x:v>1.3625053625053625</x:v>
      </x:c>
      <x:c r="H3989" s="36" t="n">
        <x:f>E3989*G3989</x:f>
        <x:v>152600.6006006006</x:v>
      </x:c>
      <x:c r="I3989" s="36" t="n">
        <x:f>IFERROR(H3989/A3989,0)</x:f>
        <x:v>21800.0858000858</x:v>
      </x:c>
      <x:c r="J3989" s="67" t="str">
        <x:v>Modeled from live base + Sep-2026 quality ratio</x:v>
      </x:c>
      <x:c r="K3989" s="67" t="str">
        <x:v>https://www.stonealgo.com/diamond-prices/</x:v>
      </x:c>
      <x:c r="L3989" s="67" t="str">
        <x:v>https://www.pricescope.com/blog/natural-diamond-prices-september-2026</x:v>
      </x:c>
    </x:row>
    <x:row r="3990">
      <x:c r="A3990" t="n">
        <x:v>7</x:v>
      </x:c>
      <x:c r="B3990" t="str">
        <x:v>Princess</x:v>
      </x:c>
      <x:c r="C3990" t="str">
        <x:v>F</x:v>
      </x:c>
      <x:c r="D3990" t="str">
        <x:v>VS1</x:v>
      </x:c>
      <x:c r="E3990" s="36" t="n">
        <x:v>112000</x:v>
      </x:c>
      <x:c r="F3990" s="36" t="n">
        <x:v>5647</x:v>
      </x:c>
      <x:c r="G3990" s="42" t="n">
        <x:v>1.2112827112827114</x:v>
      </x:c>
      <x:c r="H3990" s="36" t="n">
        <x:f>E3990*G3990</x:f>
        <x:v>135663.66366366367</x:v>
      </x:c>
      <x:c r="I3990" s="36" t="n">
        <x:f>IFERROR(H3990/A3990,0)</x:f>
        <x:v>19380.52338052338</x:v>
      </x:c>
      <x:c r="J3990" s="67" t="str">
        <x:v>Modeled from live base + Sep-2026 quality ratio</x:v>
      </x:c>
      <x:c r="K3990" s="67" t="str">
        <x:v>https://www.stonealgo.com/diamond-prices/</x:v>
      </x:c>
      <x:c r="L3990" s="67" t="str">
        <x:v>https://www.pricescope.com/blog/natural-diamond-prices-september-2026</x:v>
      </x:c>
    </x:row>
    <x:row r="3991">
      <x:c r="A3991" t="n">
        <x:v>7</x:v>
      </x:c>
      <x:c r="B3991" t="str">
        <x:v>Princess</x:v>
      </x:c>
      <x:c r="C3991" t="str">
        <x:v>F</x:v>
      </x:c>
      <x:c r="D3991" t="str">
        <x:v>VS2</x:v>
      </x:c>
      <x:c r="E3991" s="36" t="n">
        <x:v>112000</x:v>
      </x:c>
      <x:c r="F3991" s="36" t="n">
        <x:v>4730</x:v>
      </x:c>
      <x:c r="G3991" s="42" t="n">
        <x:v>1.0145860145860146</x:v>
      </x:c>
      <x:c r="H3991" s="36" t="n">
        <x:f>E3991*G3991</x:f>
        <x:v>113633.63363363364</x:v>
      </x:c>
      <x:c r="I3991" s="36" t="n">
        <x:f>IFERROR(H3991/A3991,0)</x:f>
        <x:v>16233.376233376233</x:v>
      </x:c>
      <x:c r="J3991" s="67" t="str">
        <x:v>Modeled from live base + Sep-2026 quality ratio</x:v>
      </x:c>
      <x:c r="K3991" s="67" t="str">
        <x:v>https://www.stonealgo.com/diamond-prices/</x:v>
      </x:c>
      <x:c r="L3991" s="67" t="str">
        <x:v>https://www.pricescope.com/blog/natural-diamond-prices-september-2026</x:v>
      </x:c>
    </x:row>
    <x:row r="3992">
      <x:c r="A3992" t="n">
        <x:v>7</x:v>
      </x:c>
      <x:c r="B3992" t="str">
        <x:v>Princess</x:v>
      </x:c>
      <x:c r="C3992" t="str">
        <x:v>F</x:v>
      </x:c>
      <x:c r="D3992" t="str">
        <x:v>SI1</x:v>
      </x:c>
      <x:c r="E3992" s="36" t="n">
        <x:v>112000</x:v>
      </x:c>
      <x:c r="F3992" s="36" t="n">
        <x:v>3331</x:v>
      </x:c>
      <x:c r="G3992" s="42" t="n">
        <x:v>0.7145002145002145</x:v>
      </x:c>
      <x:c r="H3992" s="36" t="n">
        <x:f>E3992*G3992</x:f>
        <x:v>80024.02402402402</x:v>
      </x:c>
      <x:c r="I3992" s="36" t="n">
        <x:f>IFERROR(H3992/A3992,0)</x:f>
        <x:v>11432.003432003432</x:v>
      </x:c>
      <x:c r="J3992" s="67" t="str">
        <x:v>Modeled from live base + Sep-2026 quality ratio</x:v>
      </x:c>
      <x:c r="K3992" s="67" t="str">
        <x:v>https://www.stonealgo.com/diamond-prices/</x:v>
      </x:c>
      <x:c r="L3992" s="67" t="str">
        <x:v>https://www.pricescope.com/blog/natural-diamond-prices-september-2026</x:v>
      </x:c>
    </x:row>
    <x:row r="3993">
      <x:c r="A3993" t="n">
        <x:v>7</x:v>
      </x:c>
      <x:c r="B3993" t="str">
        <x:v>Princess</x:v>
      </x:c>
      <x:c r="C3993" t="str">
        <x:v>F</x:v>
      </x:c>
      <x:c r="D3993" t="str">
        <x:v>SI2</x:v>
      </x:c>
      <x:c r="E3993" s="36" t="n">
        <x:v>112000</x:v>
      </x:c>
      <x:c r="F3993" s="36" t="n">
        <x:v>2733</x:v>
      </x:c>
      <x:c r="G3993" s="42" t="n">
        <x:v>0.5862290862290862</x:v>
      </x:c>
      <x:c r="H3993" s="36" t="n">
        <x:f>E3993*G3993</x:f>
        <x:v>65657.65765765765</x:v>
      </x:c>
      <x:c r="I3993" s="36" t="n">
        <x:f>IFERROR(H3993/A3993,0)</x:f>
        <x:v>9379.665379665379</x:v>
      </x:c>
      <x:c r="J3993" s="67" t="str">
        <x:v>Modeled from live base + Sep-2026 quality ratio</x:v>
      </x:c>
      <x:c r="K3993" s="67" t="str">
        <x:v>https://www.stonealgo.com/diamond-prices/</x:v>
      </x:c>
      <x:c r="L3993" s="67" t="str">
        <x:v>https://www.pricescope.com/blog/natural-diamond-prices-september-2026</x:v>
      </x:c>
    </x:row>
    <x:row r="3994">
      <x:c r="A3994" t="n">
        <x:v>7</x:v>
      </x:c>
      <x:c r="B3994" t="str">
        <x:v>Princess</x:v>
      </x:c>
      <x:c r="C3994" t="str">
        <x:v>G</x:v>
      </x:c>
      <x:c r="D3994" t="str">
        <x:v>FL</x:v>
      </x:c>
      <x:c r="E3994" s="36" t="n">
        <x:v>112000</x:v>
      </x:c>
      <x:c r="F3994" s="36" t="n">
        <x:v>5905</x:v>
      </x:c>
      <x:c r="G3994" s="42" t="n">
        <x:v>1.2666237666237665</x:v>
      </x:c>
      <x:c r="H3994" s="36" t="n">
        <x:f>E3994*G3994</x:f>
        <x:v>141861.86186186186</x:v>
      </x:c>
      <x:c r="I3994" s="36" t="n">
        <x:f>IFERROR(H3994/A3994,0)</x:f>
        <x:v>20265.980265980266</x:v>
      </x:c>
      <x:c r="J3994" s="67" t="str">
        <x:v>Modeled from live base + Sep-2026 quality ratio</x:v>
      </x:c>
      <x:c r="K3994" s="67" t="str">
        <x:v>https://www.stonealgo.com/diamond-prices/</x:v>
      </x:c>
      <x:c r="L3994" s="67" t="str">
        <x:v>https://www.pricescope.com/blog/natural-diamond-prices-september-2026</x:v>
      </x:c>
    </x:row>
    <x:row r="3995">
      <x:c r="A3995" t="n">
        <x:v>7</x:v>
      </x:c>
      <x:c r="B3995" t="str">
        <x:v>Princess</x:v>
      </x:c>
      <x:c r="C3995" t="str">
        <x:v>G</x:v>
      </x:c>
      <x:c r="D3995" t="str">
        <x:v>IF</x:v>
      </x:c>
      <x:c r="E3995" s="36" t="n">
        <x:v>112000</x:v>
      </x:c>
      <x:c r="F3995" s="36" t="n">
        <x:v>5601</x:v>
      </x:c>
      <x:c r="G3995" s="42" t="n">
        <x:v>1.2014157014157014</x:v>
      </x:c>
      <x:c r="H3995" s="36" t="n">
        <x:f>E3995*G3995</x:f>
        <x:v>134558.55855855855</x:v>
      </x:c>
      <x:c r="I3995" s="36" t="n">
        <x:f>IFERROR(H3995/A3995,0)</x:f>
        <x:v>19222.65122265122</x:v>
      </x:c>
      <x:c r="J3995" s="67" t="str">
        <x:v>Modeled from live base + Sep-2026 quality ratio</x:v>
      </x:c>
      <x:c r="K3995" s="67" t="str">
        <x:v>https://www.stonealgo.com/diamond-prices/</x:v>
      </x:c>
      <x:c r="L3995" s="67" t="str">
        <x:v>https://www.pricescope.com/blog/natural-diamond-prices-september-2026</x:v>
      </x:c>
    </x:row>
    <x:row r="3996">
      <x:c r="A3996" t="n">
        <x:v>7</x:v>
      </x:c>
      <x:c r="B3996" t="str">
        <x:v>Princess</x:v>
      </x:c>
      <x:c r="C3996" t="str">
        <x:v>G</x:v>
      </x:c>
      <x:c r="D3996" t="str">
        <x:v>VVS1</x:v>
      </x:c>
      <x:c r="E3996" s="36" t="n">
        <x:v>112000</x:v>
      </x:c>
      <x:c r="F3996" s="36" t="n">
        <x:v>5124</x:v>
      </x:c>
      <x:c r="G3996" s="42" t="n">
        <x:v>1.0990990990990992</x:v>
      </x:c>
      <x:c r="H3996" s="36" t="n">
        <x:f>E3996*G3996</x:f>
        <x:v>123099.09909909911</x:v>
      </x:c>
      <x:c r="I3996" s="36" t="n">
        <x:f>IFERROR(H3996/A3996,0)</x:f>
        <x:v>17585.585585585588</x:v>
      </x:c>
      <x:c r="J3996" s="67" t="str">
        <x:v>Modeled from live base + Sep-2026 quality ratio</x:v>
      </x:c>
      <x:c r="K3996" s="67" t="str">
        <x:v>https://www.stonealgo.com/diamond-prices/</x:v>
      </x:c>
      <x:c r="L3996" s="67" t="str">
        <x:v>https://www.pricescope.com/blog/natural-diamond-prices-september-2026</x:v>
      </x:c>
    </x:row>
    <x:row r="3997">
      <x:c r="A3997" t="n">
        <x:v>7</x:v>
      </x:c>
      <x:c r="B3997" t="str">
        <x:v>Princess</x:v>
      </x:c>
      <x:c r="C3997" t="str">
        <x:v>G</x:v>
      </x:c>
      <x:c r="D3997" t="str">
        <x:v>VVS2</x:v>
      </x:c>
      <x:c r="E3997" s="36" t="n">
        <x:v>112000</x:v>
      </x:c>
      <x:c r="F3997" s="36" t="n">
        <x:v>4962</x:v>
      </x:c>
      <x:c r="G3997" s="42" t="n">
        <x:v>1.0643500643500643</x:v>
      </x:c>
      <x:c r="H3997" s="36" t="n">
        <x:f>E3997*G3997</x:f>
        <x:v>119207.2072072072</x:v>
      </x:c>
      <x:c r="I3997" s="36" t="n">
        <x:f>IFERROR(H3997/A3997,0)</x:f>
        <x:v>17029.601029601028</x:v>
      </x:c>
      <x:c r="J3997" s="67" t="str">
        <x:v>Modeled from live base + Sep-2026 quality ratio</x:v>
      </x:c>
      <x:c r="K3997" s="67" t="str">
        <x:v>https://www.stonealgo.com/diamond-prices/</x:v>
      </x:c>
      <x:c r="L3997" s="67" t="str">
        <x:v>https://www.pricescope.com/blog/natural-diamond-prices-september-2026</x:v>
      </x:c>
    </x:row>
    <x:row r="3998">
      <x:c r="A3998" t="n">
        <x:v>7</x:v>
      </x:c>
      <x:c r="B3998" t="str">
        <x:v>Princess</x:v>
      </x:c>
      <x:c r="C3998" t="str">
        <x:v>G</x:v>
      </x:c>
      <x:c r="D3998" t="str">
        <x:v>VS1</x:v>
      </x:c>
      <x:c r="E3998" s="36" t="n">
        <x:v>112000</x:v>
      </x:c>
      <x:c r="F3998" s="36" t="n">
        <x:v>4615</x:v>
      </x:c>
      <x:c r="G3998" s="42" t="n">
        <x:v>0.98991848991849</x:v>
      </x:c>
      <x:c r="H3998" s="36" t="n">
        <x:f>E3998*G3998</x:f>
        <x:v>110870.87087087087</x:v>
      </x:c>
      <x:c r="I3998" s="36" t="n">
        <x:f>IFERROR(H3998/A3998,0)</x:f>
        <x:v>15838.69583869584</x:v>
      </x:c>
      <x:c r="J3998" s="67" t="str">
        <x:v>Modeled from live base + Sep-2026 quality ratio</x:v>
      </x:c>
      <x:c r="K3998" s="67" t="str">
        <x:v>https://www.stonealgo.com/diamond-prices/</x:v>
      </x:c>
      <x:c r="L3998" s="67" t="str">
        <x:v>https://www.pricescope.com/blog/natural-diamond-prices-september-2026</x:v>
      </x:c>
    </x:row>
    <x:row r="3999">
      <x:c r="A3999" t="n">
        <x:v>7</x:v>
      </x:c>
      <x:c r="B3999" t="str">
        <x:v>Princess</x:v>
      </x:c>
      <x:c r="C3999" t="str">
        <x:v>G</x:v>
      </x:c>
      <x:c r="D3999" t="str">
        <x:v>VS2</x:v>
      </x:c>
      <x:c r="E3999" s="36" t="n">
        <x:v>112000</x:v>
      </x:c>
      <x:c r="F3999" s="36" t="n">
        <x:v>4585</x:v>
      </x:c>
      <x:c r="G3999" s="42" t="n">
        <x:v>0.9834834834834835</x:v>
      </x:c>
      <x:c r="H3999" s="36" t="n">
        <x:f>E3999*G3999</x:f>
        <x:v>110150.15015015015</x:v>
      </x:c>
      <x:c r="I3999" s="36" t="n">
        <x:f>IFERROR(H3999/A3999,0)</x:f>
        <x:v>15735.735735735736</x:v>
      </x:c>
      <x:c r="J3999" s="67" t="str">
        <x:v>Modeled from live base + Sep-2026 quality ratio</x:v>
      </x:c>
      <x:c r="K3999" s="67" t="str">
        <x:v>https://www.stonealgo.com/diamond-prices/</x:v>
      </x:c>
      <x:c r="L3999" s="67" t="str">
        <x:v>https://www.pricescope.com/blog/natural-diamond-prices-september-2026</x:v>
      </x:c>
    </x:row>
    <x:row r="4000">
      <x:c r="A4000" t="n">
        <x:v>7</x:v>
      </x:c>
      <x:c r="B4000" t="str">
        <x:v>Princess</x:v>
      </x:c>
      <x:c r="C4000" t="str">
        <x:v>G</x:v>
      </x:c>
      <x:c r="D4000" t="str">
        <x:v>SI1</x:v>
      </x:c>
      <x:c r="E4000" s="36" t="n">
        <x:v>112000</x:v>
      </x:c>
      <x:c r="F4000" s="36" t="n">
        <x:v>3664</x:v>
      </x:c>
      <x:c r="G4000" s="42" t="n">
        <x:v>0.7859287859287859</x:v>
      </x:c>
      <x:c r="H4000" s="36" t="n">
        <x:f>E4000*G4000</x:f>
        <x:v>88024.02402402402</x:v>
      </x:c>
      <x:c r="I4000" s="36" t="n">
        <x:f>IFERROR(H4000/A4000,0)</x:f>
        <x:v>12574.860574860575</x:v>
      </x:c>
      <x:c r="J4000" s="67" t="str">
        <x:v>Modeled from live base + Sep-2026 quality ratio</x:v>
      </x:c>
      <x:c r="K4000" s="67" t="str">
        <x:v>https://www.stonealgo.com/diamond-prices/</x:v>
      </x:c>
      <x:c r="L4000" s="67" t="str">
        <x:v>https://www.pricescope.com/blog/natural-diamond-prices-september-2026</x:v>
      </x:c>
    </x:row>
    <x:row r="4001">
      <x:c r="A4001" t="n">
        <x:v>7</x:v>
      </x:c>
      <x:c r="B4001" t="str">
        <x:v>Princess</x:v>
      </x:c>
      <x:c r="C4001" t="str">
        <x:v>G</x:v>
      </x:c>
      <x:c r="D4001" t="str">
        <x:v>SI2</x:v>
      </x:c>
      <x:c r="E4001" s="36" t="n">
        <x:v>112000</x:v>
      </x:c>
      <x:c r="F4001" s="36" t="n">
        <x:v>2537</x:v>
      </x:c>
      <x:c r="G4001" s="42" t="n">
        <x:v>0.5441870441870442</x:v>
      </x:c>
      <x:c r="H4001" s="36" t="n">
        <x:f>E4001*G4001</x:f>
        <x:v>60948.94894894895</x:v>
      </x:c>
      <x:c r="I4001" s="36" t="n">
        <x:f>IFERROR(H4001/A4001,0)</x:f>
        <x:v>8706.992706992707</x:v>
      </x:c>
      <x:c r="J4001" s="67" t="str">
        <x:v>Modeled from live base + Sep-2026 quality ratio</x:v>
      </x:c>
      <x:c r="K4001" s="67" t="str">
        <x:v>https://www.stonealgo.com/diamond-prices/</x:v>
      </x:c>
      <x:c r="L4001" s="67" t="str">
        <x:v>https://www.pricescope.com/blog/natural-diamond-prices-september-2026</x:v>
      </x:c>
    </x:row>
    <x:row r="4002">
      <x:c r="A4002" t="n">
        <x:v>7</x:v>
      </x:c>
      <x:c r="B4002" t="str">
        <x:v>Princess</x:v>
      </x:c>
      <x:c r="C4002" t="str">
        <x:v>H</x:v>
      </x:c>
      <x:c r="D4002" t="str">
        <x:v>FL</x:v>
      </x:c>
      <x:c r="E4002" s="36" t="n">
        <x:v>112000</x:v>
      </x:c>
      <x:c r="F4002" s="36" t="n">
        <x:v>4563</x:v>
      </x:c>
      <x:c r="G4002" s="42" t="n">
        <x:v>0.9787644787644788</x:v>
      </x:c>
      <x:c r="H4002" s="36" t="n">
        <x:f>E4002*G4002</x:f>
        <x:v>109621.62162162163</x:v>
      </x:c>
      <x:c r="I4002" s="36" t="n">
        <x:f>IFERROR(H4002/A4002,0)</x:f>
        <x:v>15660.23166023166</x:v>
      </x:c>
      <x:c r="J4002" s="67" t="str">
        <x:v>Modeled from live base + Sep-2026 quality ratio</x:v>
      </x:c>
      <x:c r="K4002" s="67" t="str">
        <x:v>https://www.stonealgo.com/diamond-prices/</x:v>
      </x:c>
      <x:c r="L4002" s="67" t="str">
        <x:v>https://www.pricescope.com/blog/natural-diamond-prices-september-2026</x:v>
      </x:c>
    </x:row>
    <x:row r="4003">
      <x:c r="A4003" t="n">
        <x:v>7</x:v>
      </x:c>
      <x:c r="B4003" t="str">
        <x:v>Princess</x:v>
      </x:c>
      <x:c r="C4003" t="str">
        <x:v>H</x:v>
      </x:c>
      <x:c r="D4003" t="str">
        <x:v>IF</x:v>
      </x:c>
      <x:c r="E4003" s="36" t="n">
        <x:v>112000</x:v>
      </x:c>
      <x:c r="F4003" s="36" t="n">
        <x:v>4809</x:v>
      </x:c>
      <x:c r="G4003" s="42" t="n">
        <x:v>1.0315315315315314</x:v>
      </x:c>
      <x:c r="H4003" s="36" t="n">
        <x:f>E4003*G4003</x:f>
        <x:v>115531.53153153152</x:v>
      </x:c>
      <x:c r="I4003" s="36" t="n">
        <x:f>IFERROR(H4003/A4003,0)</x:f>
        <x:v>16504.504504504504</x:v>
      </x:c>
      <x:c r="J4003" s="67" t="str">
        <x:v>Modeled from live base + Sep-2026 quality ratio</x:v>
      </x:c>
      <x:c r="K4003" s="67" t="str">
        <x:v>https://www.stonealgo.com/diamond-prices/</x:v>
      </x:c>
      <x:c r="L4003" s="67" t="str">
        <x:v>https://www.pricescope.com/blog/natural-diamond-prices-september-2026</x:v>
      </x:c>
    </x:row>
    <x:row r="4004">
      <x:c r="A4004" t="n">
        <x:v>7</x:v>
      </x:c>
      <x:c r="B4004" t="str">
        <x:v>Princess</x:v>
      </x:c>
      <x:c r="C4004" t="str">
        <x:v>H</x:v>
      </x:c>
      <x:c r="D4004" t="str">
        <x:v>VVS1</x:v>
      </x:c>
      <x:c r="E4004" s="36" t="n">
        <x:v>112000</x:v>
      </x:c>
      <x:c r="F4004" s="36" t="n">
        <x:v>4911</x:v>
      </x:c>
      <x:c r="G4004" s="42" t="n">
        <x:v>1.0534105534105533</x:v>
      </x:c>
      <x:c r="H4004" s="36" t="n">
        <x:f>E4004*G4004</x:f>
        <x:v>117981.98198198197</x:v>
      </x:c>
      <x:c r="I4004" s="36" t="n">
        <x:f>IFERROR(H4004/A4004,0)</x:f>
        <x:v>16854.568854568854</x:v>
      </x:c>
      <x:c r="J4004" s="67" t="str">
        <x:v>Modeled from live base + Sep-2026 quality ratio</x:v>
      </x:c>
      <x:c r="K4004" s="67" t="str">
        <x:v>https://www.stonealgo.com/diamond-prices/</x:v>
      </x:c>
      <x:c r="L4004" s="67" t="str">
        <x:v>https://www.pricescope.com/blog/natural-diamond-prices-september-2026</x:v>
      </x:c>
    </x:row>
    <x:row r="4005">
      <x:c r="A4005" t="n">
        <x:v>7</x:v>
      </x:c>
      <x:c r="B4005" t="str">
        <x:v>Princess</x:v>
      </x:c>
      <x:c r="C4005" t="str">
        <x:v>H</x:v>
      </x:c>
      <x:c r="D4005" t="str">
        <x:v>VVS2</x:v>
      </x:c>
      <x:c r="E4005" s="36" t="n">
        <x:v>112000</x:v>
      </x:c>
      <x:c r="F4005" s="36" t="n">
        <x:v>4046</x:v>
      </x:c>
      <x:c r="G4005" s="42" t="n">
        <x:v>0.8678678678678678</x:v>
      </x:c>
      <x:c r="H4005" s="36" t="n">
        <x:f>E4005*G4005</x:f>
        <x:v>97201.2012012012</x:v>
      </x:c>
      <x:c r="I4005" s="36" t="n">
        <x:f>IFERROR(H4005/A4005,0)</x:f>
        <x:v>13885.885885885886</x:v>
      </x:c>
      <x:c r="J4005" s="67" t="str">
        <x:v>Modeled from live base + Sep-2026 quality ratio</x:v>
      </x:c>
      <x:c r="K4005" s="67" t="str">
        <x:v>https://www.stonealgo.com/diamond-prices/</x:v>
      </x:c>
      <x:c r="L4005" s="67" t="str">
        <x:v>https://www.pricescope.com/blog/natural-diamond-prices-september-2026</x:v>
      </x:c>
    </x:row>
    <x:row r="4006">
      <x:c r="A4006" t="n">
        <x:v>7</x:v>
      </x:c>
      <x:c r="B4006" t="str">
        <x:v>Princess</x:v>
      </x:c>
      <x:c r="C4006" t="str">
        <x:v>H</x:v>
      </x:c>
      <x:c r="D4006" t="str">
        <x:v>VS1</x:v>
      </x:c>
      <x:c r="E4006" s="36" t="n">
        <x:v>112000</x:v>
      </x:c>
      <x:c r="F4006" s="36" t="n">
        <x:v>3893</x:v>
      </x:c>
      <x:c r="G4006" s="42" t="n">
        <x:v>0.8350493350493351</x:v>
      </x:c>
      <x:c r="H4006" s="36" t="n">
        <x:f>E4006*G4006</x:f>
        <x:v>93525.52552552553</x:v>
      </x:c>
      <x:c r="I4006" s="36" t="n">
        <x:f>IFERROR(H4006/A4006,0)</x:f>
        <x:v>13360.789360789362</x:v>
      </x:c>
      <x:c r="J4006" s="67" t="str">
        <x:v>Modeled from live base + Sep-2026 quality ratio</x:v>
      </x:c>
      <x:c r="K4006" s="67" t="str">
        <x:v>https://www.stonealgo.com/diamond-prices/</x:v>
      </x:c>
      <x:c r="L4006" s="67" t="str">
        <x:v>https://www.pricescope.com/blog/natural-diamond-prices-september-2026</x:v>
      </x:c>
    </x:row>
    <x:row r="4007">
      <x:c r="A4007" t="n">
        <x:v>7</x:v>
      </x:c>
      <x:c r="B4007" t="str">
        <x:v>Princess</x:v>
      </x:c>
      <x:c r="C4007" t="str">
        <x:v>H</x:v>
      </x:c>
      <x:c r="D4007" t="str">
        <x:v>VS2</x:v>
      </x:c>
      <x:c r="E4007" s="36" t="n">
        <x:v>112000</x:v>
      </x:c>
      <x:c r="F4007" s="36" t="n">
        <x:v>3989</x:v>
      </x:c>
      <x:c r="G4007" s="42" t="n">
        <x:v>0.8556413556413557</x:v>
      </x:c>
      <x:c r="H4007" s="36" t="n">
        <x:f>E4007*G4007</x:f>
        <x:v>95831.83183183183</x:v>
      </x:c>
      <x:c r="I4007" s="36" t="n">
        <x:f>IFERROR(H4007/A4007,0)</x:f>
        <x:v>13690.26169026169</x:v>
      </x:c>
      <x:c r="J4007" s="67" t="str">
        <x:v>Modeled from live base + Sep-2026 quality ratio</x:v>
      </x:c>
      <x:c r="K4007" s="67" t="str">
        <x:v>https://www.stonealgo.com/diamond-prices/</x:v>
      </x:c>
      <x:c r="L4007" s="67" t="str">
        <x:v>https://www.pricescope.com/blog/natural-diamond-prices-september-2026</x:v>
      </x:c>
    </x:row>
    <x:row r="4008">
      <x:c r="A4008" t="n">
        <x:v>7</x:v>
      </x:c>
      <x:c r="B4008" t="str">
        <x:v>Princess</x:v>
      </x:c>
      <x:c r="C4008" t="str">
        <x:v>H</x:v>
      </x:c>
      <x:c r="D4008" t="str">
        <x:v>SI1</x:v>
      </x:c>
      <x:c r="E4008" s="36" t="n">
        <x:v>112000</x:v>
      </x:c>
      <x:c r="F4008" s="36" t="n">
        <x:v>2828</x:v>
      </x:c>
      <x:c r="G4008" s="42" t="n">
        <x:v>0.6066066066066066</x:v>
      </x:c>
      <x:c r="H4008" s="36" t="n">
        <x:f>E4008*G4008</x:f>
        <x:v>67939.93993993994</x:v>
      </x:c>
      <x:c r="I4008" s="36" t="n">
        <x:f>IFERROR(H4008/A4008,0)</x:f>
        <x:v>9705.705705705706</x:v>
      </x:c>
      <x:c r="J4008" s="67" t="str">
        <x:v>Modeled from live base + Sep-2026 quality ratio</x:v>
      </x:c>
      <x:c r="K4008" s="67" t="str">
        <x:v>https://www.stonealgo.com/diamond-prices/</x:v>
      </x:c>
      <x:c r="L4008" s="67" t="str">
        <x:v>https://www.pricescope.com/blog/natural-diamond-prices-september-2026</x:v>
      </x:c>
    </x:row>
    <x:row r="4009">
      <x:c r="A4009" t="n">
        <x:v>7</x:v>
      </x:c>
      <x:c r="B4009" t="str">
        <x:v>Princess</x:v>
      </x:c>
      <x:c r="C4009" t="str">
        <x:v>H</x:v>
      </x:c>
      <x:c r="D4009" t="str">
        <x:v>SI2</x:v>
      </x:c>
      <x:c r="E4009" s="36" t="n">
        <x:v>112000</x:v>
      </x:c>
      <x:c r="F4009" s="36" t="n">
        <x:v>2328</x:v>
      </x:c>
      <x:c r="G4009" s="42" t="n">
        <x:v>0.49935649935649934</x:v>
      </x:c>
      <x:c r="H4009" s="36" t="n">
        <x:f>E4009*G4009</x:f>
        <x:v>55927.92792792793</x:v>
      </x:c>
      <x:c r="I4009" s="36" t="n">
        <x:f>IFERROR(H4009/A4009,0)</x:f>
        <x:v>7989.7039897039895</x:v>
      </x:c>
      <x:c r="J4009" s="67" t="str">
        <x:v>Modeled from live base + Sep-2026 quality ratio</x:v>
      </x:c>
      <x:c r="K4009" s="67" t="str">
        <x:v>https://www.stonealgo.com/diamond-prices/</x:v>
      </x:c>
      <x:c r="L4009" s="67" t="str">
        <x:v>https://www.pricescope.com/blog/natural-diamond-prices-september-2026</x:v>
      </x:c>
    </x:row>
    <x:row r="4010">
      <x:c r="A4010" t="n">
        <x:v>7</x:v>
      </x:c>
      <x:c r="B4010" t="str">
        <x:v>Princess</x:v>
      </x:c>
      <x:c r="C4010" t="str">
        <x:v>I</x:v>
      </x:c>
      <x:c r="D4010" t="str">
        <x:v>FL</x:v>
      </x:c>
      <x:c r="E4010" s="36" t="n">
        <x:v>112000</x:v>
      </x:c>
      <x:c r="F4010" s="36" t="n">
        <x:v>4623</x:v>
      </x:c>
      <x:c r="G4010" s="42" t="n">
        <x:v>0.9916344916344917</x:v>
      </x:c>
      <x:c r="H4010" s="36" t="n">
        <x:f>E4010*G4010</x:f>
        <x:v>111063.06306306306</x:v>
      </x:c>
      <x:c r="I4010" s="36" t="n">
        <x:f>IFERROR(H4010/A4010,0)</x:f>
        <x:v>15866.151866151866</x:v>
      </x:c>
      <x:c r="J4010" s="67" t="str">
        <x:v>Modeled from live base + Sep-2026 quality ratio</x:v>
      </x:c>
      <x:c r="K4010" s="67" t="str">
        <x:v>https://www.stonealgo.com/diamond-prices/</x:v>
      </x:c>
      <x:c r="L4010" s="67" t="str">
        <x:v>https://www.pricescope.com/blog/natural-diamond-prices-september-2026</x:v>
      </x:c>
    </x:row>
    <x:row r="4011">
      <x:c r="A4011" t="n">
        <x:v>7</x:v>
      </x:c>
      <x:c r="B4011" t="str">
        <x:v>Princess</x:v>
      </x:c>
      <x:c r="C4011" t="str">
        <x:v>I</x:v>
      </x:c>
      <x:c r="D4011" t="str">
        <x:v>IF</x:v>
      </x:c>
      <x:c r="E4011" s="36" t="n">
        <x:v>112000</x:v>
      </x:c>
      <x:c r="F4011" s="36" t="n">
        <x:v>4005</x:v>
      </x:c>
      <x:c r="G4011" s="42" t="n">
        <x:v>0.859073359073359</x:v>
      </x:c>
      <x:c r="H4011" s="36" t="n">
        <x:f>E4011*G4011</x:f>
        <x:v>96216.21621621621</x:v>
      </x:c>
      <x:c r="I4011" s="36" t="n">
        <x:f>IFERROR(H4011/A4011,0)</x:f>
        <x:v>13745.173745173744</x:v>
      </x:c>
      <x:c r="J4011" s="67" t="str">
        <x:v>Modeled from live base + Sep-2026 quality ratio</x:v>
      </x:c>
      <x:c r="K4011" s="67" t="str">
        <x:v>https://www.stonealgo.com/diamond-prices/</x:v>
      </x:c>
      <x:c r="L4011" s="67" t="str">
        <x:v>https://www.pricescope.com/blog/natural-diamond-prices-september-2026</x:v>
      </x:c>
    </x:row>
    <x:row r="4012">
      <x:c r="A4012" t="n">
        <x:v>7</x:v>
      </x:c>
      <x:c r="B4012" t="str">
        <x:v>Princess</x:v>
      </x:c>
      <x:c r="C4012" t="str">
        <x:v>I</x:v>
      </x:c>
      <x:c r="D4012" t="str">
        <x:v>VVS1</x:v>
      </x:c>
      <x:c r="E4012" s="36" t="n">
        <x:v>112000</x:v>
      </x:c>
      <x:c r="F4012" s="36" t="n">
        <x:v>3670</x:v>
      </x:c>
      <x:c r="G4012" s="42" t="n">
        <x:v>0.7872157872157872</x:v>
      </x:c>
      <x:c r="H4012" s="36" t="n">
        <x:f>E4012*G4012</x:f>
        <x:v>88168.16816816817</x:v>
      </x:c>
      <x:c r="I4012" s="36" t="n">
        <x:f>IFERROR(H4012/A4012,0)</x:f>
        <x:v>12595.452595452594</x:v>
      </x:c>
      <x:c r="J4012" s="67" t="str">
        <x:v>Modeled from live base + Sep-2026 quality ratio</x:v>
      </x:c>
      <x:c r="K4012" s="67" t="str">
        <x:v>https://www.stonealgo.com/diamond-prices/</x:v>
      </x:c>
      <x:c r="L4012" s="67" t="str">
        <x:v>https://www.pricescope.com/blog/natural-diamond-prices-september-2026</x:v>
      </x:c>
    </x:row>
    <x:row r="4013">
      <x:c r="A4013" t="n">
        <x:v>7</x:v>
      </x:c>
      <x:c r="B4013" t="str">
        <x:v>Princess</x:v>
      </x:c>
      <x:c r="C4013" t="str">
        <x:v>I</x:v>
      </x:c>
      <x:c r="D4013" t="str">
        <x:v>VVS2</x:v>
      </x:c>
      <x:c r="E4013" s="36" t="n">
        <x:v>112000</x:v>
      </x:c>
      <x:c r="F4013" s="36" t="n">
        <x:v>3447</x:v>
      </x:c>
      <x:c r="G4013" s="42" t="n">
        <x:v>0.7393822393822393</x:v>
      </x:c>
      <x:c r="H4013" s="36" t="n">
        <x:f>E4013*G4013</x:f>
        <x:v>82810.81081081081</x:v>
      </x:c>
      <x:c r="I4013" s="36" t="n">
        <x:f>IFERROR(H4013/A4013,0)</x:f>
        <x:v>11830.11583011583</x:v>
      </x:c>
      <x:c r="J4013" s="67" t="str">
        <x:v>Modeled from live base + Sep-2026 quality ratio</x:v>
      </x:c>
      <x:c r="K4013" s="67" t="str">
        <x:v>https://www.stonealgo.com/diamond-prices/</x:v>
      </x:c>
      <x:c r="L4013" s="67" t="str">
        <x:v>https://www.pricescope.com/blog/natural-diamond-prices-september-2026</x:v>
      </x:c>
    </x:row>
    <x:row r="4014">
      <x:c r="A4014" t="n">
        <x:v>7</x:v>
      </x:c>
      <x:c r="B4014" t="str">
        <x:v>Princess</x:v>
      </x:c>
      <x:c r="C4014" t="str">
        <x:v>I</x:v>
      </x:c>
      <x:c r="D4014" t="str">
        <x:v>VS1</x:v>
      </x:c>
      <x:c r="E4014" s="36" t="n">
        <x:v>112000</x:v>
      </x:c>
      <x:c r="F4014" s="36" t="n">
        <x:v>3313</x:v>
      </x:c>
      <x:c r="G4014" s="42" t="n">
        <x:v>0.7106392106392107</x:v>
      </x:c>
      <x:c r="H4014" s="36" t="n">
        <x:f>E4014*G4014</x:f>
        <x:v>79591.5915915916</x:v>
      </x:c>
      <x:c r="I4014" s="36" t="n">
        <x:f>IFERROR(H4014/A4014,0)</x:f>
        <x:v>11370.22737022737</x:v>
      </x:c>
      <x:c r="J4014" s="67" t="str">
        <x:v>Modeled from live base + Sep-2026 quality ratio</x:v>
      </x:c>
      <x:c r="K4014" s="67" t="str">
        <x:v>https://www.stonealgo.com/diamond-prices/</x:v>
      </x:c>
      <x:c r="L4014" s="67" t="str">
        <x:v>https://www.pricescope.com/blog/natural-diamond-prices-september-2026</x:v>
      </x:c>
    </x:row>
    <x:row r="4015">
      <x:c r="A4015" t="n">
        <x:v>7</x:v>
      </x:c>
      <x:c r="B4015" t="str">
        <x:v>Princess</x:v>
      </x:c>
      <x:c r="C4015" t="str">
        <x:v>I</x:v>
      </x:c>
      <x:c r="D4015" t="str">
        <x:v>VS2</x:v>
      </x:c>
      <x:c r="E4015" s="36" t="n">
        <x:v>112000</x:v>
      </x:c>
      <x:c r="F4015" s="36" t="n">
        <x:v>3240</x:v>
      </x:c>
      <x:c r="G4015" s="42" t="n">
        <x:v>0.694980694980695</x:v>
      </x:c>
      <x:c r="H4015" s="36" t="n">
        <x:f>E4015*G4015</x:f>
        <x:v>77837.83783783784</x:v>
      </x:c>
      <x:c r="I4015" s="36" t="n">
        <x:f>IFERROR(H4015/A4015,0)</x:f>
        <x:v>11119.69111969112</x:v>
      </x:c>
      <x:c r="J4015" s="67" t="str">
        <x:v>Modeled from live base + Sep-2026 quality ratio</x:v>
      </x:c>
      <x:c r="K4015" s="67" t="str">
        <x:v>https://www.stonealgo.com/diamond-prices/</x:v>
      </x:c>
      <x:c r="L4015" s="67" t="str">
        <x:v>https://www.pricescope.com/blog/natural-diamond-prices-september-2026</x:v>
      </x:c>
    </x:row>
    <x:row r="4016">
      <x:c r="A4016" t="n">
        <x:v>7</x:v>
      </x:c>
      <x:c r="B4016" t="str">
        <x:v>Princess</x:v>
      </x:c>
      <x:c r="C4016" t="str">
        <x:v>I</x:v>
      </x:c>
      <x:c r="D4016" t="str">
        <x:v>SI1</x:v>
      </x:c>
      <x:c r="E4016" s="36" t="n">
        <x:v>112000</x:v>
      </x:c>
      <x:c r="F4016" s="36" t="n">
        <x:v>3199</x:v>
      </x:c>
      <x:c r="G4016" s="42" t="n">
        <x:v>0.6861861861861862</x:v>
      </x:c>
      <x:c r="H4016" s="36" t="n">
        <x:f>E4016*G4016</x:f>
        <x:v>76852.85285285285</x:v>
      </x:c>
      <x:c r="I4016" s="36" t="n">
        <x:f>IFERROR(H4016/A4016,0)</x:f>
        <x:v>10978.97897897898</x:v>
      </x:c>
      <x:c r="J4016" s="67" t="str">
        <x:v>Modeled from live base + Sep-2026 quality ratio</x:v>
      </x:c>
      <x:c r="K4016" s="67" t="str">
        <x:v>https://www.stonealgo.com/diamond-prices/</x:v>
      </x:c>
      <x:c r="L4016" s="67" t="str">
        <x:v>https://www.pricescope.com/blog/natural-diamond-prices-september-2026</x:v>
      </x:c>
    </x:row>
    <x:row r="4017">
      <x:c r="A4017" t="n">
        <x:v>7</x:v>
      </x:c>
      <x:c r="B4017" t="str">
        <x:v>Princess</x:v>
      </x:c>
      <x:c r="C4017" t="str">
        <x:v>I</x:v>
      </x:c>
      <x:c r="D4017" t="str">
        <x:v>SI2</x:v>
      </x:c>
      <x:c r="E4017" s="36" t="n">
        <x:v>112000</x:v>
      </x:c>
      <x:c r="F4017" s="36" t="n">
        <x:v>2874</x:v>
      </x:c>
      <x:c r="G4017" s="42" t="n">
        <x:v>0.6164736164736164</x:v>
      </x:c>
      <x:c r="H4017" s="36" t="n">
        <x:f>E4017*G4017</x:f>
        <x:v>69045.04504504504</x:v>
      </x:c>
      <x:c r="I4017" s="36" t="n">
        <x:f>IFERROR(H4017/A4017,0)</x:f>
        <x:v>9863.577863577864</x:v>
      </x:c>
      <x:c r="J4017" s="67" t="str">
        <x:v>Modeled from live base + Sep-2026 quality ratio</x:v>
      </x:c>
      <x:c r="K4017" s="67" t="str">
        <x:v>https://www.stonealgo.com/diamond-prices/</x:v>
      </x:c>
      <x:c r="L4017" s="67" t="str">
        <x:v>https://www.pricescope.com/blog/natural-diamond-prices-september-2026</x:v>
      </x:c>
    </x:row>
    <x:row r="4018">
      <x:c r="A4018" t="n">
        <x:v>7</x:v>
      </x:c>
      <x:c r="B4018" t="str">
        <x:v>Princess</x:v>
      </x:c>
      <x:c r="C4018" t="str">
        <x:v>J</x:v>
      </x:c>
      <x:c r="D4018" t="str">
        <x:v>FL</x:v>
      </x:c>
      <x:c r="E4018" s="36" t="n">
        <x:v>112000</x:v>
      </x:c>
      <x:c r="F4018" s="36" t="n">
        <x:v>3646</x:v>
      </x:c>
      <x:c r="G4018" s="42" t="n">
        <x:v>0.782067782067782</x:v>
      </x:c>
      <x:c r="H4018" s="36" t="n">
        <x:f>E4018*G4018</x:f>
        <x:v>87591.59159159158</x:v>
      </x:c>
      <x:c r="I4018" s="36" t="n">
        <x:f>IFERROR(H4018/A4018,0)</x:f>
        <x:v>12513.084513084512</x:v>
      </x:c>
      <x:c r="J4018" s="67" t="str">
        <x:v>Modeled from live base + Sep-2026 quality ratio</x:v>
      </x:c>
      <x:c r="K4018" s="67" t="str">
        <x:v>https://www.stonealgo.com/diamond-prices/</x:v>
      </x:c>
      <x:c r="L4018" s="67" t="str">
        <x:v>https://www.pricescope.com/blog/natural-diamond-prices-september-2026</x:v>
      </x:c>
    </x:row>
    <x:row r="4019">
      <x:c r="A4019" t="n">
        <x:v>7</x:v>
      </x:c>
      <x:c r="B4019" t="str">
        <x:v>Princess</x:v>
      </x:c>
      <x:c r="C4019" t="str">
        <x:v>J</x:v>
      </x:c>
      <x:c r="D4019" t="str">
        <x:v>IF</x:v>
      </x:c>
      <x:c r="E4019" s="36" t="n">
        <x:v>112000</x:v>
      </x:c>
      <x:c r="F4019" s="36" t="n">
        <x:v>3368</x:v>
      </x:c>
      <x:c r="G4019" s="42" t="n">
        <x:v>0.7224367224367224</x:v>
      </x:c>
      <x:c r="H4019" s="36" t="n">
        <x:f>E4019*G4019</x:f>
        <x:v>80912.91291291291</x:v>
      </x:c>
      <x:c r="I4019" s="36" t="n">
        <x:f>IFERROR(H4019/A4019,0)</x:f>
        <x:v>11558.98755898756</x:v>
      </x:c>
      <x:c r="J4019" s="67" t="str">
        <x:v>Modeled from live base + Sep-2026 quality ratio</x:v>
      </x:c>
      <x:c r="K4019" s="67" t="str">
        <x:v>https://www.stonealgo.com/diamond-prices/</x:v>
      </x:c>
      <x:c r="L4019" s="67" t="str">
        <x:v>https://www.pricescope.com/blog/natural-diamond-prices-september-2026</x:v>
      </x:c>
    </x:row>
    <x:row r="4020">
      <x:c r="A4020" t="n">
        <x:v>7</x:v>
      </x:c>
      <x:c r="B4020" t="str">
        <x:v>Princess</x:v>
      </x:c>
      <x:c r="C4020" t="str">
        <x:v>J</x:v>
      </x:c>
      <x:c r="D4020" t="str">
        <x:v>VVS1</x:v>
      </x:c>
      <x:c r="E4020" s="36" t="n">
        <x:v>112000</x:v>
      </x:c>
      <x:c r="F4020" s="36" t="n">
        <x:v>2956</x:v>
      </x:c>
      <x:c r="G4020" s="42" t="n">
        <x:v>0.6340626340626341</x:v>
      </x:c>
      <x:c r="H4020" s="36" t="n">
        <x:f>E4020*G4020</x:f>
        <x:v>71015.01501501501</x:v>
      </x:c>
      <x:c r="I4020" s="36" t="n">
        <x:f>IFERROR(H4020/A4020,0)</x:f>
        <x:v>10145.002145002145</x:v>
      </x:c>
      <x:c r="J4020" s="67" t="str">
        <x:v>Modeled from live base + Sep-2026 quality ratio</x:v>
      </x:c>
      <x:c r="K4020" s="67" t="str">
        <x:v>https://www.stonealgo.com/diamond-prices/</x:v>
      </x:c>
      <x:c r="L4020" s="67" t="str">
        <x:v>https://www.pricescope.com/blog/natural-diamond-prices-september-2026</x:v>
      </x:c>
    </x:row>
    <x:row r="4021">
      <x:c r="A4021" t="n">
        <x:v>7</x:v>
      </x:c>
      <x:c r="B4021" t="str">
        <x:v>Princess</x:v>
      </x:c>
      <x:c r="C4021" t="str">
        <x:v>J</x:v>
      </x:c>
      <x:c r="D4021" t="str">
        <x:v>VVS2</x:v>
      </x:c>
      <x:c r="E4021" s="36" t="n">
        <x:v>112000</x:v>
      </x:c>
      <x:c r="F4021" s="36" t="n">
        <x:v>2612</x:v>
      </x:c>
      <x:c r="G4021" s="42" t="n">
        <x:v>0.5602745602745602</x:v>
      </x:c>
      <x:c r="H4021" s="36" t="n">
        <x:f>E4021*G4021</x:f>
        <x:v>62750.75075075075</x:v>
      </x:c>
      <x:c r="I4021" s="36" t="n">
        <x:f>IFERROR(H4021/A4021,0)</x:f>
        <x:v>8964.392964392964</x:v>
      </x:c>
      <x:c r="J4021" s="67" t="str">
        <x:v>Modeled from live base + Sep-2026 quality ratio</x:v>
      </x:c>
      <x:c r="K4021" s="67" t="str">
        <x:v>https://www.stonealgo.com/diamond-prices/</x:v>
      </x:c>
      <x:c r="L4021" s="67" t="str">
        <x:v>https://www.pricescope.com/blog/natural-diamond-prices-september-2026</x:v>
      </x:c>
    </x:row>
    <x:row r="4022">
      <x:c r="A4022" t="n">
        <x:v>7</x:v>
      </x:c>
      <x:c r="B4022" t="str">
        <x:v>Princess</x:v>
      </x:c>
      <x:c r="C4022" t="str">
        <x:v>J</x:v>
      </x:c>
      <x:c r="D4022" t="str">
        <x:v>VS1</x:v>
      </x:c>
      <x:c r="E4022" s="36" t="n">
        <x:v>112000</x:v>
      </x:c>
      <x:c r="F4022" s="36" t="n">
        <x:v>3002</x:v>
      </x:c>
      <x:c r="G4022" s="42" t="n">
        <x:v>0.6439296439296439</x:v>
      </x:c>
      <x:c r="H4022" s="36" t="n">
        <x:f>E4022*G4022</x:f>
        <x:v>72120.12012012012</x:v>
      </x:c>
      <x:c r="I4022" s="36" t="n">
        <x:f>IFERROR(H4022/A4022,0)</x:f>
        <x:v>10302.874302874303</x:v>
      </x:c>
      <x:c r="J4022" s="67" t="str">
        <x:v>Modeled from live base + Sep-2026 quality ratio</x:v>
      </x:c>
      <x:c r="K4022" s="67" t="str">
        <x:v>https://www.stonealgo.com/diamond-prices/</x:v>
      </x:c>
      <x:c r="L4022" s="67" t="str">
        <x:v>https://www.pricescope.com/blog/natural-diamond-prices-september-2026</x:v>
      </x:c>
    </x:row>
    <x:row r="4023">
      <x:c r="A4023" t="n">
        <x:v>7</x:v>
      </x:c>
      <x:c r="B4023" t="str">
        <x:v>Princess</x:v>
      </x:c>
      <x:c r="C4023" t="str">
        <x:v>J</x:v>
      </x:c>
      <x:c r="D4023" t="str">
        <x:v>VS2</x:v>
      </x:c>
      <x:c r="E4023" s="36" t="n">
        <x:v>112000</x:v>
      </x:c>
      <x:c r="F4023" s="36" t="n">
        <x:v>2559</x:v>
      </x:c>
      <x:c r="G4023" s="42" t="n">
        <x:v>0.5489060489060489</x:v>
      </x:c>
      <x:c r="H4023" s="36" t="n">
        <x:f>E4023*G4023</x:f>
        <x:v>61477.47747747748</x:v>
      </x:c>
      <x:c r="I4023" s="36" t="n">
        <x:f>IFERROR(H4023/A4023,0)</x:f>
        <x:v>8782.496782496783</x:v>
      </x:c>
      <x:c r="J4023" s="67" t="str">
        <x:v>Modeled from live base + Sep-2026 quality ratio</x:v>
      </x:c>
      <x:c r="K4023" s="67" t="str">
        <x:v>https://www.stonealgo.com/diamond-prices/</x:v>
      </x:c>
      <x:c r="L4023" s="67" t="str">
        <x:v>https://www.pricescope.com/blog/natural-diamond-prices-september-2026</x:v>
      </x:c>
    </x:row>
    <x:row r="4024">
      <x:c r="A4024" t="n">
        <x:v>7</x:v>
      </x:c>
      <x:c r="B4024" t="str">
        <x:v>Princess</x:v>
      </x:c>
      <x:c r="C4024" t="str">
        <x:v>J</x:v>
      </x:c>
      <x:c r="D4024" t="str">
        <x:v>SI1</x:v>
      </x:c>
      <x:c r="E4024" s="36" t="n">
        <x:v>112000</x:v>
      </x:c>
      <x:c r="F4024" s="36" t="n">
        <x:v>2195</x:v>
      </x:c>
      <x:c r="G4024" s="42" t="n">
        <x:v>0.47082797082797084</x:v>
      </x:c>
      <x:c r="H4024" s="36" t="n">
        <x:f>E4024*G4024</x:f>
        <x:v>52732.73273273274</x:v>
      </x:c>
      <x:c r="I4024" s="36" t="n">
        <x:f>IFERROR(H4024/A4024,0)</x:f>
        <x:v>7533.247533247534</x:v>
      </x:c>
      <x:c r="J4024" s="67" t="str">
        <x:v>Modeled from live base + Sep-2026 quality ratio</x:v>
      </x:c>
      <x:c r="K4024" s="67" t="str">
        <x:v>https://www.stonealgo.com/diamond-prices/</x:v>
      </x:c>
      <x:c r="L4024" s="67" t="str">
        <x:v>https://www.pricescope.com/blog/natural-diamond-prices-september-2026</x:v>
      </x:c>
    </x:row>
    <x:row r="4025">
      <x:c r="A4025" t="n">
        <x:v>7</x:v>
      </x:c>
      <x:c r="B4025" t="str">
        <x:v>Princess</x:v>
      </x:c>
      <x:c r="C4025" t="str">
        <x:v>J</x:v>
      </x:c>
      <x:c r="D4025" t="str">
        <x:v>SI2</x:v>
      </x:c>
      <x:c r="E4025" s="36" t="n">
        <x:v>112000</x:v>
      </x:c>
      <x:c r="F4025" s="36" t="n">
        <x:v>2079</x:v>
      </x:c>
      <x:c r="G4025" s="42" t="n">
        <x:v>0.44594594594594594</x:v>
      </x:c>
      <x:c r="H4025" s="36" t="n">
        <x:f>E4025*G4025</x:f>
        <x:v>49945.94594594595</x:v>
      </x:c>
      <x:c r="I4025" s="36" t="n">
        <x:f>IFERROR(H4025/A4025,0)</x:f>
        <x:v>7135.135135135135</x:v>
      </x:c>
      <x:c r="J4025" s="67" t="str">
        <x:v>Modeled from live base + Sep-2026 quality ratio</x:v>
      </x:c>
      <x:c r="K4025" s="67" t="str">
        <x:v>https://www.stonealgo.com/diamond-prices/</x:v>
      </x:c>
      <x:c r="L4025" s="67" t="str">
        <x:v>https://www.pricescope.com/blog/natural-diamond-prices-september-2026</x:v>
      </x:c>
    </x:row>
    <x:row r="4026">
      <x:c r="A4026" t="n">
        <x:v>7</x:v>
      </x:c>
      <x:c r="B4026" t="str">
        <x:v>Princess</x:v>
      </x:c>
      <x:c r="C4026" t="str">
        <x:v>K</x:v>
      </x:c>
      <x:c r="D4026" t="str">
        <x:v>FL</x:v>
      </x:c>
      <x:c r="E4026" s="36" t="n">
        <x:v>112000</x:v>
      </x:c>
      <x:c r="F4026" s="36" t="n">
        <x:v>2858</x:v>
      </x:c>
      <x:c r="G4026" s="42" t="n">
        <x:v>0.6130416130416131</x:v>
      </x:c>
      <x:c r="H4026" s="36" t="n">
        <x:f>E4026*G4026</x:f>
        <x:v>68660.66066066067</x:v>
      </x:c>
      <x:c r="I4026" s="36" t="n">
        <x:f>IFERROR(H4026/A4026,0)</x:f>
        <x:v>9808.66580866581</x:v>
      </x:c>
      <x:c r="J4026" s="67" t="str">
        <x:v>Modeled from live base + Sep-2026 quality ratio; K/FL quality cell modeled</x:v>
      </x:c>
      <x:c r="K4026" s="67" t="str">
        <x:v>https://www.stonealgo.com/diamond-prices/</x:v>
      </x:c>
      <x:c r="L4026" s="67" t="str">
        <x:v>https://www.pricescope.com/blog/natural-diamond-prices-september-2026</x:v>
      </x:c>
    </x:row>
    <x:row r="4027">
      <x:c r="A4027" t="n">
        <x:v>7</x:v>
      </x:c>
      <x:c r="B4027" t="str">
        <x:v>Princess</x:v>
      </x:c>
      <x:c r="C4027" t="str">
        <x:v>K</x:v>
      </x:c>
      <x:c r="D4027" t="str">
        <x:v>IF</x:v>
      </x:c>
      <x:c r="E4027" s="36" t="n">
        <x:v>112000</x:v>
      </x:c>
      <x:c r="F4027" s="36" t="n">
        <x:v>2743</x:v>
      </x:c>
      <x:c r="G4027" s="42" t="n">
        <x:v>0.5883740883740883</x:v>
      </x:c>
      <x:c r="H4027" s="36" t="n">
        <x:f>E4027*G4027</x:f>
        <x:v>65897.8978978979</x:v>
      </x:c>
      <x:c r="I4027" s="36" t="n">
        <x:f>IFERROR(H4027/A4027,0)</x:f>
        <x:v>9413.985413985414</x:v>
      </x:c>
      <x:c r="J4027" s="67" t="str">
        <x:v>Modeled from live base + Sep-2026 quality ratio</x:v>
      </x:c>
      <x:c r="K4027" s="67" t="str">
        <x:v>https://www.stonealgo.com/diamond-prices/</x:v>
      </x:c>
      <x:c r="L4027" s="67" t="str">
        <x:v>https://www.pricescope.com/blog/natural-diamond-prices-september-2026</x:v>
      </x:c>
    </x:row>
    <x:row r="4028">
      <x:c r="A4028" t="n">
        <x:v>7</x:v>
      </x:c>
      <x:c r="B4028" t="str">
        <x:v>Princess</x:v>
      </x:c>
      <x:c r="C4028" t="str">
        <x:v>K</x:v>
      </x:c>
      <x:c r="D4028" t="str">
        <x:v>VVS1</x:v>
      </x:c>
      <x:c r="E4028" s="36" t="n">
        <x:v>112000</x:v>
      </x:c>
      <x:c r="F4028" s="36" t="n">
        <x:v>2529</x:v>
      </x:c>
      <x:c r="G4028" s="42" t="n">
        <x:v>0.5424710424710425</x:v>
      </x:c>
      <x:c r="H4028" s="36" t="n">
        <x:f>E4028*G4028</x:f>
        <x:v>60756.75675675676</x:v>
      </x:c>
      <x:c r="I4028" s="36" t="n">
        <x:f>IFERROR(H4028/A4028,0)</x:f>
        <x:v>8679.53667953668</x:v>
      </x:c>
      <x:c r="J4028" s="67" t="str">
        <x:v>Modeled from live base + Sep-2026 quality ratio</x:v>
      </x:c>
      <x:c r="K4028" s="67" t="str">
        <x:v>https://www.stonealgo.com/diamond-prices/</x:v>
      </x:c>
      <x:c r="L4028" s="67" t="str">
        <x:v>https://www.pricescope.com/blog/natural-diamond-prices-september-2026</x:v>
      </x:c>
    </x:row>
    <x:row r="4029">
      <x:c r="A4029" t="n">
        <x:v>7</x:v>
      </x:c>
      <x:c r="B4029" t="str">
        <x:v>Princess</x:v>
      </x:c>
      <x:c r="C4029" t="str">
        <x:v>K</x:v>
      </x:c>
      <x:c r="D4029" t="str">
        <x:v>VVS2</x:v>
      </x:c>
      <x:c r="E4029" s="36" t="n">
        <x:v>112000</x:v>
      </x:c>
      <x:c r="F4029" s="36" t="n">
        <x:v>2374</x:v>
      </x:c>
      <x:c r="G4029" s="42" t="n">
        <x:v>0.5092235092235092</x:v>
      </x:c>
      <x:c r="H4029" s="36" t="n">
        <x:f>E4029*G4029</x:f>
        <x:v>57033.03303303303</x:v>
      </x:c>
      <x:c r="I4029" s="36" t="n">
        <x:f>IFERROR(H4029/A4029,0)</x:f>
        <x:v>8147.576147576147</x:v>
      </x:c>
      <x:c r="J4029" s="67" t="str">
        <x:v>Modeled from live base + Sep-2026 quality ratio</x:v>
      </x:c>
      <x:c r="K4029" s="67" t="str">
        <x:v>https://www.stonealgo.com/diamond-prices/</x:v>
      </x:c>
      <x:c r="L4029" s="67" t="str">
        <x:v>https://www.pricescope.com/blog/natural-diamond-prices-september-2026</x:v>
      </x:c>
    </x:row>
    <x:row r="4030">
      <x:c r="A4030" t="n">
        <x:v>7</x:v>
      </x:c>
      <x:c r="B4030" t="str">
        <x:v>Princess</x:v>
      </x:c>
      <x:c r="C4030" t="str">
        <x:v>K</x:v>
      </x:c>
      <x:c r="D4030" t="str">
        <x:v>VS1</x:v>
      </x:c>
      <x:c r="E4030" s="36" t="n">
        <x:v>112000</x:v>
      </x:c>
      <x:c r="F4030" s="36" t="n">
        <x:v>2223</x:v>
      </x:c>
      <x:c r="G4030" s="42" t="n">
        <x:v>0.4768339768339768</x:v>
      </x:c>
      <x:c r="H4030" s="36" t="n">
        <x:f>E4030*G4030</x:f>
        <x:v>53405.40540540541</x:v>
      </x:c>
      <x:c r="I4030" s="36" t="n">
        <x:f>IFERROR(H4030/A4030,0)</x:f>
        <x:v>7629.34362934363</x:v>
      </x:c>
      <x:c r="J4030" s="67" t="str">
        <x:v>Modeled from live base + Sep-2026 quality ratio</x:v>
      </x:c>
      <x:c r="K4030" s="67" t="str">
        <x:v>https://www.stonealgo.com/diamond-prices/</x:v>
      </x:c>
      <x:c r="L4030" s="67" t="str">
        <x:v>https://www.pricescope.com/blog/natural-diamond-prices-september-2026</x:v>
      </x:c>
    </x:row>
    <x:row r="4031">
      <x:c r="A4031" t="n">
        <x:v>7</x:v>
      </x:c>
      <x:c r="B4031" t="str">
        <x:v>Princess</x:v>
      </x:c>
      <x:c r="C4031" t="str">
        <x:v>K</x:v>
      </x:c>
      <x:c r="D4031" t="str">
        <x:v>VS2</x:v>
      </x:c>
      <x:c r="E4031" s="36" t="n">
        <x:v>112000</x:v>
      </x:c>
      <x:c r="F4031" s="36" t="n">
        <x:v>2098</x:v>
      </x:c>
      <x:c r="G4031" s="42" t="n">
        <x:v>0.45002145002145</x:v>
      </x:c>
      <x:c r="H4031" s="36" t="n">
        <x:f>E4031*G4031</x:f>
        <x:v>50402.4024024024</x:v>
      </x:c>
      <x:c r="I4031" s="36" t="n">
        <x:f>IFERROR(H4031/A4031,0)</x:f>
        <x:v>7200.3432003432</x:v>
      </x:c>
      <x:c r="J4031" s="67" t="str">
        <x:v>Modeled from live base + Sep-2026 quality ratio</x:v>
      </x:c>
      <x:c r="K4031" s="67" t="str">
        <x:v>https://www.stonealgo.com/diamond-prices/</x:v>
      </x:c>
      <x:c r="L4031" s="67" t="str">
        <x:v>https://www.pricescope.com/blog/natural-diamond-prices-september-2026</x:v>
      </x:c>
    </x:row>
    <x:row r="4032">
      <x:c r="A4032" t="n">
        <x:v>7</x:v>
      </x:c>
      <x:c r="B4032" t="str">
        <x:v>Princess</x:v>
      </x:c>
      <x:c r="C4032" t="str">
        <x:v>K</x:v>
      </x:c>
      <x:c r="D4032" t="str">
        <x:v>SI1</x:v>
      </x:c>
      <x:c r="E4032" s="36" t="n">
        <x:v>112000</x:v>
      </x:c>
      <x:c r="F4032" s="36" t="n">
        <x:v>1922</x:v>
      </x:c>
      <x:c r="G4032" s="42" t="n">
        <x:v>0.41226941226941227</x:v>
      </x:c>
      <x:c r="H4032" s="36" t="n">
        <x:f>E4032*G4032</x:f>
        <x:v>46174.17417417417</x:v>
      </x:c>
      <x:c r="I4032" s="36" t="n">
        <x:f>IFERROR(H4032/A4032,0)</x:f>
        <x:v>6596.310596310596</x:v>
      </x:c>
      <x:c r="J4032" s="67" t="str">
        <x:v>Modeled from live base + Sep-2026 quality ratio</x:v>
      </x:c>
      <x:c r="K4032" s="67" t="str">
        <x:v>https://www.stonealgo.com/diamond-prices/</x:v>
      </x:c>
      <x:c r="L4032" s="67" t="str">
        <x:v>https://www.pricescope.com/blog/natural-diamond-prices-september-2026</x:v>
      </x:c>
    </x:row>
    <x:row r="4033">
      <x:c r="A4033" t="n">
        <x:v>7</x:v>
      </x:c>
      <x:c r="B4033" t="str">
        <x:v>Princess</x:v>
      </x:c>
      <x:c r="C4033" t="str">
        <x:v>K</x:v>
      </x:c>
      <x:c r="D4033" t="str">
        <x:v>SI2</x:v>
      </x:c>
      <x:c r="E4033" s="36" t="n">
        <x:v>112000</x:v>
      </x:c>
      <x:c r="F4033" s="36" t="n">
        <x:v>1764</x:v>
      </x:c>
      <x:c r="G4033" s="42" t="n">
        <x:v>0.3783783783783784</x:v>
      </x:c>
      <x:c r="H4033" s="36" t="n">
        <x:f>E4033*G4033</x:f>
        <x:v>42378.37837837838</x:v>
      </x:c>
      <x:c r="I4033" s="36" t="n">
        <x:f>IFERROR(H4033/A4033,0)</x:f>
        <x:v>6054.054054054054</x:v>
      </x:c>
      <x:c r="J4033" s="67" t="str">
        <x:v>Modeled from live base + Sep-2026 quality ratio</x:v>
      </x:c>
      <x:c r="K4033" s="67" t="str">
        <x:v>https://www.stonealgo.com/diamond-prices/</x:v>
      </x:c>
      <x:c r="L4033" s="67" t="str">
        <x:v>https://www.pricescope.com/blog/natural-diamond-prices-september-2026</x:v>
      </x:c>
    </x:row>
    <x:row r="4034">
      <x:c r="A4034" t="n">
        <x:v>7</x:v>
      </x:c>
      <x:c r="B4034" t="str">
        <x:v>Emerald</x:v>
      </x:c>
      <x:c r="C4034" t="str">
        <x:v>D</x:v>
      </x:c>
      <x:c r="D4034" t="str">
        <x:v>FL</x:v>
      </x:c>
      <x:c r="E4034" s="36" t="n">
        <x:v>211000</x:v>
      </x:c>
      <x:c r="F4034" s="36" t="n">
        <x:v>12665</x:v>
      </x:c>
      <x:c r="G4034" s="42" t="n">
        <x:v>2.7166452166452166</x:v>
      </x:c>
      <x:c r="H4034" s="36" t="n">
        <x:f>E4034*G4034</x:f>
        <x:v>573212.1407121407</x:v>
      </x:c>
      <x:c r="I4034" s="36" t="n">
        <x:f>IFERROR(H4034/A4034,0)</x:f>
        <x:v>81887.44867316296</x:v>
      </x:c>
      <x:c r="J4034" s="67" t="str">
        <x:v>Modeled from live base + Sep-2026 quality ratio</x:v>
      </x:c>
      <x:c r="K4034" s="67" t="str">
        <x:v>https://www.stonealgo.com/diamond-prices/</x:v>
      </x:c>
      <x:c r="L4034" s="67" t="str">
        <x:v>https://www.pricescope.com/blog/natural-diamond-prices-september-2026</x:v>
      </x:c>
    </x:row>
    <x:row r="4035">
      <x:c r="A4035" t="n">
        <x:v>7</x:v>
      </x:c>
      <x:c r="B4035" t="str">
        <x:v>Emerald</x:v>
      </x:c>
      <x:c r="C4035" t="str">
        <x:v>D</x:v>
      </x:c>
      <x:c r="D4035" t="str">
        <x:v>IF</x:v>
      </x:c>
      <x:c r="E4035" s="36" t="n">
        <x:v>211000</x:v>
      </x:c>
      <x:c r="F4035" s="36" t="n">
        <x:v>13240</x:v>
      </x:c>
      <x:c r="G4035" s="42" t="n">
        <x:v>2.83998283998284</x:v>
      </x:c>
      <x:c r="H4035" s="36" t="n">
        <x:f>E4035*G4035</x:f>
        <x:v>599236.3792363793</x:v>
      </x:c>
      <x:c r="I4035" s="36" t="n">
        <x:f>IFERROR(H4035/A4035,0)</x:f>
        <x:v>85605.19703376848</x:v>
      </x:c>
      <x:c r="J4035" s="67" t="str">
        <x:v>Modeled from live base + Sep-2026 quality ratio</x:v>
      </x:c>
      <x:c r="K4035" s="67" t="str">
        <x:v>https://www.stonealgo.com/diamond-prices/</x:v>
      </x:c>
      <x:c r="L4035" s="67" t="str">
        <x:v>https://www.pricescope.com/blog/natural-diamond-prices-september-2026</x:v>
      </x:c>
    </x:row>
    <x:row r="4036">
      <x:c r="A4036" t="n">
        <x:v>7</x:v>
      </x:c>
      <x:c r="B4036" t="str">
        <x:v>Emerald</x:v>
      </x:c>
      <x:c r="C4036" t="str">
        <x:v>D</x:v>
      </x:c>
      <x:c r="D4036" t="str">
        <x:v>VVS1</x:v>
      </x:c>
      <x:c r="E4036" s="36" t="n">
        <x:v>211000</x:v>
      </x:c>
      <x:c r="F4036" s="36" t="n">
        <x:v>9555</x:v>
      </x:c>
      <x:c r="G4036" s="42" t="n">
        <x:v>2.0495495495495497</x:v>
      </x:c>
      <x:c r="H4036" s="36" t="n">
        <x:f>E4036*G4036</x:f>
        <x:v>432454.95495495497</x:v>
      </x:c>
      <x:c r="I4036" s="36" t="n">
        <x:f>IFERROR(H4036/A4036,0)</x:f>
        <x:v>61779.27927927928</x:v>
      </x:c>
      <x:c r="J4036" s="67" t="str">
        <x:v>Modeled from live base + Sep-2026 quality ratio</x:v>
      </x:c>
      <x:c r="K4036" s="67" t="str">
        <x:v>https://www.stonealgo.com/diamond-prices/</x:v>
      </x:c>
      <x:c r="L4036" s="67" t="str">
        <x:v>https://www.pricescope.com/blog/natural-diamond-prices-september-2026</x:v>
      </x:c>
    </x:row>
    <x:row r="4037">
      <x:c r="A4037" t="n">
        <x:v>7</x:v>
      </x:c>
      <x:c r="B4037" t="str">
        <x:v>Emerald</x:v>
      </x:c>
      <x:c r="C4037" t="str">
        <x:v>D</x:v>
      </x:c>
      <x:c r="D4037" t="str">
        <x:v>VVS2</x:v>
      </x:c>
      <x:c r="E4037" s="36" t="n">
        <x:v>211000</x:v>
      </x:c>
      <x:c r="F4037" s="36" t="n">
        <x:v>6660</x:v>
      </x:c>
      <x:c r="G4037" s="42" t="n">
        <x:v>1.4285714285714286</x:v>
      </x:c>
      <x:c r="H4037" s="36" t="n">
        <x:f>E4037*G4037</x:f>
        <x:v>301428.5714285714</x:v>
      </x:c>
      <x:c r="I4037" s="36" t="n">
        <x:f>IFERROR(H4037/A4037,0)</x:f>
        <x:v>43061.22448979592</x:v>
      </x:c>
      <x:c r="J4037" s="67" t="str">
        <x:v>Modeled from live base + Sep-2026 quality ratio</x:v>
      </x:c>
      <x:c r="K4037" s="67" t="str">
        <x:v>https://www.stonealgo.com/diamond-prices/</x:v>
      </x:c>
      <x:c r="L4037" s="67" t="str">
        <x:v>https://www.pricescope.com/blog/natural-diamond-prices-september-2026</x:v>
      </x:c>
    </x:row>
    <x:row r="4038">
      <x:c r="A4038" t="n">
        <x:v>7</x:v>
      </x:c>
      <x:c r="B4038" t="str">
        <x:v>Emerald</x:v>
      </x:c>
      <x:c r="C4038" t="str">
        <x:v>D</x:v>
      </x:c>
      <x:c r="D4038" t="str">
        <x:v>VS1</x:v>
      </x:c>
      <x:c r="E4038" s="36" t="n">
        <x:v>211000</x:v>
      </x:c>
      <x:c r="F4038" s="36" t="n">
        <x:v>6247</x:v>
      </x:c>
      <x:c r="G4038" s="42" t="n">
        <x:v>1.33998283998284</x:v>
      </x:c>
      <x:c r="H4038" s="36" t="n">
        <x:f>E4038*G4038</x:f>
        <x:v>282736.37923637923</x:v>
      </x:c>
      <x:c r="I4038" s="36" t="n">
        <x:f>IFERROR(H4038/A4038,0)</x:f>
        <x:v>40390.911319482744</x:v>
      </x:c>
      <x:c r="J4038" s="67" t="str">
        <x:v>Modeled from live base + Sep-2026 quality ratio</x:v>
      </x:c>
      <x:c r="K4038" s="67" t="str">
        <x:v>https://www.stonealgo.com/diamond-prices/</x:v>
      </x:c>
      <x:c r="L4038" s="67" t="str">
        <x:v>https://www.pricescope.com/blog/natural-diamond-prices-september-2026</x:v>
      </x:c>
    </x:row>
    <x:row r="4039">
      <x:c r="A4039" t="n">
        <x:v>7</x:v>
      </x:c>
      <x:c r="B4039" t="str">
        <x:v>Emerald</x:v>
      </x:c>
      <x:c r="C4039" t="str">
        <x:v>D</x:v>
      </x:c>
      <x:c r="D4039" t="str">
        <x:v>VS2</x:v>
      </x:c>
      <x:c r="E4039" s="36" t="n">
        <x:v>211000</x:v>
      </x:c>
      <x:c r="F4039" s="36" t="n">
        <x:v>5841</x:v>
      </x:c>
      <x:c r="G4039" s="42" t="n">
        <x:v>1.252895752895753</x:v>
      </x:c>
      <x:c r="H4039" s="36" t="n">
        <x:f>E4039*G4039</x:f>
        <x:v>264361.00386100385</x:v>
      </x:c>
      <x:c r="I4039" s="36" t="n">
        <x:f>IFERROR(H4039/A4039,0)</x:f>
        <x:v>37765.85769442912</x:v>
      </x:c>
      <x:c r="J4039" s="67" t="str">
        <x:v>Modeled from live base + Sep-2026 quality ratio</x:v>
      </x:c>
      <x:c r="K4039" s="67" t="str">
        <x:v>https://www.stonealgo.com/diamond-prices/</x:v>
      </x:c>
      <x:c r="L4039" s="67" t="str">
        <x:v>https://www.pricescope.com/blog/natural-diamond-prices-september-2026</x:v>
      </x:c>
    </x:row>
    <x:row r="4040">
      <x:c r="A4040" t="n">
        <x:v>7</x:v>
      </x:c>
      <x:c r="B4040" t="str">
        <x:v>Emerald</x:v>
      </x:c>
      <x:c r="C4040" t="str">
        <x:v>D</x:v>
      </x:c>
      <x:c r="D4040" t="str">
        <x:v>SI1</x:v>
      </x:c>
      <x:c r="E4040" s="36" t="n">
        <x:v>211000</x:v>
      </x:c>
      <x:c r="F4040" s="36" t="n">
        <x:v>3762</x:v>
      </x:c>
      <x:c r="G4040" s="42" t="n">
        <x:v>0.806949806949807</x:v>
      </x:c>
      <x:c r="H4040" s="36" t="n">
        <x:f>E4040*G4040</x:f>
        <x:v>170266.4092664093</x:v>
      </x:c>
      <x:c r="I4040" s="36" t="n">
        <x:f>IFERROR(H4040/A4040,0)</x:f>
        <x:v>24323.772752344183</x:v>
      </x:c>
      <x:c r="J4040" s="67" t="str">
        <x:v>Modeled from live base + Sep-2026 quality ratio</x:v>
      </x:c>
      <x:c r="K4040" s="67" t="str">
        <x:v>https://www.stonealgo.com/diamond-prices/</x:v>
      </x:c>
      <x:c r="L4040" s="67" t="str">
        <x:v>https://www.pricescope.com/blog/natural-diamond-prices-september-2026</x:v>
      </x:c>
    </x:row>
    <x:row r="4041">
      <x:c r="A4041" t="n">
        <x:v>7</x:v>
      </x:c>
      <x:c r="B4041" t="str">
        <x:v>Emerald</x:v>
      </x:c>
      <x:c r="C4041" t="str">
        <x:v>D</x:v>
      </x:c>
      <x:c r="D4041" t="str">
        <x:v>SI2</x:v>
      </x:c>
      <x:c r="E4041" s="36" t="n">
        <x:v>211000</x:v>
      </x:c>
      <x:c r="F4041" s="36" t="n">
        <x:v>3026</x:v>
      </x:c>
      <x:c r="G4041" s="42" t="n">
        <x:v>0.6490776490776491</x:v>
      </x:c>
      <x:c r="H4041" s="36" t="n">
        <x:f>E4041*G4041</x:f>
        <x:v>136955.38395538396</x:v>
      </x:c>
      <x:c r="I4041" s="36" t="n">
        <x:f>IFERROR(H4041/A4041,0)</x:f>
        <x:v>19565.05485076914</x:v>
      </x:c>
      <x:c r="J4041" s="67" t="str">
        <x:v>Modeled from live base + Sep-2026 quality ratio</x:v>
      </x:c>
      <x:c r="K4041" s="67" t="str">
        <x:v>https://www.stonealgo.com/diamond-prices/</x:v>
      </x:c>
      <x:c r="L4041" s="67" t="str">
        <x:v>https://www.pricescope.com/blog/natural-diamond-prices-september-2026</x:v>
      </x:c>
    </x:row>
    <x:row r="4042">
      <x:c r="A4042" t="n">
        <x:v>7</x:v>
      </x:c>
      <x:c r="B4042" t="str">
        <x:v>Emerald</x:v>
      </x:c>
      <x:c r="C4042" t="str">
        <x:v>E</x:v>
      </x:c>
      <x:c r="D4042" t="str">
        <x:v>FL</x:v>
      </x:c>
      <x:c r="E4042" s="36" t="n">
        <x:v>211000</x:v>
      </x:c>
      <x:c r="F4042" s="36" t="n">
        <x:v>10072</x:v>
      </x:c>
      <x:c r="G4042" s="42" t="n">
        <x:v>2.1604461604461602</x:v>
      </x:c>
      <x:c r="H4042" s="36" t="n">
        <x:f>E4042*G4042</x:f>
        <x:v>455854.1398541398</x:v>
      </x:c>
      <x:c r="I4042" s="36" t="n">
        <x:f>IFERROR(H4042/A4042,0)</x:f>
        <x:v>65122.01997916283</x:v>
      </x:c>
      <x:c r="J4042" s="67" t="str">
        <x:v>Modeled from live base + Sep-2026 quality ratio</x:v>
      </x:c>
      <x:c r="K4042" s="67" t="str">
        <x:v>https://www.stonealgo.com/diamond-prices/</x:v>
      </x:c>
      <x:c r="L4042" s="67" t="str">
        <x:v>https://www.pricescope.com/blog/natural-diamond-prices-september-2026</x:v>
      </x:c>
    </x:row>
    <x:row r="4043">
      <x:c r="A4043" t="n">
        <x:v>7</x:v>
      </x:c>
      <x:c r="B4043" t="str">
        <x:v>Emerald</x:v>
      </x:c>
      <x:c r="C4043" t="str">
        <x:v>E</x:v>
      </x:c>
      <x:c r="D4043" t="str">
        <x:v>IF</x:v>
      </x:c>
      <x:c r="E4043" s="36" t="n">
        <x:v>211000</x:v>
      </x:c>
      <x:c r="F4043" s="36" t="n">
        <x:v>8672</x:v>
      </x:c>
      <x:c r="G4043" s="42" t="n">
        <x:v>1.8601458601458603</x:v>
      </x:c>
      <x:c r="H4043" s="36" t="n">
        <x:f>E4043*G4043</x:f>
        <x:v>392490.7764907765</x:v>
      </x:c>
      <x:c r="I4043" s="36" t="n">
        <x:f>IFERROR(H4043/A4043,0)</x:f>
        <x:v>56070.11092725379</x:v>
      </x:c>
      <x:c r="J4043" s="67" t="str">
        <x:v>Modeled from live base + Sep-2026 quality ratio</x:v>
      </x:c>
      <x:c r="K4043" s="67" t="str">
        <x:v>https://www.stonealgo.com/diamond-prices/</x:v>
      </x:c>
      <x:c r="L4043" s="67" t="str">
        <x:v>https://www.pricescope.com/blog/natural-diamond-prices-september-2026</x:v>
      </x:c>
    </x:row>
    <x:row r="4044">
      <x:c r="A4044" t="n">
        <x:v>7</x:v>
      </x:c>
      <x:c r="B4044" t="str">
        <x:v>Emerald</x:v>
      </x:c>
      <x:c r="C4044" t="str">
        <x:v>E</x:v>
      </x:c>
      <x:c r="D4044" t="str">
        <x:v>VVS1</x:v>
      </x:c>
      <x:c r="E4044" s="36" t="n">
        <x:v>211000</x:v>
      </x:c>
      <x:c r="F4044" s="36" t="n">
        <x:v>7842</x:v>
      </x:c>
      <x:c r="G4044" s="42" t="n">
        <x:v>1.6821106821106822</x:v>
      </x:c>
      <x:c r="H4044" s="36" t="n">
        <x:f>E4044*G4044</x:f>
        <x:v>354925.3539253539</x:v>
      </x:c>
      <x:c r="I4044" s="36" t="n">
        <x:f>IFERROR(H4044/A4044,0)</x:f>
        <x:v>50703.62198933627</x:v>
      </x:c>
      <x:c r="J4044" s="67" t="str">
        <x:v>Modeled from live base + Sep-2026 quality ratio</x:v>
      </x:c>
      <x:c r="K4044" s="67" t="str">
        <x:v>https://www.stonealgo.com/diamond-prices/</x:v>
      </x:c>
      <x:c r="L4044" s="67" t="str">
        <x:v>https://www.pricescope.com/blog/natural-diamond-prices-september-2026</x:v>
      </x:c>
    </x:row>
    <x:row r="4045">
      <x:c r="A4045" t="n">
        <x:v>7</x:v>
      </x:c>
      <x:c r="B4045" t="str">
        <x:v>Emerald</x:v>
      </x:c>
      <x:c r="C4045" t="str">
        <x:v>E</x:v>
      </x:c>
      <x:c r="D4045" t="str">
        <x:v>VVS2</x:v>
      </x:c>
      <x:c r="E4045" s="36" t="n">
        <x:v>211000</x:v>
      </x:c>
      <x:c r="F4045" s="36" t="n">
        <x:v>6880</x:v>
      </x:c>
      <x:c r="G4045" s="42" t="n">
        <x:v>1.4757614757614759</x:v>
      </x:c>
      <x:c r="H4045" s="36" t="n">
        <x:f>E4045*G4045</x:f>
        <x:v>311385.6713856714</x:v>
      </x:c>
      <x:c r="I4045" s="36" t="n">
        <x:f>IFERROR(H4045/A4045,0)</x:f>
        <x:v>44483.6673408102</x:v>
      </x:c>
      <x:c r="J4045" s="67" t="str">
        <x:v>Modeled from live base + Sep-2026 quality ratio</x:v>
      </x:c>
      <x:c r="K4045" s="67" t="str">
        <x:v>https://www.stonealgo.com/diamond-prices/</x:v>
      </x:c>
      <x:c r="L4045" s="67" t="str">
        <x:v>https://www.pricescope.com/blog/natural-diamond-prices-september-2026</x:v>
      </x:c>
    </x:row>
    <x:row r="4046">
      <x:c r="A4046" t="n">
        <x:v>7</x:v>
      </x:c>
      <x:c r="B4046" t="str">
        <x:v>Emerald</x:v>
      </x:c>
      <x:c r="C4046" t="str">
        <x:v>E</x:v>
      </x:c>
      <x:c r="D4046" t="str">
        <x:v>VS1</x:v>
      </x:c>
      <x:c r="E4046" s="36" t="n">
        <x:v>211000</x:v>
      </x:c>
      <x:c r="F4046" s="36" t="n">
        <x:v>6307</x:v>
      </x:c>
      <x:c r="G4046" s="42" t="n">
        <x:v>1.352852852852853</x:v>
      </x:c>
      <x:c r="H4046" s="36" t="n">
        <x:f>E4046*G4046</x:f>
        <x:v>285451.95195195195</x:v>
      </x:c>
      <x:c r="I4046" s="36" t="n">
        <x:f>IFERROR(H4046/A4046,0)</x:f>
        <x:v>40778.85027885028</x:v>
      </x:c>
      <x:c r="J4046" s="67" t="str">
        <x:v>Modeled from live base + Sep-2026 quality ratio</x:v>
      </x:c>
      <x:c r="K4046" s="67" t="str">
        <x:v>https://www.stonealgo.com/diamond-prices/</x:v>
      </x:c>
      <x:c r="L4046" s="67" t="str">
        <x:v>https://www.pricescope.com/blog/natural-diamond-prices-september-2026</x:v>
      </x:c>
    </x:row>
    <x:row r="4047">
      <x:c r="A4047" t="n">
        <x:v>7</x:v>
      </x:c>
      <x:c r="B4047" t="str">
        <x:v>Emerald</x:v>
      </x:c>
      <x:c r="C4047" t="str">
        <x:v>E</x:v>
      </x:c>
      <x:c r="D4047" t="str">
        <x:v>VS2</x:v>
      </x:c>
      <x:c r="E4047" s="36" t="n">
        <x:v>211000</x:v>
      </x:c>
      <x:c r="F4047" s="36" t="n">
        <x:v>5249</x:v>
      </x:c>
      <x:c r="G4047" s="42" t="n">
        <x:v>1.125911625911626</x:v>
      </x:c>
      <x:c r="H4047" s="36" t="n">
        <x:f>E4047*G4047</x:f>
        <x:v>237567.35306735308</x:v>
      </x:c>
      <x:c r="I4047" s="36" t="n">
        <x:f>IFERROR(H4047/A4047,0)</x:f>
        <x:v>33938.193295336154</x:v>
      </x:c>
      <x:c r="J4047" s="67" t="str">
        <x:v>Modeled from live base + Sep-2026 quality ratio</x:v>
      </x:c>
      <x:c r="K4047" s="67" t="str">
        <x:v>https://www.stonealgo.com/diamond-prices/</x:v>
      </x:c>
      <x:c r="L4047" s="67" t="str">
        <x:v>https://www.pricescope.com/blog/natural-diamond-prices-september-2026</x:v>
      </x:c>
    </x:row>
    <x:row r="4048">
      <x:c r="A4048" t="n">
        <x:v>7</x:v>
      </x:c>
      <x:c r="B4048" t="str">
        <x:v>Emerald</x:v>
      </x:c>
      <x:c r="C4048" t="str">
        <x:v>E</x:v>
      </x:c>
      <x:c r="D4048" t="str">
        <x:v>SI1</x:v>
      </x:c>
      <x:c r="E4048" s="36" t="n">
        <x:v>211000</x:v>
      </x:c>
      <x:c r="F4048" s="36" t="n">
        <x:v>3551</x:v>
      </x:c>
      <x:c r="G4048" s="42" t="n">
        <x:v>0.7616902616902617</x:v>
      </x:c>
      <x:c r="H4048" s="36" t="n">
        <x:f>E4048*G4048</x:f>
        <x:v>160716.6452166452</x:v>
      </x:c>
      <x:c r="I4048" s="36" t="n">
        <x:f>IFERROR(H4048/A4048,0)</x:f>
        <x:v>22959.52074523503</x:v>
      </x:c>
      <x:c r="J4048" s="67" t="str">
        <x:v>Modeled from live base + Sep-2026 quality ratio</x:v>
      </x:c>
      <x:c r="K4048" s="67" t="str">
        <x:v>https://www.stonealgo.com/diamond-prices/</x:v>
      </x:c>
      <x:c r="L4048" s="67" t="str">
        <x:v>https://www.pricescope.com/blog/natural-diamond-prices-september-2026</x:v>
      </x:c>
    </x:row>
    <x:row r="4049">
      <x:c r="A4049" t="n">
        <x:v>7</x:v>
      </x:c>
      <x:c r="B4049" t="str">
        <x:v>Emerald</x:v>
      </x:c>
      <x:c r="C4049" t="str">
        <x:v>E</x:v>
      </x:c>
      <x:c r="D4049" t="str">
        <x:v>SI2</x:v>
      </x:c>
      <x:c r="E4049" s="36" t="n">
        <x:v>211000</x:v>
      </x:c>
      <x:c r="F4049" s="36" t="n">
        <x:v>2993</x:v>
      </x:c>
      <x:c r="G4049" s="42" t="n">
        <x:v>0.641999141999142</x:v>
      </x:c>
      <x:c r="H4049" s="36" t="n">
        <x:f>E4049*G4049</x:f>
        <x:v>135461.81896181896</x:v>
      </x:c>
      <x:c r="I4049" s="36" t="n">
        <x:f>IFERROR(H4049/A4049,0)</x:f>
        <x:v>19351.688423116993</x:v>
      </x:c>
      <x:c r="J4049" s="67" t="str">
        <x:v>Modeled from live base + Sep-2026 quality ratio</x:v>
      </x:c>
      <x:c r="K4049" s="67" t="str">
        <x:v>https://www.stonealgo.com/diamond-prices/</x:v>
      </x:c>
      <x:c r="L4049" s="67" t="str">
        <x:v>https://www.pricescope.com/blog/natural-diamond-prices-september-2026</x:v>
      </x:c>
    </x:row>
    <x:row r="4050">
      <x:c r="A4050" t="n">
        <x:v>7</x:v>
      </x:c>
      <x:c r="B4050" t="str">
        <x:v>Emerald</x:v>
      </x:c>
      <x:c r="C4050" t="str">
        <x:v>F</x:v>
      </x:c>
      <x:c r="D4050" t="str">
        <x:v>FL</x:v>
      </x:c>
      <x:c r="E4050" s="36" t="n">
        <x:v>211000</x:v>
      </x:c>
      <x:c r="F4050" s="36" t="n">
        <x:v>6830</x:v>
      </x:c>
      <x:c r="G4050" s="42" t="n">
        <x:v>1.4650364650364651</x:v>
      </x:c>
      <x:c r="H4050" s="36" t="n">
        <x:f>E4050*G4050</x:f>
        <x:v>309122.69412269414</x:v>
      </x:c>
      <x:c r="I4050" s="36" t="n">
        <x:f>IFERROR(H4050/A4050,0)</x:f>
        <x:v>44160.38487467059</x:v>
      </x:c>
      <x:c r="J4050" s="67" t="str">
        <x:v>Modeled from live base + Sep-2026 quality ratio</x:v>
      </x:c>
      <x:c r="K4050" s="67" t="str">
        <x:v>https://www.stonealgo.com/diamond-prices/</x:v>
      </x:c>
      <x:c r="L4050" s="67" t="str">
        <x:v>https://www.pricescope.com/blog/natural-diamond-prices-september-2026</x:v>
      </x:c>
    </x:row>
    <x:row r="4051">
      <x:c r="A4051" t="n">
        <x:v>7</x:v>
      </x:c>
      <x:c r="B4051" t="str">
        <x:v>Emerald</x:v>
      </x:c>
      <x:c r="C4051" t="str">
        <x:v>F</x:v>
      </x:c>
      <x:c r="D4051" t="str">
        <x:v>IF</x:v>
      </x:c>
      <x:c r="E4051" s="36" t="n">
        <x:v>211000</x:v>
      </x:c>
      <x:c r="F4051" s="36" t="n">
        <x:v>7302</x:v>
      </x:c>
      <x:c r="G4051" s="42" t="n">
        <x:v>1.5662805662805663</x:v>
      </x:c>
      <x:c r="H4051" s="36" t="n">
        <x:f>E4051*G4051</x:f>
        <x:v>330485.19948519947</x:v>
      </x:c>
      <x:c r="I4051" s="36" t="n">
        <x:f>IFERROR(H4051/A4051,0)</x:f>
        <x:v>47212.1713550285</x:v>
      </x:c>
      <x:c r="J4051" s="67" t="str">
        <x:v>Modeled from live base + Sep-2026 quality ratio</x:v>
      </x:c>
      <x:c r="K4051" s="67" t="str">
        <x:v>https://www.stonealgo.com/diamond-prices/</x:v>
      </x:c>
      <x:c r="L4051" s="67" t="str">
        <x:v>https://www.pricescope.com/blog/natural-diamond-prices-september-2026</x:v>
      </x:c>
    </x:row>
    <x:row r="4052">
      <x:c r="A4052" t="n">
        <x:v>7</x:v>
      </x:c>
      <x:c r="B4052" t="str">
        <x:v>Emerald</x:v>
      </x:c>
      <x:c r="C4052" t="str">
        <x:v>F</x:v>
      </x:c>
      <x:c r="D4052" t="str">
        <x:v>VVS1</x:v>
      </x:c>
      <x:c r="E4052" s="36" t="n">
        <x:v>211000</x:v>
      </x:c>
      <x:c r="F4052" s="36" t="n">
        <x:v>7542</x:v>
      </x:c>
      <x:c r="G4052" s="42" t="n">
        <x:v>1.6177606177606179</x:v>
      </x:c>
      <x:c r="H4052" s="36" t="n">
        <x:f>E4052*G4052</x:f>
        <x:v>341347.49034749035</x:v>
      </x:c>
      <x:c r="I4052" s="36" t="n">
        <x:f>IFERROR(H4052/A4052,0)</x:f>
        <x:v>48763.927192498624</x:v>
      </x:c>
      <x:c r="J4052" s="67" t="str">
        <x:v>Modeled from live base + Sep-2026 quality ratio</x:v>
      </x:c>
      <x:c r="K4052" s="67" t="str">
        <x:v>https://www.stonealgo.com/diamond-prices/</x:v>
      </x:c>
      <x:c r="L4052" s="67" t="str">
        <x:v>https://www.pricescope.com/blog/natural-diamond-prices-september-2026</x:v>
      </x:c>
    </x:row>
    <x:row r="4053">
      <x:c r="A4053" t="n">
        <x:v>7</x:v>
      </x:c>
      <x:c r="B4053" t="str">
        <x:v>Emerald</x:v>
      </x:c>
      <x:c r="C4053" t="str">
        <x:v>F</x:v>
      </x:c>
      <x:c r="D4053" t="str">
        <x:v>VVS2</x:v>
      </x:c>
      <x:c r="E4053" s="36" t="n">
        <x:v>211000</x:v>
      </x:c>
      <x:c r="F4053" s="36" t="n">
        <x:v>6352</x:v>
      </x:c>
      <x:c r="G4053" s="42" t="n">
        <x:v>1.3625053625053625</x:v>
      </x:c>
      <x:c r="H4053" s="36" t="n">
        <x:f>E4053*G4053</x:f>
        <x:v>287488.6314886315</x:v>
      </x:c>
      <x:c r="I4053" s="36" t="n">
        <x:f>IFERROR(H4053/A4053,0)</x:f>
        <x:v>41069.804498375925</x:v>
      </x:c>
      <x:c r="J4053" s="67" t="str">
        <x:v>Modeled from live base + Sep-2026 quality ratio</x:v>
      </x:c>
      <x:c r="K4053" s="67" t="str">
        <x:v>https://www.stonealgo.com/diamond-prices/</x:v>
      </x:c>
      <x:c r="L4053" s="67" t="str">
        <x:v>https://www.pricescope.com/blog/natural-diamond-prices-september-2026</x:v>
      </x:c>
    </x:row>
    <x:row r="4054">
      <x:c r="A4054" t="n">
        <x:v>7</x:v>
      </x:c>
      <x:c r="B4054" t="str">
        <x:v>Emerald</x:v>
      </x:c>
      <x:c r="C4054" t="str">
        <x:v>F</x:v>
      </x:c>
      <x:c r="D4054" t="str">
        <x:v>VS1</x:v>
      </x:c>
      <x:c r="E4054" s="36" t="n">
        <x:v>211000</x:v>
      </x:c>
      <x:c r="F4054" s="36" t="n">
        <x:v>5647</x:v>
      </x:c>
      <x:c r="G4054" s="42" t="n">
        <x:v>1.2112827112827114</x:v>
      </x:c>
      <x:c r="H4054" s="36" t="n">
        <x:f>E4054*G4054</x:f>
        <x:v>255580.6520806521</x:v>
      </x:c>
      <x:c r="I4054" s="36" t="n">
        <x:f>IFERROR(H4054/A4054,0)</x:f>
        <x:v>36511.52172580744</x:v>
      </x:c>
      <x:c r="J4054" s="67" t="str">
        <x:v>Modeled from live base + Sep-2026 quality ratio</x:v>
      </x:c>
      <x:c r="K4054" s="67" t="str">
        <x:v>https://www.stonealgo.com/diamond-prices/</x:v>
      </x:c>
      <x:c r="L4054" s="67" t="str">
        <x:v>https://www.pricescope.com/blog/natural-diamond-prices-september-2026</x:v>
      </x:c>
    </x:row>
    <x:row r="4055">
      <x:c r="A4055" t="n">
        <x:v>7</x:v>
      </x:c>
      <x:c r="B4055" t="str">
        <x:v>Emerald</x:v>
      </x:c>
      <x:c r="C4055" t="str">
        <x:v>F</x:v>
      </x:c>
      <x:c r="D4055" t="str">
        <x:v>VS2</x:v>
      </x:c>
      <x:c r="E4055" s="36" t="n">
        <x:v>211000</x:v>
      </x:c>
      <x:c r="F4055" s="36" t="n">
        <x:v>4730</x:v>
      </x:c>
      <x:c r="G4055" s="42" t="n">
        <x:v>1.0145860145860146</x:v>
      </x:c>
      <x:c r="H4055" s="36" t="n">
        <x:f>E4055*G4055</x:f>
        <x:v>214077.64907764908</x:v>
      </x:c>
      <x:c r="I4055" s="36" t="n">
        <x:f>IFERROR(H4055/A4055,0)</x:f>
        <x:v>30582.521296807012</x:v>
      </x:c>
      <x:c r="J4055" s="67" t="str">
        <x:v>Modeled from live base + Sep-2026 quality ratio</x:v>
      </x:c>
      <x:c r="K4055" s="67" t="str">
        <x:v>https://www.stonealgo.com/diamond-prices/</x:v>
      </x:c>
      <x:c r="L4055" s="67" t="str">
        <x:v>https://www.pricescope.com/blog/natural-diamond-prices-september-2026</x:v>
      </x:c>
    </x:row>
    <x:row r="4056">
      <x:c r="A4056" t="n">
        <x:v>7</x:v>
      </x:c>
      <x:c r="B4056" t="str">
        <x:v>Emerald</x:v>
      </x:c>
      <x:c r="C4056" t="str">
        <x:v>F</x:v>
      </x:c>
      <x:c r="D4056" t="str">
        <x:v>SI1</x:v>
      </x:c>
      <x:c r="E4056" s="36" t="n">
        <x:v>211000</x:v>
      </x:c>
      <x:c r="F4056" s="36" t="n">
        <x:v>3331</x:v>
      </x:c>
      <x:c r="G4056" s="42" t="n">
        <x:v>0.7145002145002145</x:v>
      </x:c>
      <x:c r="H4056" s="36" t="n">
        <x:f>E4056*G4056</x:f>
        <x:v>150759.54525954527</x:v>
      </x:c>
      <x:c r="I4056" s="36" t="n">
        <x:f>IFERROR(H4056/A4056,0)</x:f>
        <x:v>21537.07789422075</x:v>
      </x:c>
      <x:c r="J4056" s="67" t="str">
        <x:v>Modeled from live base + Sep-2026 quality ratio</x:v>
      </x:c>
      <x:c r="K4056" s="67" t="str">
        <x:v>https://www.stonealgo.com/diamond-prices/</x:v>
      </x:c>
      <x:c r="L4056" s="67" t="str">
        <x:v>https://www.pricescope.com/blog/natural-diamond-prices-september-2026</x:v>
      </x:c>
    </x:row>
    <x:row r="4057">
      <x:c r="A4057" t="n">
        <x:v>7</x:v>
      </x:c>
      <x:c r="B4057" t="str">
        <x:v>Emerald</x:v>
      </x:c>
      <x:c r="C4057" t="str">
        <x:v>F</x:v>
      </x:c>
      <x:c r="D4057" t="str">
        <x:v>SI2</x:v>
      </x:c>
      <x:c r="E4057" s="36" t="n">
        <x:v>211000</x:v>
      </x:c>
      <x:c r="F4057" s="36" t="n">
        <x:v>2733</x:v>
      </x:c>
      <x:c r="G4057" s="42" t="n">
        <x:v>0.5862290862290862</x:v>
      </x:c>
      <x:c r="H4057" s="36" t="n">
        <x:f>E4057*G4057</x:f>
        <x:v>123694.33719433719</x:v>
      </x:c>
      <x:c r="I4057" s="36" t="n">
        <x:f>IFERROR(H4057/A4057,0)</x:f>
        <x:v>17670.619599191028</x:v>
      </x:c>
      <x:c r="J4057" s="67" t="str">
        <x:v>Modeled from live base + Sep-2026 quality ratio</x:v>
      </x:c>
      <x:c r="K4057" s="67" t="str">
        <x:v>https://www.stonealgo.com/diamond-prices/</x:v>
      </x:c>
      <x:c r="L4057" s="67" t="str">
        <x:v>https://www.pricescope.com/blog/natural-diamond-prices-september-2026</x:v>
      </x:c>
    </x:row>
    <x:row r="4058">
      <x:c r="A4058" t="n">
        <x:v>7</x:v>
      </x:c>
      <x:c r="B4058" t="str">
        <x:v>Emerald</x:v>
      </x:c>
      <x:c r="C4058" t="str">
        <x:v>G</x:v>
      </x:c>
      <x:c r="D4058" t="str">
        <x:v>FL</x:v>
      </x:c>
      <x:c r="E4058" s="36" t="n">
        <x:v>211000</x:v>
      </x:c>
      <x:c r="F4058" s="36" t="n">
        <x:v>5905</x:v>
      </x:c>
      <x:c r="G4058" s="42" t="n">
        <x:v>1.2666237666237665</x:v>
      </x:c>
      <x:c r="H4058" s="36" t="n">
        <x:f>E4058*G4058</x:f>
        <x:v>267257.61475761473</x:v>
      </x:c>
      <x:c r="I4058" s="36" t="n">
        <x:f>IFERROR(H4058/A4058,0)</x:f>
        <x:v>38179.65925108782</x:v>
      </x:c>
      <x:c r="J4058" s="67" t="str">
        <x:v>Modeled from live base + Sep-2026 quality ratio</x:v>
      </x:c>
      <x:c r="K4058" s="67" t="str">
        <x:v>https://www.stonealgo.com/diamond-prices/</x:v>
      </x:c>
      <x:c r="L4058" s="67" t="str">
        <x:v>https://www.pricescope.com/blog/natural-diamond-prices-september-2026</x:v>
      </x:c>
    </x:row>
    <x:row r="4059">
      <x:c r="A4059" t="n">
        <x:v>7</x:v>
      </x:c>
      <x:c r="B4059" t="str">
        <x:v>Emerald</x:v>
      </x:c>
      <x:c r="C4059" t="str">
        <x:v>G</x:v>
      </x:c>
      <x:c r="D4059" t="str">
        <x:v>IF</x:v>
      </x:c>
      <x:c r="E4059" s="36" t="n">
        <x:v>211000</x:v>
      </x:c>
      <x:c r="F4059" s="36" t="n">
        <x:v>5601</x:v>
      </x:c>
      <x:c r="G4059" s="42" t="n">
        <x:v>1.2014157014157014</x:v>
      </x:c>
      <x:c r="H4059" s="36" t="n">
        <x:f>E4059*G4059</x:f>
        <x:v>253498.712998713</x:v>
      </x:c>
      <x:c r="I4059" s="36" t="n">
        <x:f>IFERROR(H4059/A4059,0)</x:f>
        <x:v>36214.101856959</x:v>
      </x:c>
      <x:c r="J4059" s="67" t="str">
        <x:v>Modeled from live base + Sep-2026 quality ratio</x:v>
      </x:c>
      <x:c r="K4059" s="67" t="str">
        <x:v>https://www.stonealgo.com/diamond-prices/</x:v>
      </x:c>
      <x:c r="L4059" s="67" t="str">
        <x:v>https://www.pricescope.com/blog/natural-diamond-prices-september-2026</x:v>
      </x:c>
    </x:row>
    <x:row r="4060">
      <x:c r="A4060" t="n">
        <x:v>7</x:v>
      </x:c>
      <x:c r="B4060" t="str">
        <x:v>Emerald</x:v>
      </x:c>
      <x:c r="C4060" t="str">
        <x:v>G</x:v>
      </x:c>
      <x:c r="D4060" t="str">
        <x:v>VVS1</x:v>
      </x:c>
      <x:c r="E4060" s="36" t="n">
        <x:v>211000</x:v>
      </x:c>
      <x:c r="F4060" s="36" t="n">
        <x:v>5124</x:v>
      </x:c>
      <x:c r="G4060" s="42" t="n">
        <x:v>1.0990990990990992</x:v>
      </x:c>
      <x:c r="H4060" s="36" t="n">
        <x:f>E4060*G4060</x:f>
        <x:v>231909.90990990994</x:v>
      </x:c>
      <x:c r="I4060" s="36" t="n">
        <x:f>IFERROR(H4060/A4060,0)</x:f>
        <x:v>33129.98712998714</x:v>
      </x:c>
      <x:c r="J4060" s="67" t="str">
        <x:v>Modeled from live base + Sep-2026 quality ratio</x:v>
      </x:c>
      <x:c r="K4060" s="67" t="str">
        <x:v>https://www.stonealgo.com/diamond-prices/</x:v>
      </x:c>
      <x:c r="L4060" s="67" t="str">
        <x:v>https://www.pricescope.com/blog/natural-diamond-prices-september-2026</x:v>
      </x:c>
    </x:row>
    <x:row r="4061">
      <x:c r="A4061" t="n">
        <x:v>7</x:v>
      </x:c>
      <x:c r="B4061" t="str">
        <x:v>Emerald</x:v>
      </x:c>
      <x:c r="C4061" t="str">
        <x:v>G</x:v>
      </x:c>
      <x:c r="D4061" t="str">
        <x:v>VVS2</x:v>
      </x:c>
      <x:c r="E4061" s="36" t="n">
        <x:v>211000</x:v>
      </x:c>
      <x:c r="F4061" s="36" t="n">
        <x:v>4962</x:v>
      </x:c>
      <x:c r="G4061" s="42" t="n">
        <x:v>1.0643500643500643</x:v>
      </x:c>
      <x:c r="H4061" s="36" t="n">
        <x:f>E4061*G4061</x:f>
        <x:v>224577.86357786358</x:v>
      </x:c>
      <x:c r="I4061" s="36" t="n">
        <x:f>IFERROR(H4061/A4061,0)</x:f>
        <x:v>32082.551939694797</x:v>
      </x:c>
      <x:c r="J4061" s="67" t="str">
        <x:v>Modeled from live base + Sep-2026 quality ratio</x:v>
      </x:c>
      <x:c r="K4061" s="67" t="str">
        <x:v>https://www.stonealgo.com/diamond-prices/</x:v>
      </x:c>
      <x:c r="L4061" s="67" t="str">
        <x:v>https://www.pricescope.com/blog/natural-diamond-prices-september-2026</x:v>
      </x:c>
    </x:row>
    <x:row r="4062">
      <x:c r="A4062" t="n">
        <x:v>7</x:v>
      </x:c>
      <x:c r="B4062" t="str">
        <x:v>Emerald</x:v>
      </x:c>
      <x:c r="C4062" t="str">
        <x:v>G</x:v>
      </x:c>
      <x:c r="D4062" t="str">
        <x:v>VS1</x:v>
      </x:c>
      <x:c r="E4062" s="36" t="n">
        <x:v>211000</x:v>
      </x:c>
      <x:c r="F4062" s="36" t="n">
        <x:v>4615</x:v>
      </x:c>
      <x:c r="G4062" s="42" t="n">
        <x:v>0.98991848991849</x:v>
      </x:c>
      <x:c r="H4062" s="36" t="n">
        <x:f>E4062*G4062</x:f>
        <x:v>208872.8013728014</x:v>
      </x:c>
      <x:c r="I4062" s="36" t="n">
        <x:f>IFERROR(H4062/A4062,0)</x:f>
        <x:v>29838.971624685913</x:v>
      </x:c>
      <x:c r="J4062" s="67" t="str">
        <x:v>Modeled from live base + Sep-2026 quality ratio</x:v>
      </x:c>
      <x:c r="K4062" s="67" t="str">
        <x:v>https://www.stonealgo.com/diamond-prices/</x:v>
      </x:c>
      <x:c r="L4062" s="67" t="str">
        <x:v>https://www.pricescope.com/blog/natural-diamond-prices-september-2026</x:v>
      </x:c>
    </x:row>
    <x:row r="4063">
      <x:c r="A4063" t="n">
        <x:v>7</x:v>
      </x:c>
      <x:c r="B4063" t="str">
        <x:v>Emerald</x:v>
      </x:c>
      <x:c r="C4063" t="str">
        <x:v>G</x:v>
      </x:c>
      <x:c r="D4063" t="str">
        <x:v>VS2</x:v>
      </x:c>
      <x:c r="E4063" s="36" t="n">
        <x:v>211000</x:v>
      </x:c>
      <x:c r="F4063" s="36" t="n">
        <x:v>4585</x:v>
      </x:c>
      <x:c r="G4063" s="42" t="n">
        <x:v>0.9834834834834835</x:v>
      </x:c>
      <x:c r="H4063" s="36" t="n">
        <x:f>E4063*G4063</x:f>
        <x:v>207515.015015015</x:v>
      </x:c>
      <x:c r="I4063" s="36" t="n">
        <x:f>IFERROR(H4063/A4063,0)</x:f>
        <x:v>29645.00214500214</x:v>
      </x:c>
      <x:c r="J4063" s="67" t="str">
        <x:v>Modeled from live base + Sep-2026 quality ratio</x:v>
      </x:c>
      <x:c r="K4063" s="67" t="str">
        <x:v>https://www.stonealgo.com/diamond-prices/</x:v>
      </x:c>
      <x:c r="L4063" s="67" t="str">
        <x:v>https://www.pricescope.com/blog/natural-diamond-prices-september-2026</x:v>
      </x:c>
    </x:row>
    <x:row r="4064">
      <x:c r="A4064" t="n">
        <x:v>7</x:v>
      </x:c>
      <x:c r="B4064" t="str">
        <x:v>Emerald</x:v>
      </x:c>
      <x:c r="C4064" t="str">
        <x:v>G</x:v>
      </x:c>
      <x:c r="D4064" t="str">
        <x:v>SI1</x:v>
      </x:c>
      <x:c r="E4064" s="36" t="n">
        <x:v>211000</x:v>
      </x:c>
      <x:c r="F4064" s="36" t="n">
        <x:v>3664</x:v>
      </x:c>
      <x:c r="G4064" s="42" t="n">
        <x:v>0.7859287859287859</x:v>
      </x:c>
      <x:c r="H4064" s="36" t="n">
        <x:f>E4064*G4064</x:f>
        <x:v>165830.97383097382</x:v>
      </x:c>
      <x:c r="I4064" s="36" t="n">
        <x:f>IFERROR(H4064/A4064,0)</x:f>
        <x:v>23690.139118710544</x:v>
      </x:c>
      <x:c r="J4064" s="67" t="str">
        <x:v>Modeled from live base + Sep-2026 quality ratio</x:v>
      </x:c>
      <x:c r="K4064" s="67" t="str">
        <x:v>https://www.stonealgo.com/diamond-prices/</x:v>
      </x:c>
      <x:c r="L4064" s="67" t="str">
        <x:v>https://www.pricescope.com/blog/natural-diamond-prices-september-2026</x:v>
      </x:c>
    </x:row>
    <x:row r="4065">
      <x:c r="A4065" t="n">
        <x:v>7</x:v>
      </x:c>
      <x:c r="B4065" t="str">
        <x:v>Emerald</x:v>
      </x:c>
      <x:c r="C4065" t="str">
        <x:v>G</x:v>
      </x:c>
      <x:c r="D4065" t="str">
        <x:v>SI2</x:v>
      </x:c>
      <x:c r="E4065" s="36" t="n">
        <x:v>211000</x:v>
      </x:c>
      <x:c r="F4065" s="36" t="n">
        <x:v>2537</x:v>
      </x:c>
      <x:c r="G4065" s="42" t="n">
        <x:v>0.5441870441870442</x:v>
      </x:c>
      <x:c r="H4065" s="36" t="n">
        <x:f>E4065*G4065</x:f>
        <x:v>114823.46632346633</x:v>
      </x:c>
      <x:c r="I4065" s="36" t="n">
        <x:f>IFERROR(H4065/A4065,0)</x:f>
        <x:v>16403.35233192376</x:v>
      </x:c>
      <x:c r="J4065" s="67" t="str">
        <x:v>Modeled from live base + Sep-2026 quality ratio</x:v>
      </x:c>
      <x:c r="K4065" s="67" t="str">
        <x:v>https://www.stonealgo.com/diamond-prices/</x:v>
      </x:c>
      <x:c r="L4065" s="67" t="str">
        <x:v>https://www.pricescope.com/blog/natural-diamond-prices-september-2026</x:v>
      </x:c>
    </x:row>
    <x:row r="4066">
      <x:c r="A4066" t="n">
        <x:v>7</x:v>
      </x:c>
      <x:c r="B4066" t="str">
        <x:v>Emerald</x:v>
      </x:c>
      <x:c r="C4066" t="str">
        <x:v>H</x:v>
      </x:c>
      <x:c r="D4066" t="str">
        <x:v>FL</x:v>
      </x:c>
      <x:c r="E4066" s="36" t="n">
        <x:v>211000</x:v>
      </x:c>
      <x:c r="F4066" s="36" t="n">
        <x:v>4563</x:v>
      </x:c>
      <x:c r="G4066" s="42" t="n">
        <x:v>0.9787644787644788</x:v>
      </x:c>
      <x:c r="H4066" s="36" t="n">
        <x:f>E4066*G4066</x:f>
        <x:v>206519.30501930503</x:v>
      </x:c>
      <x:c r="I4066" s="36" t="n">
        <x:f>IFERROR(H4066/A4066,0)</x:f>
        <x:v>29502.757859900717</x:v>
      </x:c>
      <x:c r="J4066" s="67" t="str">
        <x:v>Modeled from live base + Sep-2026 quality ratio</x:v>
      </x:c>
      <x:c r="K4066" s="67" t="str">
        <x:v>https://www.stonealgo.com/diamond-prices/</x:v>
      </x:c>
      <x:c r="L4066" s="67" t="str">
        <x:v>https://www.pricescope.com/blog/natural-diamond-prices-september-2026</x:v>
      </x:c>
    </x:row>
    <x:row r="4067">
      <x:c r="A4067" t="n">
        <x:v>7</x:v>
      </x:c>
      <x:c r="B4067" t="str">
        <x:v>Emerald</x:v>
      </x:c>
      <x:c r="C4067" t="str">
        <x:v>H</x:v>
      </x:c>
      <x:c r="D4067" t="str">
        <x:v>IF</x:v>
      </x:c>
      <x:c r="E4067" s="36" t="n">
        <x:v>211000</x:v>
      </x:c>
      <x:c r="F4067" s="36" t="n">
        <x:v>4809</x:v>
      </x:c>
      <x:c r="G4067" s="42" t="n">
        <x:v>1.0315315315315314</x:v>
      </x:c>
      <x:c r="H4067" s="36" t="n">
        <x:f>E4067*G4067</x:f>
        <x:v>217653.15315315314</x:v>
      </x:c>
      <x:c r="I4067" s="36" t="n">
        <x:f>IFERROR(H4067/A4067,0)</x:f>
        <x:v>31093.307593307592</x:v>
      </x:c>
      <x:c r="J4067" s="67" t="str">
        <x:v>Modeled from live base + Sep-2026 quality ratio</x:v>
      </x:c>
      <x:c r="K4067" s="67" t="str">
        <x:v>https://www.stonealgo.com/diamond-prices/</x:v>
      </x:c>
      <x:c r="L4067" s="67" t="str">
        <x:v>https://www.pricescope.com/blog/natural-diamond-prices-september-2026</x:v>
      </x:c>
    </x:row>
    <x:row r="4068">
      <x:c r="A4068" t="n">
        <x:v>7</x:v>
      </x:c>
      <x:c r="B4068" t="str">
        <x:v>Emerald</x:v>
      </x:c>
      <x:c r="C4068" t="str">
        <x:v>H</x:v>
      </x:c>
      <x:c r="D4068" t="str">
        <x:v>VVS1</x:v>
      </x:c>
      <x:c r="E4068" s="36" t="n">
        <x:v>211000</x:v>
      </x:c>
      <x:c r="F4068" s="36" t="n">
        <x:v>4911</x:v>
      </x:c>
      <x:c r="G4068" s="42" t="n">
        <x:v>1.0534105534105533</x:v>
      </x:c>
      <x:c r="H4068" s="36" t="n">
        <x:f>E4068*G4068</x:f>
        <x:v>222269.62676962675</x:v>
      </x:c>
      <x:c r="I4068" s="36" t="n">
        <x:f>IFERROR(H4068/A4068,0)</x:f>
        <x:v>31752.803824232393</x:v>
      </x:c>
      <x:c r="J4068" s="67" t="str">
        <x:v>Modeled from live base + Sep-2026 quality ratio</x:v>
      </x:c>
      <x:c r="K4068" s="67" t="str">
        <x:v>https://www.stonealgo.com/diamond-prices/</x:v>
      </x:c>
      <x:c r="L4068" s="67" t="str">
        <x:v>https://www.pricescope.com/blog/natural-diamond-prices-september-2026</x:v>
      </x:c>
    </x:row>
    <x:row r="4069">
      <x:c r="A4069" t="n">
        <x:v>7</x:v>
      </x:c>
      <x:c r="B4069" t="str">
        <x:v>Emerald</x:v>
      </x:c>
      <x:c r="C4069" t="str">
        <x:v>H</x:v>
      </x:c>
      <x:c r="D4069" t="str">
        <x:v>VVS2</x:v>
      </x:c>
      <x:c r="E4069" s="36" t="n">
        <x:v>211000</x:v>
      </x:c>
      <x:c r="F4069" s="36" t="n">
        <x:v>4046</x:v>
      </x:c>
      <x:c r="G4069" s="42" t="n">
        <x:v>0.8678678678678678</x:v>
      </x:c>
      <x:c r="H4069" s="36" t="n">
        <x:f>E4069*G4069</x:f>
        <x:v>183120.12012012012</x:v>
      </x:c>
      <x:c r="I4069" s="36" t="n">
        <x:f>IFERROR(H4069/A4069,0)</x:f>
        <x:v>26160.01716001716</x:v>
      </x:c>
      <x:c r="J4069" s="67" t="str">
        <x:v>Modeled from live base + Sep-2026 quality ratio</x:v>
      </x:c>
      <x:c r="K4069" s="67" t="str">
        <x:v>https://www.stonealgo.com/diamond-prices/</x:v>
      </x:c>
      <x:c r="L4069" s="67" t="str">
        <x:v>https://www.pricescope.com/blog/natural-diamond-prices-september-2026</x:v>
      </x:c>
    </x:row>
    <x:row r="4070">
      <x:c r="A4070" t="n">
        <x:v>7</x:v>
      </x:c>
      <x:c r="B4070" t="str">
        <x:v>Emerald</x:v>
      </x:c>
      <x:c r="C4070" t="str">
        <x:v>H</x:v>
      </x:c>
      <x:c r="D4070" t="str">
        <x:v>VS1</x:v>
      </x:c>
      <x:c r="E4070" s="36" t="n">
        <x:v>211000</x:v>
      </x:c>
      <x:c r="F4070" s="36" t="n">
        <x:v>3893</x:v>
      </x:c>
      <x:c r="G4070" s="42" t="n">
        <x:v>0.8350493350493351</x:v>
      </x:c>
      <x:c r="H4070" s="36" t="n">
        <x:f>E4070*G4070</x:f>
        <x:v>176195.4096954097</x:v>
      </x:c>
      <x:c r="I4070" s="36" t="n">
        <x:f>IFERROR(H4070/A4070,0)</x:f>
        <x:v>25170.77281362996</x:v>
      </x:c>
      <x:c r="J4070" s="67" t="str">
        <x:v>Modeled from live base + Sep-2026 quality ratio</x:v>
      </x:c>
      <x:c r="K4070" s="67" t="str">
        <x:v>https://www.stonealgo.com/diamond-prices/</x:v>
      </x:c>
      <x:c r="L4070" s="67" t="str">
        <x:v>https://www.pricescope.com/blog/natural-diamond-prices-september-2026</x:v>
      </x:c>
    </x:row>
    <x:row r="4071">
      <x:c r="A4071" t="n">
        <x:v>7</x:v>
      </x:c>
      <x:c r="B4071" t="str">
        <x:v>Emerald</x:v>
      </x:c>
      <x:c r="C4071" t="str">
        <x:v>H</x:v>
      </x:c>
      <x:c r="D4071" t="str">
        <x:v>VS2</x:v>
      </x:c>
      <x:c r="E4071" s="36" t="n">
        <x:v>211000</x:v>
      </x:c>
      <x:c r="F4071" s="36" t="n">
        <x:v>3989</x:v>
      </x:c>
      <x:c r="G4071" s="42" t="n">
        <x:v>0.8556413556413557</x:v>
      </x:c>
      <x:c r="H4071" s="36" t="n">
        <x:f>E4071*G4071</x:f>
        <x:v>180540.32604032604</x:v>
      </x:c>
      <x:c r="I4071" s="36" t="n">
        <x:f>IFERROR(H4071/A4071,0)</x:f>
        <x:v>25791.475148618007</x:v>
      </x:c>
      <x:c r="J4071" s="67" t="str">
        <x:v>Modeled from live base + Sep-2026 quality ratio</x:v>
      </x:c>
      <x:c r="K4071" s="67" t="str">
        <x:v>https://www.stonealgo.com/diamond-prices/</x:v>
      </x:c>
      <x:c r="L4071" s="67" t="str">
        <x:v>https://www.pricescope.com/blog/natural-diamond-prices-september-2026</x:v>
      </x:c>
    </x:row>
    <x:row r="4072">
      <x:c r="A4072" t="n">
        <x:v>7</x:v>
      </x:c>
      <x:c r="B4072" t="str">
        <x:v>Emerald</x:v>
      </x:c>
      <x:c r="C4072" t="str">
        <x:v>H</x:v>
      </x:c>
      <x:c r="D4072" t="str">
        <x:v>SI1</x:v>
      </x:c>
      <x:c r="E4072" s="36" t="n">
        <x:v>211000</x:v>
      </x:c>
      <x:c r="F4072" s="36" t="n">
        <x:v>2828</x:v>
      </x:c>
      <x:c r="G4072" s="42" t="n">
        <x:v>0.6066066066066066</x:v>
      </x:c>
      <x:c r="H4072" s="36" t="n">
        <x:f>E4072*G4072</x:f>
        <x:v>127993.993993994</x:v>
      </x:c>
      <x:c r="I4072" s="36" t="n">
        <x:f>IFERROR(H4072/A4072,0)</x:f>
        <x:v>18284.856284856283</x:v>
      </x:c>
      <x:c r="J4072" s="67" t="str">
        <x:v>Modeled from live base + Sep-2026 quality ratio</x:v>
      </x:c>
      <x:c r="K4072" s="67" t="str">
        <x:v>https://www.stonealgo.com/diamond-prices/</x:v>
      </x:c>
      <x:c r="L4072" s="67" t="str">
        <x:v>https://www.pricescope.com/blog/natural-diamond-prices-september-2026</x:v>
      </x:c>
    </x:row>
    <x:row r="4073">
      <x:c r="A4073" t="n">
        <x:v>7</x:v>
      </x:c>
      <x:c r="B4073" t="str">
        <x:v>Emerald</x:v>
      </x:c>
      <x:c r="C4073" t="str">
        <x:v>H</x:v>
      </x:c>
      <x:c r="D4073" t="str">
        <x:v>SI2</x:v>
      </x:c>
      <x:c r="E4073" s="36" t="n">
        <x:v>211000</x:v>
      </x:c>
      <x:c r="F4073" s="36" t="n">
        <x:v>2328</x:v>
      </x:c>
      <x:c r="G4073" s="42" t="n">
        <x:v>0.49935649935649934</x:v>
      </x:c>
      <x:c r="H4073" s="36" t="n">
        <x:f>E4073*G4073</x:f>
        <x:v>105364.22136422136</x:v>
      </x:c>
      <x:c r="I4073" s="36" t="n">
        <x:f>IFERROR(H4073/A4073,0)</x:f>
        <x:v>15052.031623460194</x:v>
      </x:c>
      <x:c r="J4073" s="67" t="str">
        <x:v>Modeled from live base + Sep-2026 quality ratio</x:v>
      </x:c>
      <x:c r="K4073" s="67" t="str">
        <x:v>https://www.stonealgo.com/diamond-prices/</x:v>
      </x:c>
      <x:c r="L4073" s="67" t="str">
        <x:v>https://www.pricescope.com/blog/natural-diamond-prices-september-2026</x:v>
      </x:c>
    </x:row>
    <x:row r="4074">
      <x:c r="A4074" t="n">
        <x:v>7</x:v>
      </x:c>
      <x:c r="B4074" t="str">
        <x:v>Emerald</x:v>
      </x:c>
      <x:c r="C4074" t="str">
        <x:v>I</x:v>
      </x:c>
      <x:c r="D4074" t="str">
        <x:v>FL</x:v>
      </x:c>
      <x:c r="E4074" s="36" t="n">
        <x:v>211000</x:v>
      </x:c>
      <x:c r="F4074" s="36" t="n">
        <x:v>4623</x:v>
      </x:c>
      <x:c r="G4074" s="42" t="n">
        <x:v>0.9916344916344917</x:v>
      </x:c>
      <x:c r="H4074" s="36" t="n">
        <x:f>E4074*G4074</x:f>
        <x:v>209234.87773487775</x:v>
      </x:c>
      <x:c r="I4074" s="36" t="n">
        <x:f>IFERROR(H4074/A4074,0)</x:f>
        <x:v>29890.69681926825</x:v>
      </x:c>
      <x:c r="J4074" s="67" t="str">
        <x:v>Modeled from live base + Sep-2026 quality ratio</x:v>
      </x:c>
      <x:c r="K4074" s="67" t="str">
        <x:v>https://www.stonealgo.com/diamond-prices/</x:v>
      </x:c>
      <x:c r="L4074" s="67" t="str">
        <x:v>https://www.pricescope.com/blog/natural-diamond-prices-september-2026</x:v>
      </x:c>
    </x:row>
    <x:row r="4075">
      <x:c r="A4075" t="n">
        <x:v>7</x:v>
      </x:c>
      <x:c r="B4075" t="str">
        <x:v>Emerald</x:v>
      </x:c>
      <x:c r="C4075" t="str">
        <x:v>I</x:v>
      </x:c>
      <x:c r="D4075" t="str">
        <x:v>IF</x:v>
      </x:c>
      <x:c r="E4075" s="36" t="n">
        <x:v>211000</x:v>
      </x:c>
      <x:c r="F4075" s="36" t="n">
        <x:v>4005</x:v>
      </x:c>
      <x:c r="G4075" s="42" t="n">
        <x:v>0.859073359073359</x:v>
      </x:c>
      <x:c r="H4075" s="36" t="n">
        <x:f>E4075*G4075</x:f>
        <x:v>181264.47876447876</x:v>
      </x:c>
      <x:c r="I4075" s="36" t="n">
        <x:f>IFERROR(H4075/A4075,0)</x:f>
        <x:v>25894.92553778268</x:v>
      </x:c>
      <x:c r="J4075" s="67" t="str">
        <x:v>Modeled from live base + Sep-2026 quality ratio</x:v>
      </x:c>
      <x:c r="K4075" s="67" t="str">
        <x:v>https://www.stonealgo.com/diamond-prices/</x:v>
      </x:c>
      <x:c r="L4075" s="67" t="str">
        <x:v>https://www.pricescope.com/blog/natural-diamond-prices-september-2026</x:v>
      </x:c>
    </x:row>
    <x:row r="4076">
      <x:c r="A4076" t="n">
        <x:v>7</x:v>
      </x:c>
      <x:c r="B4076" t="str">
        <x:v>Emerald</x:v>
      </x:c>
      <x:c r="C4076" t="str">
        <x:v>I</x:v>
      </x:c>
      <x:c r="D4076" t="str">
        <x:v>VVS1</x:v>
      </x:c>
      <x:c r="E4076" s="36" t="n">
        <x:v>211000</x:v>
      </x:c>
      <x:c r="F4076" s="36" t="n">
        <x:v>3670</x:v>
      </x:c>
      <x:c r="G4076" s="42" t="n">
        <x:v>0.7872157872157872</x:v>
      </x:c>
      <x:c r="H4076" s="36" t="n">
        <x:f>E4076*G4076</x:f>
        <x:v>166102.5311025311</x:v>
      </x:c>
      <x:c r="I4076" s="36" t="n">
        <x:f>IFERROR(H4076/A4076,0)</x:f>
        <x:v>23728.9330146473</x:v>
      </x:c>
      <x:c r="J4076" s="67" t="str">
        <x:v>Modeled from live base + Sep-2026 quality ratio</x:v>
      </x:c>
      <x:c r="K4076" s="67" t="str">
        <x:v>https://www.stonealgo.com/diamond-prices/</x:v>
      </x:c>
      <x:c r="L4076" s="67" t="str">
        <x:v>https://www.pricescope.com/blog/natural-diamond-prices-september-2026</x:v>
      </x:c>
    </x:row>
    <x:row r="4077">
      <x:c r="A4077" t="n">
        <x:v>7</x:v>
      </x:c>
      <x:c r="B4077" t="str">
        <x:v>Emerald</x:v>
      </x:c>
      <x:c r="C4077" t="str">
        <x:v>I</x:v>
      </x:c>
      <x:c r="D4077" t="str">
        <x:v>VVS2</x:v>
      </x:c>
      <x:c r="E4077" s="36" t="n">
        <x:v>211000</x:v>
      </x:c>
      <x:c r="F4077" s="36" t="n">
        <x:v>3447</x:v>
      </x:c>
      <x:c r="G4077" s="42" t="n">
        <x:v>0.7393822393822393</x:v>
      </x:c>
      <x:c r="H4077" s="36" t="n">
        <x:f>E4077*G4077</x:f>
        <x:v>156009.65250965251</x:v>
      </x:c>
      <x:c r="I4077" s="36" t="n">
        <x:f>IFERROR(H4077/A4077,0)</x:f>
        <x:v>22287.093215664645</x:v>
      </x:c>
      <x:c r="J4077" s="67" t="str">
        <x:v>Modeled from live base + Sep-2026 quality ratio</x:v>
      </x:c>
      <x:c r="K4077" s="67" t="str">
        <x:v>https://www.stonealgo.com/diamond-prices/</x:v>
      </x:c>
      <x:c r="L4077" s="67" t="str">
        <x:v>https://www.pricescope.com/blog/natural-diamond-prices-september-2026</x:v>
      </x:c>
    </x:row>
    <x:row r="4078">
      <x:c r="A4078" t="n">
        <x:v>7</x:v>
      </x:c>
      <x:c r="B4078" t="str">
        <x:v>Emerald</x:v>
      </x:c>
      <x:c r="C4078" t="str">
        <x:v>I</x:v>
      </x:c>
      <x:c r="D4078" t="str">
        <x:v>VS1</x:v>
      </x:c>
      <x:c r="E4078" s="36" t="n">
        <x:v>211000</x:v>
      </x:c>
      <x:c r="F4078" s="36" t="n">
        <x:v>3313</x:v>
      </x:c>
      <x:c r="G4078" s="42" t="n">
        <x:v>0.7106392106392107</x:v>
      </x:c>
      <x:c r="H4078" s="36" t="n">
        <x:f>E4078*G4078</x:f>
        <x:v>149944.87344487346</x:v>
      </x:c>
      <x:c r="I4078" s="36" t="n">
        <x:f>IFERROR(H4078/A4078,0)</x:f>
        <x:v>21420.696206410496</x:v>
      </x:c>
      <x:c r="J4078" s="67" t="str">
        <x:v>Modeled from live base + Sep-2026 quality ratio</x:v>
      </x:c>
      <x:c r="K4078" s="67" t="str">
        <x:v>https://www.stonealgo.com/diamond-prices/</x:v>
      </x:c>
      <x:c r="L4078" s="67" t="str">
        <x:v>https://www.pricescope.com/blog/natural-diamond-prices-september-2026</x:v>
      </x:c>
    </x:row>
    <x:row r="4079">
      <x:c r="A4079" t="n">
        <x:v>7</x:v>
      </x:c>
      <x:c r="B4079" t="str">
        <x:v>Emerald</x:v>
      </x:c>
      <x:c r="C4079" t="str">
        <x:v>I</x:v>
      </x:c>
      <x:c r="D4079" t="str">
        <x:v>VS2</x:v>
      </x:c>
      <x:c r="E4079" s="36" t="n">
        <x:v>211000</x:v>
      </x:c>
      <x:c r="F4079" s="36" t="n">
        <x:v>3240</x:v>
      </x:c>
      <x:c r="G4079" s="42" t="n">
        <x:v>0.694980694980695</x:v>
      </x:c>
      <x:c r="H4079" s="36" t="n">
        <x:f>E4079*G4079</x:f>
        <x:v>146640.92664092666</x:v>
      </x:c>
      <x:c r="I4079" s="36" t="n">
        <x:f>IFERROR(H4079/A4079,0)</x:f>
        <x:v>20948.703805846664</x:v>
      </x:c>
      <x:c r="J4079" s="67" t="str">
        <x:v>Modeled from live base + Sep-2026 quality ratio</x:v>
      </x:c>
      <x:c r="K4079" s="67" t="str">
        <x:v>https://www.stonealgo.com/diamond-prices/</x:v>
      </x:c>
      <x:c r="L4079" s="67" t="str">
        <x:v>https://www.pricescope.com/blog/natural-diamond-prices-september-2026</x:v>
      </x:c>
    </x:row>
    <x:row r="4080">
      <x:c r="A4080" t="n">
        <x:v>7</x:v>
      </x:c>
      <x:c r="B4080" t="str">
        <x:v>Emerald</x:v>
      </x:c>
      <x:c r="C4080" t="str">
        <x:v>I</x:v>
      </x:c>
      <x:c r="D4080" t="str">
        <x:v>SI1</x:v>
      </x:c>
      <x:c r="E4080" s="36" t="n">
        <x:v>211000</x:v>
      </x:c>
      <x:c r="F4080" s="36" t="n">
        <x:v>3199</x:v>
      </x:c>
      <x:c r="G4080" s="42" t="n">
        <x:v>0.6861861861861862</x:v>
      </x:c>
      <x:c r="H4080" s="36" t="n">
        <x:f>E4080*G4080</x:f>
        <x:v>144785.2852852853</x:v>
      </x:c>
      <x:c r="I4080" s="36" t="n">
        <x:f>IFERROR(H4080/A4080,0)</x:f>
        <x:v>20683.612183612186</x:v>
      </x:c>
      <x:c r="J4080" s="67" t="str">
        <x:v>Modeled from live base + Sep-2026 quality ratio</x:v>
      </x:c>
      <x:c r="K4080" s="67" t="str">
        <x:v>https://www.stonealgo.com/diamond-prices/</x:v>
      </x:c>
      <x:c r="L4080" s="67" t="str">
        <x:v>https://www.pricescope.com/blog/natural-diamond-prices-september-2026</x:v>
      </x:c>
    </x:row>
    <x:row r="4081">
      <x:c r="A4081" t="n">
        <x:v>7</x:v>
      </x:c>
      <x:c r="B4081" t="str">
        <x:v>Emerald</x:v>
      </x:c>
      <x:c r="C4081" t="str">
        <x:v>I</x:v>
      </x:c>
      <x:c r="D4081" t="str">
        <x:v>SI2</x:v>
      </x:c>
      <x:c r="E4081" s="36" t="n">
        <x:v>211000</x:v>
      </x:c>
      <x:c r="F4081" s="36" t="n">
        <x:v>2874</x:v>
      </x:c>
      <x:c r="G4081" s="42" t="n">
        <x:v>0.6164736164736164</x:v>
      </x:c>
      <x:c r="H4081" s="36" t="n">
        <x:f>E4081*G4081</x:f>
        <x:v>130075.93307593306</x:v>
      </x:c>
      <x:c r="I4081" s="36" t="n">
        <x:f>IFERROR(H4081/A4081,0)</x:f>
        <x:v>18582.276153704723</x:v>
      </x:c>
      <x:c r="J4081" s="67" t="str">
        <x:v>Modeled from live base + Sep-2026 quality ratio</x:v>
      </x:c>
      <x:c r="K4081" s="67" t="str">
        <x:v>https://www.stonealgo.com/diamond-prices/</x:v>
      </x:c>
      <x:c r="L4081" s="67" t="str">
        <x:v>https://www.pricescope.com/blog/natural-diamond-prices-september-2026</x:v>
      </x:c>
    </x:row>
    <x:row r="4082">
      <x:c r="A4082" t="n">
        <x:v>7</x:v>
      </x:c>
      <x:c r="B4082" t="str">
        <x:v>Emerald</x:v>
      </x:c>
      <x:c r="C4082" t="str">
        <x:v>J</x:v>
      </x:c>
      <x:c r="D4082" t="str">
        <x:v>FL</x:v>
      </x:c>
      <x:c r="E4082" s="36" t="n">
        <x:v>211000</x:v>
      </x:c>
      <x:c r="F4082" s="36" t="n">
        <x:v>3646</x:v>
      </x:c>
      <x:c r="G4082" s="42" t="n">
        <x:v>0.782067782067782</x:v>
      </x:c>
      <x:c r="H4082" s="36" t="n">
        <x:f>E4082*G4082</x:f>
        <x:v>165016.302016302</x:v>
      </x:c>
      <x:c r="I4082" s="36" t="n">
        <x:f>IFERROR(H4082/A4082,0)</x:f>
        <x:v>23573.75743090029</x:v>
      </x:c>
      <x:c r="J4082" s="67" t="str">
        <x:v>Modeled from live base + Sep-2026 quality ratio</x:v>
      </x:c>
      <x:c r="K4082" s="67" t="str">
        <x:v>https://www.stonealgo.com/diamond-prices/</x:v>
      </x:c>
      <x:c r="L4082" s="67" t="str">
        <x:v>https://www.pricescope.com/blog/natural-diamond-prices-september-2026</x:v>
      </x:c>
    </x:row>
    <x:row r="4083">
      <x:c r="A4083" t="n">
        <x:v>7</x:v>
      </x:c>
      <x:c r="B4083" t="str">
        <x:v>Emerald</x:v>
      </x:c>
      <x:c r="C4083" t="str">
        <x:v>J</x:v>
      </x:c>
      <x:c r="D4083" t="str">
        <x:v>IF</x:v>
      </x:c>
      <x:c r="E4083" s="36" t="n">
        <x:v>211000</x:v>
      </x:c>
      <x:c r="F4083" s="36" t="n">
        <x:v>3368</x:v>
      </x:c>
      <x:c r="G4083" s="42" t="n">
        <x:v>0.7224367224367224</x:v>
      </x:c>
      <x:c r="H4083" s="36" t="n">
        <x:f>E4083*G4083</x:f>
        <x:v>152434.14843414843</x:v>
      </x:c>
      <x:c r="I4083" s="36" t="n">
        <x:f>IFERROR(H4083/A4083,0)</x:f>
        <x:v>21776.30691916406</x:v>
      </x:c>
      <x:c r="J4083" s="67" t="str">
        <x:v>Modeled from live base + Sep-2026 quality ratio</x:v>
      </x:c>
      <x:c r="K4083" s="67" t="str">
        <x:v>https://www.stonealgo.com/diamond-prices/</x:v>
      </x:c>
      <x:c r="L4083" s="67" t="str">
        <x:v>https://www.pricescope.com/blog/natural-diamond-prices-september-2026</x:v>
      </x:c>
    </x:row>
    <x:row r="4084">
      <x:c r="A4084" t="n">
        <x:v>7</x:v>
      </x:c>
      <x:c r="B4084" t="str">
        <x:v>Emerald</x:v>
      </x:c>
      <x:c r="C4084" t="str">
        <x:v>J</x:v>
      </x:c>
      <x:c r="D4084" t="str">
        <x:v>VVS1</x:v>
      </x:c>
      <x:c r="E4084" s="36" t="n">
        <x:v>211000</x:v>
      </x:c>
      <x:c r="F4084" s="36" t="n">
        <x:v>2956</x:v>
      </x:c>
      <x:c r="G4084" s="42" t="n">
        <x:v>0.6340626340626341</x:v>
      </x:c>
      <x:c r="H4084" s="36" t="n">
        <x:f>E4084*G4084</x:f>
        <x:v>133787.2157872158</x:v>
      </x:c>
      <x:c r="I4084" s="36" t="n">
        <x:f>IFERROR(H4084/A4084,0)</x:f>
        <x:v>19112.459398173687</x:v>
      </x:c>
      <x:c r="J4084" s="67" t="str">
        <x:v>Modeled from live base + Sep-2026 quality ratio</x:v>
      </x:c>
      <x:c r="K4084" s="67" t="str">
        <x:v>https://www.stonealgo.com/diamond-prices/</x:v>
      </x:c>
      <x:c r="L4084" s="67" t="str">
        <x:v>https://www.pricescope.com/blog/natural-diamond-prices-september-2026</x:v>
      </x:c>
    </x:row>
    <x:row r="4085">
      <x:c r="A4085" t="n">
        <x:v>7</x:v>
      </x:c>
      <x:c r="B4085" t="str">
        <x:v>Emerald</x:v>
      </x:c>
      <x:c r="C4085" t="str">
        <x:v>J</x:v>
      </x:c>
      <x:c r="D4085" t="str">
        <x:v>VVS2</x:v>
      </x:c>
      <x:c r="E4085" s="36" t="n">
        <x:v>211000</x:v>
      </x:c>
      <x:c r="F4085" s="36" t="n">
        <x:v>2612</x:v>
      </x:c>
      <x:c r="G4085" s="42" t="n">
        <x:v>0.5602745602745602</x:v>
      </x:c>
      <x:c r="H4085" s="36" t="n">
        <x:f>E4085*G4085</x:f>
        <x:v>118217.9322179322</x:v>
      </x:c>
      <x:c r="I4085" s="36" t="n">
        <x:f>IFERROR(H4085/A4085,0)</x:f>
        <x:v>16888.276031133173</x:v>
      </x:c>
      <x:c r="J4085" s="67" t="str">
        <x:v>Modeled from live base + Sep-2026 quality ratio</x:v>
      </x:c>
      <x:c r="K4085" s="67" t="str">
        <x:v>https://www.stonealgo.com/diamond-prices/</x:v>
      </x:c>
      <x:c r="L4085" s="67" t="str">
        <x:v>https://www.pricescope.com/blog/natural-diamond-prices-september-2026</x:v>
      </x:c>
    </x:row>
    <x:row r="4086">
      <x:c r="A4086" t="n">
        <x:v>7</x:v>
      </x:c>
      <x:c r="B4086" t="str">
        <x:v>Emerald</x:v>
      </x:c>
      <x:c r="C4086" t="str">
        <x:v>J</x:v>
      </x:c>
      <x:c r="D4086" t="str">
        <x:v>VS1</x:v>
      </x:c>
      <x:c r="E4086" s="36" t="n">
        <x:v>211000</x:v>
      </x:c>
      <x:c r="F4086" s="36" t="n">
        <x:v>3002</x:v>
      </x:c>
      <x:c r="G4086" s="42" t="n">
        <x:v>0.6439296439296439</x:v>
      </x:c>
      <x:c r="H4086" s="36" t="n">
        <x:f>E4086*G4086</x:f>
        <x:v>135869.15486915485</x:v>
      </x:c>
      <x:c r="I4086" s="36" t="n">
        <x:f>IFERROR(H4086/A4086,0)</x:f>
        <x:v>19409.879267022123</x:v>
      </x:c>
      <x:c r="J4086" s="67" t="str">
        <x:v>Modeled from live base + Sep-2026 quality ratio</x:v>
      </x:c>
      <x:c r="K4086" s="67" t="str">
        <x:v>https://www.stonealgo.com/diamond-prices/</x:v>
      </x:c>
      <x:c r="L4086" s="67" t="str">
        <x:v>https://www.pricescope.com/blog/natural-diamond-prices-september-2026</x:v>
      </x:c>
    </x:row>
    <x:row r="4087">
      <x:c r="A4087" t="n">
        <x:v>7</x:v>
      </x:c>
      <x:c r="B4087" t="str">
        <x:v>Emerald</x:v>
      </x:c>
      <x:c r="C4087" t="str">
        <x:v>J</x:v>
      </x:c>
      <x:c r="D4087" t="str">
        <x:v>VS2</x:v>
      </x:c>
      <x:c r="E4087" s="36" t="n">
        <x:v>211000</x:v>
      </x:c>
      <x:c r="F4087" s="36" t="n">
        <x:v>2559</x:v>
      </x:c>
      <x:c r="G4087" s="42" t="n">
        <x:v>0.5489060489060489</x:v>
      </x:c>
      <x:c r="H4087" s="36" t="n">
        <x:f>E4087*G4087</x:f>
        <x:v>115819.17631917632</x:v>
      </x:c>
      <x:c r="I4087" s="36" t="n">
        <x:f>IFERROR(H4087/A4087,0)</x:f>
        <x:v>16545.59661702519</x:v>
      </x:c>
      <x:c r="J4087" s="67" t="str">
        <x:v>Modeled from live base + Sep-2026 quality ratio</x:v>
      </x:c>
      <x:c r="K4087" s="67" t="str">
        <x:v>https://www.stonealgo.com/diamond-prices/</x:v>
      </x:c>
      <x:c r="L4087" s="67" t="str">
        <x:v>https://www.pricescope.com/blog/natural-diamond-prices-september-2026</x:v>
      </x:c>
    </x:row>
    <x:row r="4088">
      <x:c r="A4088" t="n">
        <x:v>7</x:v>
      </x:c>
      <x:c r="B4088" t="str">
        <x:v>Emerald</x:v>
      </x:c>
      <x:c r="C4088" t="str">
        <x:v>J</x:v>
      </x:c>
      <x:c r="D4088" t="str">
        <x:v>SI1</x:v>
      </x:c>
      <x:c r="E4088" s="36" t="n">
        <x:v>211000</x:v>
      </x:c>
      <x:c r="F4088" s="36" t="n">
        <x:v>2195</x:v>
      </x:c>
      <x:c r="G4088" s="42" t="n">
        <x:v>0.47082797082797084</x:v>
      </x:c>
      <x:c r="H4088" s="36" t="n">
        <x:f>E4088*G4088</x:f>
        <x:v>99344.70184470185</x:v>
      </x:c>
      <x:c r="I4088" s="36" t="n">
        <x:f>IFERROR(H4088/A4088,0)</x:f>
        <x:v>14192.100263528835</x:v>
      </x:c>
      <x:c r="J4088" s="67" t="str">
        <x:v>Modeled from live base + Sep-2026 quality ratio</x:v>
      </x:c>
      <x:c r="K4088" s="67" t="str">
        <x:v>https://www.stonealgo.com/diamond-prices/</x:v>
      </x:c>
      <x:c r="L4088" s="67" t="str">
        <x:v>https://www.pricescope.com/blog/natural-diamond-prices-september-2026</x:v>
      </x:c>
    </x:row>
    <x:row r="4089">
      <x:c r="A4089" t="n">
        <x:v>7</x:v>
      </x:c>
      <x:c r="B4089" t="str">
        <x:v>Emerald</x:v>
      </x:c>
      <x:c r="C4089" t="str">
        <x:v>J</x:v>
      </x:c>
      <x:c r="D4089" t="str">
        <x:v>SI2</x:v>
      </x:c>
      <x:c r="E4089" s="36" t="n">
        <x:v>211000</x:v>
      </x:c>
      <x:c r="F4089" s="36" t="n">
        <x:v>2079</x:v>
      </x:c>
      <x:c r="G4089" s="42" t="n">
        <x:v>0.44594594594594594</x:v>
      </x:c>
      <x:c r="H4089" s="36" t="n">
        <x:f>E4089*G4089</x:f>
        <x:v>94094.5945945946</x:v>
      </x:c>
      <x:c r="I4089" s="36" t="n">
        <x:f>IFERROR(H4089/A4089,0)</x:f>
        <x:v>13442.084942084943</x:v>
      </x:c>
      <x:c r="J4089" s="67" t="str">
        <x:v>Modeled from live base + Sep-2026 quality ratio</x:v>
      </x:c>
      <x:c r="K4089" s="67" t="str">
        <x:v>https://www.stonealgo.com/diamond-prices/</x:v>
      </x:c>
      <x:c r="L4089" s="67" t="str">
        <x:v>https://www.pricescope.com/blog/natural-diamond-prices-september-2026</x:v>
      </x:c>
    </x:row>
    <x:row r="4090">
      <x:c r="A4090" t="n">
        <x:v>7</x:v>
      </x:c>
      <x:c r="B4090" t="str">
        <x:v>Emerald</x:v>
      </x:c>
      <x:c r="C4090" t="str">
        <x:v>K</x:v>
      </x:c>
      <x:c r="D4090" t="str">
        <x:v>FL</x:v>
      </x:c>
      <x:c r="E4090" s="36" t="n">
        <x:v>211000</x:v>
      </x:c>
      <x:c r="F4090" s="36" t="n">
        <x:v>2858</x:v>
      </x:c>
      <x:c r="G4090" s="42" t="n">
        <x:v>0.6130416130416131</x:v>
      </x:c>
      <x:c r="H4090" s="36" t="n">
        <x:f>E4090*G4090</x:f>
        <x:v>129351.78035178035</x:v>
      </x:c>
      <x:c r="I4090" s="36" t="n">
        <x:f>IFERROR(H4090/A4090,0)</x:f>
        <x:v>18478.82576454005</x:v>
      </x:c>
      <x:c r="J4090" s="67" t="str">
        <x:v>Modeled from live base + Sep-2026 quality ratio; K/FL quality cell modeled</x:v>
      </x:c>
      <x:c r="K4090" s="67" t="str">
        <x:v>https://www.stonealgo.com/diamond-prices/</x:v>
      </x:c>
      <x:c r="L4090" s="67" t="str">
        <x:v>https://www.pricescope.com/blog/natural-diamond-prices-september-2026</x:v>
      </x:c>
    </x:row>
    <x:row r="4091">
      <x:c r="A4091" t="n">
        <x:v>7</x:v>
      </x:c>
      <x:c r="B4091" t="str">
        <x:v>Emerald</x:v>
      </x:c>
      <x:c r="C4091" t="str">
        <x:v>K</x:v>
      </x:c>
      <x:c r="D4091" t="str">
        <x:v>IF</x:v>
      </x:c>
      <x:c r="E4091" s="36" t="n">
        <x:v>211000</x:v>
      </x:c>
      <x:c r="F4091" s="36" t="n">
        <x:v>2743</x:v>
      </x:c>
      <x:c r="G4091" s="42" t="n">
        <x:v>0.5883740883740883</x:v>
      </x:c>
      <x:c r="H4091" s="36" t="n">
        <x:f>E4091*G4091</x:f>
        <x:v>124146.93264693263</x:v>
      </x:c>
      <x:c r="I4091" s="36" t="n">
        <x:f>IFERROR(H4091/A4091,0)</x:f>
        <x:v>17735.276092418946</x:v>
      </x:c>
      <x:c r="J4091" s="67" t="str">
        <x:v>Modeled from live base + Sep-2026 quality ratio</x:v>
      </x:c>
      <x:c r="K4091" s="67" t="str">
        <x:v>https://www.stonealgo.com/diamond-prices/</x:v>
      </x:c>
      <x:c r="L4091" s="67" t="str">
        <x:v>https://www.pricescope.com/blog/natural-diamond-prices-september-2026</x:v>
      </x:c>
    </x:row>
    <x:row r="4092">
      <x:c r="A4092" t="n">
        <x:v>7</x:v>
      </x:c>
      <x:c r="B4092" t="str">
        <x:v>Emerald</x:v>
      </x:c>
      <x:c r="C4092" t="str">
        <x:v>K</x:v>
      </x:c>
      <x:c r="D4092" t="str">
        <x:v>VVS1</x:v>
      </x:c>
      <x:c r="E4092" s="36" t="n">
        <x:v>211000</x:v>
      </x:c>
      <x:c r="F4092" s="36" t="n">
        <x:v>2529</x:v>
      </x:c>
      <x:c r="G4092" s="42" t="n">
        <x:v>0.5424710424710425</x:v>
      </x:c>
      <x:c r="H4092" s="36" t="n">
        <x:f>E4092*G4092</x:f>
        <x:v>114461.38996138997</x:v>
      </x:c>
      <x:c r="I4092" s="36" t="n">
        <x:f>IFERROR(H4092/A4092,0)</x:f>
        <x:v>16351.627137341424</x:v>
      </x:c>
      <x:c r="J4092" s="67" t="str">
        <x:v>Modeled from live base + Sep-2026 quality ratio</x:v>
      </x:c>
      <x:c r="K4092" s="67" t="str">
        <x:v>https://www.stonealgo.com/diamond-prices/</x:v>
      </x:c>
      <x:c r="L4092" s="67" t="str">
        <x:v>https://www.pricescope.com/blog/natural-diamond-prices-september-2026</x:v>
      </x:c>
    </x:row>
    <x:row r="4093">
      <x:c r="A4093" t="n">
        <x:v>7</x:v>
      </x:c>
      <x:c r="B4093" t="str">
        <x:v>Emerald</x:v>
      </x:c>
      <x:c r="C4093" t="str">
        <x:v>K</x:v>
      </x:c>
      <x:c r="D4093" t="str">
        <x:v>VVS2</x:v>
      </x:c>
      <x:c r="E4093" s="36" t="n">
        <x:v>211000</x:v>
      </x:c>
      <x:c r="F4093" s="36" t="n">
        <x:v>2374</x:v>
      </x:c>
      <x:c r="G4093" s="42" t="n">
        <x:v>0.5092235092235092</x:v>
      </x:c>
      <x:c r="H4093" s="36" t="n">
        <x:f>E4093*G4093</x:f>
        <x:v>107446.16044616044</x:v>
      </x:c>
      <x:c r="I4093" s="36" t="n">
        <x:f>IFERROR(H4093/A4093,0)</x:f>
        <x:v>15349.451492308635</x:v>
      </x:c>
      <x:c r="J4093" s="67" t="str">
        <x:v>Modeled from live base + Sep-2026 quality ratio</x:v>
      </x:c>
      <x:c r="K4093" s="67" t="str">
        <x:v>https://www.stonealgo.com/diamond-prices/</x:v>
      </x:c>
      <x:c r="L4093" s="67" t="str">
        <x:v>https://www.pricescope.com/blog/natural-diamond-prices-september-2026</x:v>
      </x:c>
    </x:row>
    <x:row r="4094">
      <x:c r="A4094" t="n">
        <x:v>7</x:v>
      </x:c>
      <x:c r="B4094" t="str">
        <x:v>Emerald</x:v>
      </x:c>
      <x:c r="C4094" t="str">
        <x:v>K</x:v>
      </x:c>
      <x:c r="D4094" t="str">
        <x:v>VS1</x:v>
      </x:c>
      <x:c r="E4094" s="36" t="n">
        <x:v>211000</x:v>
      </x:c>
      <x:c r="F4094" s="36" t="n">
        <x:v>2223</x:v>
      </x:c>
      <x:c r="G4094" s="42" t="n">
        <x:v>0.4768339768339768</x:v>
      </x:c>
      <x:c r="H4094" s="36" t="n">
        <x:f>E4094*G4094</x:f>
        <x:v>100611.96911196911</x:v>
      </x:c>
      <x:c r="I4094" s="36" t="n">
        <x:f>IFERROR(H4094/A4094,0)</x:f>
        <x:v>14373.138444567016</x:v>
      </x:c>
      <x:c r="J4094" s="67" t="str">
        <x:v>Modeled from live base + Sep-2026 quality ratio</x:v>
      </x:c>
      <x:c r="K4094" s="67" t="str">
        <x:v>https://www.stonealgo.com/diamond-prices/</x:v>
      </x:c>
      <x:c r="L4094" s="67" t="str">
        <x:v>https://www.pricescope.com/blog/natural-diamond-prices-september-2026</x:v>
      </x:c>
    </x:row>
    <x:row r="4095">
      <x:c r="A4095" t="n">
        <x:v>7</x:v>
      </x:c>
      <x:c r="B4095" t="str">
        <x:v>Emerald</x:v>
      </x:c>
      <x:c r="C4095" t="str">
        <x:v>K</x:v>
      </x:c>
      <x:c r="D4095" t="str">
        <x:v>VS2</x:v>
      </x:c>
      <x:c r="E4095" s="36" t="n">
        <x:v>211000</x:v>
      </x:c>
      <x:c r="F4095" s="36" t="n">
        <x:v>2098</x:v>
      </x:c>
      <x:c r="G4095" s="42" t="n">
        <x:v>0.45002145002145</x:v>
      </x:c>
      <x:c r="H4095" s="36" t="n">
        <x:f>E4095*G4095</x:f>
        <x:v>94954.52595452595</x:v>
      </x:c>
      <x:c r="I4095" s="36" t="n">
        <x:f>IFERROR(H4095/A4095,0)</x:f>
        <x:v>13564.932279217992</x:v>
      </x:c>
      <x:c r="J4095" s="67" t="str">
        <x:v>Modeled from live base + Sep-2026 quality ratio</x:v>
      </x:c>
      <x:c r="K4095" s="67" t="str">
        <x:v>https://www.stonealgo.com/diamond-prices/</x:v>
      </x:c>
      <x:c r="L4095" s="67" t="str">
        <x:v>https://www.pricescope.com/blog/natural-diamond-prices-september-2026</x:v>
      </x:c>
    </x:row>
    <x:row r="4096">
      <x:c r="A4096" t="n">
        <x:v>7</x:v>
      </x:c>
      <x:c r="B4096" t="str">
        <x:v>Emerald</x:v>
      </x:c>
      <x:c r="C4096" t="str">
        <x:v>K</x:v>
      </x:c>
      <x:c r="D4096" t="str">
        <x:v>SI1</x:v>
      </x:c>
      <x:c r="E4096" s="36" t="n">
        <x:v>211000</x:v>
      </x:c>
      <x:c r="F4096" s="36" t="n">
        <x:v>1922</x:v>
      </x:c>
      <x:c r="G4096" s="42" t="n">
        <x:v>0.41226941226941227</x:v>
      </x:c>
      <x:c r="H4096" s="36" t="n">
        <x:f>E4096*G4096</x:f>
        <x:v>86988.84598884599</x:v>
      </x:c>
      <x:c r="I4096" s="36" t="n">
        <x:f>IFERROR(H4096/A4096,0)</x:f>
        <x:v>12426.97799840657</x:v>
      </x:c>
      <x:c r="J4096" s="67" t="str">
        <x:v>Modeled from live base + Sep-2026 quality ratio</x:v>
      </x:c>
      <x:c r="K4096" s="67" t="str">
        <x:v>https://www.stonealgo.com/diamond-prices/</x:v>
      </x:c>
      <x:c r="L4096" s="67" t="str">
        <x:v>https://www.pricescope.com/blog/natural-diamond-prices-september-2026</x:v>
      </x:c>
    </x:row>
    <x:row r="4097">
      <x:c r="A4097" t="n">
        <x:v>7</x:v>
      </x:c>
      <x:c r="B4097" t="str">
        <x:v>Emerald</x:v>
      </x:c>
      <x:c r="C4097" t="str">
        <x:v>K</x:v>
      </x:c>
      <x:c r="D4097" t="str">
        <x:v>SI2</x:v>
      </x:c>
      <x:c r="E4097" s="36" t="n">
        <x:v>211000</x:v>
      </x:c>
      <x:c r="F4097" s="36" t="n">
        <x:v>1764</x:v>
      </x:c>
      <x:c r="G4097" s="42" t="n">
        <x:v>0.3783783783783784</x:v>
      </x:c>
      <x:c r="H4097" s="36" t="n">
        <x:f>E4097*G4097</x:f>
        <x:v>79837.83783783784</x:v>
      </x:c>
      <x:c r="I4097" s="36" t="n">
        <x:f>IFERROR(H4097/A4097,0)</x:f>
        <x:v>11405.405405405405</x:v>
      </x:c>
      <x:c r="J4097" s="67" t="str">
        <x:v>Modeled from live base + Sep-2026 quality ratio</x:v>
      </x:c>
      <x:c r="K4097" s="67" t="str">
        <x:v>https://www.stonealgo.com/diamond-prices/</x:v>
      </x:c>
      <x:c r="L4097" s="67" t="str">
        <x:v>https://www.pricescope.com/blog/natural-diamond-prices-september-2026</x:v>
      </x:c>
    </x:row>
    <x:row r="4098">
      <x:c r="A4098" t="n">
        <x:v>7</x:v>
      </x:c>
      <x:c r="B4098" t="str">
        <x:v>Cushion</x:v>
      </x:c>
      <x:c r="C4098" t="str">
        <x:v>D</x:v>
      </x:c>
      <x:c r="D4098" t="str">
        <x:v>FL</x:v>
      </x:c>
      <x:c r="E4098" s="36" t="n">
        <x:v>206000</x:v>
      </x:c>
      <x:c r="F4098" s="36" t="n">
        <x:v>12665</x:v>
      </x:c>
      <x:c r="G4098" s="42" t="n">
        <x:v>2.7166452166452166</x:v>
      </x:c>
      <x:c r="H4098" s="36" t="n">
        <x:f>E4098*G4098</x:f>
        <x:v>559628.9146289147</x:v>
      </x:c>
      <x:c r="I4098" s="36" t="n">
        <x:f>IFERROR(H4098/A4098,0)</x:f>
        <x:v>79946.98780413067</x:v>
      </x:c>
      <x:c r="J4098" s="67" t="str">
        <x:v>Modeled from live base + Sep-2026 quality ratio</x:v>
      </x:c>
      <x:c r="K4098" s="67" t="str">
        <x:v>https://www.stonealgo.com/diamond-prices/</x:v>
      </x:c>
      <x:c r="L4098" s="67" t="str">
        <x:v>https://www.pricescope.com/blog/natural-diamond-prices-september-2026</x:v>
      </x:c>
    </x:row>
    <x:row r="4099">
      <x:c r="A4099" t="n">
        <x:v>7</x:v>
      </x:c>
      <x:c r="B4099" t="str">
        <x:v>Cushion</x:v>
      </x:c>
      <x:c r="C4099" t="str">
        <x:v>D</x:v>
      </x:c>
      <x:c r="D4099" t="str">
        <x:v>IF</x:v>
      </x:c>
      <x:c r="E4099" s="36" t="n">
        <x:v>206000</x:v>
      </x:c>
      <x:c r="F4099" s="36" t="n">
        <x:v>13240</x:v>
      </x:c>
      <x:c r="G4099" s="42" t="n">
        <x:v>2.83998283998284</x:v>
      </x:c>
      <x:c r="H4099" s="36" t="n">
        <x:f>E4099*G4099</x:f>
        <x:v>585036.4650364651</x:v>
      </x:c>
      <x:c r="I4099" s="36" t="n">
        <x:f>IFERROR(H4099/A4099,0)</x:f>
        <x:v>83576.63786235216</x:v>
      </x:c>
      <x:c r="J4099" s="67" t="str">
        <x:v>Modeled from live base + Sep-2026 quality ratio</x:v>
      </x:c>
      <x:c r="K4099" s="67" t="str">
        <x:v>https://www.stonealgo.com/diamond-prices/</x:v>
      </x:c>
      <x:c r="L4099" s="67" t="str">
        <x:v>https://www.pricescope.com/blog/natural-diamond-prices-september-2026</x:v>
      </x:c>
    </x:row>
    <x:row r="4100">
      <x:c r="A4100" t="n">
        <x:v>7</x:v>
      </x:c>
      <x:c r="B4100" t="str">
        <x:v>Cushion</x:v>
      </x:c>
      <x:c r="C4100" t="str">
        <x:v>D</x:v>
      </x:c>
      <x:c r="D4100" t="str">
        <x:v>VVS1</x:v>
      </x:c>
      <x:c r="E4100" s="36" t="n">
        <x:v>206000</x:v>
      </x:c>
      <x:c r="F4100" s="36" t="n">
        <x:v>9555</x:v>
      </x:c>
      <x:c r="G4100" s="42" t="n">
        <x:v>2.0495495495495497</x:v>
      </x:c>
      <x:c r="H4100" s="36" t="n">
        <x:f>E4100*G4100</x:f>
        <x:v>422207.2072072072</x:v>
      </x:c>
      <x:c r="I4100" s="36" t="n">
        <x:f>IFERROR(H4100/A4100,0)</x:f>
        <x:v>60315.31531531532</x:v>
      </x:c>
      <x:c r="J4100" s="67" t="str">
        <x:v>Modeled from live base + Sep-2026 quality ratio</x:v>
      </x:c>
      <x:c r="K4100" s="67" t="str">
        <x:v>https://www.stonealgo.com/diamond-prices/</x:v>
      </x:c>
      <x:c r="L4100" s="67" t="str">
        <x:v>https://www.pricescope.com/blog/natural-diamond-prices-september-2026</x:v>
      </x:c>
    </x:row>
    <x:row r="4101">
      <x:c r="A4101" t="n">
        <x:v>7</x:v>
      </x:c>
      <x:c r="B4101" t="str">
        <x:v>Cushion</x:v>
      </x:c>
      <x:c r="C4101" t="str">
        <x:v>D</x:v>
      </x:c>
      <x:c r="D4101" t="str">
        <x:v>VVS2</x:v>
      </x:c>
      <x:c r="E4101" s="36" t="n">
        <x:v>206000</x:v>
      </x:c>
      <x:c r="F4101" s="36" t="n">
        <x:v>6660</x:v>
      </x:c>
      <x:c r="G4101" s="42" t="n">
        <x:v>1.4285714285714286</x:v>
      </x:c>
      <x:c r="H4101" s="36" t="n">
        <x:f>E4101*G4101</x:f>
        <x:v>294285.7142857143</x:v>
      </x:c>
      <x:c r="I4101" s="36" t="n">
        <x:f>IFERROR(H4101/A4101,0)</x:f>
        <x:v>42040.816326530614</x:v>
      </x:c>
      <x:c r="J4101" s="67" t="str">
        <x:v>Modeled from live base + Sep-2026 quality ratio</x:v>
      </x:c>
      <x:c r="K4101" s="67" t="str">
        <x:v>https://www.stonealgo.com/diamond-prices/</x:v>
      </x:c>
      <x:c r="L4101" s="67" t="str">
        <x:v>https://www.pricescope.com/blog/natural-diamond-prices-september-2026</x:v>
      </x:c>
    </x:row>
    <x:row r="4102">
      <x:c r="A4102" t="n">
        <x:v>7</x:v>
      </x:c>
      <x:c r="B4102" t="str">
        <x:v>Cushion</x:v>
      </x:c>
      <x:c r="C4102" t="str">
        <x:v>D</x:v>
      </x:c>
      <x:c r="D4102" t="str">
        <x:v>VS1</x:v>
      </x:c>
      <x:c r="E4102" s="36" t="n">
        <x:v>206000</x:v>
      </x:c>
      <x:c r="F4102" s="36" t="n">
        <x:v>6247</x:v>
      </x:c>
      <x:c r="G4102" s="42" t="n">
        <x:v>1.33998283998284</x:v>
      </x:c>
      <x:c r="H4102" s="36" t="n">
        <x:f>E4102*G4102</x:f>
        <x:v>276036.46503646503</x:v>
      </x:c>
      <x:c r="I4102" s="36" t="n">
        <x:f>IFERROR(H4102/A4102,0)</x:f>
        <x:v>39433.78071949501</x:v>
      </x:c>
      <x:c r="J4102" s="67" t="str">
        <x:v>Modeled from live base + Sep-2026 quality ratio</x:v>
      </x:c>
      <x:c r="K4102" s="67" t="str">
        <x:v>https://www.stonealgo.com/diamond-prices/</x:v>
      </x:c>
      <x:c r="L4102" s="67" t="str">
        <x:v>https://www.pricescope.com/blog/natural-diamond-prices-september-2026</x:v>
      </x:c>
    </x:row>
    <x:row r="4103">
      <x:c r="A4103" t="n">
        <x:v>7</x:v>
      </x:c>
      <x:c r="B4103" t="str">
        <x:v>Cushion</x:v>
      </x:c>
      <x:c r="C4103" t="str">
        <x:v>D</x:v>
      </x:c>
      <x:c r="D4103" t="str">
        <x:v>VS2</x:v>
      </x:c>
      <x:c r="E4103" s="36" t="n">
        <x:v>206000</x:v>
      </x:c>
      <x:c r="F4103" s="36" t="n">
        <x:v>5841</x:v>
      </x:c>
      <x:c r="G4103" s="42" t="n">
        <x:v>1.252895752895753</x:v>
      </x:c>
      <x:c r="H4103" s="36" t="n">
        <x:f>E4103*G4103</x:f>
        <x:v>258096.52509652512</x:v>
      </x:c>
      <x:c r="I4103" s="36" t="n">
        <x:f>IFERROR(H4103/A4103,0)</x:f>
        <x:v>36870.93215664644</x:v>
      </x:c>
      <x:c r="J4103" s="67" t="str">
        <x:v>Modeled from live base + Sep-2026 quality ratio</x:v>
      </x:c>
      <x:c r="K4103" s="67" t="str">
        <x:v>https://www.stonealgo.com/diamond-prices/</x:v>
      </x:c>
      <x:c r="L4103" s="67" t="str">
        <x:v>https://www.pricescope.com/blog/natural-diamond-prices-september-2026</x:v>
      </x:c>
    </x:row>
    <x:row r="4104">
      <x:c r="A4104" t="n">
        <x:v>7</x:v>
      </x:c>
      <x:c r="B4104" t="str">
        <x:v>Cushion</x:v>
      </x:c>
      <x:c r="C4104" t="str">
        <x:v>D</x:v>
      </x:c>
      <x:c r="D4104" t="str">
        <x:v>SI1</x:v>
      </x:c>
      <x:c r="E4104" s="36" t="n">
        <x:v>206000</x:v>
      </x:c>
      <x:c r="F4104" s="36" t="n">
        <x:v>3762</x:v>
      </x:c>
      <x:c r="G4104" s="42" t="n">
        <x:v>0.806949806949807</x:v>
      </x:c>
      <x:c r="H4104" s="36" t="n">
        <x:f>E4104*G4104</x:f>
        <x:v>166231.66023166024</x:v>
      </x:c>
      <x:c r="I4104" s="36" t="n">
        <x:f>IFERROR(H4104/A4104,0)</x:f>
        <x:v>23747.38003309432</x:v>
      </x:c>
      <x:c r="J4104" s="67" t="str">
        <x:v>Modeled from live base + Sep-2026 quality ratio</x:v>
      </x:c>
      <x:c r="K4104" s="67" t="str">
        <x:v>https://www.stonealgo.com/diamond-prices/</x:v>
      </x:c>
      <x:c r="L4104" s="67" t="str">
        <x:v>https://www.pricescope.com/blog/natural-diamond-prices-september-2026</x:v>
      </x:c>
    </x:row>
    <x:row r="4105">
      <x:c r="A4105" t="n">
        <x:v>7</x:v>
      </x:c>
      <x:c r="B4105" t="str">
        <x:v>Cushion</x:v>
      </x:c>
      <x:c r="C4105" t="str">
        <x:v>D</x:v>
      </x:c>
      <x:c r="D4105" t="str">
        <x:v>SI2</x:v>
      </x:c>
      <x:c r="E4105" s="36" t="n">
        <x:v>206000</x:v>
      </x:c>
      <x:c r="F4105" s="36" t="n">
        <x:v>3026</x:v>
      </x:c>
      <x:c r="G4105" s="42" t="n">
        <x:v>0.6490776490776491</x:v>
      </x:c>
      <x:c r="H4105" s="36" t="n">
        <x:f>E4105*G4105</x:f>
        <x:v>133709.9957099957</x:v>
      </x:c>
      <x:c r="I4105" s="36" t="n">
        <x:f>IFERROR(H4105/A4105,0)</x:f>
        <x:v>19101.427958570817</x:v>
      </x:c>
      <x:c r="J4105" s="67" t="str">
        <x:v>Modeled from live base + Sep-2026 quality ratio</x:v>
      </x:c>
      <x:c r="K4105" s="67" t="str">
        <x:v>https://www.stonealgo.com/diamond-prices/</x:v>
      </x:c>
      <x:c r="L4105" s="67" t="str">
        <x:v>https://www.pricescope.com/blog/natural-diamond-prices-september-2026</x:v>
      </x:c>
    </x:row>
    <x:row r="4106">
      <x:c r="A4106" t="n">
        <x:v>7</x:v>
      </x:c>
      <x:c r="B4106" t="str">
        <x:v>Cushion</x:v>
      </x:c>
      <x:c r="C4106" t="str">
        <x:v>E</x:v>
      </x:c>
      <x:c r="D4106" t="str">
        <x:v>FL</x:v>
      </x:c>
      <x:c r="E4106" s="36" t="n">
        <x:v>206000</x:v>
      </x:c>
      <x:c r="F4106" s="36" t="n">
        <x:v>10072</x:v>
      </x:c>
      <x:c r="G4106" s="42" t="n">
        <x:v>2.1604461604461602</x:v>
      </x:c>
      <x:c r="H4106" s="36" t="n">
        <x:f>E4106*G4106</x:f>
        <x:v>445051.909051909</x:v>
      </x:c>
      <x:c r="I4106" s="36" t="n">
        <x:f>IFERROR(H4106/A4106,0)</x:f>
        <x:v>63578.844150272715</x:v>
      </x:c>
      <x:c r="J4106" s="67" t="str">
        <x:v>Modeled from live base + Sep-2026 quality ratio</x:v>
      </x:c>
      <x:c r="K4106" s="67" t="str">
        <x:v>https://www.stonealgo.com/diamond-prices/</x:v>
      </x:c>
      <x:c r="L4106" s="67" t="str">
        <x:v>https://www.pricescope.com/blog/natural-diamond-prices-september-2026</x:v>
      </x:c>
    </x:row>
    <x:row r="4107">
      <x:c r="A4107" t="n">
        <x:v>7</x:v>
      </x:c>
      <x:c r="B4107" t="str">
        <x:v>Cushion</x:v>
      </x:c>
      <x:c r="C4107" t="str">
        <x:v>E</x:v>
      </x:c>
      <x:c r="D4107" t="str">
        <x:v>IF</x:v>
      </x:c>
      <x:c r="E4107" s="36" t="n">
        <x:v>206000</x:v>
      </x:c>
      <x:c r="F4107" s="36" t="n">
        <x:v>8672</x:v>
      </x:c>
      <x:c r="G4107" s="42" t="n">
        <x:v>1.8601458601458603</x:v>
      </x:c>
      <x:c r="H4107" s="36" t="n">
        <x:f>E4107*G4107</x:f>
        <x:v>383190.0471900472</x:v>
      </x:c>
      <x:c r="I4107" s="36" t="n">
        <x:f>IFERROR(H4107/A4107,0)</x:f>
        <x:v>54741.43531286389</x:v>
      </x:c>
      <x:c r="J4107" s="67" t="str">
        <x:v>Modeled from live base + Sep-2026 quality ratio</x:v>
      </x:c>
      <x:c r="K4107" s="67" t="str">
        <x:v>https://www.stonealgo.com/diamond-prices/</x:v>
      </x:c>
      <x:c r="L4107" s="67" t="str">
        <x:v>https://www.pricescope.com/blog/natural-diamond-prices-september-2026</x:v>
      </x:c>
    </x:row>
    <x:row r="4108">
      <x:c r="A4108" t="n">
        <x:v>7</x:v>
      </x:c>
      <x:c r="B4108" t="str">
        <x:v>Cushion</x:v>
      </x:c>
      <x:c r="C4108" t="str">
        <x:v>E</x:v>
      </x:c>
      <x:c r="D4108" t="str">
        <x:v>VVS1</x:v>
      </x:c>
      <x:c r="E4108" s="36" t="n">
        <x:v>206000</x:v>
      </x:c>
      <x:c r="F4108" s="36" t="n">
        <x:v>7842</x:v>
      </x:c>
      <x:c r="G4108" s="42" t="n">
        <x:v>1.6821106821106822</x:v>
      </x:c>
      <x:c r="H4108" s="36" t="n">
        <x:f>E4108*G4108</x:f>
        <x:v>346514.80051480053</x:v>
      </x:c>
      <x:c r="I4108" s="36" t="n">
        <x:f>IFERROR(H4108/A4108,0)</x:f>
        <x:v>49502.11435925722</x:v>
      </x:c>
      <x:c r="J4108" s="67" t="str">
        <x:v>Modeled from live base + Sep-2026 quality ratio</x:v>
      </x:c>
      <x:c r="K4108" s="67" t="str">
        <x:v>https://www.stonealgo.com/diamond-prices/</x:v>
      </x:c>
      <x:c r="L4108" s="67" t="str">
        <x:v>https://www.pricescope.com/blog/natural-diamond-prices-september-2026</x:v>
      </x:c>
    </x:row>
    <x:row r="4109">
      <x:c r="A4109" t="n">
        <x:v>7</x:v>
      </x:c>
      <x:c r="B4109" t="str">
        <x:v>Cushion</x:v>
      </x:c>
      <x:c r="C4109" t="str">
        <x:v>E</x:v>
      </x:c>
      <x:c r="D4109" t="str">
        <x:v>VVS2</x:v>
      </x:c>
      <x:c r="E4109" s="36" t="n">
        <x:v>206000</x:v>
      </x:c>
      <x:c r="F4109" s="36" t="n">
        <x:v>6880</x:v>
      </x:c>
      <x:c r="G4109" s="42" t="n">
        <x:v>1.4757614757614759</x:v>
      </x:c>
      <x:c r="H4109" s="36" t="n">
        <x:f>E4109*G4109</x:f>
        <x:v>304006.864006864</x:v>
      </x:c>
      <x:c r="I4109" s="36" t="n">
        <x:f>IFERROR(H4109/A4109,0)</x:f>
        <x:v>43429.55200098058</x:v>
      </x:c>
      <x:c r="J4109" s="67" t="str">
        <x:v>Modeled from live base + Sep-2026 quality ratio</x:v>
      </x:c>
      <x:c r="K4109" s="67" t="str">
        <x:v>https://www.stonealgo.com/diamond-prices/</x:v>
      </x:c>
      <x:c r="L4109" s="67" t="str">
        <x:v>https://www.pricescope.com/blog/natural-diamond-prices-september-2026</x:v>
      </x:c>
    </x:row>
    <x:row r="4110">
      <x:c r="A4110" t="n">
        <x:v>7</x:v>
      </x:c>
      <x:c r="B4110" t="str">
        <x:v>Cushion</x:v>
      </x:c>
      <x:c r="C4110" t="str">
        <x:v>E</x:v>
      </x:c>
      <x:c r="D4110" t="str">
        <x:v>VS1</x:v>
      </x:c>
      <x:c r="E4110" s="36" t="n">
        <x:v>206000</x:v>
      </x:c>
      <x:c r="F4110" s="36" t="n">
        <x:v>6307</x:v>
      </x:c>
      <x:c r="G4110" s="42" t="n">
        <x:v>1.352852852852853</x:v>
      </x:c>
      <x:c r="H4110" s="36" t="n">
        <x:f>E4110*G4110</x:f>
        <x:v>278687.6876876877</x:v>
      </x:c>
      <x:c r="I4110" s="36" t="n">
        <x:f>IFERROR(H4110/A4110,0)</x:f>
        <x:v>39812.52681252681</x:v>
      </x:c>
      <x:c r="J4110" s="67" t="str">
        <x:v>Modeled from live base + Sep-2026 quality ratio</x:v>
      </x:c>
      <x:c r="K4110" s="67" t="str">
        <x:v>https://www.stonealgo.com/diamond-prices/</x:v>
      </x:c>
      <x:c r="L4110" s="67" t="str">
        <x:v>https://www.pricescope.com/blog/natural-diamond-prices-september-2026</x:v>
      </x:c>
    </x:row>
    <x:row r="4111">
      <x:c r="A4111" t="n">
        <x:v>7</x:v>
      </x:c>
      <x:c r="B4111" t="str">
        <x:v>Cushion</x:v>
      </x:c>
      <x:c r="C4111" t="str">
        <x:v>E</x:v>
      </x:c>
      <x:c r="D4111" t="str">
        <x:v>VS2</x:v>
      </x:c>
      <x:c r="E4111" s="36" t="n">
        <x:v>206000</x:v>
      </x:c>
      <x:c r="F4111" s="36" t="n">
        <x:v>5249</x:v>
      </x:c>
      <x:c r="G4111" s="42" t="n">
        <x:v>1.125911625911626</x:v>
      </x:c>
      <x:c r="H4111" s="36" t="n">
        <x:f>E4111*G4111</x:f>
        <x:v>231937.79493779494</x:v>
      </x:c>
      <x:c r="I4111" s="36" t="n">
        <x:f>IFERROR(H4111/A4111,0)</x:f>
        <x:v>33133.970705399275</x:v>
      </x:c>
      <x:c r="J4111" s="67" t="str">
        <x:v>Modeled from live base + Sep-2026 quality ratio</x:v>
      </x:c>
      <x:c r="K4111" s="67" t="str">
        <x:v>https://www.stonealgo.com/diamond-prices/</x:v>
      </x:c>
      <x:c r="L4111" s="67" t="str">
        <x:v>https://www.pricescope.com/blog/natural-diamond-prices-september-2026</x:v>
      </x:c>
    </x:row>
    <x:row r="4112">
      <x:c r="A4112" t="n">
        <x:v>7</x:v>
      </x:c>
      <x:c r="B4112" t="str">
        <x:v>Cushion</x:v>
      </x:c>
      <x:c r="C4112" t="str">
        <x:v>E</x:v>
      </x:c>
      <x:c r="D4112" t="str">
        <x:v>SI1</x:v>
      </x:c>
      <x:c r="E4112" s="36" t="n">
        <x:v>206000</x:v>
      </x:c>
      <x:c r="F4112" s="36" t="n">
        <x:v>3551</x:v>
      </x:c>
      <x:c r="G4112" s="42" t="n">
        <x:v>0.7616902616902617</x:v>
      </x:c>
      <x:c r="H4112" s="36" t="n">
        <x:f>E4112*G4112</x:f>
        <x:v>156908.1939081939</x:v>
      </x:c>
      <x:c r="I4112" s="36" t="n">
        <x:f>IFERROR(H4112/A4112,0)</x:f>
        <x:v>22415.45627259913</x:v>
      </x:c>
      <x:c r="J4112" s="67" t="str">
        <x:v>Modeled from live base + Sep-2026 quality ratio</x:v>
      </x:c>
      <x:c r="K4112" s="67" t="str">
        <x:v>https://www.stonealgo.com/diamond-prices/</x:v>
      </x:c>
      <x:c r="L4112" s="67" t="str">
        <x:v>https://www.pricescope.com/blog/natural-diamond-prices-september-2026</x:v>
      </x:c>
    </x:row>
    <x:row r="4113">
      <x:c r="A4113" t="n">
        <x:v>7</x:v>
      </x:c>
      <x:c r="B4113" t="str">
        <x:v>Cushion</x:v>
      </x:c>
      <x:c r="C4113" t="str">
        <x:v>E</x:v>
      </x:c>
      <x:c r="D4113" t="str">
        <x:v>SI2</x:v>
      </x:c>
      <x:c r="E4113" s="36" t="n">
        <x:v>206000</x:v>
      </x:c>
      <x:c r="F4113" s="36" t="n">
        <x:v>2993</x:v>
      </x:c>
      <x:c r="G4113" s="42" t="n">
        <x:v>0.641999141999142</x:v>
      </x:c>
      <x:c r="H4113" s="36" t="n">
        <x:f>E4113*G4113</x:f>
        <x:v>132251.82325182325</x:v>
      </x:c>
      <x:c r="I4113" s="36" t="n">
        <x:f>IFERROR(H4113/A4113,0)</x:f>
        <x:v>18893.11760740332</x:v>
      </x:c>
      <x:c r="J4113" s="67" t="str">
        <x:v>Modeled from live base + Sep-2026 quality ratio</x:v>
      </x:c>
      <x:c r="K4113" s="67" t="str">
        <x:v>https://www.stonealgo.com/diamond-prices/</x:v>
      </x:c>
      <x:c r="L4113" s="67" t="str">
        <x:v>https://www.pricescope.com/blog/natural-diamond-prices-september-2026</x:v>
      </x:c>
    </x:row>
    <x:row r="4114">
      <x:c r="A4114" t="n">
        <x:v>7</x:v>
      </x:c>
      <x:c r="B4114" t="str">
        <x:v>Cushion</x:v>
      </x:c>
      <x:c r="C4114" t="str">
        <x:v>F</x:v>
      </x:c>
      <x:c r="D4114" t="str">
        <x:v>FL</x:v>
      </x:c>
      <x:c r="E4114" s="36" t="n">
        <x:v>206000</x:v>
      </x:c>
      <x:c r="F4114" s="36" t="n">
        <x:v>6830</x:v>
      </x:c>
      <x:c r="G4114" s="42" t="n">
        <x:v>1.4650364650364651</x:v>
      </x:c>
      <x:c r="H4114" s="36" t="n">
        <x:f>E4114*G4114</x:f>
        <x:v>301797.51179751183</x:v>
      </x:c>
      <x:c r="I4114" s="36" t="n">
        <x:f>IFERROR(H4114/A4114,0)</x:f>
        <x:v>43113.930256787404</x:v>
      </x:c>
      <x:c r="J4114" s="67" t="str">
        <x:v>Modeled from live base + Sep-2026 quality ratio</x:v>
      </x:c>
      <x:c r="K4114" s="67" t="str">
        <x:v>https://www.stonealgo.com/diamond-prices/</x:v>
      </x:c>
      <x:c r="L4114" s="67" t="str">
        <x:v>https://www.pricescope.com/blog/natural-diamond-prices-september-2026</x:v>
      </x:c>
    </x:row>
    <x:row r="4115">
      <x:c r="A4115" t="n">
        <x:v>7</x:v>
      </x:c>
      <x:c r="B4115" t="str">
        <x:v>Cushion</x:v>
      </x:c>
      <x:c r="C4115" t="str">
        <x:v>F</x:v>
      </x:c>
      <x:c r="D4115" t="str">
        <x:v>IF</x:v>
      </x:c>
      <x:c r="E4115" s="36" t="n">
        <x:v>206000</x:v>
      </x:c>
      <x:c r="F4115" s="36" t="n">
        <x:v>7302</x:v>
      </x:c>
      <x:c r="G4115" s="42" t="n">
        <x:v>1.5662805662805663</x:v>
      </x:c>
      <x:c r="H4115" s="36" t="n">
        <x:f>E4115*G4115</x:f>
        <x:v>322653.7966537967</x:v>
      </x:c>
      <x:c r="I4115" s="36" t="n">
        <x:f>IFERROR(H4115/A4115,0)</x:f>
        <x:v>46093.399521970954</x:v>
      </x:c>
      <x:c r="J4115" s="67" t="str">
        <x:v>Modeled from live base + Sep-2026 quality ratio</x:v>
      </x:c>
      <x:c r="K4115" s="67" t="str">
        <x:v>https://www.stonealgo.com/diamond-prices/</x:v>
      </x:c>
      <x:c r="L4115" s="67" t="str">
        <x:v>https://www.pricescope.com/blog/natural-diamond-prices-september-2026</x:v>
      </x:c>
    </x:row>
    <x:row r="4116">
      <x:c r="A4116" t="n">
        <x:v>7</x:v>
      </x:c>
      <x:c r="B4116" t="str">
        <x:v>Cushion</x:v>
      </x:c>
      <x:c r="C4116" t="str">
        <x:v>F</x:v>
      </x:c>
      <x:c r="D4116" t="str">
        <x:v>VVS1</x:v>
      </x:c>
      <x:c r="E4116" s="36" t="n">
        <x:v>206000</x:v>
      </x:c>
      <x:c r="F4116" s="36" t="n">
        <x:v>7542</x:v>
      </x:c>
      <x:c r="G4116" s="42" t="n">
        <x:v>1.6177606177606179</x:v>
      </x:c>
      <x:c r="H4116" s="36" t="n">
        <x:f>E4116*G4116</x:f>
        <x:v>333258.6872586873</x:v>
      </x:c>
      <x:c r="I4116" s="36" t="n">
        <x:f>IFERROR(H4116/A4116,0)</x:f>
        <x:v>47608.38389409818</x:v>
      </x:c>
      <x:c r="J4116" s="67" t="str">
        <x:v>Modeled from live base + Sep-2026 quality ratio</x:v>
      </x:c>
      <x:c r="K4116" s="67" t="str">
        <x:v>https://www.stonealgo.com/diamond-prices/</x:v>
      </x:c>
      <x:c r="L4116" s="67" t="str">
        <x:v>https://www.pricescope.com/blog/natural-diamond-prices-september-2026</x:v>
      </x:c>
    </x:row>
    <x:row r="4117">
      <x:c r="A4117" t="n">
        <x:v>7</x:v>
      </x:c>
      <x:c r="B4117" t="str">
        <x:v>Cushion</x:v>
      </x:c>
      <x:c r="C4117" t="str">
        <x:v>F</x:v>
      </x:c>
      <x:c r="D4117" t="str">
        <x:v>VVS2</x:v>
      </x:c>
      <x:c r="E4117" s="36" t="n">
        <x:v>206000</x:v>
      </x:c>
      <x:c r="F4117" s="36" t="n">
        <x:v>6352</x:v>
      </x:c>
      <x:c r="G4117" s="42" t="n">
        <x:v>1.3625053625053625</x:v>
      </x:c>
      <x:c r="H4117" s="36" t="n">
        <x:f>E4117*G4117</x:f>
        <x:v>280676.1046761047</x:v>
      </x:c>
      <x:c r="I4117" s="36" t="n">
        <x:f>IFERROR(H4117/A4117,0)</x:f>
        <x:v>40096.586382300666</x:v>
      </x:c>
      <x:c r="J4117" s="67" t="str">
        <x:v>Modeled from live base + Sep-2026 quality ratio</x:v>
      </x:c>
      <x:c r="K4117" s="67" t="str">
        <x:v>https://www.stonealgo.com/diamond-prices/</x:v>
      </x:c>
      <x:c r="L4117" s="67" t="str">
        <x:v>https://www.pricescope.com/blog/natural-diamond-prices-september-2026</x:v>
      </x:c>
    </x:row>
    <x:row r="4118">
      <x:c r="A4118" t="n">
        <x:v>7</x:v>
      </x:c>
      <x:c r="B4118" t="str">
        <x:v>Cushion</x:v>
      </x:c>
      <x:c r="C4118" t="str">
        <x:v>F</x:v>
      </x:c>
      <x:c r="D4118" t="str">
        <x:v>VS1</x:v>
      </x:c>
      <x:c r="E4118" s="36" t="n">
        <x:v>206000</x:v>
      </x:c>
      <x:c r="F4118" s="36" t="n">
        <x:v>5647</x:v>
      </x:c>
      <x:c r="G4118" s="42" t="n">
        <x:v>1.2112827112827114</x:v>
      </x:c>
      <x:c r="H4118" s="36" t="n">
        <x:f>E4118*G4118</x:f>
        <x:v>249524.23852423855</x:v>
      </x:c>
      <x:c r="I4118" s="36" t="n">
        <x:f>IFERROR(H4118/A4118,0)</x:f>
        <x:v>35646.31978917694</x:v>
      </x:c>
      <x:c r="J4118" s="67" t="str">
        <x:v>Modeled from live base + Sep-2026 quality ratio</x:v>
      </x:c>
      <x:c r="K4118" s="67" t="str">
        <x:v>https://www.stonealgo.com/diamond-prices/</x:v>
      </x:c>
      <x:c r="L4118" s="67" t="str">
        <x:v>https://www.pricescope.com/blog/natural-diamond-prices-september-2026</x:v>
      </x:c>
    </x:row>
    <x:row r="4119">
      <x:c r="A4119" t="n">
        <x:v>7</x:v>
      </x:c>
      <x:c r="B4119" t="str">
        <x:v>Cushion</x:v>
      </x:c>
      <x:c r="C4119" t="str">
        <x:v>F</x:v>
      </x:c>
      <x:c r="D4119" t="str">
        <x:v>VS2</x:v>
      </x:c>
      <x:c r="E4119" s="36" t="n">
        <x:v>206000</x:v>
      </x:c>
      <x:c r="F4119" s="36" t="n">
        <x:v>4730</x:v>
      </x:c>
      <x:c r="G4119" s="42" t="n">
        <x:v>1.0145860145860146</x:v>
      </x:c>
      <x:c r="H4119" s="36" t="n">
        <x:f>E4119*G4119</x:f>
        <x:v>209004.71900471902</x:v>
      </x:c>
      <x:c r="I4119" s="36" t="n">
        <x:f>IFERROR(H4119/A4119,0)</x:f>
        <x:v>29857.817000674146</x:v>
      </x:c>
      <x:c r="J4119" s="67" t="str">
        <x:v>Modeled from live base + Sep-2026 quality ratio</x:v>
      </x:c>
      <x:c r="K4119" s="67" t="str">
        <x:v>https://www.stonealgo.com/diamond-prices/</x:v>
      </x:c>
      <x:c r="L4119" s="67" t="str">
        <x:v>https://www.pricescope.com/blog/natural-diamond-prices-september-2026</x:v>
      </x:c>
    </x:row>
    <x:row r="4120">
      <x:c r="A4120" t="n">
        <x:v>7</x:v>
      </x:c>
      <x:c r="B4120" t="str">
        <x:v>Cushion</x:v>
      </x:c>
      <x:c r="C4120" t="str">
        <x:v>F</x:v>
      </x:c>
      <x:c r="D4120" t="str">
        <x:v>SI1</x:v>
      </x:c>
      <x:c r="E4120" s="36" t="n">
        <x:v>206000</x:v>
      </x:c>
      <x:c r="F4120" s="36" t="n">
        <x:v>3331</x:v>
      </x:c>
      <x:c r="G4120" s="42" t="n">
        <x:v>0.7145002145002145</x:v>
      </x:c>
      <x:c r="H4120" s="36" t="n">
        <x:f>E4120*G4120</x:f>
        <x:v>147187.0441870442</x:v>
      </x:c>
      <x:c r="I4120" s="36" t="n">
        <x:f>IFERROR(H4120/A4120,0)</x:f>
        <x:v>21026.72059814917</x:v>
      </x:c>
      <x:c r="J4120" s="67" t="str">
        <x:v>Modeled from live base + Sep-2026 quality ratio</x:v>
      </x:c>
      <x:c r="K4120" s="67" t="str">
        <x:v>https://www.stonealgo.com/diamond-prices/</x:v>
      </x:c>
      <x:c r="L4120" s="67" t="str">
        <x:v>https://www.pricescope.com/blog/natural-diamond-prices-september-2026</x:v>
      </x:c>
    </x:row>
    <x:row r="4121">
      <x:c r="A4121" t="n">
        <x:v>7</x:v>
      </x:c>
      <x:c r="B4121" t="str">
        <x:v>Cushion</x:v>
      </x:c>
      <x:c r="C4121" t="str">
        <x:v>F</x:v>
      </x:c>
      <x:c r="D4121" t="str">
        <x:v>SI2</x:v>
      </x:c>
      <x:c r="E4121" s="36" t="n">
        <x:v>206000</x:v>
      </x:c>
      <x:c r="F4121" s="36" t="n">
        <x:v>2733</x:v>
      </x:c>
      <x:c r="G4121" s="42" t="n">
        <x:v>0.5862290862290862</x:v>
      </x:c>
      <x:c r="H4121" s="36" t="n">
        <x:f>E4121*G4121</x:f>
        <x:v>120763.19176319176</x:v>
      </x:c>
      <x:c r="I4121" s="36" t="n">
        <x:f>IFERROR(H4121/A4121,0)</x:f>
        <x:v>17251.884537598824</x:v>
      </x:c>
      <x:c r="J4121" s="67" t="str">
        <x:v>Modeled from live base + Sep-2026 quality ratio</x:v>
      </x:c>
      <x:c r="K4121" s="67" t="str">
        <x:v>https://www.stonealgo.com/diamond-prices/</x:v>
      </x:c>
      <x:c r="L4121" s="67" t="str">
        <x:v>https://www.pricescope.com/blog/natural-diamond-prices-september-2026</x:v>
      </x:c>
    </x:row>
    <x:row r="4122">
      <x:c r="A4122" t="n">
        <x:v>7</x:v>
      </x:c>
      <x:c r="B4122" t="str">
        <x:v>Cushion</x:v>
      </x:c>
      <x:c r="C4122" t="str">
        <x:v>G</x:v>
      </x:c>
      <x:c r="D4122" t="str">
        <x:v>FL</x:v>
      </x:c>
      <x:c r="E4122" s="36" t="n">
        <x:v>206000</x:v>
      </x:c>
      <x:c r="F4122" s="36" t="n">
        <x:v>5905</x:v>
      </x:c>
      <x:c r="G4122" s="42" t="n">
        <x:v>1.2666237666237665</x:v>
      </x:c>
      <x:c r="H4122" s="36" t="n">
        <x:f>E4122*G4122</x:f>
        <x:v>260924.49592449592</x:v>
      </x:c>
      <x:c r="I4122" s="36" t="n">
        <x:f>IFERROR(H4122/A4122,0)</x:f>
        <x:v>37274.927989213706</x:v>
      </x:c>
      <x:c r="J4122" s="67" t="str">
        <x:v>Modeled from live base + Sep-2026 quality ratio</x:v>
      </x:c>
      <x:c r="K4122" s="67" t="str">
        <x:v>https://www.stonealgo.com/diamond-prices/</x:v>
      </x:c>
      <x:c r="L4122" s="67" t="str">
        <x:v>https://www.pricescope.com/blog/natural-diamond-prices-september-2026</x:v>
      </x:c>
    </x:row>
    <x:row r="4123">
      <x:c r="A4123" t="n">
        <x:v>7</x:v>
      </x:c>
      <x:c r="B4123" t="str">
        <x:v>Cushion</x:v>
      </x:c>
      <x:c r="C4123" t="str">
        <x:v>G</x:v>
      </x:c>
      <x:c r="D4123" t="str">
        <x:v>IF</x:v>
      </x:c>
      <x:c r="E4123" s="36" t="n">
        <x:v>206000</x:v>
      </x:c>
      <x:c r="F4123" s="36" t="n">
        <x:v>5601</x:v>
      </x:c>
      <x:c r="G4123" s="42" t="n">
        <x:v>1.2014157014157014</x:v>
      </x:c>
      <x:c r="H4123" s="36" t="n">
        <x:f>E4123*G4123</x:f>
        <x:v>247491.6344916345</x:v>
      </x:c>
      <x:c r="I4123" s="36" t="n">
        <x:f>IFERROR(H4123/A4123,0)</x:f>
        <x:v>35355.947784519216</x:v>
      </x:c>
      <x:c r="J4123" s="67" t="str">
        <x:v>Modeled from live base + Sep-2026 quality ratio</x:v>
      </x:c>
      <x:c r="K4123" s="67" t="str">
        <x:v>https://www.stonealgo.com/diamond-prices/</x:v>
      </x:c>
      <x:c r="L4123" s="67" t="str">
        <x:v>https://www.pricescope.com/blog/natural-diamond-prices-september-2026</x:v>
      </x:c>
    </x:row>
    <x:row r="4124">
      <x:c r="A4124" t="n">
        <x:v>7</x:v>
      </x:c>
      <x:c r="B4124" t="str">
        <x:v>Cushion</x:v>
      </x:c>
      <x:c r="C4124" t="str">
        <x:v>G</x:v>
      </x:c>
      <x:c r="D4124" t="str">
        <x:v>VVS1</x:v>
      </x:c>
      <x:c r="E4124" s="36" t="n">
        <x:v>206000</x:v>
      </x:c>
      <x:c r="F4124" s="36" t="n">
        <x:v>5124</x:v>
      </x:c>
      <x:c r="G4124" s="42" t="n">
        <x:v>1.0990990990990992</x:v>
      </x:c>
      <x:c r="H4124" s="36" t="n">
        <x:f>E4124*G4124</x:f>
        <x:v>226414.41441441444</x:v>
      </x:c>
      <x:c r="I4124" s="36" t="n">
        <x:f>IFERROR(H4124/A4124,0)</x:f>
        <x:v>32344.91634491635</x:v>
      </x:c>
      <x:c r="J4124" s="67" t="str">
        <x:v>Modeled from live base + Sep-2026 quality ratio</x:v>
      </x:c>
      <x:c r="K4124" s="67" t="str">
        <x:v>https://www.stonealgo.com/diamond-prices/</x:v>
      </x:c>
      <x:c r="L4124" s="67" t="str">
        <x:v>https://www.pricescope.com/blog/natural-diamond-prices-september-2026</x:v>
      </x:c>
    </x:row>
    <x:row r="4125">
      <x:c r="A4125" t="n">
        <x:v>7</x:v>
      </x:c>
      <x:c r="B4125" t="str">
        <x:v>Cushion</x:v>
      </x:c>
      <x:c r="C4125" t="str">
        <x:v>G</x:v>
      </x:c>
      <x:c r="D4125" t="str">
        <x:v>VVS2</x:v>
      </x:c>
      <x:c r="E4125" s="36" t="n">
        <x:v>206000</x:v>
      </x:c>
      <x:c r="F4125" s="36" t="n">
        <x:v>4962</x:v>
      </x:c>
      <x:c r="G4125" s="42" t="n">
        <x:v>1.0643500643500643</x:v>
      </x:c>
      <x:c r="H4125" s="36" t="n">
        <x:f>E4125*G4125</x:f>
        <x:v>219256.11325611325</x:v>
      </x:c>
      <x:c r="I4125" s="36" t="n">
        <x:f>IFERROR(H4125/A4125,0)</x:f>
        <x:v>31322.301893730466</x:v>
      </x:c>
      <x:c r="J4125" s="67" t="str">
        <x:v>Modeled from live base + Sep-2026 quality ratio</x:v>
      </x:c>
      <x:c r="K4125" s="67" t="str">
        <x:v>https://www.stonealgo.com/diamond-prices/</x:v>
      </x:c>
      <x:c r="L4125" s="67" t="str">
        <x:v>https://www.pricescope.com/blog/natural-diamond-prices-september-2026</x:v>
      </x:c>
    </x:row>
    <x:row r="4126">
      <x:c r="A4126" t="n">
        <x:v>7</x:v>
      </x:c>
      <x:c r="B4126" t="str">
        <x:v>Cushion</x:v>
      </x:c>
      <x:c r="C4126" t="str">
        <x:v>G</x:v>
      </x:c>
      <x:c r="D4126" t="str">
        <x:v>VS1</x:v>
      </x:c>
      <x:c r="E4126" s="36" t="n">
        <x:v>206000</x:v>
      </x:c>
      <x:c r="F4126" s="36" t="n">
        <x:v>4615</x:v>
      </x:c>
      <x:c r="G4126" s="42" t="n">
        <x:v>0.98991848991849</x:v>
      </x:c>
      <x:c r="H4126" s="36" t="n">
        <x:f>E4126*G4126</x:f>
        <x:v>203923.20892320893</x:v>
      </x:c>
      <x:c r="I4126" s="36" t="n">
        <x:f>IFERROR(H4126/A4126,0)</x:f>
        <x:v>29131.88698902985</x:v>
      </x:c>
      <x:c r="J4126" s="67" t="str">
        <x:v>Modeled from live base + Sep-2026 quality ratio</x:v>
      </x:c>
      <x:c r="K4126" s="67" t="str">
        <x:v>https://www.stonealgo.com/diamond-prices/</x:v>
      </x:c>
      <x:c r="L4126" s="67" t="str">
        <x:v>https://www.pricescope.com/blog/natural-diamond-prices-september-2026</x:v>
      </x:c>
    </x:row>
    <x:row r="4127">
      <x:c r="A4127" t="n">
        <x:v>7</x:v>
      </x:c>
      <x:c r="B4127" t="str">
        <x:v>Cushion</x:v>
      </x:c>
      <x:c r="C4127" t="str">
        <x:v>G</x:v>
      </x:c>
      <x:c r="D4127" t="str">
        <x:v>VS2</x:v>
      </x:c>
      <x:c r="E4127" s="36" t="n">
        <x:v>206000</x:v>
      </x:c>
      <x:c r="F4127" s="36" t="n">
        <x:v>4585</x:v>
      </x:c>
      <x:c r="G4127" s="42" t="n">
        <x:v>0.9834834834834835</x:v>
      </x:c>
      <x:c r="H4127" s="36" t="n">
        <x:f>E4127*G4127</x:f>
        <x:v>202597.5975975976</x:v>
      </x:c>
      <x:c r="I4127" s="36" t="n">
        <x:f>IFERROR(H4127/A4127,0)</x:f>
        <x:v>28942.513942513942</x:v>
      </x:c>
      <x:c r="J4127" s="67" t="str">
        <x:v>Modeled from live base + Sep-2026 quality ratio</x:v>
      </x:c>
      <x:c r="K4127" s="67" t="str">
        <x:v>https://www.stonealgo.com/diamond-prices/</x:v>
      </x:c>
      <x:c r="L4127" s="67" t="str">
        <x:v>https://www.pricescope.com/blog/natural-diamond-prices-september-2026</x:v>
      </x:c>
    </x:row>
    <x:row r="4128">
      <x:c r="A4128" t="n">
        <x:v>7</x:v>
      </x:c>
      <x:c r="B4128" t="str">
        <x:v>Cushion</x:v>
      </x:c>
      <x:c r="C4128" t="str">
        <x:v>G</x:v>
      </x:c>
      <x:c r="D4128" t="str">
        <x:v>SI1</x:v>
      </x:c>
      <x:c r="E4128" s="36" t="n">
        <x:v>206000</x:v>
      </x:c>
      <x:c r="F4128" s="36" t="n">
        <x:v>3664</x:v>
      </x:c>
      <x:c r="G4128" s="42" t="n">
        <x:v>0.7859287859287859</x:v>
      </x:c>
      <x:c r="H4128" s="36" t="n">
        <x:f>E4128*G4128</x:f>
        <x:v>161901.32990132988</x:v>
      </x:c>
      <x:c r="I4128" s="36" t="n">
        <x:f>IFERROR(H4128/A4128,0)</x:f>
        <x:v>23128.7614144757</x:v>
      </x:c>
      <x:c r="J4128" s="67" t="str">
        <x:v>Modeled from live base + Sep-2026 quality ratio</x:v>
      </x:c>
      <x:c r="K4128" s="67" t="str">
        <x:v>https://www.stonealgo.com/diamond-prices/</x:v>
      </x:c>
      <x:c r="L4128" s="67" t="str">
        <x:v>https://www.pricescope.com/blog/natural-diamond-prices-september-2026</x:v>
      </x:c>
    </x:row>
    <x:row r="4129">
      <x:c r="A4129" t="n">
        <x:v>7</x:v>
      </x:c>
      <x:c r="B4129" t="str">
        <x:v>Cushion</x:v>
      </x:c>
      <x:c r="C4129" t="str">
        <x:v>G</x:v>
      </x:c>
      <x:c r="D4129" t="str">
        <x:v>SI2</x:v>
      </x:c>
      <x:c r="E4129" s="36" t="n">
        <x:v>206000</x:v>
      </x:c>
      <x:c r="F4129" s="36" t="n">
        <x:v>2537</x:v>
      </x:c>
      <x:c r="G4129" s="42" t="n">
        <x:v>0.5441870441870442</x:v>
      </x:c>
      <x:c r="H4129" s="36" t="n">
        <x:f>E4129*G4129</x:f>
        <x:v>112102.53110253111</x:v>
      </x:c>
      <x:c r="I4129" s="36" t="n">
        <x:f>IFERROR(H4129/A4129,0)</x:f>
        <x:v>16014.647300361587</x:v>
      </x:c>
      <x:c r="J4129" s="67" t="str">
        <x:v>Modeled from live base + Sep-2026 quality ratio</x:v>
      </x:c>
      <x:c r="K4129" s="67" t="str">
        <x:v>https://www.stonealgo.com/diamond-prices/</x:v>
      </x:c>
      <x:c r="L4129" s="67" t="str">
        <x:v>https://www.pricescope.com/blog/natural-diamond-prices-september-2026</x:v>
      </x:c>
    </x:row>
    <x:row r="4130">
      <x:c r="A4130" t="n">
        <x:v>7</x:v>
      </x:c>
      <x:c r="B4130" t="str">
        <x:v>Cushion</x:v>
      </x:c>
      <x:c r="C4130" t="str">
        <x:v>H</x:v>
      </x:c>
      <x:c r="D4130" t="str">
        <x:v>FL</x:v>
      </x:c>
      <x:c r="E4130" s="36" t="n">
        <x:v>206000</x:v>
      </x:c>
      <x:c r="F4130" s="36" t="n">
        <x:v>4563</x:v>
      </x:c>
      <x:c r="G4130" s="42" t="n">
        <x:v>0.9787644787644788</x:v>
      </x:c>
      <x:c r="H4130" s="36" t="n">
        <x:f>E4130*G4130</x:f>
        <x:v>201625.48262548263</x:v>
      </x:c>
      <x:c r="I4130" s="36" t="n">
        <x:f>IFERROR(H4130/A4130,0)</x:f>
        <x:v>28803.640375068946</x:v>
      </x:c>
      <x:c r="J4130" s="67" t="str">
        <x:v>Modeled from live base + Sep-2026 quality ratio</x:v>
      </x:c>
      <x:c r="K4130" s="67" t="str">
        <x:v>https://www.stonealgo.com/diamond-prices/</x:v>
      </x:c>
      <x:c r="L4130" s="67" t="str">
        <x:v>https://www.pricescope.com/blog/natural-diamond-prices-september-2026</x:v>
      </x:c>
    </x:row>
    <x:row r="4131">
      <x:c r="A4131" t="n">
        <x:v>7</x:v>
      </x:c>
      <x:c r="B4131" t="str">
        <x:v>Cushion</x:v>
      </x:c>
      <x:c r="C4131" t="str">
        <x:v>H</x:v>
      </x:c>
      <x:c r="D4131" t="str">
        <x:v>IF</x:v>
      </x:c>
      <x:c r="E4131" s="36" t="n">
        <x:v>206000</x:v>
      </x:c>
      <x:c r="F4131" s="36" t="n">
        <x:v>4809</x:v>
      </x:c>
      <x:c r="G4131" s="42" t="n">
        <x:v>1.0315315315315314</x:v>
      </x:c>
      <x:c r="H4131" s="36" t="n">
        <x:f>E4131*G4131</x:f>
        <x:v>212495.49549549547</x:v>
      </x:c>
      <x:c r="I4131" s="36" t="n">
        <x:f>IFERROR(H4131/A4131,0)</x:f>
        <x:v>30356.499356499353</x:v>
      </x:c>
      <x:c r="J4131" s="67" t="str">
        <x:v>Modeled from live base + Sep-2026 quality ratio</x:v>
      </x:c>
      <x:c r="K4131" s="67" t="str">
        <x:v>https://www.stonealgo.com/diamond-prices/</x:v>
      </x:c>
      <x:c r="L4131" s="67" t="str">
        <x:v>https://www.pricescope.com/blog/natural-diamond-prices-september-2026</x:v>
      </x:c>
    </x:row>
    <x:row r="4132">
      <x:c r="A4132" t="n">
        <x:v>7</x:v>
      </x:c>
      <x:c r="B4132" t="str">
        <x:v>Cushion</x:v>
      </x:c>
      <x:c r="C4132" t="str">
        <x:v>H</x:v>
      </x:c>
      <x:c r="D4132" t="str">
        <x:v>VVS1</x:v>
      </x:c>
      <x:c r="E4132" s="36" t="n">
        <x:v>206000</x:v>
      </x:c>
      <x:c r="F4132" s="36" t="n">
        <x:v>4911</x:v>
      </x:c>
      <x:c r="G4132" s="42" t="n">
        <x:v>1.0534105534105533</x:v>
      </x:c>
      <x:c r="H4132" s="36" t="n">
        <x:f>E4132*G4132</x:f>
        <x:v>217002.574002574</x:v>
      </x:c>
      <x:c r="I4132" s="36" t="n">
        <x:f>IFERROR(H4132/A4132,0)</x:f>
        <x:v>31000.36771465343</x:v>
      </x:c>
      <x:c r="J4132" s="67" t="str">
        <x:v>Modeled from live base + Sep-2026 quality ratio</x:v>
      </x:c>
      <x:c r="K4132" s="67" t="str">
        <x:v>https://www.stonealgo.com/diamond-prices/</x:v>
      </x:c>
      <x:c r="L4132" s="67" t="str">
        <x:v>https://www.pricescope.com/blog/natural-diamond-prices-september-2026</x:v>
      </x:c>
    </x:row>
    <x:row r="4133">
      <x:c r="A4133" t="n">
        <x:v>7</x:v>
      </x:c>
      <x:c r="B4133" t="str">
        <x:v>Cushion</x:v>
      </x:c>
      <x:c r="C4133" t="str">
        <x:v>H</x:v>
      </x:c>
      <x:c r="D4133" t="str">
        <x:v>VVS2</x:v>
      </x:c>
      <x:c r="E4133" s="36" t="n">
        <x:v>206000</x:v>
      </x:c>
      <x:c r="F4133" s="36" t="n">
        <x:v>4046</x:v>
      </x:c>
      <x:c r="G4133" s="42" t="n">
        <x:v>0.8678678678678678</x:v>
      </x:c>
      <x:c r="H4133" s="36" t="n">
        <x:f>E4133*G4133</x:f>
        <x:v>178780.78078078077</x:v>
      </x:c>
      <x:c r="I4133" s="36" t="n">
        <x:f>IFERROR(H4133/A4133,0)</x:f>
        <x:v>25540.11154011154</x:v>
      </x:c>
      <x:c r="J4133" s="67" t="str">
        <x:v>Modeled from live base + Sep-2026 quality ratio</x:v>
      </x:c>
      <x:c r="K4133" s="67" t="str">
        <x:v>https://www.stonealgo.com/diamond-prices/</x:v>
      </x:c>
      <x:c r="L4133" s="67" t="str">
        <x:v>https://www.pricescope.com/blog/natural-diamond-prices-september-2026</x:v>
      </x:c>
    </x:row>
    <x:row r="4134">
      <x:c r="A4134" t="n">
        <x:v>7</x:v>
      </x:c>
      <x:c r="B4134" t="str">
        <x:v>Cushion</x:v>
      </x:c>
      <x:c r="C4134" t="str">
        <x:v>H</x:v>
      </x:c>
      <x:c r="D4134" t="str">
        <x:v>VS1</x:v>
      </x:c>
      <x:c r="E4134" s="36" t="n">
        <x:v>206000</x:v>
      </x:c>
      <x:c r="F4134" s="36" t="n">
        <x:v>3893</x:v>
      </x:c>
      <x:c r="G4134" s="42" t="n">
        <x:v>0.8350493350493351</x:v>
      </x:c>
      <x:c r="H4134" s="36" t="n">
        <x:f>E4134*G4134</x:f>
        <x:v>172020.16302016302</x:v>
      </x:c>
      <x:c r="I4134" s="36" t="n">
        <x:f>IFERROR(H4134/A4134,0)</x:f>
        <x:v>24574.309002880433</x:v>
      </x:c>
      <x:c r="J4134" s="67" t="str">
        <x:v>Modeled from live base + Sep-2026 quality ratio</x:v>
      </x:c>
      <x:c r="K4134" s="67" t="str">
        <x:v>https://www.stonealgo.com/diamond-prices/</x:v>
      </x:c>
      <x:c r="L4134" s="67" t="str">
        <x:v>https://www.pricescope.com/blog/natural-diamond-prices-september-2026</x:v>
      </x:c>
    </x:row>
    <x:row r="4135">
      <x:c r="A4135" t="n">
        <x:v>7</x:v>
      </x:c>
      <x:c r="B4135" t="str">
        <x:v>Cushion</x:v>
      </x:c>
      <x:c r="C4135" t="str">
        <x:v>H</x:v>
      </x:c>
      <x:c r="D4135" t="str">
        <x:v>VS2</x:v>
      </x:c>
      <x:c r="E4135" s="36" t="n">
        <x:v>206000</x:v>
      </x:c>
      <x:c r="F4135" s="36" t="n">
        <x:v>3989</x:v>
      </x:c>
      <x:c r="G4135" s="42" t="n">
        <x:v>0.8556413556413557</x:v>
      </x:c>
      <x:c r="H4135" s="36" t="n">
        <x:f>E4135*G4135</x:f>
        <x:v>176262.11926211926</x:v>
      </x:c>
      <x:c r="I4135" s="36" t="n">
        <x:f>IFERROR(H4135/A4135,0)</x:f>
        <x:v>25180.302751731324</x:v>
      </x:c>
      <x:c r="J4135" s="67" t="str">
        <x:v>Modeled from live base + Sep-2026 quality ratio</x:v>
      </x:c>
      <x:c r="K4135" s="67" t="str">
        <x:v>https://www.stonealgo.com/diamond-prices/</x:v>
      </x:c>
      <x:c r="L4135" s="67" t="str">
        <x:v>https://www.pricescope.com/blog/natural-diamond-prices-september-2026</x:v>
      </x:c>
    </x:row>
    <x:row r="4136">
      <x:c r="A4136" t="n">
        <x:v>7</x:v>
      </x:c>
      <x:c r="B4136" t="str">
        <x:v>Cushion</x:v>
      </x:c>
      <x:c r="C4136" t="str">
        <x:v>H</x:v>
      </x:c>
      <x:c r="D4136" t="str">
        <x:v>SI1</x:v>
      </x:c>
      <x:c r="E4136" s="36" t="n">
        <x:v>206000</x:v>
      </x:c>
      <x:c r="F4136" s="36" t="n">
        <x:v>2828</x:v>
      </x:c>
      <x:c r="G4136" s="42" t="n">
        <x:v>0.6066066066066066</x:v>
      </x:c>
      <x:c r="H4136" s="36" t="n">
        <x:f>E4136*G4136</x:f>
        <x:v>124960.96096096096</x:v>
      </x:c>
      <x:c r="I4136" s="36" t="n">
        <x:f>IFERROR(H4136/A4136,0)</x:f>
        <x:v>17851.56585156585</x:v>
      </x:c>
      <x:c r="J4136" s="67" t="str">
        <x:v>Modeled from live base + Sep-2026 quality ratio</x:v>
      </x:c>
      <x:c r="K4136" s="67" t="str">
        <x:v>https://www.stonealgo.com/diamond-prices/</x:v>
      </x:c>
      <x:c r="L4136" s="67" t="str">
        <x:v>https://www.pricescope.com/blog/natural-diamond-prices-september-2026</x:v>
      </x:c>
    </x:row>
    <x:row r="4137">
      <x:c r="A4137" t="n">
        <x:v>7</x:v>
      </x:c>
      <x:c r="B4137" t="str">
        <x:v>Cushion</x:v>
      </x:c>
      <x:c r="C4137" t="str">
        <x:v>H</x:v>
      </x:c>
      <x:c r="D4137" t="str">
        <x:v>SI2</x:v>
      </x:c>
      <x:c r="E4137" s="36" t="n">
        <x:v>206000</x:v>
      </x:c>
      <x:c r="F4137" s="36" t="n">
        <x:v>2328</x:v>
      </x:c>
      <x:c r="G4137" s="42" t="n">
        <x:v>0.49935649935649934</x:v>
      </x:c>
      <x:c r="H4137" s="36" t="n">
        <x:f>E4137*G4137</x:f>
        <x:v>102867.43886743886</x:v>
      </x:c>
      <x:c r="I4137" s="36" t="n">
        <x:f>IFERROR(H4137/A4137,0)</x:f>
        <x:v>14695.348409634124</x:v>
      </x:c>
      <x:c r="J4137" s="67" t="str">
        <x:v>Modeled from live base + Sep-2026 quality ratio</x:v>
      </x:c>
      <x:c r="K4137" s="67" t="str">
        <x:v>https://www.stonealgo.com/diamond-prices/</x:v>
      </x:c>
      <x:c r="L4137" s="67" t="str">
        <x:v>https://www.pricescope.com/blog/natural-diamond-prices-september-2026</x:v>
      </x:c>
    </x:row>
    <x:row r="4138">
      <x:c r="A4138" t="n">
        <x:v>7</x:v>
      </x:c>
      <x:c r="B4138" t="str">
        <x:v>Cushion</x:v>
      </x:c>
      <x:c r="C4138" t="str">
        <x:v>I</x:v>
      </x:c>
      <x:c r="D4138" t="str">
        <x:v>FL</x:v>
      </x:c>
      <x:c r="E4138" s="36" t="n">
        <x:v>206000</x:v>
      </x:c>
      <x:c r="F4138" s="36" t="n">
        <x:v>4623</x:v>
      </x:c>
      <x:c r="G4138" s="42" t="n">
        <x:v>0.9916344916344917</x:v>
      </x:c>
      <x:c r="H4138" s="36" t="n">
        <x:f>E4138*G4138</x:f>
        <x:v>204276.7052767053</x:v>
      </x:c>
      <x:c r="I4138" s="36" t="n">
        <x:f>IFERROR(H4138/A4138,0)</x:f>
        <x:v>29182.386468100758</x:v>
      </x:c>
      <x:c r="J4138" s="67" t="str">
        <x:v>Modeled from live base + Sep-2026 quality ratio</x:v>
      </x:c>
      <x:c r="K4138" s="67" t="str">
        <x:v>https://www.stonealgo.com/diamond-prices/</x:v>
      </x:c>
      <x:c r="L4138" s="67" t="str">
        <x:v>https://www.pricescope.com/blog/natural-diamond-prices-september-2026</x:v>
      </x:c>
    </x:row>
    <x:row r="4139">
      <x:c r="A4139" t="n">
        <x:v>7</x:v>
      </x:c>
      <x:c r="B4139" t="str">
        <x:v>Cushion</x:v>
      </x:c>
      <x:c r="C4139" t="str">
        <x:v>I</x:v>
      </x:c>
      <x:c r="D4139" t="str">
        <x:v>IF</x:v>
      </x:c>
      <x:c r="E4139" s="36" t="n">
        <x:v>206000</x:v>
      </x:c>
      <x:c r="F4139" s="36" t="n">
        <x:v>4005</x:v>
      </x:c>
      <x:c r="G4139" s="42" t="n">
        <x:v>0.859073359073359</x:v>
      </x:c>
      <x:c r="H4139" s="36" t="n">
        <x:f>E4139*G4139</x:f>
        <x:v>176969.11196911195</x:v>
      </x:c>
      <x:c r="I4139" s="36" t="n">
        <x:f>IFERROR(H4139/A4139,0)</x:f>
        <x:v>25281.301709873136</x:v>
      </x:c>
      <x:c r="J4139" s="67" t="str">
        <x:v>Modeled from live base + Sep-2026 quality ratio</x:v>
      </x:c>
      <x:c r="K4139" s="67" t="str">
        <x:v>https://www.stonealgo.com/diamond-prices/</x:v>
      </x:c>
      <x:c r="L4139" s="67" t="str">
        <x:v>https://www.pricescope.com/blog/natural-diamond-prices-september-2026</x:v>
      </x:c>
    </x:row>
    <x:row r="4140">
      <x:c r="A4140" t="n">
        <x:v>7</x:v>
      </x:c>
      <x:c r="B4140" t="str">
        <x:v>Cushion</x:v>
      </x:c>
      <x:c r="C4140" t="str">
        <x:v>I</x:v>
      </x:c>
      <x:c r="D4140" t="str">
        <x:v>VVS1</x:v>
      </x:c>
      <x:c r="E4140" s="36" t="n">
        <x:v>206000</x:v>
      </x:c>
      <x:c r="F4140" s="36" t="n">
        <x:v>3670</x:v>
      </x:c>
      <x:c r="G4140" s="42" t="n">
        <x:v>0.7872157872157872</x:v>
      </x:c>
      <x:c r="H4140" s="36" t="n">
        <x:f>E4140*G4140</x:f>
        <x:v>162166.45216645216</x:v>
      </x:c>
      <x:c r="I4140" s="36" t="n">
        <x:f>IFERROR(H4140/A4140,0)</x:f>
        <x:v>23166.63602377888</x:v>
      </x:c>
      <x:c r="J4140" s="67" t="str">
        <x:v>Modeled from live base + Sep-2026 quality ratio</x:v>
      </x:c>
      <x:c r="K4140" s="67" t="str">
        <x:v>https://www.stonealgo.com/diamond-prices/</x:v>
      </x:c>
      <x:c r="L4140" s="67" t="str">
        <x:v>https://www.pricescope.com/blog/natural-diamond-prices-september-2026</x:v>
      </x:c>
    </x:row>
    <x:row r="4141">
      <x:c r="A4141" t="n">
        <x:v>7</x:v>
      </x:c>
      <x:c r="B4141" t="str">
        <x:v>Cushion</x:v>
      </x:c>
      <x:c r="C4141" t="str">
        <x:v>I</x:v>
      </x:c>
      <x:c r="D4141" t="str">
        <x:v>VVS2</x:v>
      </x:c>
      <x:c r="E4141" s="36" t="n">
        <x:v>206000</x:v>
      </x:c>
      <x:c r="F4141" s="36" t="n">
        <x:v>3447</x:v>
      </x:c>
      <x:c r="G4141" s="42" t="n">
        <x:v>0.7393822393822393</x:v>
      </x:c>
      <x:c r="H4141" s="36" t="n">
        <x:f>E4141*G4141</x:f>
        <x:v>152312.7413127413</x:v>
      </x:c>
      <x:c r="I4141" s="36" t="n">
        <x:f>IFERROR(H4141/A4141,0)</x:f>
        <x:v>21758.96304467733</x:v>
      </x:c>
      <x:c r="J4141" s="67" t="str">
        <x:v>Modeled from live base + Sep-2026 quality ratio</x:v>
      </x:c>
      <x:c r="K4141" s="67" t="str">
        <x:v>https://www.stonealgo.com/diamond-prices/</x:v>
      </x:c>
      <x:c r="L4141" s="67" t="str">
        <x:v>https://www.pricescope.com/blog/natural-diamond-prices-september-2026</x:v>
      </x:c>
    </x:row>
    <x:row r="4142">
      <x:c r="A4142" t="n">
        <x:v>7</x:v>
      </x:c>
      <x:c r="B4142" t="str">
        <x:v>Cushion</x:v>
      </x:c>
      <x:c r="C4142" t="str">
        <x:v>I</x:v>
      </x:c>
      <x:c r="D4142" t="str">
        <x:v>VS1</x:v>
      </x:c>
      <x:c r="E4142" s="36" t="n">
        <x:v>206000</x:v>
      </x:c>
      <x:c r="F4142" s="36" t="n">
        <x:v>3313</x:v>
      </x:c>
      <x:c r="G4142" s="42" t="n">
        <x:v>0.7106392106392107</x:v>
      </x:c>
      <x:c r="H4142" s="36" t="n">
        <x:f>E4142*G4142</x:f>
        <x:v>146391.6773916774</x:v>
      </x:c>
      <x:c r="I4142" s="36" t="n">
        <x:f>IFERROR(H4142/A4142,0)</x:f>
        <x:v>20913.096770239626</x:v>
      </x:c>
      <x:c r="J4142" s="67" t="str">
        <x:v>Modeled from live base + Sep-2026 quality ratio</x:v>
      </x:c>
      <x:c r="K4142" s="67" t="str">
        <x:v>https://www.stonealgo.com/diamond-prices/</x:v>
      </x:c>
      <x:c r="L4142" s="67" t="str">
        <x:v>https://www.pricescope.com/blog/natural-diamond-prices-september-2026</x:v>
      </x:c>
    </x:row>
    <x:row r="4143">
      <x:c r="A4143" t="n">
        <x:v>7</x:v>
      </x:c>
      <x:c r="B4143" t="str">
        <x:v>Cushion</x:v>
      </x:c>
      <x:c r="C4143" t="str">
        <x:v>I</x:v>
      </x:c>
      <x:c r="D4143" t="str">
        <x:v>VS2</x:v>
      </x:c>
      <x:c r="E4143" s="36" t="n">
        <x:v>206000</x:v>
      </x:c>
      <x:c r="F4143" s="36" t="n">
        <x:v>3240</x:v>
      </x:c>
      <x:c r="G4143" s="42" t="n">
        <x:v>0.694980694980695</x:v>
      </x:c>
      <x:c r="H4143" s="36" t="n">
        <x:f>E4143*G4143</x:f>
        <x:v>143166.02316602317</x:v>
      </x:c>
      <x:c r="I4143" s="36" t="n">
        <x:f>IFERROR(H4143/A4143,0)</x:f>
        <x:v>20452.289023717596</x:v>
      </x:c>
      <x:c r="J4143" s="67" t="str">
        <x:v>Modeled from live base + Sep-2026 quality ratio</x:v>
      </x:c>
      <x:c r="K4143" s="67" t="str">
        <x:v>https://www.stonealgo.com/diamond-prices/</x:v>
      </x:c>
      <x:c r="L4143" s="67" t="str">
        <x:v>https://www.pricescope.com/blog/natural-diamond-prices-september-2026</x:v>
      </x:c>
    </x:row>
    <x:row r="4144">
      <x:c r="A4144" t="n">
        <x:v>7</x:v>
      </x:c>
      <x:c r="B4144" t="str">
        <x:v>Cushion</x:v>
      </x:c>
      <x:c r="C4144" t="str">
        <x:v>I</x:v>
      </x:c>
      <x:c r="D4144" t="str">
        <x:v>SI1</x:v>
      </x:c>
      <x:c r="E4144" s="36" t="n">
        <x:v>206000</x:v>
      </x:c>
      <x:c r="F4144" s="36" t="n">
        <x:v>3199</x:v>
      </x:c>
      <x:c r="G4144" s="42" t="n">
        <x:v>0.6861861861861862</x:v>
      </x:c>
      <x:c r="H4144" s="36" t="n">
        <x:f>E4144*G4144</x:f>
        <x:v>141354.35435435435</x:v>
      </x:c>
      <x:c r="I4144" s="36" t="n">
        <x:f>IFERROR(H4144/A4144,0)</x:f>
        <x:v>20193.479193479194</x:v>
      </x:c>
      <x:c r="J4144" s="67" t="str">
        <x:v>Modeled from live base + Sep-2026 quality ratio</x:v>
      </x:c>
      <x:c r="K4144" s="67" t="str">
        <x:v>https://www.stonealgo.com/diamond-prices/</x:v>
      </x:c>
      <x:c r="L4144" s="67" t="str">
        <x:v>https://www.pricescope.com/blog/natural-diamond-prices-september-2026</x:v>
      </x:c>
    </x:row>
    <x:row r="4145">
      <x:c r="A4145" t="n">
        <x:v>7</x:v>
      </x:c>
      <x:c r="B4145" t="str">
        <x:v>Cushion</x:v>
      </x:c>
      <x:c r="C4145" t="str">
        <x:v>I</x:v>
      </x:c>
      <x:c r="D4145" t="str">
        <x:v>SI2</x:v>
      </x:c>
      <x:c r="E4145" s="36" t="n">
        <x:v>206000</x:v>
      </x:c>
      <x:c r="F4145" s="36" t="n">
        <x:v>2874</x:v>
      </x:c>
      <x:c r="G4145" s="42" t="n">
        <x:v>0.6164736164736164</x:v>
      </x:c>
      <x:c r="H4145" s="36" t="n">
        <x:f>E4145*G4145</x:f>
        <x:v>126993.56499356499</x:v>
      </x:c>
      <x:c r="I4145" s="36" t="n">
        <x:f>IFERROR(H4145/A4145,0)</x:f>
        <x:v>18141.93785622357</x:v>
      </x:c>
      <x:c r="J4145" s="67" t="str">
        <x:v>Modeled from live base + Sep-2026 quality ratio</x:v>
      </x:c>
      <x:c r="K4145" s="67" t="str">
        <x:v>https://www.stonealgo.com/diamond-prices/</x:v>
      </x:c>
      <x:c r="L4145" s="67" t="str">
        <x:v>https://www.pricescope.com/blog/natural-diamond-prices-september-2026</x:v>
      </x:c>
    </x:row>
    <x:row r="4146">
      <x:c r="A4146" t="n">
        <x:v>7</x:v>
      </x:c>
      <x:c r="B4146" t="str">
        <x:v>Cushion</x:v>
      </x:c>
      <x:c r="C4146" t="str">
        <x:v>J</x:v>
      </x:c>
      <x:c r="D4146" t="str">
        <x:v>FL</x:v>
      </x:c>
      <x:c r="E4146" s="36" t="n">
        <x:v>206000</x:v>
      </x:c>
      <x:c r="F4146" s="36" t="n">
        <x:v>3646</x:v>
      </x:c>
      <x:c r="G4146" s="42" t="n">
        <x:v>0.782067782067782</x:v>
      </x:c>
      <x:c r="H4146" s="36" t="n">
        <x:f>E4146*G4146</x:f>
        <x:v>161105.9631059631</x:v>
      </x:c>
      <x:c r="I4146" s="36" t="n">
        <x:f>IFERROR(H4146/A4146,0)</x:f>
        <x:v>23015.137586566158</x:v>
      </x:c>
      <x:c r="J4146" s="67" t="str">
        <x:v>Modeled from live base + Sep-2026 quality ratio</x:v>
      </x:c>
      <x:c r="K4146" s="67" t="str">
        <x:v>https://www.stonealgo.com/diamond-prices/</x:v>
      </x:c>
      <x:c r="L4146" s="67" t="str">
        <x:v>https://www.pricescope.com/blog/natural-diamond-prices-september-2026</x:v>
      </x:c>
    </x:row>
    <x:row r="4147">
      <x:c r="A4147" t="n">
        <x:v>7</x:v>
      </x:c>
      <x:c r="B4147" t="str">
        <x:v>Cushion</x:v>
      </x:c>
      <x:c r="C4147" t="str">
        <x:v>J</x:v>
      </x:c>
      <x:c r="D4147" t="str">
        <x:v>IF</x:v>
      </x:c>
      <x:c r="E4147" s="36" t="n">
        <x:v>206000</x:v>
      </x:c>
      <x:c r="F4147" s="36" t="n">
        <x:v>3368</x:v>
      </x:c>
      <x:c r="G4147" s="42" t="n">
        <x:v>0.7224367224367224</x:v>
      </x:c>
      <x:c r="H4147" s="36" t="n">
        <x:f>E4147*G4147</x:f>
        <x:v>148821.96482196482</x:v>
      </x:c>
      <x:c r="I4147" s="36" t="n">
        <x:f>IFERROR(H4147/A4147,0)</x:f>
        <x:v>21260.28068885212</x:v>
      </x:c>
      <x:c r="J4147" s="67" t="str">
        <x:v>Modeled from live base + Sep-2026 quality ratio</x:v>
      </x:c>
      <x:c r="K4147" s="67" t="str">
        <x:v>https://www.stonealgo.com/diamond-prices/</x:v>
      </x:c>
      <x:c r="L4147" s="67" t="str">
        <x:v>https://www.pricescope.com/blog/natural-diamond-prices-september-2026</x:v>
      </x:c>
    </x:row>
    <x:row r="4148">
      <x:c r="A4148" t="n">
        <x:v>7</x:v>
      </x:c>
      <x:c r="B4148" t="str">
        <x:v>Cushion</x:v>
      </x:c>
      <x:c r="C4148" t="str">
        <x:v>J</x:v>
      </x:c>
      <x:c r="D4148" t="str">
        <x:v>VVS1</x:v>
      </x:c>
      <x:c r="E4148" s="36" t="n">
        <x:v>206000</x:v>
      </x:c>
      <x:c r="F4148" s="36" t="n">
        <x:v>2956</x:v>
      </x:c>
      <x:c r="G4148" s="42" t="n">
        <x:v>0.6340626340626341</x:v>
      </x:c>
      <x:c r="H4148" s="36" t="n">
        <x:f>E4148*G4148</x:f>
        <x:v>130616.90261690262</x:v>
      </x:c>
      <x:c r="I4148" s="36" t="n">
        <x:f>IFERROR(H4148/A4148,0)</x:f>
        <x:v>18659.557516700374</x:v>
      </x:c>
      <x:c r="J4148" s="67" t="str">
        <x:v>Modeled from live base + Sep-2026 quality ratio</x:v>
      </x:c>
      <x:c r="K4148" s="67" t="str">
        <x:v>https://www.stonealgo.com/diamond-prices/</x:v>
      </x:c>
      <x:c r="L4148" s="67" t="str">
        <x:v>https://www.pricescope.com/blog/natural-diamond-prices-september-2026</x:v>
      </x:c>
    </x:row>
    <x:row r="4149">
      <x:c r="A4149" t="n">
        <x:v>7</x:v>
      </x:c>
      <x:c r="B4149" t="str">
        <x:v>Cushion</x:v>
      </x:c>
      <x:c r="C4149" t="str">
        <x:v>J</x:v>
      </x:c>
      <x:c r="D4149" t="str">
        <x:v>VVS2</x:v>
      </x:c>
      <x:c r="E4149" s="36" t="n">
        <x:v>206000</x:v>
      </x:c>
      <x:c r="F4149" s="36" t="n">
        <x:v>2612</x:v>
      </x:c>
      <x:c r="G4149" s="42" t="n">
        <x:v>0.5602745602745602</x:v>
      </x:c>
      <x:c r="H4149" s="36" t="n">
        <x:f>E4149*G4149</x:f>
        <x:v>115416.55941655941</x:v>
      </x:c>
      <x:c r="I4149" s="36" t="n">
        <x:f>IFERROR(H4149/A4149,0)</x:f>
        <x:v>16488.079916651343</x:v>
      </x:c>
      <x:c r="J4149" s="67" t="str">
        <x:v>Modeled from live base + Sep-2026 quality ratio</x:v>
      </x:c>
      <x:c r="K4149" s="67" t="str">
        <x:v>https://www.stonealgo.com/diamond-prices/</x:v>
      </x:c>
      <x:c r="L4149" s="67" t="str">
        <x:v>https://www.pricescope.com/blog/natural-diamond-prices-september-2026</x:v>
      </x:c>
    </x:row>
    <x:row r="4150">
      <x:c r="A4150" t="n">
        <x:v>7</x:v>
      </x:c>
      <x:c r="B4150" t="str">
        <x:v>Cushion</x:v>
      </x:c>
      <x:c r="C4150" t="str">
        <x:v>J</x:v>
      </x:c>
      <x:c r="D4150" t="str">
        <x:v>VS1</x:v>
      </x:c>
      <x:c r="E4150" s="36" t="n">
        <x:v>206000</x:v>
      </x:c>
      <x:c r="F4150" s="36" t="n">
        <x:v>3002</x:v>
      </x:c>
      <x:c r="G4150" s="42" t="n">
        <x:v>0.6439296439296439</x:v>
      </x:c>
      <x:c r="H4150" s="36" t="n">
        <x:f>E4150*G4150</x:f>
        <x:v>132649.50664950666</x:v>
      </x:c>
      <x:c r="I4150" s="36" t="n">
        <x:f>IFERROR(H4150/A4150,0)</x:f>
        <x:v>18949.929521358095</x:v>
      </x:c>
      <x:c r="J4150" s="67" t="str">
        <x:v>Modeled from live base + Sep-2026 quality ratio</x:v>
      </x:c>
      <x:c r="K4150" s="67" t="str">
        <x:v>https://www.stonealgo.com/diamond-prices/</x:v>
      </x:c>
      <x:c r="L4150" s="67" t="str">
        <x:v>https://www.pricescope.com/blog/natural-diamond-prices-september-2026</x:v>
      </x:c>
    </x:row>
    <x:row r="4151">
      <x:c r="A4151" t="n">
        <x:v>7</x:v>
      </x:c>
      <x:c r="B4151" t="str">
        <x:v>Cushion</x:v>
      </x:c>
      <x:c r="C4151" t="str">
        <x:v>J</x:v>
      </x:c>
      <x:c r="D4151" t="str">
        <x:v>VS2</x:v>
      </x:c>
      <x:c r="E4151" s="36" t="n">
        <x:v>206000</x:v>
      </x:c>
      <x:c r="F4151" s="36" t="n">
        <x:v>2559</x:v>
      </x:c>
      <x:c r="G4151" s="42" t="n">
        <x:v>0.5489060489060489</x:v>
      </x:c>
      <x:c r="H4151" s="36" t="n">
        <x:f>E4151*G4151</x:f>
        <x:v>113074.64607464607</x:v>
      </x:c>
      <x:c r="I4151" s="36" t="n">
        <x:f>IFERROR(H4151/A4151,0)</x:f>
        <x:v>16153.520867806581</x:v>
      </x:c>
      <x:c r="J4151" s="67" t="str">
        <x:v>Modeled from live base + Sep-2026 quality ratio</x:v>
      </x:c>
      <x:c r="K4151" s="67" t="str">
        <x:v>https://www.stonealgo.com/diamond-prices/</x:v>
      </x:c>
      <x:c r="L4151" s="67" t="str">
        <x:v>https://www.pricescope.com/blog/natural-diamond-prices-september-2026</x:v>
      </x:c>
    </x:row>
    <x:row r="4152">
      <x:c r="A4152" t="n">
        <x:v>7</x:v>
      </x:c>
      <x:c r="B4152" t="str">
        <x:v>Cushion</x:v>
      </x:c>
      <x:c r="C4152" t="str">
        <x:v>J</x:v>
      </x:c>
      <x:c r="D4152" t="str">
        <x:v>SI1</x:v>
      </x:c>
      <x:c r="E4152" s="36" t="n">
        <x:v>206000</x:v>
      </x:c>
      <x:c r="F4152" s="36" t="n">
        <x:v>2195</x:v>
      </x:c>
      <x:c r="G4152" s="42" t="n">
        <x:v>0.47082797082797084</x:v>
      </x:c>
      <x:c r="H4152" s="36" t="n">
        <x:f>E4152*G4152</x:f>
        <x:v>96990.561990562</x:v>
      </x:c>
      <x:c r="I4152" s="36" t="n">
        <x:f>IFERROR(H4152/A4152,0)</x:f>
        <x:v>13855.794570080285</x:v>
      </x:c>
      <x:c r="J4152" s="67" t="str">
        <x:v>Modeled from live base + Sep-2026 quality ratio</x:v>
      </x:c>
      <x:c r="K4152" s="67" t="str">
        <x:v>https://www.stonealgo.com/diamond-prices/</x:v>
      </x:c>
      <x:c r="L4152" s="67" t="str">
        <x:v>https://www.pricescope.com/blog/natural-diamond-prices-september-2026</x:v>
      </x:c>
    </x:row>
    <x:row r="4153">
      <x:c r="A4153" t="n">
        <x:v>7</x:v>
      </x:c>
      <x:c r="B4153" t="str">
        <x:v>Cushion</x:v>
      </x:c>
      <x:c r="C4153" t="str">
        <x:v>J</x:v>
      </x:c>
      <x:c r="D4153" t="str">
        <x:v>SI2</x:v>
      </x:c>
      <x:c r="E4153" s="36" t="n">
        <x:v>206000</x:v>
      </x:c>
      <x:c r="F4153" s="36" t="n">
        <x:v>2079</x:v>
      </x:c>
      <x:c r="G4153" s="42" t="n">
        <x:v>0.44594594594594594</x:v>
      </x:c>
      <x:c r="H4153" s="36" t="n">
        <x:f>E4153*G4153</x:f>
        <x:v>91864.86486486487</x:v>
      </x:c>
      <x:c r="I4153" s="36" t="n">
        <x:f>IFERROR(H4153/A4153,0)</x:f>
        <x:v>13123.552123552125</x:v>
      </x:c>
      <x:c r="J4153" s="67" t="str">
        <x:v>Modeled from live base + Sep-2026 quality ratio</x:v>
      </x:c>
      <x:c r="K4153" s="67" t="str">
        <x:v>https://www.stonealgo.com/diamond-prices/</x:v>
      </x:c>
      <x:c r="L4153" s="67" t="str">
        <x:v>https://www.pricescope.com/blog/natural-diamond-prices-september-2026</x:v>
      </x:c>
    </x:row>
    <x:row r="4154">
      <x:c r="A4154" t="n">
        <x:v>7</x:v>
      </x:c>
      <x:c r="B4154" t="str">
        <x:v>Cushion</x:v>
      </x:c>
      <x:c r="C4154" t="str">
        <x:v>K</x:v>
      </x:c>
      <x:c r="D4154" t="str">
        <x:v>FL</x:v>
      </x:c>
      <x:c r="E4154" s="36" t="n">
        <x:v>206000</x:v>
      </x:c>
      <x:c r="F4154" s="36" t="n">
        <x:v>2858</x:v>
      </x:c>
      <x:c r="G4154" s="42" t="n">
        <x:v>0.6130416130416131</x:v>
      </x:c>
      <x:c r="H4154" s="36" t="n">
        <x:f>E4154*G4154</x:f>
        <x:v>126286.5722865723</x:v>
      </x:c>
      <x:c r="I4154" s="36" t="n">
        <x:f>IFERROR(H4154/A4154,0)</x:f>
        <x:v>18040.938898081757</x:v>
      </x:c>
      <x:c r="J4154" s="67" t="str">
        <x:v>Modeled from live base + Sep-2026 quality ratio; K/FL quality cell modeled</x:v>
      </x:c>
      <x:c r="K4154" s="67" t="str">
        <x:v>https://www.stonealgo.com/diamond-prices/</x:v>
      </x:c>
      <x:c r="L4154" s="67" t="str">
        <x:v>https://www.pricescope.com/blog/natural-diamond-prices-september-2026</x:v>
      </x:c>
    </x:row>
    <x:row r="4155">
      <x:c r="A4155" t="n">
        <x:v>7</x:v>
      </x:c>
      <x:c r="B4155" t="str">
        <x:v>Cushion</x:v>
      </x:c>
      <x:c r="C4155" t="str">
        <x:v>K</x:v>
      </x:c>
      <x:c r="D4155" t="str">
        <x:v>IF</x:v>
      </x:c>
      <x:c r="E4155" s="36" t="n">
        <x:v>206000</x:v>
      </x:c>
      <x:c r="F4155" s="36" t="n">
        <x:v>2743</x:v>
      </x:c>
      <x:c r="G4155" s="42" t="n">
        <x:v>0.5883740883740883</x:v>
      </x:c>
      <x:c r="H4155" s="36" t="n">
        <x:f>E4155*G4155</x:f>
        <x:v>121205.06220506219</x:v>
      </x:c>
      <x:c r="I4155" s="36" t="n">
        <x:f>IFERROR(H4155/A4155,0)</x:f>
        <x:v>17315.008886437456</x:v>
      </x:c>
      <x:c r="J4155" s="67" t="str">
        <x:v>Modeled from live base + Sep-2026 quality ratio</x:v>
      </x:c>
      <x:c r="K4155" s="67" t="str">
        <x:v>https://www.stonealgo.com/diamond-prices/</x:v>
      </x:c>
      <x:c r="L4155" s="67" t="str">
        <x:v>https://www.pricescope.com/blog/natural-diamond-prices-september-2026</x:v>
      </x:c>
    </x:row>
    <x:row r="4156">
      <x:c r="A4156" t="n">
        <x:v>7</x:v>
      </x:c>
      <x:c r="B4156" t="str">
        <x:v>Cushion</x:v>
      </x:c>
      <x:c r="C4156" t="str">
        <x:v>K</x:v>
      </x:c>
      <x:c r="D4156" t="str">
        <x:v>VVS1</x:v>
      </x:c>
      <x:c r="E4156" s="36" t="n">
        <x:v>206000</x:v>
      </x:c>
      <x:c r="F4156" s="36" t="n">
        <x:v>2529</x:v>
      </x:c>
      <x:c r="G4156" s="42" t="n">
        <x:v>0.5424710424710425</x:v>
      </x:c>
      <x:c r="H4156" s="36" t="n">
        <x:f>E4156*G4156</x:f>
        <x:v>111749.03474903475</x:v>
      </x:c>
      <x:c r="I4156" s="36" t="n">
        <x:f>IFERROR(H4156/A4156,0)</x:f>
        <x:v>15964.147821290679</x:v>
      </x:c>
      <x:c r="J4156" s="67" t="str">
        <x:v>Modeled from live base + Sep-2026 quality ratio</x:v>
      </x:c>
      <x:c r="K4156" s="67" t="str">
        <x:v>https://www.stonealgo.com/diamond-prices/</x:v>
      </x:c>
      <x:c r="L4156" s="67" t="str">
        <x:v>https://www.pricescope.com/blog/natural-diamond-prices-september-2026</x:v>
      </x:c>
    </x:row>
    <x:row r="4157">
      <x:c r="A4157" t="n">
        <x:v>7</x:v>
      </x:c>
      <x:c r="B4157" t="str">
        <x:v>Cushion</x:v>
      </x:c>
      <x:c r="C4157" t="str">
        <x:v>K</x:v>
      </x:c>
      <x:c r="D4157" t="str">
        <x:v>VVS2</x:v>
      </x:c>
      <x:c r="E4157" s="36" t="n">
        <x:v>206000</x:v>
      </x:c>
      <x:c r="F4157" s="36" t="n">
        <x:v>2374</x:v>
      </x:c>
      <x:c r="G4157" s="42" t="n">
        <x:v>0.5092235092235092</x:v>
      </x:c>
      <x:c r="H4157" s="36" t="n">
        <x:f>E4157*G4157</x:f>
        <x:v>104900.0429000429</x:v>
      </x:c>
      <x:c r="I4157" s="36" t="n">
        <x:f>IFERROR(H4157/A4157,0)</x:f>
        <x:v>14985.720414291844</x:v>
      </x:c>
      <x:c r="J4157" s="67" t="str">
        <x:v>Modeled from live base + Sep-2026 quality ratio</x:v>
      </x:c>
      <x:c r="K4157" s="67" t="str">
        <x:v>https://www.stonealgo.com/diamond-prices/</x:v>
      </x:c>
      <x:c r="L4157" s="67" t="str">
        <x:v>https://www.pricescope.com/blog/natural-diamond-prices-september-2026</x:v>
      </x:c>
    </x:row>
    <x:row r="4158">
      <x:c r="A4158" t="n">
        <x:v>7</x:v>
      </x:c>
      <x:c r="B4158" t="str">
        <x:v>Cushion</x:v>
      </x:c>
      <x:c r="C4158" t="str">
        <x:v>K</x:v>
      </x:c>
      <x:c r="D4158" t="str">
        <x:v>VS1</x:v>
      </x:c>
      <x:c r="E4158" s="36" t="n">
        <x:v>206000</x:v>
      </x:c>
      <x:c r="F4158" s="36" t="n">
        <x:v>2223</x:v>
      </x:c>
      <x:c r="G4158" s="42" t="n">
        <x:v>0.4768339768339768</x:v>
      </x:c>
      <x:c r="H4158" s="36" t="n">
        <x:f>E4158*G4158</x:f>
        <x:v>98227.79922779923</x:v>
      </x:c>
      <x:c r="I4158" s="36" t="n">
        <x:f>IFERROR(H4158/A4158,0)</x:f>
        <x:v>14032.542746828462</x:v>
      </x:c>
      <x:c r="J4158" s="67" t="str">
        <x:v>Modeled from live base + Sep-2026 quality ratio</x:v>
      </x:c>
      <x:c r="K4158" s="67" t="str">
        <x:v>https://www.stonealgo.com/diamond-prices/</x:v>
      </x:c>
      <x:c r="L4158" s="67" t="str">
        <x:v>https://www.pricescope.com/blog/natural-diamond-prices-september-2026</x:v>
      </x:c>
    </x:row>
    <x:row r="4159">
      <x:c r="A4159" t="n">
        <x:v>7</x:v>
      </x:c>
      <x:c r="B4159" t="str">
        <x:v>Cushion</x:v>
      </x:c>
      <x:c r="C4159" t="str">
        <x:v>K</x:v>
      </x:c>
      <x:c r="D4159" t="str">
        <x:v>VS2</x:v>
      </x:c>
      <x:c r="E4159" s="36" t="n">
        <x:v>206000</x:v>
      </x:c>
      <x:c r="F4159" s="36" t="n">
        <x:v>2098</x:v>
      </x:c>
      <x:c r="G4159" s="42" t="n">
        <x:v>0.45002145002145</x:v>
      </x:c>
      <x:c r="H4159" s="36" t="n">
        <x:f>E4159*G4159</x:f>
        <x:v>92704.4187044187</x:v>
      </x:c>
      <x:c r="I4159" s="36" t="n">
        <x:f>IFERROR(H4159/A4159,0)</x:f>
        <x:v>13243.488386345529</x:v>
      </x:c>
      <x:c r="J4159" s="67" t="str">
        <x:v>Modeled from live base + Sep-2026 quality ratio</x:v>
      </x:c>
      <x:c r="K4159" s="67" t="str">
        <x:v>https://www.stonealgo.com/diamond-prices/</x:v>
      </x:c>
      <x:c r="L4159" s="67" t="str">
        <x:v>https://www.pricescope.com/blog/natural-diamond-prices-september-2026</x:v>
      </x:c>
    </x:row>
    <x:row r="4160">
      <x:c r="A4160" t="n">
        <x:v>7</x:v>
      </x:c>
      <x:c r="B4160" t="str">
        <x:v>Cushion</x:v>
      </x:c>
      <x:c r="C4160" t="str">
        <x:v>K</x:v>
      </x:c>
      <x:c r="D4160" t="str">
        <x:v>SI1</x:v>
      </x:c>
      <x:c r="E4160" s="36" t="n">
        <x:v>206000</x:v>
      </x:c>
      <x:c r="F4160" s="36" t="n">
        <x:v>1922</x:v>
      </x:c>
      <x:c r="G4160" s="42" t="n">
        <x:v>0.41226941226941227</x:v>
      </x:c>
      <x:c r="H4160" s="36" t="n">
        <x:f>E4160*G4160</x:f>
        <x:v>84927.49892749893</x:v>
      </x:c>
      <x:c r="I4160" s="36" t="n">
        <x:f>IFERROR(H4160/A4160,0)</x:f>
        <x:v>12132.499846785562</x:v>
      </x:c>
      <x:c r="J4160" s="67" t="str">
        <x:v>Modeled from live base + Sep-2026 quality ratio</x:v>
      </x:c>
      <x:c r="K4160" s="67" t="str">
        <x:v>https://www.stonealgo.com/diamond-prices/</x:v>
      </x:c>
      <x:c r="L4160" s="67" t="str">
        <x:v>https://www.pricescope.com/blog/natural-diamond-prices-september-2026</x:v>
      </x:c>
    </x:row>
    <x:row r="4161">
      <x:c r="A4161" t="n">
        <x:v>7</x:v>
      </x:c>
      <x:c r="B4161" t="str">
        <x:v>Cushion</x:v>
      </x:c>
      <x:c r="C4161" t="str">
        <x:v>K</x:v>
      </x:c>
      <x:c r="D4161" t="str">
        <x:v>SI2</x:v>
      </x:c>
      <x:c r="E4161" s="36" t="n">
        <x:v>206000</x:v>
      </x:c>
      <x:c r="F4161" s="36" t="n">
        <x:v>1764</x:v>
      </x:c>
      <x:c r="G4161" s="42" t="n">
        <x:v>0.3783783783783784</x:v>
      </x:c>
      <x:c r="H4161" s="36" t="n">
        <x:f>E4161*G4161</x:f>
        <x:v>77945.94594594595</x:v>
      </x:c>
      <x:c r="I4161" s="36" t="n">
        <x:f>IFERROR(H4161/A4161,0)</x:f>
        <x:v>11135.135135135135</x:v>
      </x:c>
      <x:c r="J4161" s="67" t="str">
        <x:v>Modeled from live base + Sep-2026 quality ratio</x:v>
      </x:c>
      <x:c r="K4161" s="67" t="str">
        <x:v>https://www.stonealgo.com/diamond-prices/</x:v>
      </x:c>
      <x:c r="L4161" s="67" t="str">
        <x:v>https://www.pricescope.com/blog/natural-diamond-prices-september-2026</x:v>
      </x:c>
    </x:row>
    <x:row r="4162">
      <x:c r="A4162" t="n">
        <x:v>7</x:v>
      </x:c>
      <x:c r="B4162" t="str">
        <x:v>Radiant</x:v>
      </x:c>
      <x:c r="C4162" t="str">
        <x:v>D</x:v>
      </x:c>
      <x:c r="D4162" t="str">
        <x:v>FL</x:v>
      </x:c>
      <x:c r="E4162" s="36" t="n">
        <x:v>193000</x:v>
      </x:c>
      <x:c r="F4162" s="36" t="n">
        <x:v>12665</x:v>
      </x:c>
      <x:c r="G4162" s="42" t="n">
        <x:v>2.7166452166452166</x:v>
      </x:c>
      <x:c r="H4162" s="36" t="n">
        <x:f>E4162*G4162</x:f>
        <x:v>524312.5268125269</x:v>
      </x:c>
      <x:c r="I4162" s="36" t="n">
        <x:f>IFERROR(H4162/A4162,0)</x:f>
        <x:v>74901.7895446467</x:v>
      </x:c>
      <x:c r="J4162" s="67" t="str">
        <x:v>Modeled from live base + Sep-2026 quality ratio</x:v>
      </x:c>
      <x:c r="K4162" s="67" t="str">
        <x:v>https://www.stonealgo.com/diamond-prices/</x:v>
      </x:c>
      <x:c r="L4162" s="67" t="str">
        <x:v>https://www.pricescope.com/blog/natural-diamond-prices-september-2026</x:v>
      </x:c>
    </x:row>
    <x:row r="4163">
      <x:c r="A4163" t="n">
        <x:v>7</x:v>
      </x:c>
      <x:c r="B4163" t="str">
        <x:v>Radiant</x:v>
      </x:c>
      <x:c r="C4163" t="str">
        <x:v>D</x:v>
      </x:c>
      <x:c r="D4163" t="str">
        <x:v>IF</x:v>
      </x:c>
      <x:c r="E4163" s="36" t="n">
        <x:v>193000</x:v>
      </x:c>
      <x:c r="F4163" s="36" t="n">
        <x:v>13240</x:v>
      </x:c>
      <x:c r="G4163" s="42" t="n">
        <x:v>2.83998283998284</x:v>
      </x:c>
      <x:c r="H4163" s="36" t="n">
        <x:f>E4163*G4163</x:f>
        <x:v>548116.6881166882</x:v>
      </x:c>
      <x:c r="I4163" s="36" t="n">
        <x:f>IFERROR(H4163/A4163,0)</x:f>
        <x:v>78302.38401666973</x:v>
      </x:c>
      <x:c r="J4163" s="67" t="str">
        <x:v>Modeled from live base + Sep-2026 quality ratio</x:v>
      </x:c>
      <x:c r="K4163" s="67" t="str">
        <x:v>https://www.stonealgo.com/diamond-prices/</x:v>
      </x:c>
      <x:c r="L4163" s="67" t="str">
        <x:v>https://www.pricescope.com/blog/natural-diamond-prices-september-2026</x:v>
      </x:c>
    </x:row>
    <x:row r="4164">
      <x:c r="A4164" t="n">
        <x:v>7</x:v>
      </x:c>
      <x:c r="B4164" t="str">
        <x:v>Radiant</x:v>
      </x:c>
      <x:c r="C4164" t="str">
        <x:v>D</x:v>
      </x:c>
      <x:c r="D4164" t="str">
        <x:v>VVS1</x:v>
      </x:c>
      <x:c r="E4164" s="36" t="n">
        <x:v>193000</x:v>
      </x:c>
      <x:c r="F4164" s="36" t="n">
        <x:v>9555</x:v>
      </x:c>
      <x:c r="G4164" s="42" t="n">
        <x:v>2.0495495495495497</x:v>
      </x:c>
      <x:c r="H4164" s="36" t="n">
        <x:f>E4164*G4164</x:f>
        <x:v>395563.0630630631</x:v>
      </x:c>
      <x:c r="I4164" s="36" t="n">
        <x:f>IFERROR(H4164/A4164,0)</x:f>
        <x:v>56509.00900900901</x:v>
      </x:c>
      <x:c r="J4164" s="67" t="str">
        <x:v>Modeled from live base + Sep-2026 quality ratio</x:v>
      </x:c>
      <x:c r="K4164" s="67" t="str">
        <x:v>https://www.stonealgo.com/diamond-prices/</x:v>
      </x:c>
      <x:c r="L4164" s="67" t="str">
        <x:v>https://www.pricescope.com/blog/natural-diamond-prices-september-2026</x:v>
      </x:c>
    </x:row>
    <x:row r="4165">
      <x:c r="A4165" t="n">
        <x:v>7</x:v>
      </x:c>
      <x:c r="B4165" t="str">
        <x:v>Radiant</x:v>
      </x:c>
      <x:c r="C4165" t="str">
        <x:v>D</x:v>
      </x:c>
      <x:c r="D4165" t="str">
        <x:v>VVS2</x:v>
      </x:c>
      <x:c r="E4165" s="36" t="n">
        <x:v>193000</x:v>
      </x:c>
      <x:c r="F4165" s="36" t="n">
        <x:v>6660</x:v>
      </x:c>
      <x:c r="G4165" s="42" t="n">
        <x:v>1.4285714285714286</x:v>
      </x:c>
      <x:c r="H4165" s="36" t="n">
        <x:f>E4165*G4165</x:f>
        <x:v>275714.28571428574</x:v>
      </x:c>
      <x:c r="I4165" s="36" t="n">
        <x:f>IFERROR(H4165/A4165,0)</x:f>
        <x:v>39387.75510204082</x:v>
      </x:c>
      <x:c r="J4165" s="67" t="str">
        <x:v>Modeled from live base + Sep-2026 quality ratio</x:v>
      </x:c>
      <x:c r="K4165" s="67" t="str">
        <x:v>https://www.stonealgo.com/diamond-prices/</x:v>
      </x:c>
      <x:c r="L4165" s="67" t="str">
        <x:v>https://www.pricescope.com/blog/natural-diamond-prices-september-2026</x:v>
      </x:c>
    </x:row>
    <x:row r="4166">
      <x:c r="A4166" t="n">
        <x:v>7</x:v>
      </x:c>
      <x:c r="B4166" t="str">
        <x:v>Radiant</x:v>
      </x:c>
      <x:c r="C4166" t="str">
        <x:v>D</x:v>
      </x:c>
      <x:c r="D4166" t="str">
        <x:v>VS1</x:v>
      </x:c>
      <x:c r="E4166" s="36" t="n">
        <x:v>193000</x:v>
      </x:c>
      <x:c r="F4166" s="36" t="n">
        <x:v>6247</x:v>
      </x:c>
      <x:c r="G4166" s="42" t="n">
        <x:v>1.33998283998284</x:v>
      </x:c>
      <x:c r="H4166" s="36" t="n">
        <x:f>E4166*G4166</x:f>
        <x:v>258616.6881166881</x:v>
      </x:c>
      <x:c r="I4166" s="36" t="n">
        <x:f>IFERROR(H4166/A4166,0)</x:f>
        <x:v>36945.24115952687</x:v>
      </x:c>
      <x:c r="J4166" s="67" t="str">
        <x:v>Modeled from live base + Sep-2026 quality ratio</x:v>
      </x:c>
      <x:c r="K4166" s="67" t="str">
        <x:v>https://www.stonealgo.com/diamond-prices/</x:v>
      </x:c>
      <x:c r="L4166" s="67" t="str">
        <x:v>https://www.pricescope.com/blog/natural-diamond-prices-september-2026</x:v>
      </x:c>
    </x:row>
    <x:row r="4167">
      <x:c r="A4167" t="n">
        <x:v>7</x:v>
      </x:c>
      <x:c r="B4167" t="str">
        <x:v>Radiant</x:v>
      </x:c>
      <x:c r="C4167" t="str">
        <x:v>D</x:v>
      </x:c>
      <x:c r="D4167" t="str">
        <x:v>VS2</x:v>
      </x:c>
      <x:c r="E4167" s="36" t="n">
        <x:v>193000</x:v>
      </x:c>
      <x:c r="F4167" s="36" t="n">
        <x:v>5841</x:v>
      </x:c>
      <x:c r="G4167" s="42" t="n">
        <x:v>1.252895752895753</x:v>
      </x:c>
      <x:c r="H4167" s="36" t="n">
        <x:f>E4167*G4167</x:f>
        <x:v>241808.88030888033</x:v>
      </x:c>
      <x:c r="I4167" s="36" t="n">
        <x:f>IFERROR(H4167/A4167,0)</x:f>
        <x:v>34544.12575841147</x:v>
      </x:c>
      <x:c r="J4167" s="67" t="str">
        <x:v>Modeled from live base + Sep-2026 quality ratio</x:v>
      </x:c>
      <x:c r="K4167" s="67" t="str">
        <x:v>https://www.stonealgo.com/diamond-prices/</x:v>
      </x:c>
      <x:c r="L4167" s="67" t="str">
        <x:v>https://www.pricescope.com/blog/natural-diamond-prices-september-2026</x:v>
      </x:c>
    </x:row>
    <x:row r="4168">
      <x:c r="A4168" t="n">
        <x:v>7</x:v>
      </x:c>
      <x:c r="B4168" t="str">
        <x:v>Radiant</x:v>
      </x:c>
      <x:c r="C4168" t="str">
        <x:v>D</x:v>
      </x:c>
      <x:c r="D4168" t="str">
        <x:v>SI1</x:v>
      </x:c>
      <x:c r="E4168" s="36" t="n">
        <x:v>193000</x:v>
      </x:c>
      <x:c r="F4168" s="36" t="n">
        <x:v>3762</x:v>
      </x:c>
      <x:c r="G4168" s="42" t="n">
        <x:v>0.806949806949807</x:v>
      </x:c>
      <x:c r="H4168" s="36" t="n">
        <x:f>E4168*G4168</x:f>
        <x:v>155741.31274131275</x:v>
      </x:c>
      <x:c r="I4168" s="36" t="n">
        <x:f>IFERROR(H4168/A4168,0)</x:f>
        <x:v>22248.75896304468</x:v>
      </x:c>
      <x:c r="J4168" s="67" t="str">
        <x:v>Modeled from live base + Sep-2026 quality ratio</x:v>
      </x:c>
      <x:c r="K4168" s="67" t="str">
        <x:v>https://www.stonealgo.com/diamond-prices/</x:v>
      </x:c>
      <x:c r="L4168" s="67" t="str">
        <x:v>https://www.pricescope.com/blog/natural-diamond-prices-september-2026</x:v>
      </x:c>
    </x:row>
    <x:row r="4169">
      <x:c r="A4169" t="n">
        <x:v>7</x:v>
      </x:c>
      <x:c r="B4169" t="str">
        <x:v>Radiant</x:v>
      </x:c>
      <x:c r="C4169" t="str">
        <x:v>D</x:v>
      </x:c>
      <x:c r="D4169" t="str">
        <x:v>SI2</x:v>
      </x:c>
      <x:c r="E4169" s="36" t="n">
        <x:v>193000</x:v>
      </x:c>
      <x:c r="F4169" s="36" t="n">
        <x:v>3026</x:v>
      </x:c>
      <x:c r="G4169" s="42" t="n">
        <x:v>0.6490776490776491</x:v>
      </x:c>
      <x:c r="H4169" s="36" t="n">
        <x:f>E4169*G4169</x:f>
        <x:v>125271.98627198627</x:v>
      </x:c>
      <x:c r="I4169" s="36" t="n">
        <x:f>IFERROR(H4169/A4169,0)</x:f>
        <x:v>17895.99803885518</x:v>
      </x:c>
      <x:c r="J4169" s="67" t="str">
        <x:v>Modeled from live base + Sep-2026 quality ratio</x:v>
      </x:c>
      <x:c r="K4169" s="67" t="str">
        <x:v>https://www.stonealgo.com/diamond-prices/</x:v>
      </x:c>
      <x:c r="L4169" s="67" t="str">
        <x:v>https://www.pricescope.com/blog/natural-diamond-prices-september-2026</x:v>
      </x:c>
    </x:row>
    <x:row r="4170">
      <x:c r="A4170" t="n">
        <x:v>7</x:v>
      </x:c>
      <x:c r="B4170" t="str">
        <x:v>Radiant</x:v>
      </x:c>
      <x:c r="C4170" t="str">
        <x:v>E</x:v>
      </x:c>
      <x:c r="D4170" t="str">
        <x:v>FL</x:v>
      </x:c>
      <x:c r="E4170" s="36" t="n">
        <x:v>193000</x:v>
      </x:c>
      <x:c r="F4170" s="36" t="n">
        <x:v>10072</x:v>
      </x:c>
      <x:c r="G4170" s="42" t="n">
        <x:v>2.1604461604461602</x:v>
      </x:c>
      <x:c r="H4170" s="36" t="n">
        <x:f>E4170*G4170</x:f>
        <x:v>416966.10896610894</x:v>
      </x:c>
      <x:c r="I4170" s="36" t="n">
        <x:f>IFERROR(H4170/A4170,0)</x:f>
        <x:v>59566.58699515842</x:v>
      </x:c>
      <x:c r="J4170" s="67" t="str">
        <x:v>Modeled from live base + Sep-2026 quality ratio</x:v>
      </x:c>
      <x:c r="K4170" s="67" t="str">
        <x:v>https://www.stonealgo.com/diamond-prices/</x:v>
      </x:c>
      <x:c r="L4170" s="67" t="str">
        <x:v>https://www.pricescope.com/blog/natural-diamond-prices-september-2026</x:v>
      </x:c>
    </x:row>
    <x:row r="4171">
      <x:c r="A4171" t="n">
        <x:v>7</x:v>
      </x:c>
      <x:c r="B4171" t="str">
        <x:v>Radiant</x:v>
      </x:c>
      <x:c r="C4171" t="str">
        <x:v>E</x:v>
      </x:c>
      <x:c r="D4171" t="str">
        <x:v>IF</x:v>
      </x:c>
      <x:c r="E4171" s="36" t="n">
        <x:v>193000</x:v>
      </x:c>
      <x:c r="F4171" s="36" t="n">
        <x:v>8672</x:v>
      </x:c>
      <x:c r="G4171" s="42" t="n">
        <x:v>1.8601458601458603</x:v>
      </x:c>
      <x:c r="H4171" s="36" t="n">
        <x:f>E4171*G4171</x:f>
        <x:v>359008.151008151</x:v>
      </x:c>
      <x:c r="I4171" s="36" t="n">
        <x:f>IFERROR(H4171/A4171,0)</x:f>
        <x:v>51286.87871545014</x:v>
      </x:c>
      <x:c r="J4171" s="67" t="str">
        <x:v>Modeled from live base + Sep-2026 quality ratio</x:v>
      </x:c>
      <x:c r="K4171" s="67" t="str">
        <x:v>https://www.stonealgo.com/diamond-prices/</x:v>
      </x:c>
      <x:c r="L4171" s="67" t="str">
        <x:v>https://www.pricescope.com/blog/natural-diamond-prices-september-2026</x:v>
      </x:c>
    </x:row>
    <x:row r="4172">
      <x:c r="A4172" t="n">
        <x:v>7</x:v>
      </x:c>
      <x:c r="B4172" t="str">
        <x:v>Radiant</x:v>
      </x:c>
      <x:c r="C4172" t="str">
        <x:v>E</x:v>
      </x:c>
      <x:c r="D4172" t="str">
        <x:v>VVS1</x:v>
      </x:c>
      <x:c r="E4172" s="36" t="n">
        <x:v>193000</x:v>
      </x:c>
      <x:c r="F4172" s="36" t="n">
        <x:v>7842</x:v>
      </x:c>
      <x:c r="G4172" s="42" t="n">
        <x:v>1.6821106821106822</x:v>
      </x:c>
      <x:c r="H4172" s="36" t="n">
        <x:f>E4172*G4172</x:f>
        <x:v>324647.36164736166</x:v>
      </x:c>
      <x:c r="I4172" s="36" t="n">
        <x:f>IFERROR(H4172/A4172,0)</x:f>
        <x:v>46378.194521051664</x:v>
      </x:c>
      <x:c r="J4172" s="67" t="str">
        <x:v>Modeled from live base + Sep-2026 quality ratio</x:v>
      </x:c>
      <x:c r="K4172" s="67" t="str">
        <x:v>https://www.stonealgo.com/diamond-prices/</x:v>
      </x:c>
      <x:c r="L4172" s="67" t="str">
        <x:v>https://www.pricescope.com/blog/natural-diamond-prices-september-2026</x:v>
      </x:c>
    </x:row>
    <x:row r="4173">
      <x:c r="A4173" t="n">
        <x:v>7</x:v>
      </x:c>
      <x:c r="B4173" t="str">
        <x:v>Radiant</x:v>
      </x:c>
      <x:c r="C4173" t="str">
        <x:v>E</x:v>
      </x:c>
      <x:c r="D4173" t="str">
        <x:v>VVS2</x:v>
      </x:c>
      <x:c r="E4173" s="36" t="n">
        <x:v>193000</x:v>
      </x:c>
      <x:c r="F4173" s="36" t="n">
        <x:v>6880</x:v>
      </x:c>
      <x:c r="G4173" s="42" t="n">
        <x:v>1.4757614757614759</x:v>
      </x:c>
      <x:c r="H4173" s="36" t="n">
        <x:f>E4173*G4173</x:f>
        <x:v>284821.96482196485</x:v>
      </x:c>
      <x:c r="I4173" s="36" t="n">
        <x:f>IFERROR(H4173/A4173,0)</x:f>
        <x:v>40688.85211742355</x:v>
      </x:c>
      <x:c r="J4173" s="67" t="str">
        <x:v>Modeled from live base + Sep-2026 quality ratio</x:v>
      </x:c>
      <x:c r="K4173" s="67" t="str">
        <x:v>https://www.stonealgo.com/diamond-prices/</x:v>
      </x:c>
      <x:c r="L4173" s="67" t="str">
        <x:v>https://www.pricescope.com/blog/natural-diamond-prices-september-2026</x:v>
      </x:c>
    </x:row>
    <x:row r="4174">
      <x:c r="A4174" t="n">
        <x:v>7</x:v>
      </x:c>
      <x:c r="B4174" t="str">
        <x:v>Radiant</x:v>
      </x:c>
      <x:c r="C4174" t="str">
        <x:v>E</x:v>
      </x:c>
      <x:c r="D4174" t="str">
        <x:v>VS1</x:v>
      </x:c>
      <x:c r="E4174" s="36" t="n">
        <x:v>193000</x:v>
      </x:c>
      <x:c r="F4174" s="36" t="n">
        <x:v>6307</x:v>
      </x:c>
      <x:c r="G4174" s="42" t="n">
        <x:v>1.352852852852853</x:v>
      </x:c>
      <x:c r="H4174" s="36" t="n">
        <x:f>E4174*G4174</x:f>
        <x:v>261100.60060060062</x:v>
      </x:c>
      <x:c r="I4174" s="36" t="n">
        <x:f>IFERROR(H4174/A4174,0)</x:f>
        <x:v>37300.085800085806</x:v>
      </x:c>
      <x:c r="J4174" s="67" t="str">
        <x:v>Modeled from live base + Sep-2026 quality ratio</x:v>
      </x:c>
      <x:c r="K4174" s="67" t="str">
        <x:v>https://www.stonealgo.com/diamond-prices/</x:v>
      </x:c>
      <x:c r="L4174" s="67" t="str">
        <x:v>https://www.pricescope.com/blog/natural-diamond-prices-september-2026</x:v>
      </x:c>
    </x:row>
    <x:row r="4175">
      <x:c r="A4175" t="n">
        <x:v>7</x:v>
      </x:c>
      <x:c r="B4175" t="str">
        <x:v>Radiant</x:v>
      </x:c>
      <x:c r="C4175" t="str">
        <x:v>E</x:v>
      </x:c>
      <x:c r="D4175" t="str">
        <x:v>VS2</x:v>
      </x:c>
      <x:c r="E4175" s="36" t="n">
        <x:v>193000</x:v>
      </x:c>
      <x:c r="F4175" s="36" t="n">
        <x:v>5249</x:v>
      </x:c>
      <x:c r="G4175" s="42" t="n">
        <x:v>1.125911625911626</x:v>
      </x:c>
      <x:c r="H4175" s="36" t="n">
        <x:f>E4175*G4175</x:f>
        <x:v>217300.94380094382</x:v>
      </x:c>
      <x:c r="I4175" s="36" t="n">
        <x:f>IFERROR(H4175/A4175,0)</x:f>
        <x:v>31042.991971563402</x:v>
      </x:c>
      <x:c r="J4175" s="67" t="str">
        <x:v>Modeled from live base + Sep-2026 quality ratio</x:v>
      </x:c>
      <x:c r="K4175" s="67" t="str">
        <x:v>https://www.stonealgo.com/diamond-prices/</x:v>
      </x:c>
      <x:c r="L4175" s="67" t="str">
        <x:v>https://www.pricescope.com/blog/natural-diamond-prices-september-2026</x:v>
      </x:c>
    </x:row>
    <x:row r="4176">
      <x:c r="A4176" t="n">
        <x:v>7</x:v>
      </x:c>
      <x:c r="B4176" t="str">
        <x:v>Radiant</x:v>
      </x:c>
      <x:c r="C4176" t="str">
        <x:v>E</x:v>
      </x:c>
      <x:c r="D4176" t="str">
        <x:v>SI1</x:v>
      </x:c>
      <x:c r="E4176" s="36" t="n">
        <x:v>193000</x:v>
      </x:c>
      <x:c r="F4176" s="36" t="n">
        <x:v>3551</x:v>
      </x:c>
      <x:c r="G4176" s="42" t="n">
        <x:v>0.7616902616902617</x:v>
      </x:c>
      <x:c r="H4176" s="36" t="n">
        <x:f>E4176*G4176</x:f>
        <x:v>147006.2205062205</x:v>
      </x:c>
      <x:c r="I4176" s="36" t="n">
        <x:f>IFERROR(H4176/A4176,0)</x:f>
        <x:v>21000.888643745788</x:v>
      </x:c>
      <x:c r="J4176" s="67" t="str">
        <x:v>Modeled from live base + Sep-2026 quality ratio</x:v>
      </x:c>
      <x:c r="K4176" s="67" t="str">
        <x:v>https://www.stonealgo.com/diamond-prices/</x:v>
      </x:c>
      <x:c r="L4176" s="67" t="str">
        <x:v>https://www.pricescope.com/blog/natural-diamond-prices-september-2026</x:v>
      </x:c>
    </x:row>
    <x:row r="4177">
      <x:c r="A4177" t="n">
        <x:v>7</x:v>
      </x:c>
      <x:c r="B4177" t="str">
        <x:v>Radiant</x:v>
      </x:c>
      <x:c r="C4177" t="str">
        <x:v>E</x:v>
      </x:c>
      <x:c r="D4177" t="str">
        <x:v>SI2</x:v>
      </x:c>
      <x:c r="E4177" s="36" t="n">
        <x:v>193000</x:v>
      </x:c>
      <x:c r="F4177" s="36" t="n">
        <x:v>2993</x:v>
      </x:c>
      <x:c r="G4177" s="42" t="n">
        <x:v>0.641999141999142</x:v>
      </x:c>
      <x:c r="H4177" s="36" t="n">
        <x:f>E4177*G4177</x:f>
        <x:v>123905.83440583441</x:v>
      </x:c>
      <x:c r="I4177" s="36" t="n">
        <x:f>IFERROR(H4177/A4177,0)</x:f>
        <x:v>17700.833486547774</x:v>
      </x:c>
      <x:c r="J4177" s="67" t="str">
        <x:v>Modeled from live base + Sep-2026 quality ratio</x:v>
      </x:c>
      <x:c r="K4177" s="67" t="str">
        <x:v>https://www.stonealgo.com/diamond-prices/</x:v>
      </x:c>
      <x:c r="L4177" s="67" t="str">
        <x:v>https://www.pricescope.com/blog/natural-diamond-prices-september-2026</x:v>
      </x:c>
    </x:row>
    <x:row r="4178">
      <x:c r="A4178" t="n">
        <x:v>7</x:v>
      </x:c>
      <x:c r="B4178" t="str">
        <x:v>Radiant</x:v>
      </x:c>
      <x:c r="C4178" t="str">
        <x:v>F</x:v>
      </x:c>
      <x:c r="D4178" t="str">
        <x:v>FL</x:v>
      </x:c>
      <x:c r="E4178" s="36" t="n">
        <x:v>193000</x:v>
      </x:c>
      <x:c r="F4178" s="36" t="n">
        <x:v>6830</x:v>
      </x:c>
      <x:c r="G4178" s="42" t="n">
        <x:v>1.4650364650364651</x:v>
      </x:c>
      <x:c r="H4178" s="36" t="n">
        <x:f>E4178*G4178</x:f>
        <x:v>282752.03775203775</x:v>
      </x:c>
      <x:c r="I4178" s="36" t="n">
        <x:f>IFERROR(H4178/A4178,0)</x:f>
        <x:v>40393.14825029111</x:v>
      </x:c>
      <x:c r="J4178" s="67" t="str">
        <x:v>Modeled from live base + Sep-2026 quality ratio</x:v>
      </x:c>
      <x:c r="K4178" s="67" t="str">
        <x:v>https://www.stonealgo.com/diamond-prices/</x:v>
      </x:c>
      <x:c r="L4178" s="67" t="str">
        <x:v>https://www.pricescope.com/blog/natural-diamond-prices-september-2026</x:v>
      </x:c>
    </x:row>
    <x:row r="4179">
      <x:c r="A4179" t="n">
        <x:v>7</x:v>
      </x:c>
      <x:c r="B4179" t="str">
        <x:v>Radiant</x:v>
      </x:c>
      <x:c r="C4179" t="str">
        <x:v>F</x:v>
      </x:c>
      <x:c r="D4179" t="str">
        <x:v>IF</x:v>
      </x:c>
      <x:c r="E4179" s="36" t="n">
        <x:v>193000</x:v>
      </x:c>
      <x:c r="F4179" s="36" t="n">
        <x:v>7302</x:v>
      </x:c>
      <x:c r="G4179" s="42" t="n">
        <x:v>1.5662805662805663</x:v>
      </x:c>
      <x:c r="H4179" s="36" t="n">
        <x:f>E4179*G4179</x:f>
        <x:v>302292.1492921493</x:v>
      </x:c>
      <x:c r="I4179" s="36" t="n">
        <x:f>IFERROR(H4179/A4179,0)</x:f>
        <x:v>43184.592756021324</x:v>
      </x:c>
      <x:c r="J4179" s="67" t="str">
        <x:v>Modeled from live base + Sep-2026 quality ratio</x:v>
      </x:c>
      <x:c r="K4179" s="67" t="str">
        <x:v>https://www.stonealgo.com/diamond-prices/</x:v>
      </x:c>
      <x:c r="L4179" s="67" t="str">
        <x:v>https://www.pricescope.com/blog/natural-diamond-prices-september-2026</x:v>
      </x:c>
    </x:row>
    <x:row r="4180">
      <x:c r="A4180" t="n">
        <x:v>7</x:v>
      </x:c>
      <x:c r="B4180" t="str">
        <x:v>Radiant</x:v>
      </x:c>
      <x:c r="C4180" t="str">
        <x:v>F</x:v>
      </x:c>
      <x:c r="D4180" t="str">
        <x:v>VVS1</x:v>
      </x:c>
      <x:c r="E4180" s="36" t="n">
        <x:v>193000</x:v>
      </x:c>
      <x:c r="F4180" s="36" t="n">
        <x:v>7542</x:v>
      </x:c>
      <x:c r="G4180" s="42" t="n">
        <x:v>1.6177606177606179</x:v>
      </x:c>
      <x:c r="H4180" s="36" t="n">
        <x:f>E4180*G4180</x:f>
        <x:v>312227.79922779923</x:v>
      </x:c>
      <x:c r="I4180" s="36" t="n">
        <x:f>IFERROR(H4180/A4180,0)</x:f>
        <x:v>44603.971318257034</x:v>
      </x:c>
      <x:c r="J4180" s="67" t="str">
        <x:v>Modeled from live base + Sep-2026 quality ratio</x:v>
      </x:c>
      <x:c r="K4180" s="67" t="str">
        <x:v>https://www.stonealgo.com/diamond-prices/</x:v>
      </x:c>
      <x:c r="L4180" s="67" t="str">
        <x:v>https://www.pricescope.com/blog/natural-diamond-prices-september-2026</x:v>
      </x:c>
    </x:row>
    <x:row r="4181">
      <x:c r="A4181" t="n">
        <x:v>7</x:v>
      </x:c>
      <x:c r="B4181" t="str">
        <x:v>Radiant</x:v>
      </x:c>
      <x:c r="C4181" t="str">
        <x:v>F</x:v>
      </x:c>
      <x:c r="D4181" t="str">
        <x:v>VVS2</x:v>
      </x:c>
      <x:c r="E4181" s="36" t="n">
        <x:v>193000</x:v>
      </x:c>
      <x:c r="F4181" s="36" t="n">
        <x:v>6352</x:v>
      </x:c>
      <x:c r="G4181" s="42" t="n">
        <x:v>1.3625053625053625</x:v>
      </x:c>
      <x:c r="H4181" s="36" t="n">
        <x:f>E4181*G4181</x:f>
        <x:v>262963.53496353497</x:v>
      </x:c>
      <x:c r="I4181" s="36" t="n">
        <x:f>IFERROR(H4181/A4181,0)</x:f>
        <x:v>37566.21928050499</x:v>
      </x:c>
      <x:c r="J4181" s="67" t="str">
        <x:v>Modeled from live base + Sep-2026 quality ratio</x:v>
      </x:c>
      <x:c r="K4181" s="67" t="str">
        <x:v>https://www.stonealgo.com/diamond-prices/</x:v>
      </x:c>
      <x:c r="L4181" s="67" t="str">
        <x:v>https://www.pricescope.com/blog/natural-diamond-prices-september-2026</x:v>
      </x:c>
    </x:row>
    <x:row r="4182">
      <x:c r="A4182" t="n">
        <x:v>7</x:v>
      </x:c>
      <x:c r="B4182" t="str">
        <x:v>Radiant</x:v>
      </x:c>
      <x:c r="C4182" t="str">
        <x:v>F</x:v>
      </x:c>
      <x:c r="D4182" t="str">
        <x:v>VS1</x:v>
      </x:c>
      <x:c r="E4182" s="36" t="n">
        <x:v>193000</x:v>
      </x:c>
      <x:c r="F4182" s="36" t="n">
        <x:v>5647</x:v>
      </x:c>
      <x:c r="G4182" s="42" t="n">
        <x:v>1.2112827112827114</x:v>
      </x:c>
      <x:c r="H4182" s="36" t="n">
        <x:f>E4182*G4182</x:f>
        <x:v>233777.56327756328</x:v>
      </x:c>
      <x:c r="I4182" s="36" t="n">
        <x:f>IFERROR(H4182/A4182,0)</x:f>
        <x:v>33396.79475393761</x:v>
      </x:c>
      <x:c r="J4182" s="67" t="str">
        <x:v>Modeled from live base + Sep-2026 quality ratio</x:v>
      </x:c>
      <x:c r="K4182" s="67" t="str">
        <x:v>https://www.stonealgo.com/diamond-prices/</x:v>
      </x:c>
      <x:c r="L4182" s="67" t="str">
        <x:v>https://www.pricescope.com/blog/natural-diamond-prices-september-2026</x:v>
      </x:c>
    </x:row>
    <x:row r="4183">
      <x:c r="A4183" t="n">
        <x:v>7</x:v>
      </x:c>
      <x:c r="B4183" t="str">
        <x:v>Radiant</x:v>
      </x:c>
      <x:c r="C4183" t="str">
        <x:v>F</x:v>
      </x:c>
      <x:c r="D4183" t="str">
        <x:v>VS2</x:v>
      </x:c>
      <x:c r="E4183" s="36" t="n">
        <x:v>193000</x:v>
      </x:c>
      <x:c r="F4183" s="36" t="n">
        <x:v>4730</x:v>
      </x:c>
      <x:c r="G4183" s="42" t="n">
        <x:v>1.0145860145860146</x:v>
      </x:c>
      <x:c r="H4183" s="36" t="n">
        <x:f>E4183*G4183</x:f>
        <x:v>195815.10081510083</x:v>
      </x:c>
      <x:c r="I4183" s="36" t="n">
        <x:f>IFERROR(H4183/A4183,0)</x:f>
        <x:v>27973.58583072869</x:v>
      </x:c>
      <x:c r="J4183" s="67" t="str">
        <x:v>Modeled from live base + Sep-2026 quality ratio</x:v>
      </x:c>
      <x:c r="K4183" s="67" t="str">
        <x:v>https://www.stonealgo.com/diamond-prices/</x:v>
      </x:c>
      <x:c r="L4183" s="67" t="str">
        <x:v>https://www.pricescope.com/blog/natural-diamond-prices-september-2026</x:v>
      </x:c>
    </x:row>
    <x:row r="4184">
      <x:c r="A4184" t="n">
        <x:v>7</x:v>
      </x:c>
      <x:c r="B4184" t="str">
        <x:v>Radiant</x:v>
      </x:c>
      <x:c r="C4184" t="str">
        <x:v>F</x:v>
      </x:c>
      <x:c r="D4184" t="str">
        <x:v>SI1</x:v>
      </x:c>
      <x:c r="E4184" s="36" t="n">
        <x:v>193000</x:v>
      </x:c>
      <x:c r="F4184" s="36" t="n">
        <x:v>3331</x:v>
      </x:c>
      <x:c r="G4184" s="42" t="n">
        <x:v>0.7145002145002145</x:v>
      </x:c>
      <x:c r="H4184" s="36" t="n">
        <x:f>E4184*G4184</x:f>
        <x:v>137898.5413985414</x:v>
      </x:c>
      <x:c r="I4184" s="36" t="n">
        <x:f>IFERROR(H4184/A4184,0)</x:f>
        <x:v>19699.791628363055</x:v>
      </x:c>
      <x:c r="J4184" s="67" t="str">
        <x:v>Modeled from live base + Sep-2026 quality ratio</x:v>
      </x:c>
      <x:c r="K4184" s="67" t="str">
        <x:v>https://www.stonealgo.com/diamond-prices/</x:v>
      </x:c>
      <x:c r="L4184" s="67" t="str">
        <x:v>https://www.pricescope.com/blog/natural-diamond-prices-september-2026</x:v>
      </x:c>
    </x:row>
    <x:row r="4185">
      <x:c r="A4185" t="n">
        <x:v>7</x:v>
      </x:c>
      <x:c r="B4185" t="str">
        <x:v>Radiant</x:v>
      </x:c>
      <x:c r="C4185" t="str">
        <x:v>F</x:v>
      </x:c>
      <x:c r="D4185" t="str">
        <x:v>SI2</x:v>
      </x:c>
      <x:c r="E4185" s="36" t="n">
        <x:v>193000</x:v>
      </x:c>
      <x:c r="F4185" s="36" t="n">
        <x:v>2733</x:v>
      </x:c>
      <x:c r="G4185" s="42" t="n">
        <x:v>0.5862290862290862</x:v>
      </x:c>
      <x:c r="H4185" s="36" t="n">
        <x:f>E4185*G4185</x:f>
        <x:v>113142.21364221364</x:v>
      </x:c>
      <x:c r="I4185" s="36" t="n">
        <x:f>IFERROR(H4185/A4185,0)</x:f>
        <x:v>16163.173377459092</x:v>
      </x:c>
      <x:c r="J4185" s="67" t="str">
        <x:v>Modeled from live base + Sep-2026 quality ratio</x:v>
      </x:c>
      <x:c r="K4185" s="67" t="str">
        <x:v>https://www.stonealgo.com/diamond-prices/</x:v>
      </x:c>
      <x:c r="L4185" s="67" t="str">
        <x:v>https://www.pricescope.com/blog/natural-diamond-prices-september-2026</x:v>
      </x:c>
    </x:row>
    <x:row r="4186">
      <x:c r="A4186" t="n">
        <x:v>7</x:v>
      </x:c>
      <x:c r="B4186" t="str">
        <x:v>Radiant</x:v>
      </x:c>
      <x:c r="C4186" t="str">
        <x:v>G</x:v>
      </x:c>
      <x:c r="D4186" t="str">
        <x:v>FL</x:v>
      </x:c>
      <x:c r="E4186" s="36" t="n">
        <x:v>193000</x:v>
      </x:c>
      <x:c r="F4186" s="36" t="n">
        <x:v>5905</x:v>
      </x:c>
      <x:c r="G4186" s="42" t="n">
        <x:v>1.2666237666237665</x:v>
      </x:c>
      <x:c r="H4186" s="36" t="n">
        <x:f>E4186*G4186</x:f>
        <x:v>244458.38695838695</x:v>
      </x:c>
      <x:c r="I4186" s="36" t="n">
        <x:f>IFERROR(H4186/A4186,0)</x:f>
        <x:v>34922.62670834099</x:v>
      </x:c>
      <x:c r="J4186" s="67" t="str">
        <x:v>Modeled from live base + Sep-2026 quality ratio</x:v>
      </x:c>
      <x:c r="K4186" s="67" t="str">
        <x:v>https://www.stonealgo.com/diamond-prices/</x:v>
      </x:c>
      <x:c r="L4186" s="67" t="str">
        <x:v>https://www.pricescope.com/blog/natural-diamond-prices-september-2026</x:v>
      </x:c>
    </x:row>
    <x:row r="4187">
      <x:c r="A4187" t="n">
        <x:v>7</x:v>
      </x:c>
      <x:c r="B4187" t="str">
        <x:v>Radiant</x:v>
      </x:c>
      <x:c r="C4187" t="str">
        <x:v>G</x:v>
      </x:c>
      <x:c r="D4187" t="str">
        <x:v>IF</x:v>
      </x:c>
      <x:c r="E4187" s="36" t="n">
        <x:v>193000</x:v>
      </x:c>
      <x:c r="F4187" s="36" t="n">
        <x:v>5601</x:v>
      </x:c>
      <x:c r="G4187" s="42" t="n">
        <x:v>1.2014157014157014</x:v>
      </x:c>
      <x:c r="H4187" s="36" t="n">
        <x:f>E4187*G4187</x:f>
        <x:v>231873.23037323038</x:v>
      </x:c>
      <x:c r="I4187" s="36" t="n">
        <x:f>IFERROR(H4187/A4187,0)</x:f>
        <x:v>33124.74719617577</x:v>
      </x:c>
      <x:c r="J4187" s="67" t="str">
        <x:v>Modeled from live base + Sep-2026 quality ratio</x:v>
      </x:c>
      <x:c r="K4187" s="67" t="str">
        <x:v>https://www.stonealgo.com/diamond-prices/</x:v>
      </x:c>
      <x:c r="L4187" s="67" t="str">
        <x:v>https://www.pricescope.com/blog/natural-diamond-prices-september-2026</x:v>
      </x:c>
    </x:row>
    <x:row r="4188">
      <x:c r="A4188" t="n">
        <x:v>7</x:v>
      </x:c>
      <x:c r="B4188" t="str">
        <x:v>Radiant</x:v>
      </x:c>
      <x:c r="C4188" t="str">
        <x:v>G</x:v>
      </x:c>
      <x:c r="D4188" t="str">
        <x:v>VVS1</x:v>
      </x:c>
      <x:c r="E4188" s="36" t="n">
        <x:v>193000</x:v>
      </x:c>
      <x:c r="F4188" s="36" t="n">
        <x:v>5124</x:v>
      </x:c>
      <x:c r="G4188" s="42" t="n">
        <x:v>1.0990990990990992</x:v>
      </x:c>
      <x:c r="H4188" s="36" t="n">
        <x:f>E4188*G4188</x:f>
        <x:v>212126.12612612615</x:v>
      </x:c>
      <x:c r="I4188" s="36" t="n">
        <x:f>IFERROR(H4188/A4188,0)</x:f>
        <x:v>30303.732303732308</x:v>
      </x:c>
      <x:c r="J4188" s="67" t="str">
        <x:v>Modeled from live base + Sep-2026 quality ratio</x:v>
      </x:c>
      <x:c r="K4188" s="67" t="str">
        <x:v>https://www.stonealgo.com/diamond-prices/</x:v>
      </x:c>
      <x:c r="L4188" s="67" t="str">
        <x:v>https://www.pricescope.com/blog/natural-diamond-prices-september-2026</x:v>
      </x:c>
    </x:row>
    <x:row r="4189">
      <x:c r="A4189" t="n">
        <x:v>7</x:v>
      </x:c>
      <x:c r="B4189" t="str">
        <x:v>Radiant</x:v>
      </x:c>
      <x:c r="C4189" t="str">
        <x:v>G</x:v>
      </x:c>
      <x:c r="D4189" t="str">
        <x:v>VVS2</x:v>
      </x:c>
      <x:c r="E4189" s="36" t="n">
        <x:v>193000</x:v>
      </x:c>
      <x:c r="F4189" s="36" t="n">
        <x:v>4962</x:v>
      </x:c>
      <x:c r="G4189" s="42" t="n">
        <x:v>1.0643500643500643</x:v>
      </x:c>
      <x:c r="H4189" s="36" t="n">
        <x:f>E4189*G4189</x:f>
        <x:v>205419.5624195624</x:v>
      </x:c>
      <x:c r="I4189" s="36" t="n">
        <x:f>IFERROR(H4189/A4189,0)</x:f>
        <x:v>29345.6517742232</x:v>
      </x:c>
      <x:c r="J4189" s="67" t="str">
        <x:v>Modeled from live base + Sep-2026 quality ratio</x:v>
      </x:c>
      <x:c r="K4189" s="67" t="str">
        <x:v>https://www.stonealgo.com/diamond-prices/</x:v>
      </x:c>
      <x:c r="L4189" s="67" t="str">
        <x:v>https://www.pricescope.com/blog/natural-diamond-prices-september-2026</x:v>
      </x:c>
    </x:row>
    <x:row r="4190">
      <x:c r="A4190" t="n">
        <x:v>7</x:v>
      </x:c>
      <x:c r="B4190" t="str">
        <x:v>Radiant</x:v>
      </x:c>
      <x:c r="C4190" t="str">
        <x:v>G</x:v>
      </x:c>
      <x:c r="D4190" t="str">
        <x:v>VS1</x:v>
      </x:c>
      <x:c r="E4190" s="36" t="n">
        <x:v>193000</x:v>
      </x:c>
      <x:c r="F4190" s="36" t="n">
        <x:v>4615</x:v>
      </x:c>
      <x:c r="G4190" s="42" t="n">
        <x:v>0.98991848991849</x:v>
      </x:c>
      <x:c r="H4190" s="36" t="n">
        <x:f>E4190*G4190</x:f>
        <x:v>191054.26855426855</x:v>
      </x:c>
      <x:c r="I4190" s="36" t="n">
        <x:f>IFERROR(H4190/A4190,0)</x:f>
        <x:v>27293.46693632408</x:v>
      </x:c>
      <x:c r="J4190" s="67" t="str">
        <x:v>Modeled from live base + Sep-2026 quality ratio</x:v>
      </x:c>
      <x:c r="K4190" s="67" t="str">
        <x:v>https://www.stonealgo.com/diamond-prices/</x:v>
      </x:c>
      <x:c r="L4190" s="67" t="str">
        <x:v>https://www.pricescope.com/blog/natural-diamond-prices-september-2026</x:v>
      </x:c>
    </x:row>
    <x:row r="4191">
      <x:c r="A4191" t="n">
        <x:v>7</x:v>
      </x:c>
      <x:c r="B4191" t="str">
        <x:v>Radiant</x:v>
      </x:c>
      <x:c r="C4191" t="str">
        <x:v>G</x:v>
      </x:c>
      <x:c r="D4191" t="str">
        <x:v>VS2</x:v>
      </x:c>
      <x:c r="E4191" s="36" t="n">
        <x:v>193000</x:v>
      </x:c>
      <x:c r="F4191" s="36" t="n">
        <x:v>4585</x:v>
      </x:c>
      <x:c r="G4191" s="42" t="n">
        <x:v>0.9834834834834835</x:v>
      </x:c>
      <x:c r="H4191" s="36" t="n">
        <x:f>E4191*G4191</x:f>
        <x:v>189812.3123123123</x:v>
      </x:c>
      <x:c r="I4191" s="36" t="n">
        <x:f>IFERROR(H4191/A4191,0)</x:f>
        <x:v>27116.044616044615</x:v>
      </x:c>
      <x:c r="J4191" s="67" t="str">
        <x:v>Modeled from live base + Sep-2026 quality ratio</x:v>
      </x:c>
      <x:c r="K4191" s="67" t="str">
        <x:v>https://www.stonealgo.com/diamond-prices/</x:v>
      </x:c>
      <x:c r="L4191" s="67" t="str">
        <x:v>https://www.pricescope.com/blog/natural-diamond-prices-september-2026</x:v>
      </x:c>
    </x:row>
    <x:row r="4192">
      <x:c r="A4192" t="n">
        <x:v>7</x:v>
      </x:c>
      <x:c r="B4192" t="str">
        <x:v>Radiant</x:v>
      </x:c>
      <x:c r="C4192" t="str">
        <x:v>G</x:v>
      </x:c>
      <x:c r="D4192" t="str">
        <x:v>SI1</x:v>
      </x:c>
      <x:c r="E4192" s="36" t="n">
        <x:v>193000</x:v>
      </x:c>
      <x:c r="F4192" s="36" t="n">
        <x:v>3664</x:v>
      </x:c>
      <x:c r="G4192" s="42" t="n">
        <x:v>0.7859287859287859</x:v>
      </x:c>
      <x:c r="H4192" s="36" t="n">
        <x:f>E4192*G4192</x:f>
        <x:v>151684.25568425568</x:v>
      </x:c>
      <x:c r="I4192" s="36" t="n">
        <x:f>IFERROR(H4192/A4192,0)</x:f>
        <x:v>21669.179383465096</x:v>
      </x:c>
      <x:c r="J4192" s="67" t="str">
        <x:v>Modeled from live base + Sep-2026 quality ratio</x:v>
      </x:c>
      <x:c r="K4192" s="67" t="str">
        <x:v>https://www.stonealgo.com/diamond-prices/</x:v>
      </x:c>
      <x:c r="L4192" s="67" t="str">
        <x:v>https://www.pricescope.com/blog/natural-diamond-prices-september-2026</x:v>
      </x:c>
    </x:row>
    <x:row r="4193">
      <x:c r="A4193" t="n">
        <x:v>7</x:v>
      </x:c>
      <x:c r="B4193" t="str">
        <x:v>Radiant</x:v>
      </x:c>
      <x:c r="C4193" t="str">
        <x:v>G</x:v>
      </x:c>
      <x:c r="D4193" t="str">
        <x:v>SI2</x:v>
      </x:c>
      <x:c r="E4193" s="36" t="n">
        <x:v>193000</x:v>
      </x:c>
      <x:c r="F4193" s="36" t="n">
        <x:v>2537</x:v>
      </x:c>
      <x:c r="G4193" s="42" t="n">
        <x:v>0.5441870441870442</x:v>
      </x:c>
      <x:c r="H4193" s="36" t="n">
        <x:f>E4193*G4193</x:f>
        <x:v>105028.09952809954</x:v>
      </x:c>
      <x:c r="I4193" s="36" t="n">
        <x:f>IFERROR(H4193/A4193,0)</x:f>
        <x:v>15004.014218299935</x:v>
      </x:c>
      <x:c r="J4193" s="67" t="str">
        <x:v>Modeled from live base + Sep-2026 quality ratio</x:v>
      </x:c>
      <x:c r="K4193" s="67" t="str">
        <x:v>https://www.stonealgo.com/diamond-prices/</x:v>
      </x:c>
      <x:c r="L4193" s="67" t="str">
        <x:v>https://www.pricescope.com/blog/natural-diamond-prices-september-2026</x:v>
      </x:c>
    </x:row>
    <x:row r="4194">
      <x:c r="A4194" t="n">
        <x:v>7</x:v>
      </x:c>
      <x:c r="B4194" t="str">
        <x:v>Radiant</x:v>
      </x:c>
      <x:c r="C4194" t="str">
        <x:v>H</x:v>
      </x:c>
      <x:c r="D4194" t="str">
        <x:v>FL</x:v>
      </x:c>
      <x:c r="E4194" s="36" t="n">
        <x:v>193000</x:v>
      </x:c>
      <x:c r="F4194" s="36" t="n">
        <x:v>4563</x:v>
      </x:c>
      <x:c r="G4194" s="42" t="n">
        <x:v>0.9787644787644788</x:v>
      </x:c>
      <x:c r="H4194" s="36" t="n">
        <x:f>E4194*G4194</x:f>
        <x:v>188901.5444015444</x:v>
      </x:c>
      <x:c r="I4194" s="36" t="n">
        <x:f>IFERROR(H4194/A4194,0)</x:f>
        <x:v>26985.934914506342</x:v>
      </x:c>
      <x:c r="J4194" s="67" t="str">
        <x:v>Modeled from live base + Sep-2026 quality ratio</x:v>
      </x:c>
      <x:c r="K4194" s="67" t="str">
        <x:v>https://www.stonealgo.com/diamond-prices/</x:v>
      </x:c>
      <x:c r="L4194" s="67" t="str">
        <x:v>https://www.pricescope.com/blog/natural-diamond-prices-september-2026</x:v>
      </x:c>
    </x:row>
    <x:row r="4195">
      <x:c r="A4195" t="n">
        <x:v>7</x:v>
      </x:c>
      <x:c r="B4195" t="str">
        <x:v>Radiant</x:v>
      </x:c>
      <x:c r="C4195" t="str">
        <x:v>H</x:v>
      </x:c>
      <x:c r="D4195" t="str">
        <x:v>IF</x:v>
      </x:c>
      <x:c r="E4195" s="36" t="n">
        <x:v>193000</x:v>
      </x:c>
      <x:c r="F4195" s="36" t="n">
        <x:v>4809</x:v>
      </x:c>
      <x:c r="G4195" s="42" t="n">
        <x:v>1.0315315315315314</x:v>
      </x:c>
      <x:c r="H4195" s="36" t="n">
        <x:f>E4195*G4195</x:f>
        <x:v>199085.58558558556</x:v>
      </x:c>
      <x:c r="I4195" s="36" t="n">
        <x:f>IFERROR(H4195/A4195,0)</x:f>
        <x:v>28440.797940797936</x:v>
      </x:c>
      <x:c r="J4195" s="67" t="str">
        <x:v>Modeled from live base + Sep-2026 quality ratio</x:v>
      </x:c>
      <x:c r="K4195" s="67" t="str">
        <x:v>https://www.stonealgo.com/diamond-prices/</x:v>
      </x:c>
      <x:c r="L4195" s="67" t="str">
        <x:v>https://www.pricescope.com/blog/natural-diamond-prices-september-2026</x:v>
      </x:c>
    </x:row>
    <x:row r="4196">
      <x:c r="A4196" t="n">
        <x:v>7</x:v>
      </x:c>
      <x:c r="B4196" t="str">
        <x:v>Radiant</x:v>
      </x:c>
      <x:c r="C4196" t="str">
        <x:v>H</x:v>
      </x:c>
      <x:c r="D4196" t="str">
        <x:v>VVS1</x:v>
      </x:c>
      <x:c r="E4196" s="36" t="n">
        <x:v>193000</x:v>
      </x:c>
      <x:c r="F4196" s="36" t="n">
        <x:v>4911</x:v>
      </x:c>
      <x:c r="G4196" s="42" t="n">
        <x:v>1.0534105534105533</x:v>
      </x:c>
      <x:c r="H4196" s="36" t="n">
        <x:f>E4196*G4196</x:f>
        <x:v>203308.2368082368</x:v>
      </x:c>
      <x:c r="I4196" s="36" t="n">
        <x:f>IFERROR(H4196/A4196,0)</x:f>
        <x:v>29044.033829748114</x:v>
      </x:c>
      <x:c r="J4196" s="67" t="str">
        <x:v>Modeled from live base + Sep-2026 quality ratio</x:v>
      </x:c>
      <x:c r="K4196" s="67" t="str">
        <x:v>https://www.stonealgo.com/diamond-prices/</x:v>
      </x:c>
      <x:c r="L4196" s="67" t="str">
        <x:v>https://www.pricescope.com/blog/natural-diamond-prices-september-2026</x:v>
      </x:c>
    </x:row>
    <x:row r="4197">
      <x:c r="A4197" t="n">
        <x:v>7</x:v>
      </x:c>
      <x:c r="B4197" t="str">
        <x:v>Radiant</x:v>
      </x:c>
      <x:c r="C4197" t="str">
        <x:v>H</x:v>
      </x:c>
      <x:c r="D4197" t="str">
        <x:v>VVS2</x:v>
      </x:c>
      <x:c r="E4197" s="36" t="n">
        <x:v>193000</x:v>
      </x:c>
      <x:c r="F4197" s="36" t="n">
        <x:v>4046</x:v>
      </x:c>
      <x:c r="G4197" s="42" t="n">
        <x:v>0.8678678678678678</x:v>
      </x:c>
      <x:c r="H4197" s="36" t="n">
        <x:f>E4197*G4197</x:f>
        <x:v>167498.4984984985</x:v>
      </x:c>
      <x:c r="I4197" s="36" t="n">
        <x:f>IFERROR(H4197/A4197,0)</x:f>
        <x:v>23928.356928356927</x:v>
      </x:c>
      <x:c r="J4197" s="67" t="str">
        <x:v>Modeled from live base + Sep-2026 quality ratio</x:v>
      </x:c>
      <x:c r="K4197" s="67" t="str">
        <x:v>https://www.stonealgo.com/diamond-prices/</x:v>
      </x:c>
      <x:c r="L4197" s="67" t="str">
        <x:v>https://www.pricescope.com/blog/natural-diamond-prices-september-2026</x:v>
      </x:c>
    </x:row>
    <x:row r="4198">
      <x:c r="A4198" t="n">
        <x:v>7</x:v>
      </x:c>
      <x:c r="B4198" t="str">
        <x:v>Radiant</x:v>
      </x:c>
      <x:c r="C4198" t="str">
        <x:v>H</x:v>
      </x:c>
      <x:c r="D4198" t="str">
        <x:v>VS1</x:v>
      </x:c>
      <x:c r="E4198" s="36" t="n">
        <x:v>193000</x:v>
      </x:c>
      <x:c r="F4198" s="36" t="n">
        <x:v>3893</x:v>
      </x:c>
      <x:c r="G4198" s="42" t="n">
        <x:v>0.8350493350493351</x:v>
      </x:c>
      <x:c r="H4198" s="36" t="n">
        <x:f>E4198*G4198</x:f>
        <x:v>161164.5216645217</x:v>
      </x:c>
      <x:c r="I4198" s="36" t="n">
        <x:f>IFERROR(H4198/A4198,0)</x:f>
        <x:v>23023.503094931668</x:v>
      </x:c>
      <x:c r="J4198" s="67" t="str">
        <x:v>Modeled from live base + Sep-2026 quality ratio</x:v>
      </x:c>
      <x:c r="K4198" s="67" t="str">
        <x:v>https://www.stonealgo.com/diamond-prices/</x:v>
      </x:c>
      <x:c r="L4198" s="67" t="str">
        <x:v>https://www.pricescope.com/blog/natural-diamond-prices-september-2026</x:v>
      </x:c>
    </x:row>
    <x:row r="4199">
      <x:c r="A4199" t="n">
        <x:v>7</x:v>
      </x:c>
      <x:c r="B4199" t="str">
        <x:v>Radiant</x:v>
      </x:c>
      <x:c r="C4199" t="str">
        <x:v>H</x:v>
      </x:c>
      <x:c r="D4199" t="str">
        <x:v>VS2</x:v>
      </x:c>
      <x:c r="E4199" s="36" t="n">
        <x:v>193000</x:v>
      </x:c>
      <x:c r="F4199" s="36" t="n">
        <x:v>3989</x:v>
      </x:c>
      <x:c r="G4199" s="42" t="n">
        <x:v>0.8556413556413557</x:v>
      </x:c>
      <x:c r="H4199" s="36" t="n">
        <x:f>E4199*G4199</x:f>
        <x:v>165138.78163878166</x:v>
      </x:c>
      <x:c r="I4199" s="36" t="n">
        <x:f>IFERROR(H4199/A4199,0)</x:f>
        <x:v>23591.25451982595</x:v>
      </x:c>
      <x:c r="J4199" s="67" t="str">
        <x:v>Modeled from live base + Sep-2026 quality ratio</x:v>
      </x:c>
      <x:c r="K4199" s="67" t="str">
        <x:v>https://www.stonealgo.com/diamond-prices/</x:v>
      </x:c>
      <x:c r="L4199" s="67" t="str">
        <x:v>https://www.pricescope.com/blog/natural-diamond-prices-september-2026</x:v>
      </x:c>
    </x:row>
    <x:row r="4200">
      <x:c r="A4200" t="n">
        <x:v>7</x:v>
      </x:c>
      <x:c r="B4200" t="str">
        <x:v>Radiant</x:v>
      </x:c>
      <x:c r="C4200" t="str">
        <x:v>H</x:v>
      </x:c>
      <x:c r="D4200" t="str">
        <x:v>SI1</x:v>
      </x:c>
      <x:c r="E4200" s="36" t="n">
        <x:v>193000</x:v>
      </x:c>
      <x:c r="F4200" s="36" t="n">
        <x:v>2828</x:v>
      </x:c>
      <x:c r="G4200" s="42" t="n">
        <x:v>0.6066066066066066</x:v>
      </x:c>
      <x:c r="H4200" s="36" t="n">
        <x:f>E4200*G4200</x:f>
        <x:v>117075.07507507507</x:v>
      </x:c>
      <x:c r="I4200" s="36" t="n">
        <x:f>IFERROR(H4200/A4200,0)</x:f>
        <x:v>16725.010725010725</x:v>
      </x:c>
      <x:c r="J4200" s="67" t="str">
        <x:v>Modeled from live base + Sep-2026 quality ratio</x:v>
      </x:c>
      <x:c r="K4200" s="67" t="str">
        <x:v>https://www.stonealgo.com/diamond-prices/</x:v>
      </x:c>
      <x:c r="L4200" s="67" t="str">
        <x:v>https://www.pricescope.com/blog/natural-diamond-prices-september-2026</x:v>
      </x:c>
    </x:row>
    <x:row r="4201">
      <x:c r="A4201" t="n">
        <x:v>7</x:v>
      </x:c>
      <x:c r="B4201" t="str">
        <x:v>Radiant</x:v>
      </x:c>
      <x:c r="C4201" t="str">
        <x:v>H</x:v>
      </x:c>
      <x:c r="D4201" t="str">
        <x:v>SI2</x:v>
      </x:c>
      <x:c r="E4201" s="36" t="n">
        <x:v>193000</x:v>
      </x:c>
      <x:c r="F4201" s="36" t="n">
        <x:v>2328</x:v>
      </x:c>
      <x:c r="G4201" s="42" t="n">
        <x:v>0.49935649935649934</x:v>
      </x:c>
      <x:c r="H4201" s="36" t="n">
        <x:f>E4201*G4201</x:f>
        <x:v>96375.80437580438</x:v>
      </x:c>
      <x:c r="I4201" s="36" t="n">
        <x:f>IFERROR(H4201/A4201,0)</x:f>
        <x:v>13767.97205368634</x:v>
      </x:c>
      <x:c r="J4201" s="67" t="str">
        <x:v>Modeled from live base + Sep-2026 quality ratio</x:v>
      </x:c>
      <x:c r="K4201" s="67" t="str">
        <x:v>https://www.stonealgo.com/diamond-prices/</x:v>
      </x:c>
      <x:c r="L4201" s="67" t="str">
        <x:v>https://www.pricescope.com/blog/natural-diamond-prices-september-2026</x:v>
      </x:c>
    </x:row>
    <x:row r="4202">
      <x:c r="A4202" t="n">
        <x:v>7</x:v>
      </x:c>
      <x:c r="B4202" t="str">
        <x:v>Radiant</x:v>
      </x:c>
      <x:c r="C4202" t="str">
        <x:v>I</x:v>
      </x:c>
      <x:c r="D4202" t="str">
        <x:v>FL</x:v>
      </x:c>
      <x:c r="E4202" s="36" t="n">
        <x:v>193000</x:v>
      </x:c>
      <x:c r="F4202" s="36" t="n">
        <x:v>4623</x:v>
      </x:c>
      <x:c r="G4202" s="42" t="n">
        <x:v>0.9916344916344917</x:v>
      </x:c>
      <x:c r="H4202" s="36" t="n">
        <x:f>E4202*G4202</x:f>
        <x:v>191385.4568854569</x:v>
      </x:c>
      <x:c r="I4202" s="36" t="n">
        <x:f>IFERROR(H4202/A4202,0)</x:f>
        <x:v>27340.77955506527</x:v>
      </x:c>
      <x:c r="J4202" s="67" t="str">
        <x:v>Modeled from live base + Sep-2026 quality ratio</x:v>
      </x:c>
      <x:c r="K4202" s="67" t="str">
        <x:v>https://www.stonealgo.com/diamond-prices/</x:v>
      </x:c>
      <x:c r="L4202" s="67" t="str">
        <x:v>https://www.pricescope.com/blog/natural-diamond-prices-september-2026</x:v>
      </x:c>
    </x:row>
    <x:row r="4203">
      <x:c r="A4203" t="n">
        <x:v>7</x:v>
      </x:c>
      <x:c r="B4203" t="str">
        <x:v>Radiant</x:v>
      </x:c>
      <x:c r="C4203" t="str">
        <x:v>I</x:v>
      </x:c>
      <x:c r="D4203" t="str">
        <x:v>IF</x:v>
      </x:c>
      <x:c r="E4203" s="36" t="n">
        <x:v>193000</x:v>
      </x:c>
      <x:c r="F4203" s="36" t="n">
        <x:v>4005</x:v>
      </x:c>
      <x:c r="G4203" s="42" t="n">
        <x:v>0.859073359073359</x:v>
      </x:c>
      <x:c r="H4203" s="36" t="n">
        <x:f>E4203*G4203</x:f>
        <x:v>165801.15830115828</x:v>
      </x:c>
      <x:c r="I4203" s="36" t="n">
        <x:f>IFERROR(H4203/A4203,0)</x:f>
        <x:v>23685.879757308325</x:v>
      </x:c>
      <x:c r="J4203" s="67" t="str">
        <x:v>Modeled from live base + Sep-2026 quality ratio</x:v>
      </x:c>
      <x:c r="K4203" s="67" t="str">
        <x:v>https://www.stonealgo.com/diamond-prices/</x:v>
      </x:c>
      <x:c r="L4203" s="67" t="str">
        <x:v>https://www.pricescope.com/blog/natural-diamond-prices-september-2026</x:v>
      </x:c>
    </x:row>
    <x:row r="4204">
      <x:c r="A4204" t="n">
        <x:v>7</x:v>
      </x:c>
      <x:c r="B4204" t="str">
        <x:v>Radiant</x:v>
      </x:c>
      <x:c r="C4204" t="str">
        <x:v>I</x:v>
      </x:c>
      <x:c r="D4204" t="str">
        <x:v>VVS1</x:v>
      </x:c>
      <x:c r="E4204" s="36" t="n">
        <x:v>193000</x:v>
      </x:c>
      <x:c r="F4204" s="36" t="n">
        <x:v>3670</x:v>
      </x:c>
      <x:c r="G4204" s="42" t="n">
        <x:v>0.7872157872157872</x:v>
      </x:c>
      <x:c r="H4204" s="36" t="n">
        <x:f>E4204*G4204</x:f>
        <x:v>151932.64693264692</x:v>
      </x:c>
      <x:c r="I4204" s="36" t="n">
        <x:f>IFERROR(H4204/A4204,0)</x:f>
        <x:v>21704.663847520987</x:v>
      </x:c>
      <x:c r="J4204" s="67" t="str">
        <x:v>Modeled from live base + Sep-2026 quality ratio</x:v>
      </x:c>
      <x:c r="K4204" s="67" t="str">
        <x:v>https://www.stonealgo.com/diamond-prices/</x:v>
      </x:c>
      <x:c r="L4204" s="67" t="str">
        <x:v>https://www.pricescope.com/blog/natural-diamond-prices-september-2026</x:v>
      </x:c>
    </x:row>
    <x:row r="4205">
      <x:c r="A4205" t="n">
        <x:v>7</x:v>
      </x:c>
      <x:c r="B4205" t="str">
        <x:v>Radiant</x:v>
      </x:c>
      <x:c r="C4205" t="str">
        <x:v>I</x:v>
      </x:c>
      <x:c r="D4205" t="str">
        <x:v>VVS2</x:v>
      </x:c>
      <x:c r="E4205" s="36" t="n">
        <x:v>193000</x:v>
      </x:c>
      <x:c r="F4205" s="36" t="n">
        <x:v>3447</x:v>
      </x:c>
      <x:c r="G4205" s="42" t="n">
        <x:v>0.7393822393822393</x:v>
      </x:c>
      <x:c r="H4205" s="36" t="n">
        <x:f>E4205*G4205</x:f>
        <x:v>142700.7722007722</x:v>
      </x:c>
      <x:c r="I4205" s="36" t="n">
        <x:f>IFERROR(H4205/A4205,0)</x:f>
        <x:v>20385.824600110314</x:v>
      </x:c>
      <x:c r="J4205" s="67" t="str">
        <x:v>Modeled from live base + Sep-2026 quality ratio</x:v>
      </x:c>
      <x:c r="K4205" s="67" t="str">
        <x:v>https://www.stonealgo.com/diamond-prices/</x:v>
      </x:c>
      <x:c r="L4205" s="67" t="str">
        <x:v>https://www.pricescope.com/blog/natural-diamond-prices-september-2026</x:v>
      </x:c>
    </x:row>
    <x:row r="4206">
      <x:c r="A4206" t="n">
        <x:v>7</x:v>
      </x:c>
      <x:c r="B4206" t="str">
        <x:v>Radiant</x:v>
      </x:c>
      <x:c r="C4206" t="str">
        <x:v>I</x:v>
      </x:c>
      <x:c r="D4206" t="str">
        <x:v>VS1</x:v>
      </x:c>
      <x:c r="E4206" s="36" t="n">
        <x:v>193000</x:v>
      </x:c>
      <x:c r="F4206" s="36" t="n">
        <x:v>3313</x:v>
      </x:c>
      <x:c r="G4206" s="42" t="n">
        <x:v>0.7106392106392107</x:v>
      </x:c>
      <x:c r="H4206" s="36" t="n">
        <x:f>E4206*G4206</x:f>
        <x:v>137153.36765336766</x:v>
      </x:c>
      <x:c r="I4206" s="36" t="n">
        <x:f>IFERROR(H4206/A4206,0)</x:f>
        <x:v>19593.33823619538</x:v>
      </x:c>
      <x:c r="J4206" s="67" t="str">
        <x:v>Modeled from live base + Sep-2026 quality ratio</x:v>
      </x:c>
      <x:c r="K4206" s="67" t="str">
        <x:v>https://www.stonealgo.com/diamond-prices/</x:v>
      </x:c>
      <x:c r="L4206" s="67" t="str">
        <x:v>https://www.pricescope.com/blog/natural-diamond-prices-september-2026</x:v>
      </x:c>
    </x:row>
    <x:row r="4207">
      <x:c r="A4207" t="n">
        <x:v>7</x:v>
      </x:c>
      <x:c r="B4207" t="str">
        <x:v>Radiant</x:v>
      </x:c>
      <x:c r="C4207" t="str">
        <x:v>I</x:v>
      </x:c>
      <x:c r="D4207" t="str">
        <x:v>VS2</x:v>
      </x:c>
      <x:c r="E4207" s="36" t="n">
        <x:v>193000</x:v>
      </x:c>
      <x:c r="F4207" s="36" t="n">
        <x:v>3240</x:v>
      </x:c>
      <x:c r="G4207" s="42" t="n">
        <x:v>0.694980694980695</x:v>
      </x:c>
      <x:c r="H4207" s="36" t="n">
        <x:f>E4207*G4207</x:f>
        <x:v>134131.27413127414</x:v>
      </x:c>
      <x:c r="I4207" s="36" t="n">
        <x:f>IFERROR(H4207/A4207,0)</x:f>
        <x:v>19161.61059018202</x:v>
      </x:c>
      <x:c r="J4207" s="67" t="str">
        <x:v>Modeled from live base + Sep-2026 quality ratio</x:v>
      </x:c>
      <x:c r="K4207" s="67" t="str">
        <x:v>https://www.stonealgo.com/diamond-prices/</x:v>
      </x:c>
      <x:c r="L4207" s="67" t="str">
        <x:v>https://www.pricescope.com/blog/natural-diamond-prices-september-2026</x:v>
      </x:c>
    </x:row>
    <x:row r="4208">
      <x:c r="A4208" t="n">
        <x:v>7</x:v>
      </x:c>
      <x:c r="B4208" t="str">
        <x:v>Radiant</x:v>
      </x:c>
      <x:c r="C4208" t="str">
        <x:v>I</x:v>
      </x:c>
      <x:c r="D4208" t="str">
        <x:v>SI1</x:v>
      </x:c>
      <x:c r="E4208" s="36" t="n">
        <x:v>193000</x:v>
      </x:c>
      <x:c r="F4208" s="36" t="n">
        <x:v>3199</x:v>
      </x:c>
      <x:c r="G4208" s="42" t="n">
        <x:v>0.6861861861861862</x:v>
      </x:c>
      <x:c r="H4208" s="36" t="n">
        <x:f>E4208*G4208</x:f>
        <x:v>132433.93393393393</x:v>
      </x:c>
      <x:c r="I4208" s="36" t="n">
        <x:f>IFERROR(H4208/A4208,0)</x:f>
        <x:v>18919.13341913342</x:v>
      </x:c>
      <x:c r="J4208" s="67" t="str">
        <x:v>Modeled from live base + Sep-2026 quality ratio</x:v>
      </x:c>
      <x:c r="K4208" s="67" t="str">
        <x:v>https://www.stonealgo.com/diamond-prices/</x:v>
      </x:c>
      <x:c r="L4208" s="67" t="str">
        <x:v>https://www.pricescope.com/blog/natural-diamond-prices-september-2026</x:v>
      </x:c>
    </x:row>
    <x:row r="4209">
      <x:c r="A4209" t="n">
        <x:v>7</x:v>
      </x:c>
      <x:c r="B4209" t="str">
        <x:v>Radiant</x:v>
      </x:c>
      <x:c r="C4209" t="str">
        <x:v>I</x:v>
      </x:c>
      <x:c r="D4209" t="str">
        <x:v>SI2</x:v>
      </x:c>
      <x:c r="E4209" s="36" t="n">
        <x:v>193000</x:v>
      </x:c>
      <x:c r="F4209" s="36" t="n">
        <x:v>2874</x:v>
      </x:c>
      <x:c r="G4209" s="42" t="n">
        <x:v>0.6164736164736164</x:v>
      </x:c>
      <x:c r="H4209" s="36" t="n">
        <x:f>E4209*G4209</x:f>
        <x:v>118979.40797940797</x:v>
      </x:c>
      <x:c r="I4209" s="36" t="n">
        <x:f>IFERROR(H4209/A4209,0)</x:f>
        <x:v>16997.058282772567</x:v>
      </x:c>
      <x:c r="J4209" s="67" t="str">
        <x:v>Modeled from live base + Sep-2026 quality ratio</x:v>
      </x:c>
      <x:c r="K4209" s="67" t="str">
        <x:v>https://www.stonealgo.com/diamond-prices/</x:v>
      </x:c>
      <x:c r="L4209" s="67" t="str">
        <x:v>https://www.pricescope.com/blog/natural-diamond-prices-september-2026</x:v>
      </x:c>
    </x:row>
    <x:row r="4210">
      <x:c r="A4210" t="n">
        <x:v>7</x:v>
      </x:c>
      <x:c r="B4210" t="str">
        <x:v>Radiant</x:v>
      </x:c>
      <x:c r="C4210" t="str">
        <x:v>J</x:v>
      </x:c>
      <x:c r="D4210" t="str">
        <x:v>FL</x:v>
      </x:c>
      <x:c r="E4210" s="36" t="n">
        <x:v>193000</x:v>
      </x:c>
      <x:c r="F4210" s="36" t="n">
        <x:v>3646</x:v>
      </x:c>
      <x:c r="G4210" s="42" t="n">
        <x:v>0.782067782067782</x:v>
      </x:c>
      <x:c r="H4210" s="36" t="n">
        <x:f>E4210*G4210</x:f>
        <x:v>150939.08193908192</x:v>
      </x:c>
      <x:c r="I4210" s="36" t="n">
        <x:f>IFERROR(H4210/A4210,0)</x:f>
        <x:v>21562.72599129742</x:v>
      </x:c>
      <x:c r="J4210" s="67" t="str">
        <x:v>Modeled from live base + Sep-2026 quality ratio</x:v>
      </x:c>
      <x:c r="K4210" s="67" t="str">
        <x:v>https://www.stonealgo.com/diamond-prices/</x:v>
      </x:c>
      <x:c r="L4210" s="67" t="str">
        <x:v>https://www.pricescope.com/blog/natural-diamond-prices-september-2026</x:v>
      </x:c>
    </x:row>
    <x:row r="4211">
      <x:c r="A4211" t="n">
        <x:v>7</x:v>
      </x:c>
      <x:c r="B4211" t="str">
        <x:v>Radiant</x:v>
      </x:c>
      <x:c r="C4211" t="str">
        <x:v>J</x:v>
      </x:c>
      <x:c r="D4211" t="str">
        <x:v>IF</x:v>
      </x:c>
      <x:c r="E4211" s="36" t="n">
        <x:v>193000</x:v>
      </x:c>
      <x:c r="F4211" s="36" t="n">
        <x:v>3368</x:v>
      </x:c>
      <x:c r="G4211" s="42" t="n">
        <x:v>0.7224367224367224</x:v>
      </x:c>
      <x:c r="H4211" s="36" t="n">
        <x:f>E4211*G4211</x:f>
        <x:v>139430.28743028743</x:v>
      </x:c>
      <x:c r="I4211" s="36" t="n">
        <x:f>IFERROR(H4211/A4211,0)</x:f>
        <x:v>19918.61249004106</x:v>
      </x:c>
      <x:c r="J4211" s="67" t="str">
        <x:v>Modeled from live base + Sep-2026 quality ratio</x:v>
      </x:c>
      <x:c r="K4211" s="67" t="str">
        <x:v>https://www.stonealgo.com/diamond-prices/</x:v>
      </x:c>
      <x:c r="L4211" s="67" t="str">
        <x:v>https://www.pricescope.com/blog/natural-diamond-prices-september-2026</x:v>
      </x:c>
    </x:row>
    <x:row r="4212">
      <x:c r="A4212" t="n">
        <x:v>7</x:v>
      </x:c>
      <x:c r="B4212" t="str">
        <x:v>Radiant</x:v>
      </x:c>
      <x:c r="C4212" t="str">
        <x:v>J</x:v>
      </x:c>
      <x:c r="D4212" t="str">
        <x:v>VVS1</x:v>
      </x:c>
      <x:c r="E4212" s="36" t="n">
        <x:v>193000</x:v>
      </x:c>
      <x:c r="F4212" s="36" t="n">
        <x:v>2956</x:v>
      </x:c>
      <x:c r="G4212" s="42" t="n">
        <x:v>0.6340626340626341</x:v>
      </x:c>
      <x:c r="H4212" s="36" t="n">
        <x:f>E4212*G4212</x:f>
        <x:v>122374.08837408837</x:v>
      </x:c>
      <x:c r="I4212" s="36" t="n">
        <x:f>IFERROR(H4212/A4212,0)</x:f>
        <x:v>17482.012624869767</x:v>
      </x:c>
      <x:c r="J4212" s="67" t="str">
        <x:v>Modeled from live base + Sep-2026 quality ratio</x:v>
      </x:c>
      <x:c r="K4212" s="67" t="str">
        <x:v>https://www.stonealgo.com/diamond-prices/</x:v>
      </x:c>
      <x:c r="L4212" s="67" t="str">
        <x:v>https://www.pricescope.com/blog/natural-diamond-prices-september-2026</x:v>
      </x:c>
    </x:row>
    <x:row r="4213">
      <x:c r="A4213" t="n">
        <x:v>7</x:v>
      </x:c>
      <x:c r="B4213" t="str">
        <x:v>Radiant</x:v>
      </x:c>
      <x:c r="C4213" t="str">
        <x:v>J</x:v>
      </x:c>
      <x:c r="D4213" t="str">
        <x:v>VVS2</x:v>
      </x:c>
      <x:c r="E4213" s="36" t="n">
        <x:v>193000</x:v>
      </x:c>
      <x:c r="F4213" s="36" t="n">
        <x:v>2612</x:v>
      </x:c>
      <x:c r="G4213" s="42" t="n">
        <x:v>0.5602745602745602</x:v>
      </x:c>
      <x:c r="H4213" s="36" t="n">
        <x:f>E4213*G4213</x:f>
        <x:v>108132.99013299013</x:v>
      </x:c>
      <x:c r="I4213" s="36" t="n">
        <x:f>IFERROR(H4213/A4213,0)</x:f>
        <x:v>15447.570018998591</x:v>
      </x:c>
      <x:c r="J4213" s="67" t="str">
        <x:v>Modeled from live base + Sep-2026 quality ratio</x:v>
      </x:c>
      <x:c r="K4213" s="67" t="str">
        <x:v>https://www.stonealgo.com/diamond-prices/</x:v>
      </x:c>
      <x:c r="L4213" s="67" t="str">
        <x:v>https://www.pricescope.com/blog/natural-diamond-prices-september-2026</x:v>
      </x:c>
    </x:row>
    <x:row r="4214">
      <x:c r="A4214" t="n">
        <x:v>7</x:v>
      </x:c>
      <x:c r="B4214" t="str">
        <x:v>Radiant</x:v>
      </x:c>
      <x:c r="C4214" t="str">
        <x:v>J</x:v>
      </x:c>
      <x:c r="D4214" t="str">
        <x:v>VS1</x:v>
      </x:c>
      <x:c r="E4214" s="36" t="n">
        <x:v>193000</x:v>
      </x:c>
      <x:c r="F4214" s="36" t="n">
        <x:v>3002</x:v>
      </x:c>
      <x:c r="G4214" s="42" t="n">
        <x:v>0.6439296439296439</x:v>
      </x:c>
      <x:c r="H4214" s="36" t="n">
        <x:f>E4214*G4214</x:f>
        <x:v>124278.42127842127</x:v>
      </x:c>
      <x:c r="I4214" s="36" t="n">
        <x:f>IFERROR(H4214/A4214,0)</x:f>
        <x:v>17754.06018263161</x:v>
      </x:c>
      <x:c r="J4214" s="67" t="str">
        <x:v>Modeled from live base + Sep-2026 quality ratio</x:v>
      </x:c>
      <x:c r="K4214" s="67" t="str">
        <x:v>https://www.stonealgo.com/diamond-prices/</x:v>
      </x:c>
      <x:c r="L4214" s="67" t="str">
        <x:v>https://www.pricescope.com/blog/natural-diamond-prices-september-2026</x:v>
      </x:c>
    </x:row>
    <x:row r="4215">
      <x:c r="A4215" t="n">
        <x:v>7</x:v>
      </x:c>
      <x:c r="B4215" t="str">
        <x:v>Radiant</x:v>
      </x:c>
      <x:c r="C4215" t="str">
        <x:v>J</x:v>
      </x:c>
      <x:c r="D4215" t="str">
        <x:v>VS2</x:v>
      </x:c>
      <x:c r="E4215" s="36" t="n">
        <x:v>193000</x:v>
      </x:c>
      <x:c r="F4215" s="36" t="n">
        <x:v>2559</x:v>
      </x:c>
      <x:c r="G4215" s="42" t="n">
        <x:v>0.5489060489060489</x:v>
      </x:c>
      <x:c r="H4215" s="36" t="n">
        <x:f>E4215*G4215</x:f>
        <x:v>105938.86743886744</x:v>
      </x:c>
      <x:c r="I4215" s="36" t="n">
        <x:f>IFERROR(H4215/A4215,0)</x:f>
        <x:v>15134.123919838206</x:v>
      </x:c>
      <x:c r="J4215" s="67" t="str">
        <x:v>Modeled from live base + Sep-2026 quality ratio</x:v>
      </x:c>
      <x:c r="K4215" s="67" t="str">
        <x:v>https://www.stonealgo.com/diamond-prices/</x:v>
      </x:c>
      <x:c r="L4215" s="67" t="str">
        <x:v>https://www.pricescope.com/blog/natural-diamond-prices-september-2026</x:v>
      </x:c>
    </x:row>
    <x:row r="4216">
      <x:c r="A4216" t="n">
        <x:v>7</x:v>
      </x:c>
      <x:c r="B4216" t="str">
        <x:v>Radiant</x:v>
      </x:c>
      <x:c r="C4216" t="str">
        <x:v>J</x:v>
      </x:c>
      <x:c r="D4216" t="str">
        <x:v>SI1</x:v>
      </x:c>
      <x:c r="E4216" s="36" t="n">
        <x:v>193000</x:v>
      </x:c>
      <x:c r="F4216" s="36" t="n">
        <x:v>2195</x:v>
      </x:c>
      <x:c r="G4216" s="42" t="n">
        <x:v>0.47082797082797084</x:v>
      </x:c>
      <x:c r="H4216" s="36" t="n">
        <x:f>E4216*G4216</x:f>
        <x:v>90869.79836979837</x:v>
      </x:c>
      <x:c r="I4216" s="36" t="n">
        <x:f>IFERROR(H4216/A4216,0)</x:f>
        <x:v>12981.399767114053</x:v>
      </x:c>
      <x:c r="J4216" s="67" t="str">
        <x:v>Modeled from live base + Sep-2026 quality ratio</x:v>
      </x:c>
      <x:c r="K4216" s="67" t="str">
        <x:v>https://www.stonealgo.com/diamond-prices/</x:v>
      </x:c>
      <x:c r="L4216" s="67" t="str">
        <x:v>https://www.pricescope.com/blog/natural-diamond-prices-september-2026</x:v>
      </x:c>
    </x:row>
    <x:row r="4217">
      <x:c r="A4217" t="n">
        <x:v>7</x:v>
      </x:c>
      <x:c r="B4217" t="str">
        <x:v>Radiant</x:v>
      </x:c>
      <x:c r="C4217" t="str">
        <x:v>J</x:v>
      </x:c>
      <x:c r="D4217" t="str">
        <x:v>SI2</x:v>
      </x:c>
      <x:c r="E4217" s="36" t="n">
        <x:v>193000</x:v>
      </x:c>
      <x:c r="F4217" s="36" t="n">
        <x:v>2079</x:v>
      </x:c>
      <x:c r="G4217" s="42" t="n">
        <x:v>0.44594594594594594</x:v>
      </x:c>
      <x:c r="H4217" s="36" t="n">
        <x:f>E4217*G4217</x:f>
        <x:v>86067.56756756757</x:v>
      </x:c>
      <x:c r="I4217" s="36" t="n">
        <x:f>IFERROR(H4217/A4217,0)</x:f>
        <x:v>12295.366795366795</x:v>
      </x:c>
      <x:c r="J4217" s="67" t="str">
        <x:v>Modeled from live base + Sep-2026 quality ratio</x:v>
      </x:c>
      <x:c r="K4217" s="67" t="str">
        <x:v>https://www.stonealgo.com/diamond-prices/</x:v>
      </x:c>
      <x:c r="L4217" s="67" t="str">
        <x:v>https://www.pricescope.com/blog/natural-diamond-prices-september-2026</x:v>
      </x:c>
    </x:row>
    <x:row r="4218">
      <x:c r="A4218" t="n">
        <x:v>7</x:v>
      </x:c>
      <x:c r="B4218" t="str">
        <x:v>Radiant</x:v>
      </x:c>
      <x:c r="C4218" t="str">
        <x:v>K</x:v>
      </x:c>
      <x:c r="D4218" t="str">
        <x:v>FL</x:v>
      </x:c>
      <x:c r="E4218" s="36" t="n">
        <x:v>193000</x:v>
      </x:c>
      <x:c r="F4218" s="36" t="n">
        <x:v>2858</x:v>
      </x:c>
      <x:c r="G4218" s="42" t="n">
        <x:v>0.6130416130416131</x:v>
      </x:c>
      <x:c r="H4218" s="36" t="n">
        <x:f>E4218*G4218</x:f>
        <x:v>118317.03131703133</x:v>
      </x:c>
      <x:c r="I4218" s="36" t="n">
        <x:f>IFERROR(H4218/A4218,0)</x:f>
        <x:v>16902.43304529019</x:v>
      </x:c>
      <x:c r="J4218" s="67" t="str">
        <x:v>Modeled from live base + Sep-2026 quality ratio; K/FL quality cell modeled</x:v>
      </x:c>
      <x:c r="K4218" s="67" t="str">
        <x:v>https://www.stonealgo.com/diamond-prices/</x:v>
      </x:c>
      <x:c r="L4218" s="67" t="str">
        <x:v>https://www.pricescope.com/blog/natural-diamond-prices-september-2026</x:v>
      </x:c>
    </x:row>
    <x:row r="4219">
      <x:c r="A4219" t="n">
        <x:v>7</x:v>
      </x:c>
      <x:c r="B4219" t="str">
        <x:v>Radiant</x:v>
      </x:c>
      <x:c r="C4219" t="str">
        <x:v>K</x:v>
      </x:c>
      <x:c r="D4219" t="str">
        <x:v>IF</x:v>
      </x:c>
      <x:c r="E4219" s="36" t="n">
        <x:v>193000</x:v>
      </x:c>
      <x:c r="F4219" s="36" t="n">
        <x:v>2743</x:v>
      </x:c>
      <x:c r="G4219" s="42" t="n">
        <x:v>0.5883740883740883</x:v>
      </x:c>
      <x:c r="H4219" s="36" t="n">
        <x:f>E4219*G4219</x:f>
        <x:v>113556.19905619905</x:v>
      </x:c>
      <x:c r="I4219" s="36" t="n">
        <x:f>IFERROR(H4219/A4219,0)</x:f>
        <x:v>16222.314150885579</x:v>
      </x:c>
      <x:c r="J4219" s="67" t="str">
        <x:v>Modeled from live base + Sep-2026 quality ratio</x:v>
      </x:c>
      <x:c r="K4219" s="67" t="str">
        <x:v>https://www.stonealgo.com/diamond-prices/</x:v>
      </x:c>
      <x:c r="L4219" s="67" t="str">
        <x:v>https://www.pricescope.com/blog/natural-diamond-prices-september-2026</x:v>
      </x:c>
    </x:row>
    <x:row r="4220">
      <x:c r="A4220" t="n">
        <x:v>7</x:v>
      </x:c>
      <x:c r="B4220" t="str">
        <x:v>Radiant</x:v>
      </x:c>
      <x:c r="C4220" t="str">
        <x:v>K</x:v>
      </x:c>
      <x:c r="D4220" t="str">
        <x:v>VVS1</x:v>
      </x:c>
      <x:c r="E4220" s="36" t="n">
        <x:v>193000</x:v>
      </x:c>
      <x:c r="F4220" s="36" t="n">
        <x:v>2529</x:v>
      </x:c>
      <x:c r="G4220" s="42" t="n">
        <x:v>0.5424710424710425</x:v>
      </x:c>
      <x:c r="H4220" s="36" t="n">
        <x:f>E4220*G4220</x:f>
        <x:v>104696.9111969112</x:v>
      </x:c>
      <x:c r="I4220" s="36" t="n">
        <x:f>IFERROR(H4220/A4220,0)</x:f>
        <x:v>14956.701599558743</x:v>
      </x:c>
      <x:c r="J4220" s="67" t="str">
        <x:v>Modeled from live base + Sep-2026 quality ratio</x:v>
      </x:c>
      <x:c r="K4220" s="67" t="str">
        <x:v>https://www.stonealgo.com/diamond-prices/</x:v>
      </x:c>
      <x:c r="L4220" s="67" t="str">
        <x:v>https://www.pricescope.com/blog/natural-diamond-prices-september-2026</x:v>
      </x:c>
    </x:row>
    <x:row r="4221">
      <x:c r="A4221" t="n">
        <x:v>7</x:v>
      </x:c>
      <x:c r="B4221" t="str">
        <x:v>Radiant</x:v>
      </x:c>
      <x:c r="C4221" t="str">
        <x:v>K</x:v>
      </x:c>
      <x:c r="D4221" t="str">
        <x:v>VVS2</x:v>
      </x:c>
      <x:c r="E4221" s="36" t="n">
        <x:v>193000</x:v>
      </x:c>
      <x:c r="F4221" s="36" t="n">
        <x:v>2374</x:v>
      </x:c>
      <x:c r="G4221" s="42" t="n">
        <x:v>0.5092235092235092</x:v>
      </x:c>
      <x:c r="H4221" s="36" t="n">
        <x:f>E4221*G4221</x:f>
        <x:v>98280.13728013728</x:v>
      </x:c>
      <x:c r="I4221" s="36" t="n">
        <x:f>IFERROR(H4221/A4221,0)</x:f>
        <x:v>14040.019611448182</x:v>
      </x:c>
      <x:c r="J4221" s="67" t="str">
        <x:v>Modeled from live base + Sep-2026 quality ratio</x:v>
      </x:c>
      <x:c r="K4221" s="67" t="str">
        <x:v>https://www.stonealgo.com/diamond-prices/</x:v>
      </x:c>
      <x:c r="L4221" s="67" t="str">
        <x:v>https://www.pricescope.com/blog/natural-diamond-prices-september-2026</x:v>
      </x:c>
    </x:row>
    <x:row r="4222">
      <x:c r="A4222" t="n">
        <x:v>7</x:v>
      </x:c>
      <x:c r="B4222" t="str">
        <x:v>Radiant</x:v>
      </x:c>
      <x:c r="C4222" t="str">
        <x:v>K</x:v>
      </x:c>
      <x:c r="D4222" t="str">
        <x:v>VS1</x:v>
      </x:c>
      <x:c r="E4222" s="36" t="n">
        <x:v>193000</x:v>
      </x:c>
      <x:c r="F4222" s="36" t="n">
        <x:v>2223</x:v>
      </x:c>
      <x:c r="G4222" s="42" t="n">
        <x:v>0.4768339768339768</x:v>
      </x:c>
      <x:c r="H4222" s="36" t="n">
        <x:f>E4222*G4222</x:f>
        <x:v>92028.95752895753</x:v>
      </x:c>
      <x:c r="I4222" s="36" t="n">
        <x:f>IFERROR(H4222/A4222,0)</x:f>
        <x:v>13146.99393270822</x:v>
      </x:c>
      <x:c r="J4222" s="67" t="str">
        <x:v>Modeled from live base + Sep-2026 quality ratio</x:v>
      </x:c>
      <x:c r="K4222" s="67" t="str">
        <x:v>https://www.stonealgo.com/diamond-prices/</x:v>
      </x:c>
      <x:c r="L4222" s="67" t="str">
        <x:v>https://www.pricescope.com/blog/natural-diamond-prices-september-2026</x:v>
      </x:c>
    </x:row>
    <x:row r="4223">
      <x:c r="A4223" t="n">
        <x:v>7</x:v>
      </x:c>
      <x:c r="B4223" t="str">
        <x:v>Radiant</x:v>
      </x:c>
      <x:c r="C4223" t="str">
        <x:v>K</x:v>
      </x:c>
      <x:c r="D4223" t="str">
        <x:v>VS2</x:v>
      </x:c>
      <x:c r="E4223" s="36" t="n">
        <x:v>193000</x:v>
      </x:c>
      <x:c r="F4223" s="36" t="n">
        <x:v>2098</x:v>
      </x:c>
      <x:c r="G4223" s="42" t="n">
        <x:v>0.45002145002145</x:v>
      </x:c>
      <x:c r="H4223" s="36" t="n">
        <x:f>E4223*G4223</x:f>
        <x:v>86854.13985413985</x:v>
      </x:c>
      <x:c r="I4223" s="36" t="n">
        <x:f>IFERROR(H4223/A4223,0)</x:f>
        <x:v>12407.734264877121</x:v>
      </x:c>
      <x:c r="J4223" s="67" t="str">
        <x:v>Modeled from live base + Sep-2026 quality ratio</x:v>
      </x:c>
      <x:c r="K4223" s="67" t="str">
        <x:v>https://www.stonealgo.com/diamond-prices/</x:v>
      </x:c>
      <x:c r="L4223" s="67" t="str">
        <x:v>https://www.pricescope.com/blog/natural-diamond-prices-september-2026</x:v>
      </x:c>
    </x:row>
    <x:row r="4224">
      <x:c r="A4224" t="n">
        <x:v>7</x:v>
      </x:c>
      <x:c r="B4224" t="str">
        <x:v>Radiant</x:v>
      </x:c>
      <x:c r="C4224" t="str">
        <x:v>K</x:v>
      </x:c>
      <x:c r="D4224" t="str">
        <x:v>SI1</x:v>
      </x:c>
      <x:c r="E4224" s="36" t="n">
        <x:v>193000</x:v>
      </x:c>
      <x:c r="F4224" s="36" t="n">
        <x:v>1922</x:v>
      </x:c>
      <x:c r="G4224" s="42" t="n">
        <x:v>0.41226941226941227</x:v>
      </x:c>
      <x:c r="H4224" s="36" t="n">
        <x:f>E4224*G4224</x:f>
        <x:v>79567.99656799657</x:v>
      </x:c>
      <x:c r="I4224" s="36" t="n">
        <x:f>IFERROR(H4224/A4224,0)</x:f>
        <x:v>11366.856652570938</x:v>
      </x:c>
      <x:c r="J4224" s="67" t="str">
        <x:v>Modeled from live base + Sep-2026 quality ratio</x:v>
      </x:c>
      <x:c r="K4224" s="67" t="str">
        <x:v>https://www.stonealgo.com/diamond-prices/</x:v>
      </x:c>
      <x:c r="L4224" s="67" t="str">
        <x:v>https://www.pricescope.com/blog/natural-diamond-prices-september-2026</x:v>
      </x:c>
    </x:row>
    <x:row r="4225">
      <x:c r="A4225" t="n">
        <x:v>7</x:v>
      </x:c>
      <x:c r="B4225" t="str">
        <x:v>Radiant</x:v>
      </x:c>
      <x:c r="C4225" t="str">
        <x:v>K</x:v>
      </x:c>
      <x:c r="D4225" t="str">
        <x:v>SI2</x:v>
      </x:c>
      <x:c r="E4225" s="36" t="n">
        <x:v>193000</x:v>
      </x:c>
      <x:c r="F4225" s="36" t="n">
        <x:v>1764</x:v>
      </x:c>
      <x:c r="G4225" s="42" t="n">
        <x:v>0.3783783783783784</x:v>
      </x:c>
      <x:c r="H4225" s="36" t="n">
        <x:f>E4225*G4225</x:f>
        <x:v>73027.02702702703</x:v>
      </x:c>
      <x:c r="I4225" s="36" t="n">
        <x:f>IFERROR(H4225/A4225,0)</x:f>
        <x:v>10432.432432432432</x:v>
      </x:c>
      <x:c r="J4225" s="67" t="str">
        <x:v>Modeled from live base + Sep-2026 quality ratio</x:v>
      </x:c>
      <x:c r="K4225" s="67" t="str">
        <x:v>https://www.stonealgo.com/diamond-prices/</x:v>
      </x:c>
      <x:c r="L4225" s="67" t="str">
        <x:v>https://www.pricescope.com/blog/natural-diamond-prices-september-2026</x:v>
      </x:c>
    </x:row>
    <x:row r="4226">
      <x:c r="A4226" t="n">
        <x:v>7</x:v>
      </x:c>
      <x:c r="B4226" t="str">
        <x:v>Pear</x:v>
      </x:c>
      <x:c r="C4226" t="str">
        <x:v>D</x:v>
      </x:c>
      <x:c r="D4226" t="str">
        <x:v>FL</x:v>
      </x:c>
      <x:c r="E4226" s="36" t="n">
        <x:v>270814</x:v>
      </x:c>
      <x:c r="F4226" s="36" t="n">
        <x:v>12665</x:v>
      </x:c>
      <x:c r="G4226" s="42" t="n">
        <x:v>2.7166452166452166</x:v>
      </x:c>
      <x:c r="H4226" s="36" t="n">
        <x:f>E4226*G4226</x:f>
        <x:v>735705.5577005578</x:v>
      </x:c>
      <x:c r="I4226" s="36" t="n">
        <x:f>IFERROR(H4226/A4226,0)</x:f>
        <x:v>105100.79395722253</x:v>
      </x:c>
      <x:c r="J4226" s="67" t="str">
        <x:v>Modeled from live base + Sep-2026 quality ratio</x:v>
      </x:c>
      <x:c r="K4226" s="67" t="str">
        <x:v>https://www.stonealgo.com/diamond-prices/</x:v>
      </x:c>
      <x:c r="L4226" s="67" t="str">
        <x:v>https://www.pricescope.com/blog/natural-diamond-prices-september-2026</x:v>
      </x:c>
    </x:row>
    <x:row r="4227">
      <x:c r="A4227" t="n">
        <x:v>7</x:v>
      </x:c>
      <x:c r="B4227" t="str">
        <x:v>Pear</x:v>
      </x:c>
      <x:c r="C4227" t="str">
        <x:v>D</x:v>
      </x:c>
      <x:c r="D4227" t="str">
        <x:v>IF</x:v>
      </x:c>
      <x:c r="E4227" s="36" t="n">
        <x:v>270814</x:v>
      </x:c>
      <x:c r="F4227" s="36" t="n">
        <x:v>13240</x:v>
      </x:c>
      <x:c r="G4227" s="42" t="n">
        <x:v>2.83998283998284</x:v>
      </x:c>
      <x:c r="H4227" s="36" t="n">
        <x:f>E4227*G4227</x:f>
        <x:v>769107.1128271129</x:v>
      </x:c>
      <x:c r="I4227" s="36" t="n">
        <x:f>IFERROR(H4227/A4227,0)</x:f>
        <x:v>109872.44468958756</x:v>
      </x:c>
      <x:c r="J4227" s="67" t="str">
        <x:v>Modeled from live base + Sep-2026 quality ratio</x:v>
      </x:c>
      <x:c r="K4227" s="67" t="str">
        <x:v>https://www.stonealgo.com/diamond-prices/</x:v>
      </x:c>
      <x:c r="L4227" s="67" t="str">
        <x:v>https://www.pricescope.com/blog/natural-diamond-prices-september-2026</x:v>
      </x:c>
    </x:row>
    <x:row r="4228">
      <x:c r="A4228" t="n">
        <x:v>7</x:v>
      </x:c>
      <x:c r="B4228" t="str">
        <x:v>Pear</x:v>
      </x:c>
      <x:c r="C4228" t="str">
        <x:v>D</x:v>
      </x:c>
      <x:c r="D4228" t="str">
        <x:v>VVS1</x:v>
      </x:c>
      <x:c r="E4228" s="36" t="n">
        <x:v>270814</x:v>
      </x:c>
      <x:c r="F4228" s="36" t="n">
        <x:v>9555</x:v>
      </x:c>
      <x:c r="G4228" s="42" t="n">
        <x:v>2.0495495495495497</x:v>
      </x:c>
      <x:c r="H4228" s="36" t="n">
        <x:f>E4228*G4228</x:f>
        <x:v>555046.7117117117</x:v>
      </x:c>
      <x:c r="I4228" s="36" t="n">
        <x:f>IFERROR(H4228/A4228,0)</x:f>
        <x:v>79292.38738738738</x:v>
      </x:c>
      <x:c r="J4228" s="67" t="str">
        <x:v>Modeled from live base + Sep-2026 quality ratio</x:v>
      </x:c>
      <x:c r="K4228" s="67" t="str">
        <x:v>https://www.stonealgo.com/diamond-prices/</x:v>
      </x:c>
      <x:c r="L4228" s="67" t="str">
        <x:v>https://www.pricescope.com/blog/natural-diamond-prices-september-2026</x:v>
      </x:c>
    </x:row>
    <x:row r="4229">
      <x:c r="A4229" t="n">
        <x:v>7</x:v>
      </x:c>
      <x:c r="B4229" t="str">
        <x:v>Pear</x:v>
      </x:c>
      <x:c r="C4229" t="str">
        <x:v>D</x:v>
      </x:c>
      <x:c r="D4229" t="str">
        <x:v>VVS2</x:v>
      </x:c>
      <x:c r="E4229" s="36" t="n">
        <x:v>270814</x:v>
      </x:c>
      <x:c r="F4229" s="36" t="n">
        <x:v>6660</x:v>
      </x:c>
      <x:c r="G4229" s="42" t="n">
        <x:v>1.4285714285714286</x:v>
      </x:c>
      <x:c r="H4229" s="36" t="n">
        <x:f>E4229*G4229</x:f>
        <x:v>386877.14285714284</x:v>
      </x:c>
      <x:c r="I4229" s="36" t="n">
        <x:f>IFERROR(H4229/A4229,0)</x:f>
        <x:v>55268.16326530612</x:v>
      </x:c>
      <x:c r="J4229" s="67" t="str">
        <x:v>Modeled from live base + Sep-2026 quality ratio</x:v>
      </x:c>
      <x:c r="K4229" s="67" t="str">
        <x:v>https://www.stonealgo.com/diamond-prices/</x:v>
      </x:c>
      <x:c r="L4229" s="67" t="str">
        <x:v>https://www.pricescope.com/blog/natural-diamond-prices-september-2026</x:v>
      </x:c>
    </x:row>
    <x:row r="4230">
      <x:c r="A4230" t="n">
        <x:v>7</x:v>
      </x:c>
      <x:c r="B4230" t="str">
        <x:v>Pear</x:v>
      </x:c>
      <x:c r="C4230" t="str">
        <x:v>D</x:v>
      </x:c>
      <x:c r="D4230" t="str">
        <x:v>VS1</x:v>
      </x:c>
      <x:c r="E4230" s="36" t="n">
        <x:v>270814</x:v>
      </x:c>
      <x:c r="F4230" s="36" t="n">
        <x:v>6247</x:v>
      </x:c>
      <x:c r="G4230" s="42" t="n">
        <x:v>1.33998283998284</x:v>
      </x:c>
      <x:c r="H4230" s="36" t="n">
        <x:f>E4230*G4230</x:f>
        <x:v>362886.11282711284</x:v>
      </x:c>
      <x:c r="I4230" s="36" t="n">
        <x:f>IFERROR(H4230/A4230,0)</x:f>
        <x:v>51840.87326101612</x:v>
      </x:c>
      <x:c r="J4230" s="67" t="str">
        <x:v>Modeled from live base + Sep-2026 quality ratio</x:v>
      </x:c>
      <x:c r="K4230" s="67" t="str">
        <x:v>https://www.stonealgo.com/diamond-prices/</x:v>
      </x:c>
      <x:c r="L4230" s="67" t="str">
        <x:v>https://www.pricescope.com/blog/natural-diamond-prices-september-2026</x:v>
      </x:c>
    </x:row>
    <x:row r="4231">
      <x:c r="A4231" t="n">
        <x:v>7</x:v>
      </x:c>
      <x:c r="B4231" t="str">
        <x:v>Pear</x:v>
      </x:c>
      <x:c r="C4231" t="str">
        <x:v>D</x:v>
      </x:c>
      <x:c r="D4231" t="str">
        <x:v>VS2</x:v>
      </x:c>
      <x:c r="E4231" s="36" t="n">
        <x:v>270814</x:v>
      </x:c>
      <x:c r="F4231" s="36" t="n">
        <x:v>5841</x:v>
      </x:c>
      <x:c r="G4231" s="42" t="n">
        <x:v>1.252895752895753</x:v>
      </x:c>
      <x:c r="H4231" s="36" t="n">
        <x:f>E4231*G4231</x:f>
        <x:v>339301.7104247104</x:v>
      </x:c>
      <x:c r="I4231" s="36" t="n">
        <x:f>IFERROR(H4231/A4231,0)</x:f>
        <x:v>48471.67291781578</x:v>
      </x:c>
      <x:c r="J4231" s="67" t="str">
        <x:v>Modeled from live base + Sep-2026 quality ratio</x:v>
      </x:c>
      <x:c r="K4231" s="67" t="str">
        <x:v>https://www.stonealgo.com/diamond-prices/</x:v>
      </x:c>
      <x:c r="L4231" s="67" t="str">
        <x:v>https://www.pricescope.com/blog/natural-diamond-prices-september-2026</x:v>
      </x:c>
    </x:row>
    <x:row r="4232">
      <x:c r="A4232" t="n">
        <x:v>7</x:v>
      </x:c>
      <x:c r="B4232" t="str">
        <x:v>Pear</x:v>
      </x:c>
      <x:c r="C4232" t="str">
        <x:v>D</x:v>
      </x:c>
      <x:c r="D4232" t="str">
        <x:v>SI1</x:v>
      </x:c>
      <x:c r="E4232" s="36" t="n">
        <x:v>270814</x:v>
      </x:c>
      <x:c r="F4232" s="36" t="n">
        <x:v>3762</x:v>
      </x:c>
      <x:c r="G4232" s="42" t="n">
        <x:v>0.806949806949807</x:v>
      </x:c>
      <x:c r="H4232" s="36" t="n">
        <x:f>E4232*G4232</x:f>
        <x:v>218533.30501930503</x:v>
      </x:c>
      <x:c r="I4232" s="36" t="n">
        <x:f>IFERROR(H4232/A4232,0)</x:f>
        <x:v>31219.04357418643</x:v>
      </x:c>
      <x:c r="J4232" s="67" t="str">
        <x:v>Modeled from live base + Sep-2026 quality ratio</x:v>
      </x:c>
      <x:c r="K4232" s="67" t="str">
        <x:v>https://www.stonealgo.com/diamond-prices/</x:v>
      </x:c>
      <x:c r="L4232" s="67" t="str">
        <x:v>https://www.pricescope.com/blog/natural-diamond-prices-september-2026</x:v>
      </x:c>
    </x:row>
    <x:row r="4233">
      <x:c r="A4233" t="n">
        <x:v>7</x:v>
      </x:c>
      <x:c r="B4233" t="str">
        <x:v>Pear</x:v>
      </x:c>
      <x:c r="C4233" t="str">
        <x:v>D</x:v>
      </x:c>
      <x:c r="D4233" t="str">
        <x:v>SI2</x:v>
      </x:c>
      <x:c r="E4233" s="36" t="n">
        <x:v>270814</x:v>
      </x:c>
      <x:c r="F4233" s="36" t="n">
        <x:v>3026</x:v>
      </x:c>
      <x:c r="G4233" s="42" t="n">
        <x:v>0.6490776490776491</x:v>
      </x:c>
      <x:c r="H4233" s="36" t="n">
        <x:f>E4233*G4233</x:f>
        <x:v>175779.31445731447</x:v>
      </x:c>
      <x:c r="I4233" s="36" t="n">
        <x:f>IFERROR(H4233/A4233,0)</x:f>
        <x:v>25111.33063675921</x:v>
      </x:c>
      <x:c r="J4233" s="67" t="str">
        <x:v>Modeled from live base + Sep-2026 quality ratio</x:v>
      </x:c>
      <x:c r="K4233" s="67" t="str">
        <x:v>https://www.stonealgo.com/diamond-prices/</x:v>
      </x:c>
      <x:c r="L4233" s="67" t="str">
        <x:v>https://www.pricescope.com/blog/natural-diamond-prices-september-2026</x:v>
      </x:c>
    </x:row>
    <x:row r="4234">
      <x:c r="A4234" t="n">
        <x:v>7</x:v>
      </x:c>
      <x:c r="B4234" t="str">
        <x:v>Pear</x:v>
      </x:c>
      <x:c r="C4234" t="str">
        <x:v>E</x:v>
      </x:c>
      <x:c r="D4234" t="str">
        <x:v>FL</x:v>
      </x:c>
      <x:c r="E4234" s="36" t="n">
        <x:v>270814</x:v>
      </x:c>
      <x:c r="F4234" s="36" t="n">
        <x:v>10072</x:v>
      </x:c>
      <x:c r="G4234" s="42" t="n">
        <x:v>2.1604461604461602</x:v>
      </x:c>
      <x:c r="H4234" s="36" t="n">
        <x:f>E4234*G4234</x:f>
        <x:v>585079.0664950664</x:v>
      </x:c>
      <x:c r="I4234" s="36" t="n">
        <x:f>IFERROR(H4234/A4234,0)</x:f>
        <x:v>83582.72378500948</x:v>
      </x:c>
      <x:c r="J4234" s="67" t="str">
        <x:v>Modeled from live base + Sep-2026 quality ratio</x:v>
      </x:c>
      <x:c r="K4234" s="67" t="str">
        <x:v>https://www.stonealgo.com/diamond-prices/</x:v>
      </x:c>
      <x:c r="L4234" s="67" t="str">
        <x:v>https://www.pricescope.com/blog/natural-diamond-prices-september-2026</x:v>
      </x:c>
    </x:row>
    <x:row r="4235">
      <x:c r="A4235" t="n">
        <x:v>7</x:v>
      </x:c>
      <x:c r="B4235" t="str">
        <x:v>Pear</x:v>
      </x:c>
      <x:c r="C4235" t="str">
        <x:v>E</x:v>
      </x:c>
      <x:c r="D4235" t="str">
        <x:v>IF</x:v>
      </x:c>
      <x:c r="E4235" s="36" t="n">
        <x:v>270814</x:v>
      </x:c>
      <x:c r="F4235" s="36" t="n">
        <x:v>8672</x:v>
      </x:c>
      <x:c r="G4235" s="42" t="n">
        <x:v>1.8601458601458603</x:v>
      </x:c>
      <x:c r="H4235" s="36" t="n">
        <x:f>E4235*G4235</x:f>
        <x:v>503753.540969541</x:v>
      </x:c>
      <x:c r="I4235" s="36" t="n">
        <x:f>IFERROR(H4235/A4235,0)</x:f>
        <x:v>71964.79156707729</x:v>
      </x:c>
      <x:c r="J4235" s="67" t="str">
        <x:v>Modeled from live base + Sep-2026 quality ratio</x:v>
      </x:c>
      <x:c r="K4235" s="67" t="str">
        <x:v>https://www.stonealgo.com/diamond-prices/</x:v>
      </x:c>
      <x:c r="L4235" s="67" t="str">
        <x:v>https://www.pricescope.com/blog/natural-diamond-prices-september-2026</x:v>
      </x:c>
    </x:row>
    <x:row r="4236">
      <x:c r="A4236" t="n">
        <x:v>7</x:v>
      </x:c>
      <x:c r="B4236" t="str">
        <x:v>Pear</x:v>
      </x:c>
      <x:c r="C4236" t="str">
        <x:v>E</x:v>
      </x:c>
      <x:c r="D4236" t="str">
        <x:v>VVS1</x:v>
      </x:c>
      <x:c r="E4236" s="36" t="n">
        <x:v>270814</x:v>
      </x:c>
      <x:c r="F4236" s="36" t="n">
        <x:v>7842</x:v>
      </x:c>
      <x:c r="G4236" s="42" t="n">
        <x:v>1.6821106821106822</x:v>
      </x:c>
      <x:c r="H4236" s="36" t="n">
        <x:f>E4236*G4236</x:f>
        <x:v>455539.12226512225</x:v>
      </x:c>
      <x:c r="I4236" s="36" t="n">
        <x:f>IFERROR(H4236/A4236,0)</x:f>
        <x:v>65077.017466446036</x:v>
      </x:c>
      <x:c r="J4236" s="67" t="str">
        <x:v>Modeled from live base + Sep-2026 quality ratio</x:v>
      </x:c>
      <x:c r="K4236" s="67" t="str">
        <x:v>https://www.stonealgo.com/diamond-prices/</x:v>
      </x:c>
      <x:c r="L4236" s="67" t="str">
        <x:v>https://www.pricescope.com/blog/natural-diamond-prices-september-2026</x:v>
      </x:c>
    </x:row>
    <x:row r="4237">
      <x:c r="A4237" t="n">
        <x:v>7</x:v>
      </x:c>
      <x:c r="B4237" t="str">
        <x:v>Pear</x:v>
      </x:c>
      <x:c r="C4237" t="str">
        <x:v>E</x:v>
      </x:c>
      <x:c r="D4237" t="str">
        <x:v>VVS2</x:v>
      </x:c>
      <x:c r="E4237" s="36" t="n">
        <x:v>270814</x:v>
      </x:c>
      <x:c r="F4237" s="36" t="n">
        <x:v>6880</x:v>
      </x:c>
      <x:c r="G4237" s="42" t="n">
        <x:v>1.4757614757614759</x:v>
      </x:c>
      <x:c r="H4237" s="36" t="n">
        <x:f>E4237*G4237</x:f>
        <x:v>399656.86829686834</x:v>
      </x:c>
      <x:c r="I4237" s="36" t="n">
        <x:f>IFERROR(H4237/A4237,0)</x:f>
        <x:v>57093.838328124046</x:v>
      </x:c>
      <x:c r="J4237" s="67" t="str">
        <x:v>Modeled from live base + Sep-2026 quality ratio</x:v>
      </x:c>
      <x:c r="K4237" s="67" t="str">
        <x:v>https://www.stonealgo.com/diamond-prices/</x:v>
      </x:c>
      <x:c r="L4237" s="67" t="str">
        <x:v>https://www.pricescope.com/blog/natural-diamond-prices-september-2026</x:v>
      </x:c>
    </x:row>
    <x:row r="4238">
      <x:c r="A4238" t="n">
        <x:v>7</x:v>
      </x:c>
      <x:c r="B4238" t="str">
        <x:v>Pear</x:v>
      </x:c>
      <x:c r="C4238" t="str">
        <x:v>E</x:v>
      </x:c>
      <x:c r="D4238" t="str">
        <x:v>VS1</x:v>
      </x:c>
      <x:c r="E4238" s="36" t="n">
        <x:v>270814</x:v>
      </x:c>
      <x:c r="F4238" s="36" t="n">
        <x:v>6307</x:v>
      </x:c>
      <x:c r="G4238" s="42" t="n">
        <x:v>1.352852852852853</x:v>
      </x:c>
      <x:c r="H4238" s="36" t="n">
        <x:f>E4238*G4238</x:f>
        <x:v>366371.49249249254</x:v>
      </x:c>
      <x:c r="I4238" s="36" t="n">
        <x:f>IFERROR(H4238/A4238,0)</x:f>
        <x:v>52338.78464178465</x:v>
      </x:c>
      <x:c r="J4238" s="67" t="str">
        <x:v>Modeled from live base + Sep-2026 quality ratio</x:v>
      </x:c>
      <x:c r="K4238" s="67" t="str">
        <x:v>https://www.stonealgo.com/diamond-prices/</x:v>
      </x:c>
      <x:c r="L4238" s="67" t="str">
        <x:v>https://www.pricescope.com/blog/natural-diamond-prices-september-2026</x:v>
      </x:c>
    </x:row>
    <x:row r="4239">
      <x:c r="A4239" t="n">
        <x:v>7</x:v>
      </x:c>
      <x:c r="B4239" t="str">
        <x:v>Pear</x:v>
      </x:c>
      <x:c r="C4239" t="str">
        <x:v>E</x:v>
      </x:c>
      <x:c r="D4239" t="str">
        <x:v>VS2</x:v>
      </x:c>
      <x:c r="E4239" s="36" t="n">
        <x:v>270814</x:v>
      </x:c>
      <x:c r="F4239" s="36" t="n">
        <x:v>5249</x:v>
      </x:c>
      <x:c r="G4239" s="42" t="n">
        <x:v>1.125911625911626</x:v>
      </x:c>
      <x:c r="H4239" s="36" t="n">
        <x:f>E4239*G4239</x:f>
        <x:v>304912.63105963106</x:v>
      </x:c>
      <x:c r="I4239" s="36" t="n">
        <x:f>IFERROR(H4239/A4239,0)</x:f>
        <x:v>43558.94729423301</x:v>
      </x:c>
      <x:c r="J4239" s="67" t="str">
        <x:v>Modeled from live base + Sep-2026 quality ratio</x:v>
      </x:c>
      <x:c r="K4239" s="67" t="str">
        <x:v>https://www.stonealgo.com/diamond-prices/</x:v>
      </x:c>
      <x:c r="L4239" s="67" t="str">
        <x:v>https://www.pricescope.com/blog/natural-diamond-prices-september-2026</x:v>
      </x:c>
    </x:row>
    <x:row r="4240">
      <x:c r="A4240" t="n">
        <x:v>7</x:v>
      </x:c>
      <x:c r="B4240" t="str">
        <x:v>Pear</x:v>
      </x:c>
      <x:c r="C4240" t="str">
        <x:v>E</x:v>
      </x:c>
      <x:c r="D4240" t="str">
        <x:v>SI1</x:v>
      </x:c>
      <x:c r="E4240" s="36" t="n">
        <x:v>270814</x:v>
      </x:c>
      <x:c r="F4240" s="36" t="n">
        <x:v>3551</x:v>
      </x:c>
      <x:c r="G4240" s="42" t="n">
        <x:v>0.7616902616902617</x:v>
      </x:c>
      <x:c r="H4240" s="36" t="n">
        <x:f>E4240*G4240</x:f>
        <x:v>206276.3865293865</x:v>
      </x:c>
      <x:c r="I4240" s="36" t="n">
        <x:f>IFERROR(H4240/A4240,0)</x:f>
        <x:v>29468.055218483787</x:v>
      </x:c>
      <x:c r="J4240" s="67" t="str">
        <x:v>Modeled from live base + Sep-2026 quality ratio</x:v>
      </x:c>
      <x:c r="K4240" s="67" t="str">
        <x:v>https://www.stonealgo.com/diamond-prices/</x:v>
      </x:c>
      <x:c r="L4240" s="67" t="str">
        <x:v>https://www.pricescope.com/blog/natural-diamond-prices-september-2026</x:v>
      </x:c>
    </x:row>
    <x:row r="4241">
      <x:c r="A4241" t="n">
        <x:v>7</x:v>
      </x:c>
      <x:c r="B4241" t="str">
        <x:v>Pear</x:v>
      </x:c>
      <x:c r="C4241" t="str">
        <x:v>E</x:v>
      </x:c>
      <x:c r="D4241" t="str">
        <x:v>SI2</x:v>
      </x:c>
      <x:c r="E4241" s="36" t="n">
        <x:v>270814</x:v>
      </x:c>
      <x:c r="F4241" s="36" t="n">
        <x:v>2993</x:v>
      </x:c>
      <x:c r="G4241" s="42" t="n">
        <x:v>0.641999141999142</x:v>
      </x:c>
      <x:c r="H4241" s="36" t="n">
        <x:f>E4241*G4241</x:f>
        <x:v>173862.35564135565</x:v>
      </x:c>
      <x:c r="I4241" s="36" t="n">
        <x:f>IFERROR(H4241/A4241,0)</x:f>
        <x:v>24837.47937733652</x:v>
      </x:c>
      <x:c r="J4241" s="67" t="str">
        <x:v>Modeled from live base + Sep-2026 quality ratio</x:v>
      </x:c>
      <x:c r="K4241" s="67" t="str">
        <x:v>https://www.stonealgo.com/diamond-prices/</x:v>
      </x:c>
      <x:c r="L4241" s="67" t="str">
        <x:v>https://www.pricescope.com/blog/natural-diamond-prices-september-2026</x:v>
      </x:c>
    </x:row>
    <x:row r="4242">
      <x:c r="A4242" t="n">
        <x:v>7</x:v>
      </x:c>
      <x:c r="B4242" t="str">
        <x:v>Pear</x:v>
      </x:c>
      <x:c r="C4242" t="str">
        <x:v>F</x:v>
      </x:c>
      <x:c r="D4242" t="str">
        <x:v>FL</x:v>
      </x:c>
      <x:c r="E4242" s="36" t="n">
        <x:v>270814</x:v>
      </x:c>
      <x:c r="F4242" s="36" t="n">
        <x:v>6830</x:v>
      </x:c>
      <x:c r="G4242" s="42" t="n">
        <x:v>1.4650364650364651</x:v>
      </x:c>
      <x:c r="H4242" s="36" t="n">
        <x:f>E4242*G4242</x:f>
        <x:v>396752.38524238527</x:v>
      </x:c>
      <x:c r="I4242" s="36" t="n">
        <x:f>IFERROR(H4242/A4242,0)</x:f>
        <x:v>56678.91217748361</x:v>
      </x:c>
      <x:c r="J4242" s="67" t="str">
        <x:v>Modeled from live base + Sep-2026 quality ratio</x:v>
      </x:c>
      <x:c r="K4242" s="67" t="str">
        <x:v>https://www.stonealgo.com/diamond-prices/</x:v>
      </x:c>
      <x:c r="L4242" s="67" t="str">
        <x:v>https://www.pricescope.com/blog/natural-diamond-prices-september-2026</x:v>
      </x:c>
    </x:row>
    <x:row r="4243">
      <x:c r="A4243" t="n">
        <x:v>7</x:v>
      </x:c>
      <x:c r="B4243" t="str">
        <x:v>Pear</x:v>
      </x:c>
      <x:c r="C4243" t="str">
        <x:v>F</x:v>
      </x:c>
      <x:c r="D4243" t="str">
        <x:v>IF</x:v>
      </x:c>
      <x:c r="E4243" s="36" t="n">
        <x:v>270814</x:v>
      </x:c>
      <x:c r="F4243" s="36" t="n">
        <x:v>7302</x:v>
      </x:c>
      <x:c r="G4243" s="42" t="n">
        <x:v>1.5662805662805663</x:v>
      </x:c>
      <x:c r="H4243" s="36" t="n">
        <x:f>E4243*G4243</x:f>
        <x:v>424170.70527670527</x:v>
      </x:c>
      <x:c r="I4243" s="36" t="n">
        <x:f>IFERROR(H4243/A4243,0)</x:f>
        <x:v>60595.81503952933</x:v>
      </x:c>
      <x:c r="J4243" s="67" t="str">
        <x:v>Modeled from live base + Sep-2026 quality ratio</x:v>
      </x:c>
      <x:c r="K4243" s="67" t="str">
        <x:v>https://www.stonealgo.com/diamond-prices/</x:v>
      </x:c>
      <x:c r="L4243" s="67" t="str">
        <x:v>https://www.pricescope.com/blog/natural-diamond-prices-september-2026</x:v>
      </x:c>
    </x:row>
    <x:row r="4244">
      <x:c r="A4244" t="n">
        <x:v>7</x:v>
      </x:c>
      <x:c r="B4244" t="str">
        <x:v>Pear</x:v>
      </x:c>
      <x:c r="C4244" t="str">
        <x:v>F</x:v>
      </x:c>
      <x:c r="D4244" t="str">
        <x:v>VVS1</x:v>
      </x:c>
      <x:c r="E4244" s="36" t="n">
        <x:v>270814</x:v>
      </x:c>
      <x:c r="F4244" s="36" t="n">
        <x:v>7542</x:v>
      </x:c>
      <x:c r="G4244" s="42" t="n">
        <x:v>1.6177606177606179</x:v>
      </x:c>
      <x:c r="H4244" s="36" t="n">
        <x:f>E4244*G4244</x:f>
        <x:v>438112.22393822396</x:v>
      </x:c>
      <x:c r="I4244" s="36" t="n">
        <x:f>IFERROR(H4244/A4244,0)</x:f>
        <x:v>62587.460562603424</x:v>
      </x:c>
      <x:c r="J4244" s="67" t="str">
        <x:v>Modeled from live base + Sep-2026 quality ratio</x:v>
      </x:c>
      <x:c r="K4244" s="67" t="str">
        <x:v>https://www.stonealgo.com/diamond-prices/</x:v>
      </x:c>
      <x:c r="L4244" s="67" t="str">
        <x:v>https://www.pricescope.com/blog/natural-diamond-prices-september-2026</x:v>
      </x:c>
    </x:row>
    <x:row r="4245">
      <x:c r="A4245" t="n">
        <x:v>7</x:v>
      </x:c>
      <x:c r="B4245" t="str">
        <x:v>Pear</x:v>
      </x:c>
      <x:c r="C4245" t="str">
        <x:v>F</x:v>
      </x:c>
      <x:c r="D4245" t="str">
        <x:v>VVS2</x:v>
      </x:c>
      <x:c r="E4245" s="36" t="n">
        <x:v>270814</x:v>
      </x:c>
      <x:c r="F4245" s="36" t="n">
        <x:v>6352</x:v>
      </x:c>
      <x:c r="G4245" s="42" t="n">
        <x:v>1.3625053625053625</x:v>
      </x:c>
      <x:c r="H4245" s="36" t="n">
        <x:f>E4245*G4245</x:f>
        <x:v>368985.5272415272</x:v>
      </x:c>
      <x:c r="I4245" s="36" t="n">
        <x:f>IFERROR(H4245/A4245,0)</x:f>
        <x:v>52712.21817736103</x:v>
      </x:c>
      <x:c r="J4245" s="67" t="str">
        <x:v>Modeled from live base + Sep-2026 quality ratio</x:v>
      </x:c>
      <x:c r="K4245" s="67" t="str">
        <x:v>https://www.stonealgo.com/diamond-prices/</x:v>
      </x:c>
      <x:c r="L4245" s="67" t="str">
        <x:v>https://www.pricescope.com/blog/natural-diamond-prices-september-2026</x:v>
      </x:c>
    </x:row>
    <x:row r="4246">
      <x:c r="A4246" t="n">
        <x:v>7</x:v>
      </x:c>
      <x:c r="B4246" t="str">
        <x:v>Pear</x:v>
      </x:c>
      <x:c r="C4246" t="str">
        <x:v>F</x:v>
      </x:c>
      <x:c r="D4246" t="str">
        <x:v>VS1</x:v>
      </x:c>
      <x:c r="E4246" s="36" t="n">
        <x:v>270814</x:v>
      </x:c>
      <x:c r="F4246" s="36" t="n">
        <x:v>5647</x:v>
      </x:c>
      <x:c r="G4246" s="42" t="n">
        <x:v>1.2112827112827114</x:v>
      </x:c>
      <x:c r="H4246" s="36" t="n">
        <x:f>E4246*G4246</x:f>
        <x:v>328032.3161733162</x:v>
      </x:c>
      <x:c r="I4246" s="36" t="n">
        <x:f>IFERROR(H4246/A4246,0)</x:f>
        <x:v>46861.75945333089</x:v>
      </x:c>
      <x:c r="J4246" s="67" t="str">
        <x:v>Modeled from live base + Sep-2026 quality ratio</x:v>
      </x:c>
      <x:c r="K4246" s="67" t="str">
        <x:v>https://www.stonealgo.com/diamond-prices/</x:v>
      </x:c>
      <x:c r="L4246" s="67" t="str">
        <x:v>https://www.pricescope.com/blog/natural-diamond-prices-september-2026</x:v>
      </x:c>
    </x:row>
    <x:row r="4247">
      <x:c r="A4247" t="n">
        <x:v>7</x:v>
      </x:c>
      <x:c r="B4247" t="str">
        <x:v>Pear</x:v>
      </x:c>
      <x:c r="C4247" t="str">
        <x:v>F</x:v>
      </x:c>
      <x:c r="D4247" t="str">
        <x:v>VS2</x:v>
      </x:c>
      <x:c r="E4247" s="36" t="n">
        <x:v>270814</x:v>
      </x:c>
      <x:c r="F4247" s="36" t="n">
        <x:v>4730</x:v>
      </x:c>
      <x:c r="G4247" s="42" t="n">
        <x:v>1.0145860145860146</x:v>
      </x:c>
      <x:c r="H4247" s="36" t="n">
        <x:f>E4247*G4247</x:f>
        <x:v>274764.096954097</x:v>
      </x:c>
      <x:c r="I4247" s="36" t="n">
        <x:f>IFERROR(H4247/A4247,0)</x:f>
        <x:v>39252.01385058528</x:v>
      </x:c>
      <x:c r="J4247" s="67" t="str">
        <x:v>Modeled from live base + Sep-2026 quality ratio</x:v>
      </x:c>
      <x:c r="K4247" s="67" t="str">
        <x:v>https://www.stonealgo.com/diamond-prices/</x:v>
      </x:c>
      <x:c r="L4247" s="67" t="str">
        <x:v>https://www.pricescope.com/blog/natural-diamond-prices-september-2026</x:v>
      </x:c>
    </x:row>
    <x:row r="4248">
      <x:c r="A4248" t="n">
        <x:v>7</x:v>
      </x:c>
      <x:c r="B4248" t="str">
        <x:v>Pear</x:v>
      </x:c>
      <x:c r="C4248" t="str">
        <x:v>F</x:v>
      </x:c>
      <x:c r="D4248" t="str">
        <x:v>SI1</x:v>
      </x:c>
      <x:c r="E4248" s="36" t="n">
        <x:v>270814</x:v>
      </x:c>
      <x:c r="F4248" s="36" t="n">
        <x:v>3331</x:v>
      </x:c>
      <x:c r="G4248" s="42" t="n">
        <x:v>0.7145002145002145</x:v>
      </x:c>
      <x:c r="H4248" s="36" t="n">
        <x:f>E4248*G4248</x:f>
        <x:v>193496.6610896611</x:v>
      </x:c>
      <x:c r="I4248" s="36" t="n">
        <x:f>IFERROR(H4248/A4248,0)</x:f>
        <x:v>27642.38015566587</x:v>
      </x:c>
      <x:c r="J4248" s="67" t="str">
        <x:v>Modeled from live base + Sep-2026 quality ratio</x:v>
      </x:c>
      <x:c r="K4248" s="67" t="str">
        <x:v>https://www.stonealgo.com/diamond-prices/</x:v>
      </x:c>
      <x:c r="L4248" s="67" t="str">
        <x:v>https://www.pricescope.com/blog/natural-diamond-prices-september-2026</x:v>
      </x:c>
    </x:row>
    <x:row r="4249">
      <x:c r="A4249" t="n">
        <x:v>7</x:v>
      </x:c>
      <x:c r="B4249" t="str">
        <x:v>Pear</x:v>
      </x:c>
      <x:c r="C4249" t="str">
        <x:v>F</x:v>
      </x:c>
      <x:c r="D4249" t="str">
        <x:v>SI2</x:v>
      </x:c>
      <x:c r="E4249" s="36" t="n">
        <x:v>270814</x:v>
      </x:c>
      <x:c r="F4249" s="36" t="n">
        <x:v>2733</x:v>
      </x:c>
      <x:c r="G4249" s="42" t="n">
        <x:v>0.5862290862290862</x:v>
      </x:c>
      <x:c r="H4249" s="36" t="n">
        <x:f>E4249*G4249</x:f>
        <x:v>158759.04375804376</x:v>
      </x:c>
      <x:c r="I4249" s="36" t="n">
        <x:f>IFERROR(H4249/A4249,0)</x:f>
        <x:v>22679.86339400625</x:v>
      </x:c>
      <x:c r="J4249" s="67" t="str">
        <x:v>Modeled from live base + Sep-2026 quality ratio</x:v>
      </x:c>
      <x:c r="K4249" s="67" t="str">
        <x:v>https://www.stonealgo.com/diamond-prices/</x:v>
      </x:c>
      <x:c r="L4249" s="67" t="str">
        <x:v>https://www.pricescope.com/blog/natural-diamond-prices-september-2026</x:v>
      </x:c>
    </x:row>
    <x:row r="4250">
      <x:c r="A4250" t="n">
        <x:v>7</x:v>
      </x:c>
      <x:c r="B4250" t="str">
        <x:v>Pear</x:v>
      </x:c>
      <x:c r="C4250" t="str">
        <x:v>G</x:v>
      </x:c>
      <x:c r="D4250" t="str">
        <x:v>FL</x:v>
      </x:c>
      <x:c r="E4250" s="36" t="n">
        <x:v>270814</x:v>
      </x:c>
      <x:c r="F4250" s="36" t="n">
        <x:v>5905</x:v>
      </x:c>
      <x:c r="G4250" s="42" t="n">
        <x:v>1.2666237666237665</x:v>
      </x:c>
      <x:c r="H4250" s="36" t="n">
        <x:f>E4250*G4250</x:f>
        <x:v>343019.4487344487</x:v>
      </x:c>
      <x:c r="I4250" s="36" t="n">
        <x:f>IFERROR(H4250/A4250,0)</x:f>
        <x:v>49002.778390635525</x:v>
      </x:c>
      <x:c r="J4250" s="67" t="str">
        <x:v>Modeled from live base + Sep-2026 quality ratio</x:v>
      </x:c>
      <x:c r="K4250" s="67" t="str">
        <x:v>https://www.stonealgo.com/diamond-prices/</x:v>
      </x:c>
      <x:c r="L4250" s="67" t="str">
        <x:v>https://www.pricescope.com/blog/natural-diamond-prices-september-2026</x:v>
      </x:c>
    </x:row>
    <x:row r="4251">
      <x:c r="A4251" t="n">
        <x:v>7</x:v>
      </x:c>
      <x:c r="B4251" t="str">
        <x:v>Pear</x:v>
      </x:c>
      <x:c r="C4251" t="str">
        <x:v>G</x:v>
      </x:c>
      <x:c r="D4251" t="str">
        <x:v>IF</x:v>
      </x:c>
      <x:c r="E4251" s="36" t="n">
        <x:v>270814</x:v>
      </x:c>
      <x:c r="F4251" s="36" t="n">
        <x:v>5601</x:v>
      </x:c>
      <x:c r="G4251" s="42" t="n">
        <x:v>1.2014157014157014</x:v>
      </x:c>
      <x:c r="H4251" s="36" t="n">
        <x:f>E4251*G4251</x:f>
        <x:v>325360.1917631918</x:v>
      </x:c>
      <x:c r="I4251" s="36" t="n">
        <x:f>IFERROR(H4251/A4251,0)</x:f>
        <x:v>46480.02739474168</x:v>
      </x:c>
      <x:c r="J4251" s="67" t="str">
        <x:v>Modeled from live base + Sep-2026 quality ratio</x:v>
      </x:c>
      <x:c r="K4251" s="67" t="str">
        <x:v>https://www.stonealgo.com/diamond-prices/</x:v>
      </x:c>
      <x:c r="L4251" s="67" t="str">
        <x:v>https://www.pricescope.com/blog/natural-diamond-prices-september-2026</x:v>
      </x:c>
    </x:row>
    <x:row r="4252">
      <x:c r="A4252" t="n">
        <x:v>7</x:v>
      </x:c>
      <x:c r="B4252" t="str">
        <x:v>Pear</x:v>
      </x:c>
      <x:c r="C4252" t="str">
        <x:v>G</x:v>
      </x:c>
      <x:c r="D4252" t="str">
        <x:v>VVS1</x:v>
      </x:c>
      <x:c r="E4252" s="36" t="n">
        <x:v>270814</x:v>
      </x:c>
      <x:c r="F4252" s="36" t="n">
        <x:v>5124</x:v>
      </x:c>
      <x:c r="G4252" s="42" t="n">
        <x:v>1.0990990990990992</x:v>
      </x:c>
      <x:c r="H4252" s="36" t="n">
        <x:f>E4252*G4252</x:f>
        <x:v>297651.42342342343</x:v>
      </x:c>
      <x:c r="I4252" s="36" t="n">
        <x:f>IFERROR(H4252/A4252,0)</x:f>
        <x:v>42521.631917631916</x:v>
      </x:c>
      <x:c r="J4252" s="67" t="str">
        <x:v>Modeled from live base + Sep-2026 quality ratio</x:v>
      </x:c>
      <x:c r="K4252" s="67" t="str">
        <x:v>https://www.stonealgo.com/diamond-prices/</x:v>
      </x:c>
      <x:c r="L4252" s="67" t="str">
        <x:v>https://www.pricescope.com/blog/natural-diamond-prices-september-2026</x:v>
      </x:c>
    </x:row>
    <x:row r="4253">
      <x:c r="A4253" t="n">
        <x:v>7</x:v>
      </x:c>
      <x:c r="B4253" t="str">
        <x:v>Pear</x:v>
      </x:c>
      <x:c r="C4253" t="str">
        <x:v>G</x:v>
      </x:c>
      <x:c r="D4253" t="str">
        <x:v>VVS2</x:v>
      </x:c>
      <x:c r="E4253" s="36" t="n">
        <x:v>270814</x:v>
      </x:c>
      <x:c r="F4253" s="36" t="n">
        <x:v>4962</x:v>
      </x:c>
      <x:c r="G4253" s="42" t="n">
        <x:v>1.0643500643500643</x:v>
      </x:c>
      <x:c r="H4253" s="36" t="n">
        <x:f>E4253*G4253</x:f>
        <x:v>288240.8983268983</x:v>
      </x:c>
      <x:c r="I4253" s="36" t="n">
        <x:f>IFERROR(H4253/A4253,0)</x:f>
        <x:v>41177.2711895569</x:v>
      </x:c>
      <x:c r="J4253" s="67" t="str">
        <x:v>Modeled from live base + Sep-2026 quality ratio</x:v>
      </x:c>
      <x:c r="K4253" s="67" t="str">
        <x:v>https://www.stonealgo.com/diamond-prices/</x:v>
      </x:c>
      <x:c r="L4253" s="67" t="str">
        <x:v>https://www.pricescope.com/blog/natural-diamond-prices-september-2026</x:v>
      </x:c>
    </x:row>
    <x:row r="4254">
      <x:c r="A4254" t="n">
        <x:v>7</x:v>
      </x:c>
      <x:c r="B4254" t="str">
        <x:v>Pear</x:v>
      </x:c>
      <x:c r="C4254" t="str">
        <x:v>G</x:v>
      </x:c>
      <x:c r="D4254" t="str">
        <x:v>VS1</x:v>
      </x:c>
      <x:c r="E4254" s="36" t="n">
        <x:v>270814</x:v>
      </x:c>
      <x:c r="F4254" s="36" t="n">
        <x:v>4615</x:v>
      </x:c>
      <x:c r="G4254" s="42" t="n">
        <x:v>0.98991848991849</x:v>
      </x:c>
      <x:c r="H4254" s="36" t="n">
        <x:f>E4254*G4254</x:f>
        <x:v>268083.7859287859</x:v>
      </x:c>
      <x:c r="I4254" s="36" t="n">
        <x:f>IFERROR(H4254/A4254,0)</x:f>
        <x:v>38297.68370411227</x:v>
      </x:c>
      <x:c r="J4254" s="67" t="str">
        <x:v>Modeled from live base + Sep-2026 quality ratio</x:v>
      </x:c>
      <x:c r="K4254" s="67" t="str">
        <x:v>https://www.stonealgo.com/diamond-prices/</x:v>
      </x:c>
      <x:c r="L4254" s="67" t="str">
        <x:v>https://www.pricescope.com/blog/natural-diamond-prices-september-2026</x:v>
      </x:c>
    </x:row>
    <x:row r="4255">
      <x:c r="A4255" t="n">
        <x:v>7</x:v>
      </x:c>
      <x:c r="B4255" t="str">
        <x:v>Pear</x:v>
      </x:c>
      <x:c r="C4255" t="str">
        <x:v>G</x:v>
      </x:c>
      <x:c r="D4255" t="str">
        <x:v>VS2</x:v>
      </x:c>
      <x:c r="E4255" s="36" t="n">
        <x:v>270814</x:v>
      </x:c>
      <x:c r="F4255" s="36" t="n">
        <x:v>4585</x:v>
      </x:c>
      <x:c r="G4255" s="42" t="n">
        <x:v>0.9834834834834835</x:v>
      </x:c>
      <x:c r="H4255" s="36" t="n">
        <x:f>E4255*G4255</x:f>
        <x:v>266341.0960960961</x:v>
      </x:c>
      <x:c r="I4255" s="36" t="n">
        <x:f>IFERROR(H4255/A4255,0)</x:f>
        <x:v>38048.72801372801</x:v>
      </x:c>
      <x:c r="J4255" s="67" t="str">
        <x:v>Modeled from live base + Sep-2026 quality ratio</x:v>
      </x:c>
      <x:c r="K4255" s="67" t="str">
        <x:v>https://www.stonealgo.com/diamond-prices/</x:v>
      </x:c>
      <x:c r="L4255" s="67" t="str">
        <x:v>https://www.pricescope.com/blog/natural-diamond-prices-september-2026</x:v>
      </x:c>
    </x:row>
    <x:row r="4256">
      <x:c r="A4256" t="n">
        <x:v>7</x:v>
      </x:c>
      <x:c r="B4256" t="str">
        <x:v>Pear</x:v>
      </x:c>
      <x:c r="C4256" t="str">
        <x:v>G</x:v>
      </x:c>
      <x:c r="D4256" t="str">
        <x:v>SI1</x:v>
      </x:c>
      <x:c r="E4256" s="36" t="n">
        <x:v>270814</x:v>
      </x:c>
      <x:c r="F4256" s="36" t="n">
        <x:v>3664</x:v>
      </x:c>
      <x:c r="G4256" s="42" t="n">
        <x:v>0.7859287859287859</x:v>
      </x:c>
      <x:c r="H4256" s="36" t="n">
        <x:f>E4256*G4256</x:f>
        <x:v>212840.51823251822</x:v>
      </x:c>
      <x:c r="I4256" s="36" t="n">
        <x:f>IFERROR(H4256/A4256,0)</x:f>
        <x:v>30405.788318931176</x:v>
      </x:c>
      <x:c r="J4256" s="67" t="str">
        <x:v>Modeled from live base + Sep-2026 quality ratio</x:v>
      </x:c>
      <x:c r="K4256" s="67" t="str">
        <x:v>https://www.stonealgo.com/diamond-prices/</x:v>
      </x:c>
      <x:c r="L4256" s="67" t="str">
        <x:v>https://www.pricescope.com/blog/natural-diamond-prices-september-2026</x:v>
      </x:c>
    </x:row>
    <x:row r="4257">
      <x:c r="A4257" t="n">
        <x:v>7</x:v>
      </x:c>
      <x:c r="B4257" t="str">
        <x:v>Pear</x:v>
      </x:c>
      <x:c r="C4257" t="str">
        <x:v>G</x:v>
      </x:c>
      <x:c r="D4257" t="str">
        <x:v>SI2</x:v>
      </x:c>
      <x:c r="E4257" s="36" t="n">
        <x:v>270814</x:v>
      </x:c>
      <x:c r="F4257" s="36" t="n">
        <x:v>2537</x:v>
      </x:c>
      <x:c r="G4257" s="42" t="n">
        <x:v>0.5441870441870442</x:v>
      </x:c>
      <x:c r="H4257" s="36" t="n">
        <x:f>E4257*G4257</x:f>
        <x:v>147373.4701844702</x:v>
      </x:c>
      <x:c r="I4257" s="36" t="n">
        <x:f>IFERROR(H4257/A4257,0)</x:f>
        <x:v>21053.352883495743</x:v>
      </x:c>
      <x:c r="J4257" s="67" t="str">
        <x:v>Modeled from live base + Sep-2026 quality ratio</x:v>
      </x:c>
      <x:c r="K4257" s="67" t="str">
        <x:v>https://www.stonealgo.com/diamond-prices/</x:v>
      </x:c>
      <x:c r="L4257" s="67" t="str">
        <x:v>https://www.pricescope.com/blog/natural-diamond-prices-september-2026</x:v>
      </x:c>
    </x:row>
    <x:row r="4258">
      <x:c r="A4258" t="n">
        <x:v>7</x:v>
      </x:c>
      <x:c r="B4258" t="str">
        <x:v>Pear</x:v>
      </x:c>
      <x:c r="C4258" t="str">
        <x:v>H</x:v>
      </x:c>
      <x:c r="D4258" t="str">
        <x:v>FL</x:v>
      </x:c>
      <x:c r="E4258" s="36" t="n">
        <x:v>270814</x:v>
      </x:c>
      <x:c r="F4258" s="36" t="n">
        <x:v>4563</x:v>
      </x:c>
      <x:c r="G4258" s="42" t="n">
        <x:v>0.9787644787644788</x:v>
      </x:c>
      <x:c r="H4258" s="36" t="n">
        <x:f>E4258*G4258</x:f>
        <x:v>265063.12355212355</x:v>
      </x:c>
      <x:c r="I4258" s="36" t="n">
        <x:f>IFERROR(H4258/A4258,0)</x:f>
        <x:v>37866.16050744622</x:v>
      </x:c>
      <x:c r="J4258" s="67" t="str">
        <x:v>Modeled from live base + Sep-2026 quality ratio</x:v>
      </x:c>
      <x:c r="K4258" s="67" t="str">
        <x:v>https://www.stonealgo.com/diamond-prices/</x:v>
      </x:c>
      <x:c r="L4258" s="67" t="str">
        <x:v>https://www.pricescope.com/blog/natural-diamond-prices-september-2026</x:v>
      </x:c>
    </x:row>
    <x:row r="4259">
      <x:c r="A4259" t="n">
        <x:v>7</x:v>
      </x:c>
      <x:c r="B4259" t="str">
        <x:v>Pear</x:v>
      </x:c>
      <x:c r="C4259" t="str">
        <x:v>H</x:v>
      </x:c>
      <x:c r="D4259" t="str">
        <x:v>IF</x:v>
      </x:c>
      <x:c r="E4259" s="36" t="n">
        <x:v>270814</x:v>
      </x:c>
      <x:c r="F4259" s="36" t="n">
        <x:v>4809</x:v>
      </x:c>
      <x:c r="G4259" s="42" t="n">
        <x:v>1.0315315315315314</x:v>
      </x:c>
      <x:c r="H4259" s="36" t="n">
        <x:f>E4259*G4259</x:f>
        <x:v>279353.1801801802</x:v>
      </x:c>
      <x:c r="I4259" s="36" t="n">
        <x:f>IFERROR(H4259/A4259,0)</x:f>
        <x:v>39907.59716859717</x:v>
      </x:c>
      <x:c r="J4259" s="67" t="str">
        <x:v>Modeled from live base + Sep-2026 quality ratio</x:v>
      </x:c>
      <x:c r="K4259" s="67" t="str">
        <x:v>https://www.stonealgo.com/diamond-prices/</x:v>
      </x:c>
      <x:c r="L4259" s="67" t="str">
        <x:v>https://www.pricescope.com/blog/natural-diamond-prices-september-2026</x:v>
      </x:c>
    </x:row>
    <x:row r="4260">
      <x:c r="A4260" t="n">
        <x:v>7</x:v>
      </x:c>
      <x:c r="B4260" t="str">
        <x:v>Pear</x:v>
      </x:c>
      <x:c r="C4260" t="str">
        <x:v>H</x:v>
      </x:c>
      <x:c r="D4260" t="str">
        <x:v>VVS1</x:v>
      </x:c>
      <x:c r="E4260" s="36" t="n">
        <x:v>270814</x:v>
      </x:c>
      <x:c r="F4260" s="36" t="n">
        <x:v>4911</x:v>
      </x:c>
      <x:c r="G4260" s="42" t="n">
        <x:v>1.0534105534105533</x:v>
      </x:c>
      <x:c r="H4260" s="36" t="n">
        <x:f>E4260*G4260</x:f>
        <x:v>285278.3256113256</x:v>
      </x:c>
      <x:c r="I4260" s="36" t="n">
        <x:f>IFERROR(H4260/A4260,0)</x:f>
        <x:v>40754.04651590366</x:v>
      </x:c>
      <x:c r="J4260" s="67" t="str">
        <x:v>Modeled from live base + Sep-2026 quality ratio</x:v>
      </x:c>
      <x:c r="K4260" s="67" t="str">
        <x:v>https://www.stonealgo.com/diamond-prices/</x:v>
      </x:c>
      <x:c r="L4260" s="67" t="str">
        <x:v>https://www.pricescope.com/blog/natural-diamond-prices-september-2026</x:v>
      </x:c>
    </x:row>
    <x:row r="4261">
      <x:c r="A4261" t="n">
        <x:v>7</x:v>
      </x:c>
      <x:c r="B4261" t="str">
        <x:v>Pear</x:v>
      </x:c>
      <x:c r="C4261" t="str">
        <x:v>H</x:v>
      </x:c>
      <x:c r="D4261" t="str">
        <x:v>VVS2</x:v>
      </x:c>
      <x:c r="E4261" s="36" t="n">
        <x:v>270814</x:v>
      </x:c>
      <x:c r="F4261" s="36" t="n">
        <x:v>4046</x:v>
      </x:c>
      <x:c r="G4261" s="42" t="n">
        <x:v>0.8678678678678678</x:v>
      </x:c>
      <x:c r="H4261" s="36" t="n">
        <x:f>E4261*G4261</x:f>
        <x:v>235030.76876876876</x:v>
      </x:c>
      <x:c r="I4261" s="36" t="n">
        <x:f>IFERROR(H4261/A4261,0)</x:f>
        <x:v>33575.824109824105</x:v>
      </x:c>
      <x:c r="J4261" s="67" t="str">
        <x:v>Modeled from live base + Sep-2026 quality ratio</x:v>
      </x:c>
      <x:c r="K4261" s="67" t="str">
        <x:v>https://www.stonealgo.com/diamond-prices/</x:v>
      </x:c>
      <x:c r="L4261" s="67" t="str">
        <x:v>https://www.pricescope.com/blog/natural-diamond-prices-september-2026</x:v>
      </x:c>
    </x:row>
    <x:row r="4262">
      <x:c r="A4262" t="n">
        <x:v>7</x:v>
      </x:c>
      <x:c r="B4262" t="str">
        <x:v>Pear</x:v>
      </x:c>
      <x:c r="C4262" t="str">
        <x:v>H</x:v>
      </x:c>
      <x:c r="D4262" t="str">
        <x:v>VS1</x:v>
      </x:c>
      <x:c r="E4262" s="36" t="n">
        <x:v>270814</x:v>
      </x:c>
      <x:c r="F4262" s="36" t="n">
        <x:v>3893</x:v>
      </x:c>
      <x:c r="G4262" s="42" t="n">
        <x:v>0.8350493350493351</x:v>
      </x:c>
      <x:c r="H4262" s="36" t="n">
        <x:f>E4262*G4262</x:f>
        <x:v>226143.05062205062</x:v>
      </x:c>
      <x:c r="I4262" s="36" t="n">
        <x:f>IFERROR(H4262/A4262,0)</x:f>
        <x:v>32306.150088864375</x:v>
      </x:c>
      <x:c r="J4262" s="67" t="str">
        <x:v>Modeled from live base + Sep-2026 quality ratio</x:v>
      </x:c>
      <x:c r="K4262" s="67" t="str">
        <x:v>https://www.stonealgo.com/diamond-prices/</x:v>
      </x:c>
      <x:c r="L4262" s="67" t="str">
        <x:v>https://www.pricescope.com/blog/natural-diamond-prices-september-2026</x:v>
      </x:c>
    </x:row>
    <x:row r="4263">
      <x:c r="A4263" t="n">
        <x:v>7</x:v>
      </x:c>
      <x:c r="B4263" t="str">
        <x:v>Pear</x:v>
      </x:c>
      <x:c r="C4263" t="str">
        <x:v>H</x:v>
      </x:c>
      <x:c r="D4263" t="str">
        <x:v>VS2</x:v>
      </x:c>
      <x:c r="E4263" s="36" t="n">
        <x:v>270814</x:v>
      </x:c>
      <x:c r="F4263" s="36" t="n">
        <x:v>3989</x:v>
      </x:c>
      <x:c r="G4263" s="42" t="n">
        <x:v>0.8556413556413557</x:v>
      </x:c>
      <x:c r="H4263" s="36" t="n">
        <x:f>E4263*G4263</x:f>
        <x:v>231719.6580866581</x:v>
      </x:c>
      <x:c r="I4263" s="36" t="n">
        <x:f>IFERROR(H4263/A4263,0)</x:f>
        <x:v>33102.808298094016</x:v>
      </x:c>
      <x:c r="J4263" s="67" t="str">
        <x:v>Modeled from live base + Sep-2026 quality ratio</x:v>
      </x:c>
      <x:c r="K4263" s="67" t="str">
        <x:v>https://www.stonealgo.com/diamond-prices/</x:v>
      </x:c>
      <x:c r="L4263" s="67" t="str">
        <x:v>https://www.pricescope.com/blog/natural-diamond-prices-september-2026</x:v>
      </x:c>
    </x:row>
    <x:row r="4264">
      <x:c r="A4264" t="n">
        <x:v>7</x:v>
      </x:c>
      <x:c r="B4264" t="str">
        <x:v>Pear</x:v>
      </x:c>
      <x:c r="C4264" t="str">
        <x:v>H</x:v>
      </x:c>
      <x:c r="D4264" t="str">
        <x:v>SI1</x:v>
      </x:c>
      <x:c r="E4264" s="36" t="n">
        <x:v>270814</x:v>
      </x:c>
      <x:c r="F4264" s="36" t="n">
        <x:v>2828</x:v>
      </x:c>
      <x:c r="G4264" s="42" t="n">
        <x:v>0.6066066066066066</x:v>
      </x:c>
      <x:c r="H4264" s="36" t="n">
        <x:f>E4264*G4264</x:f>
        <x:v>164277.56156156157</x:v>
      </x:c>
      <x:c r="I4264" s="36" t="n">
        <x:f>IFERROR(H4264/A4264,0)</x:f>
        <x:v>23468.22308022308</x:v>
      </x:c>
      <x:c r="J4264" s="67" t="str">
        <x:v>Modeled from live base + Sep-2026 quality ratio</x:v>
      </x:c>
      <x:c r="K4264" s="67" t="str">
        <x:v>https://www.stonealgo.com/diamond-prices/</x:v>
      </x:c>
      <x:c r="L4264" s="67" t="str">
        <x:v>https://www.pricescope.com/blog/natural-diamond-prices-september-2026</x:v>
      </x:c>
    </x:row>
    <x:row r="4265">
      <x:c r="A4265" t="n">
        <x:v>7</x:v>
      </x:c>
      <x:c r="B4265" t="str">
        <x:v>Pear</x:v>
      </x:c>
      <x:c r="C4265" t="str">
        <x:v>H</x:v>
      </x:c>
      <x:c r="D4265" t="str">
        <x:v>SI2</x:v>
      </x:c>
      <x:c r="E4265" s="36" t="n">
        <x:v>270814</x:v>
      </x:c>
      <x:c r="F4265" s="36" t="n">
        <x:v>2328</x:v>
      </x:c>
      <x:c r="G4265" s="42" t="n">
        <x:v>0.49935649935649934</x:v>
      </x:c>
      <x:c r="H4265" s="36" t="n">
        <x:f>E4265*G4265</x:f>
        <x:v>135232.731016731</x:v>
      </x:c>
      <x:c r="I4265" s="36" t="n">
        <x:f>IFERROR(H4265/A4265,0)</x:f>
        <x:v>19318.961573818717</x:v>
      </x:c>
      <x:c r="J4265" s="67" t="str">
        <x:v>Modeled from live base + Sep-2026 quality ratio</x:v>
      </x:c>
      <x:c r="K4265" s="67" t="str">
        <x:v>https://www.stonealgo.com/diamond-prices/</x:v>
      </x:c>
      <x:c r="L4265" s="67" t="str">
        <x:v>https://www.pricescope.com/blog/natural-diamond-prices-september-2026</x:v>
      </x:c>
    </x:row>
    <x:row r="4266">
      <x:c r="A4266" t="n">
        <x:v>7</x:v>
      </x:c>
      <x:c r="B4266" t="str">
        <x:v>Pear</x:v>
      </x:c>
      <x:c r="C4266" t="str">
        <x:v>I</x:v>
      </x:c>
      <x:c r="D4266" t="str">
        <x:v>FL</x:v>
      </x:c>
      <x:c r="E4266" s="36" t="n">
        <x:v>270814</x:v>
      </x:c>
      <x:c r="F4266" s="36" t="n">
        <x:v>4623</x:v>
      </x:c>
      <x:c r="G4266" s="42" t="n">
        <x:v>0.9916344916344917</x:v>
      </x:c>
      <x:c r="H4266" s="36" t="n">
        <x:f>E4266*G4266</x:f>
        <x:v>268548.50321750325</x:v>
      </x:c>
      <x:c r="I4266" s="36" t="n">
        <x:f>IFERROR(H4266/A4266,0)</x:f>
        <x:v>38364.07188821475</x:v>
      </x:c>
      <x:c r="J4266" s="67" t="str">
        <x:v>Modeled from live base + Sep-2026 quality ratio</x:v>
      </x:c>
      <x:c r="K4266" s="67" t="str">
        <x:v>https://www.stonealgo.com/diamond-prices/</x:v>
      </x:c>
      <x:c r="L4266" s="67" t="str">
        <x:v>https://www.pricescope.com/blog/natural-diamond-prices-september-2026</x:v>
      </x:c>
    </x:row>
    <x:row r="4267">
      <x:c r="A4267" t="n">
        <x:v>7</x:v>
      </x:c>
      <x:c r="B4267" t="str">
        <x:v>Pear</x:v>
      </x:c>
      <x:c r="C4267" t="str">
        <x:v>I</x:v>
      </x:c>
      <x:c r="D4267" t="str">
        <x:v>IF</x:v>
      </x:c>
      <x:c r="E4267" s="36" t="n">
        <x:v>270814</x:v>
      </x:c>
      <x:c r="F4267" s="36" t="n">
        <x:v>4005</x:v>
      </x:c>
      <x:c r="G4267" s="42" t="n">
        <x:v>0.859073359073359</x:v>
      </x:c>
      <x:c r="H4267" s="36" t="n">
        <x:f>E4267*G4267</x:f>
        <x:v>232649.09266409266</x:v>
      </x:c>
      <x:c r="I4267" s="36" t="n">
        <x:f>IFERROR(H4267/A4267,0)</x:f>
        <x:v>33235.58466629895</x:v>
      </x:c>
      <x:c r="J4267" s="67" t="str">
        <x:v>Modeled from live base + Sep-2026 quality ratio</x:v>
      </x:c>
      <x:c r="K4267" s="67" t="str">
        <x:v>https://www.stonealgo.com/diamond-prices/</x:v>
      </x:c>
      <x:c r="L4267" s="67" t="str">
        <x:v>https://www.pricescope.com/blog/natural-diamond-prices-september-2026</x:v>
      </x:c>
    </x:row>
    <x:row r="4268">
      <x:c r="A4268" t="n">
        <x:v>7</x:v>
      </x:c>
      <x:c r="B4268" t="str">
        <x:v>Pear</x:v>
      </x:c>
      <x:c r="C4268" t="str">
        <x:v>I</x:v>
      </x:c>
      <x:c r="D4268" t="str">
        <x:v>VVS1</x:v>
      </x:c>
      <x:c r="E4268" s="36" t="n">
        <x:v>270814</x:v>
      </x:c>
      <x:c r="F4268" s="36" t="n">
        <x:v>3670</x:v>
      </x:c>
      <x:c r="G4268" s="42" t="n">
        <x:v>0.7872157872157872</x:v>
      </x:c>
      <x:c r="H4268" s="36" t="n">
        <x:f>E4268*G4268</x:f>
        <x:v>213189.0561990562</x:v>
      </x:c>
      <x:c r="I4268" s="36" t="n">
        <x:f>IFERROR(H4268/A4268,0)</x:f>
        <x:v>30455.57945700803</x:v>
      </x:c>
      <x:c r="J4268" s="67" t="str">
        <x:v>Modeled from live base + Sep-2026 quality ratio</x:v>
      </x:c>
      <x:c r="K4268" s="67" t="str">
        <x:v>https://www.stonealgo.com/diamond-prices/</x:v>
      </x:c>
      <x:c r="L4268" s="67" t="str">
        <x:v>https://www.pricescope.com/blog/natural-diamond-prices-september-2026</x:v>
      </x:c>
    </x:row>
    <x:row r="4269">
      <x:c r="A4269" t="n">
        <x:v>7</x:v>
      </x:c>
      <x:c r="B4269" t="str">
        <x:v>Pear</x:v>
      </x:c>
      <x:c r="C4269" t="str">
        <x:v>I</x:v>
      </x:c>
      <x:c r="D4269" t="str">
        <x:v>VVS2</x:v>
      </x:c>
      <x:c r="E4269" s="36" t="n">
        <x:v>270814</x:v>
      </x:c>
      <x:c r="F4269" s="36" t="n">
        <x:v>3447</x:v>
      </x:c>
      <x:c r="G4269" s="42" t="n">
        <x:v>0.7393822393822393</x:v>
      </x:c>
      <x:c r="H4269" s="36" t="n">
        <x:f>E4269*G4269</x:f>
        <x:v>200235.06177606178</x:v>
      </x:c>
      <x:c r="I4269" s="36" t="n">
        <x:f>IFERROR(H4269/A4269,0)</x:f>
        <x:v>28605.008825151683</x:v>
      </x:c>
      <x:c r="J4269" s="67" t="str">
        <x:v>Modeled from live base + Sep-2026 quality ratio</x:v>
      </x:c>
      <x:c r="K4269" s="67" t="str">
        <x:v>https://www.stonealgo.com/diamond-prices/</x:v>
      </x:c>
      <x:c r="L4269" s="67" t="str">
        <x:v>https://www.pricescope.com/blog/natural-diamond-prices-september-2026</x:v>
      </x:c>
    </x:row>
    <x:row r="4270">
      <x:c r="A4270" t="n">
        <x:v>7</x:v>
      </x:c>
      <x:c r="B4270" t="str">
        <x:v>Pear</x:v>
      </x:c>
      <x:c r="C4270" t="str">
        <x:v>I</x:v>
      </x:c>
      <x:c r="D4270" t="str">
        <x:v>VS1</x:v>
      </x:c>
      <x:c r="E4270" s="36" t="n">
        <x:v>270814</x:v>
      </x:c>
      <x:c r="F4270" s="36" t="n">
        <x:v>3313</x:v>
      </x:c>
      <x:c r="G4270" s="42" t="n">
        <x:v>0.7106392106392107</x:v>
      </x:c>
      <x:c r="H4270" s="36" t="n">
        <x:f>E4270*G4270</x:f>
        <x:v>192451.0471900472</x:v>
      </x:c>
      <x:c r="I4270" s="36" t="n">
        <x:f>IFERROR(H4270/A4270,0)</x:f>
        <x:v>27493.006741435314</x:v>
      </x:c>
      <x:c r="J4270" s="67" t="str">
        <x:v>Modeled from live base + Sep-2026 quality ratio</x:v>
      </x:c>
      <x:c r="K4270" s="67" t="str">
        <x:v>https://www.stonealgo.com/diamond-prices/</x:v>
      </x:c>
      <x:c r="L4270" s="67" t="str">
        <x:v>https://www.pricescope.com/blog/natural-diamond-prices-september-2026</x:v>
      </x:c>
    </x:row>
    <x:row r="4271">
      <x:c r="A4271" t="n">
        <x:v>7</x:v>
      </x:c>
      <x:c r="B4271" t="str">
        <x:v>Pear</x:v>
      </x:c>
      <x:c r="C4271" t="str">
        <x:v>I</x:v>
      </x:c>
      <x:c r="D4271" t="str">
        <x:v>VS2</x:v>
      </x:c>
      <x:c r="E4271" s="36" t="n">
        <x:v>270814</x:v>
      </x:c>
      <x:c r="F4271" s="36" t="n">
        <x:v>3240</x:v>
      </x:c>
      <x:c r="G4271" s="42" t="n">
        <x:v>0.694980694980695</x:v>
      </x:c>
      <x:c r="H4271" s="36" t="n">
        <x:f>E4271*G4271</x:f>
        <x:v>188210.50193050195</x:v>
      </x:c>
      <x:c r="I4271" s="36" t="n">
        <x:f>IFERROR(H4271/A4271,0)</x:f>
        <x:v>26887.214561500277</x:v>
      </x:c>
      <x:c r="J4271" s="67" t="str">
        <x:v>Modeled from live base + Sep-2026 quality ratio</x:v>
      </x:c>
      <x:c r="K4271" s="67" t="str">
        <x:v>https://www.stonealgo.com/diamond-prices/</x:v>
      </x:c>
      <x:c r="L4271" s="67" t="str">
        <x:v>https://www.pricescope.com/blog/natural-diamond-prices-september-2026</x:v>
      </x:c>
    </x:row>
    <x:row r="4272">
      <x:c r="A4272" t="n">
        <x:v>7</x:v>
      </x:c>
      <x:c r="B4272" t="str">
        <x:v>Pear</x:v>
      </x:c>
      <x:c r="C4272" t="str">
        <x:v>I</x:v>
      </x:c>
      <x:c r="D4272" t="str">
        <x:v>SI1</x:v>
      </x:c>
      <x:c r="E4272" s="36" t="n">
        <x:v>270814</x:v>
      </x:c>
      <x:c r="F4272" s="36" t="n">
        <x:v>3199</x:v>
      </x:c>
      <x:c r="G4272" s="42" t="n">
        <x:v>0.6861861861861862</x:v>
      </x:c>
      <x:c r="H4272" s="36" t="n">
        <x:f>E4272*G4272</x:f>
        <x:v>185828.82582582583</x:v>
      </x:c>
      <x:c r="I4272" s="36" t="n">
        <x:f>IFERROR(H4272/A4272,0)</x:f>
        <x:v>26546.97511797512</x:v>
      </x:c>
      <x:c r="J4272" s="67" t="str">
        <x:v>Modeled from live base + Sep-2026 quality ratio</x:v>
      </x:c>
      <x:c r="K4272" s="67" t="str">
        <x:v>https://www.stonealgo.com/diamond-prices/</x:v>
      </x:c>
      <x:c r="L4272" s="67" t="str">
        <x:v>https://www.pricescope.com/blog/natural-diamond-prices-september-2026</x:v>
      </x:c>
    </x:row>
    <x:row r="4273">
      <x:c r="A4273" t="n">
        <x:v>7</x:v>
      </x:c>
      <x:c r="B4273" t="str">
        <x:v>Pear</x:v>
      </x:c>
      <x:c r="C4273" t="str">
        <x:v>I</x:v>
      </x:c>
      <x:c r="D4273" t="str">
        <x:v>SI2</x:v>
      </x:c>
      <x:c r="E4273" s="36" t="n">
        <x:v>270814</x:v>
      </x:c>
      <x:c r="F4273" s="36" t="n">
        <x:v>2874</x:v>
      </x:c>
      <x:c r="G4273" s="42" t="n">
        <x:v>0.6164736164736164</x:v>
      </x:c>
      <x:c r="H4273" s="36" t="n">
        <x:f>E4273*G4273</x:f>
        <x:v>166949.68597168595</x:v>
      </x:c>
      <x:c r="I4273" s="36" t="n">
        <x:f>IFERROR(H4273/A4273,0)</x:f>
        <x:v>23849.955138812278</x:v>
      </x:c>
      <x:c r="J4273" s="67" t="str">
        <x:v>Modeled from live base + Sep-2026 quality ratio</x:v>
      </x:c>
      <x:c r="K4273" s="67" t="str">
        <x:v>https://www.stonealgo.com/diamond-prices/</x:v>
      </x:c>
      <x:c r="L4273" s="67" t="str">
        <x:v>https://www.pricescope.com/blog/natural-diamond-prices-september-2026</x:v>
      </x:c>
    </x:row>
    <x:row r="4274">
      <x:c r="A4274" t="n">
        <x:v>7</x:v>
      </x:c>
      <x:c r="B4274" t="str">
        <x:v>Pear</x:v>
      </x:c>
      <x:c r="C4274" t="str">
        <x:v>J</x:v>
      </x:c>
      <x:c r="D4274" t="str">
        <x:v>FL</x:v>
      </x:c>
      <x:c r="E4274" s="36" t="n">
        <x:v>270814</x:v>
      </x:c>
      <x:c r="F4274" s="36" t="n">
        <x:v>3646</x:v>
      </x:c>
      <x:c r="G4274" s="42" t="n">
        <x:v>0.782067782067782</x:v>
      </x:c>
      <x:c r="H4274" s="36" t="n">
        <x:f>E4274*G4274</x:f>
        <x:v>211794.90433290432</x:v>
      </x:c>
      <x:c r="I4274" s="36" t="n">
        <x:f>IFERROR(H4274/A4274,0)</x:f>
        <x:v>30256.414904700618</x:v>
      </x:c>
      <x:c r="J4274" s="67" t="str">
        <x:v>Modeled from live base + Sep-2026 quality ratio</x:v>
      </x:c>
      <x:c r="K4274" s="67" t="str">
        <x:v>https://www.stonealgo.com/diamond-prices/</x:v>
      </x:c>
      <x:c r="L4274" s="67" t="str">
        <x:v>https://www.pricescope.com/blog/natural-diamond-prices-september-2026</x:v>
      </x:c>
    </x:row>
    <x:row r="4275">
      <x:c r="A4275" t="n">
        <x:v>7</x:v>
      </x:c>
      <x:c r="B4275" t="str">
        <x:v>Pear</x:v>
      </x:c>
      <x:c r="C4275" t="str">
        <x:v>J</x:v>
      </x:c>
      <x:c r="D4275" t="str">
        <x:v>IF</x:v>
      </x:c>
      <x:c r="E4275" s="36" t="n">
        <x:v>270814</x:v>
      </x:c>
      <x:c r="F4275" s="36" t="n">
        <x:v>3368</x:v>
      </x:c>
      <x:c r="G4275" s="42" t="n">
        <x:v>0.7224367224367224</x:v>
      </x:c>
      <x:c r="H4275" s="36" t="n">
        <x:f>E4275*G4275</x:f>
        <x:v>195645.97854997855</x:v>
      </x:c>
      <x:c r="I4275" s="36" t="n">
        <x:f>IFERROR(H4275/A4275,0)</x:f>
        <x:v>27949.425507139793</x:v>
      </x:c>
      <x:c r="J4275" s="67" t="str">
        <x:v>Modeled from live base + Sep-2026 quality ratio</x:v>
      </x:c>
      <x:c r="K4275" s="67" t="str">
        <x:v>https://www.stonealgo.com/diamond-prices/</x:v>
      </x:c>
      <x:c r="L4275" s="67" t="str">
        <x:v>https://www.pricescope.com/blog/natural-diamond-prices-september-2026</x:v>
      </x:c>
    </x:row>
    <x:row r="4276">
      <x:c r="A4276" t="n">
        <x:v>7</x:v>
      </x:c>
      <x:c r="B4276" t="str">
        <x:v>Pear</x:v>
      </x:c>
      <x:c r="C4276" t="str">
        <x:v>J</x:v>
      </x:c>
      <x:c r="D4276" t="str">
        <x:v>VVS1</x:v>
      </x:c>
      <x:c r="E4276" s="36" t="n">
        <x:v>270814</x:v>
      </x:c>
      <x:c r="F4276" s="36" t="n">
        <x:v>2956</x:v>
      </x:c>
      <x:c r="G4276" s="42" t="n">
        <x:v>0.6340626340626341</x:v>
      </x:c>
      <x:c r="H4276" s="36" t="n">
        <x:f>E4276*G4276</x:f>
        <x:v>171713.0381810382</x:v>
      </x:c>
      <x:c r="I4276" s="36" t="n">
        <x:f>IFERROR(H4276/A4276,0)</x:f>
        <x:v>24530.4340258626</x:v>
      </x:c>
      <x:c r="J4276" s="67" t="str">
        <x:v>Modeled from live base + Sep-2026 quality ratio</x:v>
      </x:c>
      <x:c r="K4276" s="67" t="str">
        <x:v>https://www.stonealgo.com/diamond-prices/</x:v>
      </x:c>
      <x:c r="L4276" s="67" t="str">
        <x:v>https://www.pricescope.com/blog/natural-diamond-prices-september-2026</x:v>
      </x:c>
    </x:row>
    <x:row r="4277">
      <x:c r="A4277" t="n">
        <x:v>7</x:v>
      </x:c>
      <x:c r="B4277" t="str">
        <x:v>Pear</x:v>
      </x:c>
      <x:c r="C4277" t="str">
        <x:v>J</x:v>
      </x:c>
      <x:c r="D4277" t="str">
        <x:v>VVS2</x:v>
      </x:c>
      <x:c r="E4277" s="36" t="n">
        <x:v>270814</x:v>
      </x:c>
      <x:c r="F4277" s="36" t="n">
        <x:v>2612</x:v>
      </x:c>
      <x:c r="G4277" s="42" t="n">
        <x:v>0.5602745602745602</x:v>
      </x:c>
      <x:c r="H4277" s="36" t="n">
        <x:f>E4277*G4277</x:f>
        <x:v>151730.19476619476</x:v>
      </x:c>
      <x:c r="I4277" s="36" t="n">
        <x:f>IFERROR(H4277/A4277,0)</x:f>
        <x:v>21675.742109456394</x:v>
      </x:c>
      <x:c r="J4277" s="67" t="str">
        <x:v>Modeled from live base + Sep-2026 quality ratio</x:v>
      </x:c>
      <x:c r="K4277" s="67" t="str">
        <x:v>https://www.stonealgo.com/diamond-prices/</x:v>
      </x:c>
      <x:c r="L4277" s="67" t="str">
        <x:v>https://www.pricescope.com/blog/natural-diamond-prices-september-2026</x:v>
      </x:c>
    </x:row>
    <x:row r="4278">
      <x:c r="A4278" t="n">
        <x:v>7</x:v>
      </x:c>
      <x:c r="B4278" t="str">
        <x:v>Pear</x:v>
      </x:c>
      <x:c r="C4278" t="str">
        <x:v>J</x:v>
      </x:c>
      <x:c r="D4278" t="str">
        <x:v>VS1</x:v>
      </x:c>
      <x:c r="E4278" s="36" t="n">
        <x:v>270814</x:v>
      </x:c>
      <x:c r="F4278" s="36" t="n">
        <x:v>3002</x:v>
      </x:c>
      <x:c r="G4278" s="42" t="n">
        <x:v>0.6439296439296439</x:v>
      </x:c>
      <x:c r="H4278" s="36" t="n">
        <x:f>E4278*G4278</x:f>
        <x:v>174385.16259116257</x:v>
      </x:c>
      <x:c r="I4278" s="36" t="n">
        <x:f>IFERROR(H4278/A4278,0)</x:f>
        <x:v>24912.166084451797</x:v>
      </x:c>
      <x:c r="J4278" s="67" t="str">
        <x:v>Modeled from live base + Sep-2026 quality ratio</x:v>
      </x:c>
      <x:c r="K4278" s="67" t="str">
        <x:v>https://www.stonealgo.com/diamond-prices/</x:v>
      </x:c>
      <x:c r="L4278" s="67" t="str">
        <x:v>https://www.pricescope.com/blog/natural-diamond-prices-september-2026</x:v>
      </x:c>
    </x:row>
    <x:row r="4279">
      <x:c r="A4279" t="n">
        <x:v>7</x:v>
      </x:c>
      <x:c r="B4279" t="str">
        <x:v>Pear</x:v>
      </x:c>
      <x:c r="C4279" t="str">
        <x:v>J</x:v>
      </x:c>
      <x:c r="D4279" t="str">
        <x:v>VS2</x:v>
      </x:c>
      <x:c r="E4279" s="36" t="n">
        <x:v>270814</x:v>
      </x:c>
      <x:c r="F4279" s="36" t="n">
        <x:v>2559</x:v>
      </x:c>
      <x:c r="G4279" s="42" t="n">
        <x:v>0.5489060489060489</x:v>
      </x:c>
      <x:c r="H4279" s="36" t="n">
        <x:f>E4279*G4279</x:f>
        <x:v>148651.44272844272</x:v>
      </x:c>
      <x:c r="I4279" s="36" t="n">
        <x:f>IFERROR(H4279/A4279,0)</x:f>
        <x:v>21235.920389777533</x:v>
      </x:c>
      <x:c r="J4279" s="67" t="str">
        <x:v>Modeled from live base + Sep-2026 quality ratio</x:v>
      </x:c>
      <x:c r="K4279" s="67" t="str">
        <x:v>https://www.stonealgo.com/diamond-prices/</x:v>
      </x:c>
      <x:c r="L4279" s="67" t="str">
        <x:v>https://www.pricescope.com/blog/natural-diamond-prices-september-2026</x:v>
      </x:c>
    </x:row>
    <x:row r="4280">
      <x:c r="A4280" t="n">
        <x:v>7</x:v>
      </x:c>
      <x:c r="B4280" t="str">
        <x:v>Pear</x:v>
      </x:c>
      <x:c r="C4280" t="str">
        <x:v>J</x:v>
      </x:c>
      <x:c r="D4280" t="str">
        <x:v>SI1</x:v>
      </x:c>
      <x:c r="E4280" s="36" t="n">
        <x:v>270814</x:v>
      </x:c>
      <x:c r="F4280" s="36" t="n">
        <x:v>2195</x:v>
      </x:c>
      <x:c r="G4280" s="42" t="n">
        <x:v>0.47082797082797084</x:v>
      </x:c>
      <x:c r="H4280" s="36" t="n">
        <x:f>E4280*G4280</x:f>
        <x:v>127506.8060918061</x:v>
      </x:c>
      <x:c r="I4280" s="36" t="n">
        <x:f>IFERROR(H4280/A4280,0)</x:f>
        <x:v>18215.258013115155</x:v>
      </x:c>
      <x:c r="J4280" s="67" t="str">
        <x:v>Modeled from live base + Sep-2026 quality ratio</x:v>
      </x:c>
      <x:c r="K4280" s="67" t="str">
        <x:v>https://www.stonealgo.com/diamond-prices/</x:v>
      </x:c>
      <x:c r="L4280" s="67" t="str">
        <x:v>https://www.pricescope.com/blog/natural-diamond-prices-september-2026</x:v>
      </x:c>
    </x:row>
    <x:row r="4281">
      <x:c r="A4281" t="n">
        <x:v>7</x:v>
      </x:c>
      <x:c r="B4281" t="str">
        <x:v>Pear</x:v>
      </x:c>
      <x:c r="C4281" t="str">
        <x:v>J</x:v>
      </x:c>
      <x:c r="D4281" t="str">
        <x:v>SI2</x:v>
      </x:c>
      <x:c r="E4281" s="36" t="n">
        <x:v>270814</x:v>
      </x:c>
      <x:c r="F4281" s="36" t="n">
        <x:v>2079</x:v>
      </x:c>
      <x:c r="G4281" s="42" t="n">
        <x:v>0.44594594594594594</x:v>
      </x:c>
      <x:c r="H4281" s="36" t="n">
        <x:f>E4281*G4281</x:f>
        <x:v>120768.4054054054</x:v>
      </x:c>
      <x:c r="I4281" s="36" t="n">
        <x:f>IFERROR(H4281/A4281,0)</x:f>
        <x:v>17252.62934362934</x:v>
      </x:c>
      <x:c r="J4281" s="67" t="str">
        <x:v>Modeled from live base + Sep-2026 quality ratio</x:v>
      </x:c>
      <x:c r="K4281" s="67" t="str">
        <x:v>https://www.stonealgo.com/diamond-prices/</x:v>
      </x:c>
      <x:c r="L4281" s="67" t="str">
        <x:v>https://www.pricescope.com/blog/natural-diamond-prices-september-2026</x:v>
      </x:c>
    </x:row>
    <x:row r="4282">
      <x:c r="A4282" t="n">
        <x:v>7</x:v>
      </x:c>
      <x:c r="B4282" t="str">
        <x:v>Pear</x:v>
      </x:c>
      <x:c r="C4282" t="str">
        <x:v>K</x:v>
      </x:c>
      <x:c r="D4282" t="str">
        <x:v>FL</x:v>
      </x:c>
      <x:c r="E4282" s="36" t="n">
        <x:v>270814</x:v>
      </x:c>
      <x:c r="F4282" s="36" t="n">
        <x:v>2858</x:v>
      </x:c>
      <x:c r="G4282" s="42" t="n">
        <x:v>0.6130416130416131</x:v>
      </x:c>
      <x:c r="H4282" s="36" t="n">
        <x:f>E4282*G4282</x:f>
        <x:v>166020.25139425142</x:v>
      </x:c>
      <x:c r="I4282" s="36" t="n">
        <x:f>IFERROR(H4282/A4282,0)</x:f>
        <x:v>23717.178770607345</x:v>
      </x:c>
      <x:c r="J4282" s="67" t="str">
        <x:v>Modeled from live base + Sep-2026 quality ratio; K/FL quality cell modeled</x:v>
      </x:c>
      <x:c r="K4282" s="67" t="str">
        <x:v>https://www.stonealgo.com/diamond-prices/</x:v>
      </x:c>
      <x:c r="L4282" s="67" t="str">
        <x:v>https://www.pricescope.com/blog/natural-diamond-prices-september-2026</x:v>
      </x:c>
    </x:row>
    <x:row r="4283">
      <x:c r="A4283" t="n">
        <x:v>7</x:v>
      </x:c>
      <x:c r="B4283" t="str">
        <x:v>Pear</x:v>
      </x:c>
      <x:c r="C4283" t="str">
        <x:v>K</x:v>
      </x:c>
      <x:c r="D4283" t="str">
        <x:v>IF</x:v>
      </x:c>
      <x:c r="E4283" s="36" t="n">
        <x:v>270814</x:v>
      </x:c>
      <x:c r="F4283" s="36" t="n">
        <x:v>2743</x:v>
      </x:c>
      <x:c r="G4283" s="42" t="n">
        <x:v>0.5883740883740883</x:v>
      </x:c>
      <x:c r="H4283" s="36" t="n">
        <x:f>E4283*G4283</x:f>
        <x:v>159339.94036894036</x:v>
      </x:c>
      <x:c r="I4283" s="36" t="n">
        <x:f>IFERROR(H4283/A4283,0)</x:f>
        <x:v>22762.848624134338</x:v>
      </x:c>
      <x:c r="J4283" s="67" t="str">
        <x:v>Modeled from live base + Sep-2026 quality ratio</x:v>
      </x:c>
      <x:c r="K4283" s="67" t="str">
        <x:v>https://www.stonealgo.com/diamond-prices/</x:v>
      </x:c>
      <x:c r="L4283" s="67" t="str">
        <x:v>https://www.pricescope.com/blog/natural-diamond-prices-september-2026</x:v>
      </x:c>
    </x:row>
    <x:row r="4284">
      <x:c r="A4284" t="n">
        <x:v>7</x:v>
      </x:c>
      <x:c r="B4284" t="str">
        <x:v>Pear</x:v>
      </x:c>
      <x:c r="C4284" t="str">
        <x:v>K</x:v>
      </x:c>
      <x:c r="D4284" t="str">
        <x:v>VVS1</x:v>
      </x:c>
      <x:c r="E4284" s="36" t="n">
        <x:v>270814</x:v>
      </x:c>
      <x:c r="F4284" s="36" t="n">
        <x:v>2529</x:v>
      </x:c>
      <x:c r="G4284" s="42" t="n">
        <x:v>0.5424710424710425</x:v>
      </x:c>
      <x:c r="H4284" s="36" t="n">
        <x:f>E4284*G4284</x:f>
        <x:v>146908.7528957529</x:v>
      </x:c>
      <x:c r="I4284" s="36" t="n">
        <x:f>IFERROR(H4284/A4284,0)</x:f>
        <x:v>20986.964699393273</x:v>
      </x:c>
      <x:c r="J4284" s="67" t="str">
        <x:v>Modeled from live base + Sep-2026 quality ratio</x:v>
      </x:c>
      <x:c r="K4284" s="67" t="str">
        <x:v>https://www.stonealgo.com/diamond-prices/</x:v>
      </x:c>
      <x:c r="L4284" s="67" t="str">
        <x:v>https://www.pricescope.com/blog/natural-diamond-prices-september-2026</x:v>
      </x:c>
    </x:row>
    <x:row r="4285">
      <x:c r="A4285" t="n">
        <x:v>7</x:v>
      </x:c>
      <x:c r="B4285" t="str">
        <x:v>Pear</x:v>
      </x:c>
      <x:c r="C4285" t="str">
        <x:v>K</x:v>
      </x:c>
      <x:c r="D4285" t="str">
        <x:v>VVS2</x:v>
      </x:c>
      <x:c r="E4285" s="36" t="n">
        <x:v>270814</x:v>
      </x:c>
      <x:c r="F4285" s="36" t="n">
        <x:v>2374</x:v>
      </x:c>
      <x:c r="G4285" s="42" t="n">
        <x:v>0.5092235092235092</x:v>
      </x:c>
      <x:c r="H4285" s="36" t="n">
        <x:f>E4285*G4285</x:f>
        <x:v>137904.8554268554</x:v>
      </x:c>
      <x:c r="I4285" s="36" t="n">
        <x:f>IFERROR(H4285/A4285,0)</x:f>
        <x:v>19700.693632407918</x:v>
      </x:c>
      <x:c r="J4285" s="67" t="str">
        <x:v>Modeled from live base + Sep-2026 quality ratio</x:v>
      </x:c>
      <x:c r="K4285" s="67" t="str">
        <x:v>https://www.stonealgo.com/diamond-prices/</x:v>
      </x:c>
      <x:c r="L4285" s="67" t="str">
        <x:v>https://www.pricescope.com/blog/natural-diamond-prices-september-2026</x:v>
      </x:c>
    </x:row>
    <x:row r="4286">
      <x:c r="A4286" t="n">
        <x:v>7</x:v>
      </x:c>
      <x:c r="B4286" t="str">
        <x:v>Pear</x:v>
      </x:c>
      <x:c r="C4286" t="str">
        <x:v>K</x:v>
      </x:c>
      <x:c r="D4286" t="str">
        <x:v>VS1</x:v>
      </x:c>
      <x:c r="E4286" s="36" t="n">
        <x:v>270814</x:v>
      </x:c>
      <x:c r="F4286" s="36" t="n">
        <x:v>2223</x:v>
      </x:c>
      <x:c r="G4286" s="42" t="n">
        <x:v>0.4768339768339768</x:v>
      </x:c>
      <x:c r="H4286" s="36" t="n">
        <x:f>E4286*G4286</x:f>
        <x:v>129133.3166023166</x:v>
      </x:c>
      <x:c r="I4286" s="36" t="n">
        <x:f>IFERROR(H4286/A4286,0)</x:f>
        <x:v>18447.616657473798</x:v>
      </x:c>
      <x:c r="J4286" s="67" t="str">
        <x:v>Modeled from live base + Sep-2026 quality ratio</x:v>
      </x:c>
      <x:c r="K4286" s="67" t="str">
        <x:v>https://www.stonealgo.com/diamond-prices/</x:v>
      </x:c>
      <x:c r="L4286" s="67" t="str">
        <x:v>https://www.pricescope.com/blog/natural-diamond-prices-september-2026</x:v>
      </x:c>
    </x:row>
    <x:row r="4287">
      <x:c r="A4287" t="n">
        <x:v>7</x:v>
      </x:c>
      <x:c r="B4287" t="str">
        <x:v>Pear</x:v>
      </x:c>
      <x:c r="C4287" t="str">
        <x:v>K</x:v>
      </x:c>
      <x:c r="D4287" t="str">
        <x:v>VS2</x:v>
      </x:c>
      <x:c r="E4287" s="36" t="n">
        <x:v>270814</x:v>
      </x:c>
      <x:c r="F4287" s="36" t="n">
        <x:v>2098</x:v>
      </x:c>
      <x:c r="G4287" s="42" t="n">
        <x:v>0.45002145002145</x:v>
      </x:c>
      <x:c r="H4287" s="36" t="n">
        <x:f>E4287*G4287</x:f>
        <x:v>121872.10896610896</x:v>
      </x:c>
      <x:c r="I4287" s="36" t="n">
        <x:f>IFERROR(H4287/A4287,0)</x:f>
        <x:v>17410.30128087271</x:v>
      </x:c>
      <x:c r="J4287" s="67" t="str">
        <x:v>Modeled from live base + Sep-2026 quality ratio</x:v>
      </x:c>
      <x:c r="K4287" s="67" t="str">
        <x:v>https://www.stonealgo.com/diamond-prices/</x:v>
      </x:c>
      <x:c r="L4287" s="67" t="str">
        <x:v>https://www.pricescope.com/blog/natural-diamond-prices-september-2026</x:v>
      </x:c>
    </x:row>
    <x:row r="4288">
      <x:c r="A4288" t="n">
        <x:v>7</x:v>
      </x:c>
      <x:c r="B4288" t="str">
        <x:v>Pear</x:v>
      </x:c>
      <x:c r="C4288" t="str">
        <x:v>K</x:v>
      </x:c>
      <x:c r="D4288" t="str">
        <x:v>SI1</x:v>
      </x:c>
      <x:c r="E4288" s="36" t="n">
        <x:v>270814</x:v>
      </x:c>
      <x:c r="F4288" s="36" t="n">
        <x:v>1922</x:v>
      </x:c>
      <x:c r="G4288" s="42" t="n">
        <x:v>0.41226941226941227</x:v>
      </x:c>
      <x:c r="H4288" s="36" t="n">
        <x:f>E4288*G4288</x:f>
        <x:v>111648.32861432861</x:v>
      </x:c>
      <x:c r="I4288" s="36" t="n">
        <x:f>IFERROR(H4288/A4288,0)</x:f>
        <x:v>15949.761230618373</x:v>
      </x:c>
      <x:c r="J4288" s="67" t="str">
        <x:v>Modeled from live base + Sep-2026 quality ratio</x:v>
      </x:c>
      <x:c r="K4288" s="67" t="str">
        <x:v>https://www.stonealgo.com/diamond-prices/</x:v>
      </x:c>
      <x:c r="L4288" s="67" t="str">
        <x:v>https://www.pricescope.com/blog/natural-diamond-prices-september-2026</x:v>
      </x:c>
    </x:row>
    <x:row r="4289">
      <x:c r="A4289" t="n">
        <x:v>7</x:v>
      </x:c>
      <x:c r="B4289" t="str">
        <x:v>Pear</x:v>
      </x:c>
      <x:c r="C4289" t="str">
        <x:v>K</x:v>
      </x:c>
      <x:c r="D4289" t="str">
        <x:v>SI2</x:v>
      </x:c>
      <x:c r="E4289" s="36" t="n">
        <x:v>270814</x:v>
      </x:c>
      <x:c r="F4289" s="36" t="n">
        <x:v>1764</x:v>
      </x:c>
      <x:c r="G4289" s="42" t="n">
        <x:v>0.3783783783783784</x:v>
      </x:c>
      <x:c r="H4289" s="36" t="n">
        <x:f>E4289*G4289</x:f>
        <x:v>102470.16216216217</x:v>
      </x:c>
      <x:c r="I4289" s="36" t="n">
        <x:f>IFERROR(H4289/A4289,0)</x:f>
        <x:v>14638.594594594597</x:v>
      </x:c>
      <x:c r="J4289" s="67" t="str">
        <x:v>Modeled from live base + Sep-2026 quality ratio</x:v>
      </x:c>
      <x:c r="K4289" s="67" t="str">
        <x:v>https://www.stonealgo.com/diamond-prices/</x:v>
      </x:c>
      <x:c r="L4289" s="67" t="str">
        <x:v>https://www.pricescope.com/blog/natural-diamond-prices-september-2026</x:v>
      </x:c>
    </x:row>
    <x:row r="4290">
      <x:c r="A4290" t="n">
        <x:v>7</x:v>
      </x:c>
      <x:c r="B4290" t="str">
        <x:v>Heart</x:v>
      </x:c>
      <x:c r="C4290" t="str">
        <x:v>D</x:v>
      </x:c>
      <x:c r="D4290" t="str">
        <x:v>FL</x:v>
      </x:c>
      <x:c r="E4290" s="36" t="n">
        <x:v>332000</x:v>
      </x:c>
      <x:c r="F4290" s="36" t="n">
        <x:v>12665</x:v>
      </x:c>
      <x:c r="G4290" s="42" t="n">
        <x:v>2.7166452166452166</x:v>
      </x:c>
      <x:c r="H4290" s="36" t="n">
        <x:f>E4290*G4290</x:f>
        <x:v>901926.211926212</x:v>
      </x:c>
      <x:c r="I4290" s="36" t="n">
        <x:f>IFERROR(H4290/A4290,0)</x:f>
        <x:v>128846.60170374457</x:v>
      </x:c>
      <x:c r="J4290" s="67" t="str">
        <x:v>Modeled from live base + Sep-2026 quality ratio</x:v>
      </x:c>
      <x:c r="K4290" s="67" t="str">
        <x:v>https://www.stonealgo.com/diamond-prices/</x:v>
      </x:c>
      <x:c r="L4290" s="67" t="str">
        <x:v>https://www.pricescope.com/blog/natural-diamond-prices-september-2026</x:v>
      </x:c>
    </x:row>
    <x:row r="4291">
      <x:c r="A4291" t="n">
        <x:v>7</x:v>
      </x:c>
      <x:c r="B4291" t="str">
        <x:v>Heart</x:v>
      </x:c>
      <x:c r="C4291" t="str">
        <x:v>D</x:v>
      </x:c>
      <x:c r="D4291" t="str">
        <x:v>IF</x:v>
      </x:c>
      <x:c r="E4291" s="36" t="n">
        <x:v>332000</x:v>
      </x:c>
      <x:c r="F4291" s="36" t="n">
        <x:v>13240</x:v>
      </x:c>
      <x:c r="G4291" s="42" t="n">
        <x:v>2.83998283998284</x:v>
      </x:c>
      <x:c r="H4291" s="36" t="n">
        <x:f>E4291*G4291</x:f>
        <x:v>942874.302874303</x:v>
      </x:c>
      <x:c r="I4291" s="36" t="n">
        <x:f>IFERROR(H4291/A4291,0)</x:f>
        <x:v>134696.32898204328</x:v>
      </x:c>
      <x:c r="J4291" s="67" t="str">
        <x:v>Modeled from live base + Sep-2026 quality ratio</x:v>
      </x:c>
      <x:c r="K4291" s="67" t="str">
        <x:v>https://www.stonealgo.com/diamond-prices/</x:v>
      </x:c>
      <x:c r="L4291" s="67" t="str">
        <x:v>https://www.pricescope.com/blog/natural-diamond-prices-september-2026</x:v>
      </x:c>
    </x:row>
    <x:row r="4292">
      <x:c r="A4292" t="n">
        <x:v>7</x:v>
      </x:c>
      <x:c r="B4292" t="str">
        <x:v>Heart</x:v>
      </x:c>
      <x:c r="C4292" t="str">
        <x:v>D</x:v>
      </x:c>
      <x:c r="D4292" t="str">
        <x:v>VVS1</x:v>
      </x:c>
      <x:c r="E4292" s="36" t="n">
        <x:v>332000</x:v>
      </x:c>
      <x:c r="F4292" s="36" t="n">
        <x:v>9555</x:v>
      </x:c>
      <x:c r="G4292" s="42" t="n">
        <x:v>2.0495495495495497</x:v>
      </x:c>
      <x:c r="H4292" s="36" t="n">
        <x:f>E4292*G4292</x:f>
        <x:v>680450.4504504505</x:v>
      </x:c>
      <x:c r="I4292" s="36" t="n">
        <x:f>IFERROR(H4292/A4292,0)</x:f>
        <x:v>97207.20720720722</x:v>
      </x:c>
      <x:c r="J4292" s="67" t="str">
        <x:v>Modeled from live base + Sep-2026 quality ratio</x:v>
      </x:c>
      <x:c r="K4292" s="67" t="str">
        <x:v>https://www.stonealgo.com/diamond-prices/</x:v>
      </x:c>
      <x:c r="L4292" s="67" t="str">
        <x:v>https://www.pricescope.com/blog/natural-diamond-prices-september-2026</x:v>
      </x:c>
    </x:row>
    <x:row r="4293">
      <x:c r="A4293" t="n">
        <x:v>7</x:v>
      </x:c>
      <x:c r="B4293" t="str">
        <x:v>Heart</x:v>
      </x:c>
      <x:c r="C4293" t="str">
        <x:v>D</x:v>
      </x:c>
      <x:c r="D4293" t="str">
        <x:v>VVS2</x:v>
      </x:c>
      <x:c r="E4293" s="36" t="n">
        <x:v>332000</x:v>
      </x:c>
      <x:c r="F4293" s="36" t="n">
        <x:v>6660</x:v>
      </x:c>
      <x:c r="G4293" s="42" t="n">
        <x:v>1.4285714285714286</x:v>
      </x:c>
      <x:c r="H4293" s="36" t="n">
        <x:f>E4293*G4293</x:f>
        <x:v>474285.7142857143</x:v>
      </x:c>
      <x:c r="I4293" s="36" t="n">
        <x:f>IFERROR(H4293/A4293,0)</x:f>
        <x:v>67755.10204081633</x:v>
      </x:c>
      <x:c r="J4293" s="67" t="str">
        <x:v>Modeled from live base + Sep-2026 quality ratio</x:v>
      </x:c>
      <x:c r="K4293" s="67" t="str">
        <x:v>https://www.stonealgo.com/diamond-prices/</x:v>
      </x:c>
      <x:c r="L4293" s="67" t="str">
        <x:v>https://www.pricescope.com/blog/natural-diamond-prices-september-2026</x:v>
      </x:c>
    </x:row>
    <x:row r="4294">
      <x:c r="A4294" t="n">
        <x:v>7</x:v>
      </x:c>
      <x:c r="B4294" t="str">
        <x:v>Heart</x:v>
      </x:c>
      <x:c r="C4294" t="str">
        <x:v>D</x:v>
      </x:c>
      <x:c r="D4294" t="str">
        <x:v>VS1</x:v>
      </x:c>
      <x:c r="E4294" s="36" t="n">
        <x:v>332000</x:v>
      </x:c>
      <x:c r="F4294" s="36" t="n">
        <x:v>6247</x:v>
      </x:c>
      <x:c r="G4294" s="42" t="n">
        <x:v>1.33998283998284</x:v>
      </x:c>
      <x:c r="H4294" s="36" t="n">
        <x:f>E4294*G4294</x:f>
        <x:v>444874.30287430284</x:v>
      </x:c>
      <x:c r="I4294" s="36" t="n">
        <x:f>IFERROR(H4294/A4294,0)</x:f>
        <x:v>63553.47183918612</x:v>
      </x:c>
      <x:c r="J4294" s="67" t="str">
        <x:v>Modeled from live base + Sep-2026 quality ratio</x:v>
      </x:c>
      <x:c r="K4294" s="67" t="str">
        <x:v>https://www.stonealgo.com/diamond-prices/</x:v>
      </x:c>
      <x:c r="L4294" s="67" t="str">
        <x:v>https://www.pricescope.com/blog/natural-diamond-prices-september-2026</x:v>
      </x:c>
    </x:row>
    <x:row r="4295">
      <x:c r="A4295" t="n">
        <x:v>7</x:v>
      </x:c>
      <x:c r="B4295" t="str">
        <x:v>Heart</x:v>
      </x:c>
      <x:c r="C4295" t="str">
        <x:v>D</x:v>
      </x:c>
      <x:c r="D4295" t="str">
        <x:v>VS2</x:v>
      </x:c>
      <x:c r="E4295" s="36" t="n">
        <x:v>332000</x:v>
      </x:c>
      <x:c r="F4295" s="36" t="n">
        <x:v>5841</x:v>
      </x:c>
      <x:c r="G4295" s="42" t="n">
        <x:v>1.252895752895753</x:v>
      </x:c>
      <x:c r="H4295" s="36" t="n">
        <x:f>E4295*G4295</x:f>
        <x:v>415961.38996139</x:v>
      </x:c>
      <x:c r="I4295" s="36" t="n">
        <x:f>IFERROR(H4295/A4295,0)</x:f>
        <x:v>59423.05570877</x:v>
      </x:c>
      <x:c r="J4295" s="67" t="str">
        <x:v>Modeled from live base + Sep-2026 quality ratio</x:v>
      </x:c>
      <x:c r="K4295" s="67" t="str">
        <x:v>https://www.stonealgo.com/diamond-prices/</x:v>
      </x:c>
      <x:c r="L4295" s="67" t="str">
        <x:v>https://www.pricescope.com/blog/natural-diamond-prices-september-2026</x:v>
      </x:c>
    </x:row>
    <x:row r="4296">
      <x:c r="A4296" t="n">
        <x:v>7</x:v>
      </x:c>
      <x:c r="B4296" t="str">
        <x:v>Heart</x:v>
      </x:c>
      <x:c r="C4296" t="str">
        <x:v>D</x:v>
      </x:c>
      <x:c r="D4296" t="str">
        <x:v>SI1</x:v>
      </x:c>
      <x:c r="E4296" s="36" t="n">
        <x:v>332000</x:v>
      </x:c>
      <x:c r="F4296" s="36" t="n">
        <x:v>3762</x:v>
      </x:c>
      <x:c r="G4296" s="42" t="n">
        <x:v>0.806949806949807</x:v>
      </x:c>
      <x:c r="H4296" s="36" t="n">
        <x:f>E4296*G4296</x:f>
        <x:v>267907.3359073359</x:v>
      </x:c>
      <x:c r="I4296" s="36" t="n">
        <x:f>IFERROR(H4296/A4296,0)</x:f>
        <x:v>38272.47655819084</x:v>
      </x:c>
      <x:c r="J4296" s="67" t="str">
        <x:v>Modeled from live base + Sep-2026 quality ratio</x:v>
      </x:c>
      <x:c r="K4296" s="67" t="str">
        <x:v>https://www.stonealgo.com/diamond-prices/</x:v>
      </x:c>
      <x:c r="L4296" s="67" t="str">
        <x:v>https://www.pricescope.com/blog/natural-diamond-prices-september-2026</x:v>
      </x:c>
    </x:row>
    <x:row r="4297">
      <x:c r="A4297" t="n">
        <x:v>7</x:v>
      </x:c>
      <x:c r="B4297" t="str">
        <x:v>Heart</x:v>
      </x:c>
      <x:c r="C4297" t="str">
        <x:v>D</x:v>
      </x:c>
      <x:c r="D4297" t="str">
        <x:v>SI2</x:v>
      </x:c>
      <x:c r="E4297" s="36" t="n">
        <x:v>332000</x:v>
      </x:c>
      <x:c r="F4297" s="36" t="n">
        <x:v>3026</x:v>
      </x:c>
      <x:c r="G4297" s="42" t="n">
        <x:v>0.6490776490776491</x:v>
      </x:c>
      <x:c r="H4297" s="36" t="n">
        <x:f>E4297*G4297</x:f>
        <x:v>215493.7794937795</x:v>
      </x:c>
      <x:c r="I4297" s="36" t="n">
        <x:f>IFERROR(H4297/A4297,0)</x:f>
        <x:v>30784.8256419685</x:v>
      </x:c>
      <x:c r="J4297" s="67" t="str">
        <x:v>Modeled from live base + Sep-2026 quality ratio</x:v>
      </x:c>
      <x:c r="K4297" s="67" t="str">
        <x:v>https://www.stonealgo.com/diamond-prices/</x:v>
      </x:c>
      <x:c r="L4297" s="67" t="str">
        <x:v>https://www.pricescope.com/blog/natural-diamond-prices-september-2026</x:v>
      </x:c>
    </x:row>
    <x:row r="4298">
      <x:c r="A4298" t="n">
        <x:v>7</x:v>
      </x:c>
      <x:c r="B4298" t="str">
        <x:v>Heart</x:v>
      </x:c>
      <x:c r="C4298" t="str">
        <x:v>E</x:v>
      </x:c>
      <x:c r="D4298" t="str">
        <x:v>FL</x:v>
      </x:c>
      <x:c r="E4298" s="36" t="n">
        <x:v>332000</x:v>
      </x:c>
      <x:c r="F4298" s="36" t="n">
        <x:v>10072</x:v>
      </x:c>
      <x:c r="G4298" s="42" t="n">
        <x:v>2.1604461604461602</x:v>
      </x:c>
      <x:c r="H4298" s="36" t="n">
        <x:f>E4298*G4298</x:f>
        <x:v>717268.1252681252</x:v>
      </x:c>
      <x:c r="I4298" s="36" t="n">
        <x:f>IFERROR(H4298/A4298,0)</x:f>
        <x:v>102466.8750383036</x:v>
      </x:c>
      <x:c r="J4298" s="67" t="str">
        <x:v>Modeled from live base + Sep-2026 quality ratio</x:v>
      </x:c>
      <x:c r="K4298" s="67" t="str">
        <x:v>https://www.stonealgo.com/diamond-prices/</x:v>
      </x:c>
      <x:c r="L4298" s="67" t="str">
        <x:v>https://www.pricescope.com/blog/natural-diamond-prices-september-2026</x:v>
      </x:c>
    </x:row>
    <x:row r="4299">
      <x:c r="A4299" t="n">
        <x:v>7</x:v>
      </x:c>
      <x:c r="B4299" t="str">
        <x:v>Heart</x:v>
      </x:c>
      <x:c r="C4299" t="str">
        <x:v>E</x:v>
      </x:c>
      <x:c r="D4299" t="str">
        <x:v>IF</x:v>
      </x:c>
      <x:c r="E4299" s="36" t="n">
        <x:v>332000</x:v>
      </x:c>
      <x:c r="F4299" s="36" t="n">
        <x:v>8672</x:v>
      </x:c>
      <x:c r="G4299" s="42" t="n">
        <x:v>1.8601458601458603</x:v>
      </x:c>
      <x:c r="H4299" s="36" t="n">
        <x:f>E4299*G4299</x:f>
        <x:v>617568.4255684256</x:v>
      </x:c>
      <x:c r="I4299" s="36" t="n">
        <x:f>IFERROR(H4299/A4299,0)</x:f>
        <x:v>88224.06079548936</x:v>
      </x:c>
      <x:c r="J4299" s="67" t="str">
        <x:v>Modeled from live base + Sep-2026 quality ratio</x:v>
      </x:c>
      <x:c r="K4299" s="67" t="str">
        <x:v>https://www.stonealgo.com/diamond-prices/</x:v>
      </x:c>
      <x:c r="L4299" s="67" t="str">
        <x:v>https://www.pricescope.com/blog/natural-diamond-prices-september-2026</x:v>
      </x:c>
    </x:row>
    <x:row r="4300">
      <x:c r="A4300" t="n">
        <x:v>7</x:v>
      </x:c>
      <x:c r="B4300" t="str">
        <x:v>Heart</x:v>
      </x:c>
      <x:c r="C4300" t="str">
        <x:v>E</x:v>
      </x:c>
      <x:c r="D4300" t="str">
        <x:v>VVS1</x:v>
      </x:c>
      <x:c r="E4300" s="36" t="n">
        <x:v>332000</x:v>
      </x:c>
      <x:c r="F4300" s="36" t="n">
        <x:v>7842</x:v>
      </x:c>
      <x:c r="G4300" s="42" t="n">
        <x:v>1.6821106821106822</x:v>
      </x:c>
      <x:c r="H4300" s="36" t="n">
        <x:f>E4300*G4300</x:f>
        <x:v>558460.7464607465</x:v>
      </x:c>
      <x:c r="I4300" s="36" t="n">
        <x:f>IFERROR(H4300/A4300,0)</x:f>
        <x:v>79780.1066372495</x:v>
      </x:c>
      <x:c r="J4300" s="67" t="str">
        <x:v>Modeled from live base + Sep-2026 quality ratio</x:v>
      </x:c>
      <x:c r="K4300" s="67" t="str">
        <x:v>https://www.stonealgo.com/diamond-prices/</x:v>
      </x:c>
      <x:c r="L4300" s="67" t="str">
        <x:v>https://www.pricescope.com/blog/natural-diamond-prices-september-2026</x:v>
      </x:c>
    </x:row>
    <x:row r="4301">
      <x:c r="A4301" t="n">
        <x:v>7</x:v>
      </x:c>
      <x:c r="B4301" t="str">
        <x:v>Heart</x:v>
      </x:c>
      <x:c r="C4301" t="str">
        <x:v>E</x:v>
      </x:c>
      <x:c r="D4301" t="str">
        <x:v>VVS2</x:v>
      </x:c>
      <x:c r="E4301" s="36" t="n">
        <x:v>332000</x:v>
      </x:c>
      <x:c r="F4301" s="36" t="n">
        <x:v>6880</x:v>
      </x:c>
      <x:c r="G4301" s="42" t="n">
        <x:v>1.4757614757614759</x:v>
      </x:c>
      <x:c r="H4301" s="36" t="n">
        <x:f>E4301*G4301</x:f>
        <x:v>489952.80995281</x:v>
      </x:c>
      <x:c r="I4301" s="36" t="n">
        <x:f>IFERROR(H4301/A4301,0)</x:f>
        <x:v>69993.25856468714</x:v>
      </x:c>
      <x:c r="J4301" s="67" t="str">
        <x:v>Modeled from live base + Sep-2026 quality ratio</x:v>
      </x:c>
      <x:c r="K4301" s="67" t="str">
        <x:v>https://www.stonealgo.com/diamond-prices/</x:v>
      </x:c>
      <x:c r="L4301" s="67" t="str">
        <x:v>https://www.pricescope.com/blog/natural-diamond-prices-september-2026</x:v>
      </x:c>
    </x:row>
    <x:row r="4302">
      <x:c r="A4302" t="n">
        <x:v>7</x:v>
      </x:c>
      <x:c r="B4302" t="str">
        <x:v>Heart</x:v>
      </x:c>
      <x:c r="C4302" t="str">
        <x:v>E</x:v>
      </x:c>
      <x:c r="D4302" t="str">
        <x:v>VS1</x:v>
      </x:c>
      <x:c r="E4302" s="36" t="n">
        <x:v>332000</x:v>
      </x:c>
      <x:c r="F4302" s="36" t="n">
        <x:v>6307</x:v>
      </x:c>
      <x:c r="G4302" s="42" t="n">
        <x:v>1.352852852852853</x:v>
      </x:c>
      <x:c r="H4302" s="36" t="n">
        <x:f>E4302*G4302</x:f>
        <x:v>449147.14714714716</x:v>
      </x:c>
      <x:c r="I4302" s="36" t="n">
        <x:f>IFERROR(H4302/A4302,0)</x:f>
        <x:v>64163.878163878166</x:v>
      </x:c>
      <x:c r="J4302" s="67" t="str">
        <x:v>Modeled from live base + Sep-2026 quality ratio</x:v>
      </x:c>
      <x:c r="K4302" s="67" t="str">
        <x:v>https://www.stonealgo.com/diamond-prices/</x:v>
      </x:c>
      <x:c r="L4302" s="67" t="str">
        <x:v>https://www.pricescope.com/blog/natural-diamond-prices-september-2026</x:v>
      </x:c>
    </x:row>
    <x:row r="4303">
      <x:c r="A4303" t="n">
        <x:v>7</x:v>
      </x:c>
      <x:c r="B4303" t="str">
        <x:v>Heart</x:v>
      </x:c>
      <x:c r="C4303" t="str">
        <x:v>E</x:v>
      </x:c>
      <x:c r="D4303" t="str">
        <x:v>VS2</x:v>
      </x:c>
      <x:c r="E4303" s="36" t="n">
        <x:v>332000</x:v>
      </x:c>
      <x:c r="F4303" s="36" t="n">
        <x:v>5249</x:v>
      </x:c>
      <x:c r="G4303" s="42" t="n">
        <x:v>1.125911625911626</x:v>
      </x:c>
      <x:c r="H4303" s="36" t="n">
        <x:f>E4303*G4303</x:f>
        <x:v>373802.6598026598</x:v>
      </x:c>
      <x:c r="I4303" s="36" t="n">
        <x:f>IFERROR(H4303/A4303,0)</x:f>
        <x:v>53400.37997180854</x:v>
      </x:c>
      <x:c r="J4303" s="67" t="str">
        <x:v>Modeled from live base + Sep-2026 quality ratio</x:v>
      </x:c>
      <x:c r="K4303" s="67" t="str">
        <x:v>https://www.stonealgo.com/diamond-prices/</x:v>
      </x:c>
      <x:c r="L4303" s="67" t="str">
        <x:v>https://www.pricescope.com/blog/natural-diamond-prices-september-2026</x:v>
      </x:c>
    </x:row>
    <x:row r="4304">
      <x:c r="A4304" t="n">
        <x:v>7</x:v>
      </x:c>
      <x:c r="B4304" t="str">
        <x:v>Heart</x:v>
      </x:c>
      <x:c r="C4304" t="str">
        <x:v>E</x:v>
      </x:c>
      <x:c r="D4304" t="str">
        <x:v>SI1</x:v>
      </x:c>
      <x:c r="E4304" s="36" t="n">
        <x:v>332000</x:v>
      </x:c>
      <x:c r="F4304" s="36" t="n">
        <x:v>3551</x:v>
      </x:c>
      <x:c r="G4304" s="42" t="n">
        <x:v>0.7616902616902617</x:v>
      </x:c>
      <x:c r="H4304" s="36" t="n">
        <x:f>E4304*G4304</x:f>
        <x:v>252881.16688116686</x:v>
      </x:c>
      <x:c r="I4304" s="36" t="n">
        <x:f>IFERROR(H4304/A4304,0)</x:f>
        <x:v>36125.88098302384</x:v>
      </x:c>
      <x:c r="J4304" s="67" t="str">
        <x:v>Modeled from live base + Sep-2026 quality ratio</x:v>
      </x:c>
      <x:c r="K4304" s="67" t="str">
        <x:v>https://www.stonealgo.com/diamond-prices/</x:v>
      </x:c>
      <x:c r="L4304" s="67" t="str">
        <x:v>https://www.pricescope.com/blog/natural-diamond-prices-september-2026</x:v>
      </x:c>
    </x:row>
    <x:row r="4305">
      <x:c r="A4305" t="n">
        <x:v>7</x:v>
      </x:c>
      <x:c r="B4305" t="str">
        <x:v>Heart</x:v>
      </x:c>
      <x:c r="C4305" t="str">
        <x:v>E</x:v>
      </x:c>
      <x:c r="D4305" t="str">
        <x:v>SI2</x:v>
      </x:c>
      <x:c r="E4305" s="36" t="n">
        <x:v>332000</x:v>
      </x:c>
      <x:c r="F4305" s="36" t="n">
        <x:v>2993</x:v>
      </x:c>
      <x:c r="G4305" s="42" t="n">
        <x:v>0.641999141999142</x:v>
      </x:c>
      <x:c r="H4305" s="36" t="n">
        <x:f>E4305*G4305</x:f>
        <x:v>213143.71514371515</x:v>
      </x:c>
      <x:c r="I4305" s="36" t="n">
        <x:f>IFERROR(H4305/A4305,0)</x:f>
        <x:v>30449.102163387877</x:v>
      </x:c>
      <x:c r="J4305" s="67" t="str">
        <x:v>Modeled from live base + Sep-2026 quality ratio</x:v>
      </x:c>
      <x:c r="K4305" s="67" t="str">
        <x:v>https://www.stonealgo.com/diamond-prices/</x:v>
      </x:c>
      <x:c r="L4305" s="67" t="str">
        <x:v>https://www.pricescope.com/blog/natural-diamond-prices-september-2026</x:v>
      </x:c>
    </x:row>
    <x:row r="4306">
      <x:c r="A4306" t="n">
        <x:v>7</x:v>
      </x:c>
      <x:c r="B4306" t="str">
        <x:v>Heart</x:v>
      </x:c>
      <x:c r="C4306" t="str">
        <x:v>F</x:v>
      </x:c>
      <x:c r="D4306" t="str">
        <x:v>FL</x:v>
      </x:c>
      <x:c r="E4306" s="36" t="n">
        <x:v>332000</x:v>
      </x:c>
      <x:c r="F4306" s="36" t="n">
        <x:v>6830</x:v>
      </x:c>
      <x:c r="G4306" s="42" t="n">
        <x:v>1.4650364650364651</x:v>
      </x:c>
      <x:c r="H4306" s="36" t="n">
        <x:f>E4306*G4306</x:f>
        <x:v>486392.1063921064</x:v>
      </x:c>
      <x:c r="I4306" s="36" t="n">
        <x:f>IFERROR(H4306/A4306,0)</x:f>
        <x:v>69484.58662744377</x:v>
      </x:c>
      <x:c r="J4306" s="67" t="str">
        <x:v>Modeled from live base + Sep-2026 quality ratio</x:v>
      </x:c>
      <x:c r="K4306" s="67" t="str">
        <x:v>https://www.stonealgo.com/diamond-prices/</x:v>
      </x:c>
      <x:c r="L4306" s="67" t="str">
        <x:v>https://www.pricescope.com/blog/natural-diamond-prices-september-2026</x:v>
      </x:c>
    </x:row>
    <x:row r="4307">
      <x:c r="A4307" t="n">
        <x:v>7</x:v>
      </x:c>
      <x:c r="B4307" t="str">
        <x:v>Heart</x:v>
      </x:c>
      <x:c r="C4307" t="str">
        <x:v>F</x:v>
      </x:c>
      <x:c r="D4307" t="str">
        <x:v>IF</x:v>
      </x:c>
      <x:c r="E4307" s="36" t="n">
        <x:v>332000</x:v>
      </x:c>
      <x:c r="F4307" s="36" t="n">
        <x:v>7302</x:v>
      </x:c>
      <x:c r="G4307" s="42" t="n">
        <x:v>1.5662805662805663</x:v>
      </x:c>
      <x:c r="H4307" s="36" t="n">
        <x:f>E4307*G4307</x:f>
        <x:v>520005.14800514805</x:v>
      </x:c>
      <x:c r="I4307" s="36" t="n">
        <x:f>IFERROR(H4307/A4307,0)</x:f>
        <x:v>74286.44971502115</x:v>
      </x:c>
      <x:c r="J4307" s="67" t="str">
        <x:v>Modeled from live base + Sep-2026 quality ratio</x:v>
      </x:c>
      <x:c r="K4307" s="67" t="str">
        <x:v>https://www.stonealgo.com/diamond-prices/</x:v>
      </x:c>
      <x:c r="L4307" s="67" t="str">
        <x:v>https://www.pricescope.com/blog/natural-diamond-prices-september-2026</x:v>
      </x:c>
    </x:row>
    <x:row r="4308">
      <x:c r="A4308" t="n">
        <x:v>7</x:v>
      </x:c>
      <x:c r="B4308" t="str">
        <x:v>Heart</x:v>
      </x:c>
      <x:c r="C4308" t="str">
        <x:v>F</x:v>
      </x:c>
      <x:c r="D4308" t="str">
        <x:v>VVS1</x:v>
      </x:c>
      <x:c r="E4308" s="36" t="n">
        <x:v>332000</x:v>
      </x:c>
      <x:c r="F4308" s="36" t="n">
        <x:v>7542</x:v>
      </x:c>
      <x:c r="G4308" s="42" t="n">
        <x:v>1.6177606177606179</x:v>
      </x:c>
      <x:c r="H4308" s="36" t="n">
        <x:f>E4308*G4308</x:f>
        <x:v>537096.5250965251</x:v>
      </x:c>
      <x:c r="I4308" s="36" t="n">
        <x:f>IFERROR(H4308/A4308,0)</x:f>
        <x:v>76728.0750137893</x:v>
      </x:c>
      <x:c r="J4308" s="67" t="str">
        <x:v>Modeled from live base + Sep-2026 quality ratio</x:v>
      </x:c>
      <x:c r="K4308" s="67" t="str">
        <x:v>https://www.stonealgo.com/diamond-prices/</x:v>
      </x:c>
      <x:c r="L4308" s="67" t="str">
        <x:v>https://www.pricescope.com/blog/natural-diamond-prices-september-2026</x:v>
      </x:c>
    </x:row>
    <x:row r="4309">
      <x:c r="A4309" t="n">
        <x:v>7</x:v>
      </x:c>
      <x:c r="B4309" t="str">
        <x:v>Heart</x:v>
      </x:c>
      <x:c r="C4309" t="str">
        <x:v>F</x:v>
      </x:c>
      <x:c r="D4309" t="str">
        <x:v>VVS2</x:v>
      </x:c>
      <x:c r="E4309" s="36" t="n">
        <x:v>332000</x:v>
      </x:c>
      <x:c r="F4309" s="36" t="n">
        <x:v>6352</x:v>
      </x:c>
      <x:c r="G4309" s="42" t="n">
        <x:v>1.3625053625053625</x:v>
      </x:c>
      <x:c r="H4309" s="36" t="n">
        <x:f>E4309*G4309</x:f>
        <x:v>452351.78035178035</x:v>
      </x:c>
      <x:c r="I4309" s="36" t="n">
        <x:f>IFERROR(H4309/A4309,0)</x:f>
        <x:v>64621.6829073972</x:v>
      </x:c>
      <x:c r="J4309" s="67" t="str">
        <x:v>Modeled from live base + Sep-2026 quality ratio</x:v>
      </x:c>
      <x:c r="K4309" s="67" t="str">
        <x:v>https://www.stonealgo.com/diamond-prices/</x:v>
      </x:c>
      <x:c r="L4309" s="67" t="str">
        <x:v>https://www.pricescope.com/blog/natural-diamond-prices-september-2026</x:v>
      </x:c>
    </x:row>
    <x:row r="4310">
      <x:c r="A4310" t="n">
        <x:v>7</x:v>
      </x:c>
      <x:c r="B4310" t="str">
        <x:v>Heart</x:v>
      </x:c>
      <x:c r="C4310" t="str">
        <x:v>F</x:v>
      </x:c>
      <x:c r="D4310" t="str">
        <x:v>VS1</x:v>
      </x:c>
      <x:c r="E4310" s="36" t="n">
        <x:v>332000</x:v>
      </x:c>
      <x:c r="F4310" s="36" t="n">
        <x:v>5647</x:v>
      </x:c>
      <x:c r="G4310" s="42" t="n">
        <x:v>1.2112827112827114</x:v>
      </x:c>
      <x:c r="H4310" s="36" t="n">
        <x:f>E4310*G4310</x:f>
        <x:v>402145.8601458602</x:v>
      </x:c>
      <x:c r="I4310" s="36" t="n">
        <x:f>IFERROR(H4310/A4310,0)</x:f>
        <x:v>57449.40859226574</x:v>
      </x:c>
      <x:c r="J4310" s="67" t="str">
        <x:v>Modeled from live base + Sep-2026 quality ratio</x:v>
      </x:c>
      <x:c r="K4310" s="67" t="str">
        <x:v>https://www.stonealgo.com/diamond-prices/</x:v>
      </x:c>
      <x:c r="L4310" s="67" t="str">
        <x:v>https://www.pricescope.com/blog/natural-diamond-prices-september-2026</x:v>
      </x:c>
    </x:row>
    <x:row r="4311">
      <x:c r="A4311" t="n">
        <x:v>7</x:v>
      </x:c>
      <x:c r="B4311" t="str">
        <x:v>Heart</x:v>
      </x:c>
      <x:c r="C4311" t="str">
        <x:v>F</x:v>
      </x:c>
      <x:c r="D4311" t="str">
        <x:v>VS2</x:v>
      </x:c>
      <x:c r="E4311" s="36" t="n">
        <x:v>332000</x:v>
      </x:c>
      <x:c r="F4311" s="36" t="n">
        <x:v>4730</x:v>
      </x:c>
      <x:c r="G4311" s="42" t="n">
        <x:v>1.0145860145860146</x:v>
      </x:c>
      <x:c r="H4311" s="36" t="n">
        <x:f>E4311*G4311</x:f>
        <x:v>336842.55684255686</x:v>
      </x:c>
      <x:c r="I4311" s="36" t="n">
        <x:f>IFERROR(H4311/A4311,0)</x:f>
        <x:v>48120.36526322241</x:v>
      </x:c>
      <x:c r="J4311" s="67" t="str">
        <x:v>Modeled from live base + Sep-2026 quality ratio</x:v>
      </x:c>
      <x:c r="K4311" s="67" t="str">
        <x:v>https://www.stonealgo.com/diamond-prices/</x:v>
      </x:c>
      <x:c r="L4311" s="67" t="str">
        <x:v>https://www.pricescope.com/blog/natural-diamond-prices-september-2026</x:v>
      </x:c>
    </x:row>
    <x:row r="4312">
      <x:c r="A4312" t="n">
        <x:v>7</x:v>
      </x:c>
      <x:c r="B4312" t="str">
        <x:v>Heart</x:v>
      </x:c>
      <x:c r="C4312" t="str">
        <x:v>F</x:v>
      </x:c>
      <x:c r="D4312" t="str">
        <x:v>SI1</x:v>
      </x:c>
      <x:c r="E4312" s="36" t="n">
        <x:v>332000</x:v>
      </x:c>
      <x:c r="F4312" s="36" t="n">
        <x:v>3331</x:v>
      </x:c>
      <x:c r="G4312" s="42" t="n">
        <x:v>0.7145002145002145</x:v>
      </x:c>
      <x:c r="H4312" s="36" t="n">
        <x:f>E4312*G4312</x:f>
        <x:v>237214.0712140712</x:v>
      </x:c>
      <x:c r="I4312" s="36" t="n">
        <x:f>IFERROR(H4312/A4312,0)</x:f>
        <x:v>33887.72445915303</x:v>
      </x:c>
      <x:c r="J4312" s="67" t="str">
        <x:v>Modeled from live base + Sep-2026 quality ratio</x:v>
      </x:c>
      <x:c r="K4312" s="67" t="str">
        <x:v>https://www.stonealgo.com/diamond-prices/</x:v>
      </x:c>
      <x:c r="L4312" s="67" t="str">
        <x:v>https://www.pricescope.com/blog/natural-diamond-prices-september-2026</x:v>
      </x:c>
    </x:row>
    <x:row r="4313">
      <x:c r="A4313" t="n">
        <x:v>7</x:v>
      </x:c>
      <x:c r="B4313" t="str">
        <x:v>Heart</x:v>
      </x:c>
      <x:c r="C4313" t="str">
        <x:v>F</x:v>
      </x:c>
      <x:c r="D4313" t="str">
        <x:v>SI2</x:v>
      </x:c>
      <x:c r="E4313" s="36" t="n">
        <x:v>332000</x:v>
      </x:c>
      <x:c r="F4313" s="36" t="n">
        <x:v>2733</x:v>
      </x:c>
      <x:c r="G4313" s="42" t="n">
        <x:v>0.5862290862290862</x:v>
      </x:c>
      <x:c r="H4313" s="36" t="n">
        <x:f>E4313*G4313</x:f>
        <x:v>194628.05662805663</x:v>
      </x:c>
      <x:c r="I4313" s="36" t="n">
        <x:f>IFERROR(H4313/A4313,0)</x:f>
        <x:v>27804.008089722374</x:v>
      </x:c>
      <x:c r="J4313" s="67" t="str">
        <x:v>Modeled from live base + Sep-2026 quality ratio</x:v>
      </x:c>
      <x:c r="K4313" s="67" t="str">
        <x:v>https://www.stonealgo.com/diamond-prices/</x:v>
      </x:c>
      <x:c r="L4313" s="67" t="str">
        <x:v>https://www.pricescope.com/blog/natural-diamond-prices-september-2026</x:v>
      </x:c>
    </x:row>
    <x:row r="4314">
      <x:c r="A4314" t="n">
        <x:v>7</x:v>
      </x:c>
      <x:c r="B4314" t="str">
        <x:v>Heart</x:v>
      </x:c>
      <x:c r="C4314" t="str">
        <x:v>G</x:v>
      </x:c>
      <x:c r="D4314" t="str">
        <x:v>FL</x:v>
      </x:c>
      <x:c r="E4314" s="36" t="n">
        <x:v>332000</x:v>
      </x:c>
      <x:c r="F4314" s="36" t="n">
        <x:v>5905</x:v>
      </x:c>
      <x:c r="G4314" s="42" t="n">
        <x:v>1.2666237666237665</x:v>
      </x:c>
      <x:c r="H4314" s="36" t="n">
        <x:f>E4314*G4314</x:f>
        <x:v>420519.0905190905</x:v>
      </x:c>
      <x:c r="I4314" s="36" t="n">
        <x:f>IFERROR(H4314/A4314,0)</x:f>
        <x:v>60074.155788441494</x:v>
      </x:c>
      <x:c r="J4314" s="67" t="str">
        <x:v>Modeled from live base + Sep-2026 quality ratio</x:v>
      </x:c>
      <x:c r="K4314" s="67" t="str">
        <x:v>https://www.stonealgo.com/diamond-prices/</x:v>
      </x:c>
      <x:c r="L4314" s="67" t="str">
        <x:v>https://www.pricescope.com/blog/natural-diamond-prices-september-2026</x:v>
      </x:c>
    </x:row>
    <x:row r="4315">
      <x:c r="A4315" t="n">
        <x:v>7</x:v>
      </x:c>
      <x:c r="B4315" t="str">
        <x:v>Heart</x:v>
      </x:c>
      <x:c r="C4315" t="str">
        <x:v>G</x:v>
      </x:c>
      <x:c r="D4315" t="str">
        <x:v>IF</x:v>
      </x:c>
      <x:c r="E4315" s="36" t="n">
        <x:v>332000</x:v>
      </x:c>
      <x:c r="F4315" s="36" t="n">
        <x:v>5601</x:v>
      </x:c>
      <x:c r="G4315" s="42" t="n">
        <x:v>1.2014157014157014</x:v>
      </x:c>
      <x:c r="H4315" s="36" t="n">
        <x:f>E4315*G4315</x:f>
        <x:v>398870.0128700129</x:v>
      </x:c>
      <x:c r="I4315" s="36" t="n">
        <x:f>IFERROR(H4315/A4315,0)</x:f>
        <x:v>56981.43041000184</x:v>
      </x:c>
      <x:c r="J4315" s="67" t="str">
        <x:v>Modeled from live base + Sep-2026 quality ratio</x:v>
      </x:c>
      <x:c r="K4315" s="67" t="str">
        <x:v>https://www.stonealgo.com/diamond-prices/</x:v>
      </x:c>
      <x:c r="L4315" s="67" t="str">
        <x:v>https://www.pricescope.com/blog/natural-diamond-prices-september-2026</x:v>
      </x:c>
    </x:row>
    <x:row r="4316">
      <x:c r="A4316" t="n">
        <x:v>7</x:v>
      </x:c>
      <x:c r="B4316" t="str">
        <x:v>Heart</x:v>
      </x:c>
      <x:c r="C4316" t="str">
        <x:v>G</x:v>
      </x:c>
      <x:c r="D4316" t="str">
        <x:v>VVS1</x:v>
      </x:c>
      <x:c r="E4316" s="36" t="n">
        <x:v>332000</x:v>
      </x:c>
      <x:c r="F4316" s="36" t="n">
        <x:v>5124</x:v>
      </x:c>
      <x:c r="G4316" s="42" t="n">
        <x:v>1.0990990990990992</x:v>
      </x:c>
      <x:c r="H4316" s="36" t="n">
        <x:f>E4316*G4316</x:f>
        <x:v>364900.90090090095</x:v>
      </x:c>
      <x:c r="I4316" s="36" t="n">
        <x:f>IFERROR(H4316/A4316,0)</x:f>
        <x:v>52128.70012870013</x:v>
      </x:c>
      <x:c r="J4316" s="67" t="str">
        <x:v>Modeled from live base + Sep-2026 quality ratio</x:v>
      </x:c>
      <x:c r="K4316" s="67" t="str">
        <x:v>https://www.stonealgo.com/diamond-prices/</x:v>
      </x:c>
      <x:c r="L4316" s="67" t="str">
        <x:v>https://www.pricescope.com/blog/natural-diamond-prices-september-2026</x:v>
      </x:c>
    </x:row>
    <x:row r="4317">
      <x:c r="A4317" t="n">
        <x:v>7</x:v>
      </x:c>
      <x:c r="B4317" t="str">
        <x:v>Heart</x:v>
      </x:c>
      <x:c r="C4317" t="str">
        <x:v>G</x:v>
      </x:c>
      <x:c r="D4317" t="str">
        <x:v>VVS2</x:v>
      </x:c>
      <x:c r="E4317" s="36" t="n">
        <x:v>332000</x:v>
      </x:c>
      <x:c r="F4317" s="36" t="n">
        <x:v>4962</x:v>
      </x:c>
      <x:c r="G4317" s="42" t="n">
        <x:v>1.0643500643500643</x:v>
      </x:c>
      <x:c r="H4317" s="36" t="n">
        <x:f>E4317*G4317</x:f>
        <x:v>353364.22136422136</x:v>
      </x:c>
      <x:c r="I4317" s="36" t="n">
        <x:f>IFERROR(H4317/A4317,0)</x:f>
        <x:v>50480.60305203162</x:v>
      </x:c>
      <x:c r="J4317" s="67" t="str">
        <x:v>Modeled from live base + Sep-2026 quality ratio</x:v>
      </x:c>
      <x:c r="K4317" s="67" t="str">
        <x:v>https://www.stonealgo.com/diamond-prices/</x:v>
      </x:c>
      <x:c r="L4317" s="67" t="str">
        <x:v>https://www.pricescope.com/blog/natural-diamond-prices-september-2026</x:v>
      </x:c>
    </x:row>
    <x:row r="4318">
      <x:c r="A4318" t="n">
        <x:v>7</x:v>
      </x:c>
      <x:c r="B4318" t="str">
        <x:v>Heart</x:v>
      </x:c>
      <x:c r="C4318" t="str">
        <x:v>G</x:v>
      </x:c>
      <x:c r="D4318" t="str">
        <x:v>VS1</x:v>
      </x:c>
      <x:c r="E4318" s="36" t="n">
        <x:v>332000</x:v>
      </x:c>
      <x:c r="F4318" s="36" t="n">
        <x:v>4615</x:v>
      </x:c>
      <x:c r="G4318" s="42" t="n">
        <x:v>0.98991848991849</x:v>
      </x:c>
      <x:c r="H4318" s="36" t="n">
        <x:f>E4318*G4318</x:f>
        <x:v>328652.93865293864</x:v>
      </x:c>
      <x:c r="I4318" s="36" t="n">
        <x:f>IFERROR(H4318/A4318,0)</x:f>
        <x:v>46950.41980756266</x:v>
      </x:c>
      <x:c r="J4318" s="67" t="str">
        <x:v>Modeled from live base + Sep-2026 quality ratio</x:v>
      </x:c>
      <x:c r="K4318" s="67" t="str">
        <x:v>https://www.stonealgo.com/diamond-prices/</x:v>
      </x:c>
      <x:c r="L4318" s="67" t="str">
        <x:v>https://www.pricescope.com/blog/natural-diamond-prices-september-2026</x:v>
      </x:c>
    </x:row>
    <x:row r="4319">
      <x:c r="A4319" t="n">
        <x:v>7</x:v>
      </x:c>
      <x:c r="B4319" t="str">
        <x:v>Heart</x:v>
      </x:c>
      <x:c r="C4319" t="str">
        <x:v>G</x:v>
      </x:c>
      <x:c r="D4319" t="str">
        <x:v>VS2</x:v>
      </x:c>
      <x:c r="E4319" s="36" t="n">
        <x:v>332000</x:v>
      </x:c>
      <x:c r="F4319" s="36" t="n">
        <x:v>4585</x:v>
      </x:c>
      <x:c r="G4319" s="42" t="n">
        <x:v>0.9834834834834835</x:v>
      </x:c>
      <x:c r="H4319" s="36" t="n">
        <x:f>E4319*G4319</x:f>
        <x:v>326516.5165165165</x:v>
      </x:c>
      <x:c r="I4319" s="36" t="n">
        <x:f>IFERROR(H4319/A4319,0)</x:f>
        <x:v>46645.21664521664</x:v>
      </x:c>
      <x:c r="J4319" s="67" t="str">
        <x:v>Modeled from live base + Sep-2026 quality ratio</x:v>
      </x:c>
      <x:c r="K4319" s="67" t="str">
        <x:v>https://www.stonealgo.com/diamond-prices/</x:v>
      </x:c>
      <x:c r="L4319" s="67" t="str">
        <x:v>https://www.pricescope.com/blog/natural-diamond-prices-september-2026</x:v>
      </x:c>
    </x:row>
    <x:row r="4320">
      <x:c r="A4320" t="n">
        <x:v>7</x:v>
      </x:c>
      <x:c r="B4320" t="str">
        <x:v>Heart</x:v>
      </x:c>
      <x:c r="C4320" t="str">
        <x:v>G</x:v>
      </x:c>
      <x:c r="D4320" t="str">
        <x:v>SI1</x:v>
      </x:c>
      <x:c r="E4320" s="36" t="n">
        <x:v>332000</x:v>
      </x:c>
      <x:c r="F4320" s="36" t="n">
        <x:v>3664</x:v>
      </x:c>
      <x:c r="G4320" s="42" t="n">
        <x:v>0.7859287859287859</x:v>
      </x:c>
      <x:c r="H4320" s="36" t="n">
        <x:f>E4320*G4320</x:f>
        <x:v>260928.35692835692</x:v>
      </x:c>
      <x:c r="I4320" s="36" t="n">
        <x:f>IFERROR(H4320/A4320,0)</x:f>
        <x:v>37275.479561193846</x:v>
      </x:c>
      <x:c r="J4320" s="67" t="str">
        <x:v>Modeled from live base + Sep-2026 quality ratio</x:v>
      </x:c>
      <x:c r="K4320" s="67" t="str">
        <x:v>https://www.stonealgo.com/diamond-prices/</x:v>
      </x:c>
      <x:c r="L4320" s="67" t="str">
        <x:v>https://www.pricescope.com/blog/natural-diamond-prices-september-2026</x:v>
      </x:c>
    </x:row>
    <x:row r="4321">
      <x:c r="A4321" t="n">
        <x:v>7</x:v>
      </x:c>
      <x:c r="B4321" t="str">
        <x:v>Heart</x:v>
      </x:c>
      <x:c r="C4321" t="str">
        <x:v>G</x:v>
      </x:c>
      <x:c r="D4321" t="str">
        <x:v>SI2</x:v>
      </x:c>
      <x:c r="E4321" s="36" t="n">
        <x:v>332000</x:v>
      </x:c>
      <x:c r="F4321" s="36" t="n">
        <x:v>2537</x:v>
      </x:c>
      <x:c r="G4321" s="42" t="n">
        <x:v>0.5441870441870442</x:v>
      </x:c>
      <x:c r="H4321" s="36" t="n">
        <x:f>E4321*G4321</x:f>
        <x:v>180670.09867009867</x:v>
      </x:c>
      <x:c r="I4321" s="36" t="n">
        <x:f>IFERROR(H4321/A4321,0)</x:f>
        <x:v>25810.01409572838</x:v>
      </x:c>
      <x:c r="J4321" s="67" t="str">
        <x:v>Modeled from live base + Sep-2026 quality ratio</x:v>
      </x:c>
      <x:c r="K4321" s="67" t="str">
        <x:v>https://www.stonealgo.com/diamond-prices/</x:v>
      </x:c>
      <x:c r="L4321" s="67" t="str">
        <x:v>https://www.pricescope.com/blog/natural-diamond-prices-september-2026</x:v>
      </x:c>
    </x:row>
    <x:row r="4322">
      <x:c r="A4322" t="n">
        <x:v>7</x:v>
      </x:c>
      <x:c r="B4322" t="str">
        <x:v>Heart</x:v>
      </x:c>
      <x:c r="C4322" t="str">
        <x:v>H</x:v>
      </x:c>
      <x:c r="D4322" t="str">
        <x:v>FL</x:v>
      </x:c>
      <x:c r="E4322" s="36" t="n">
        <x:v>332000</x:v>
      </x:c>
      <x:c r="F4322" s="36" t="n">
        <x:v>4563</x:v>
      </x:c>
      <x:c r="G4322" s="42" t="n">
        <x:v>0.9787644787644788</x:v>
      </x:c>
      <x:c r="H4322" s="36" t="n">
        <x:f>E4322*G4322</x:f>
        <x:v>324949.806949807</x:v>
      </x:c>
      <x:c r="I4322" s="36" t="n">
        <x:f>IFERROR(H4322/A4322,0)</x:f>
        <x:v>46421.40099282957</x:v>
      </x:c>
      <x:c r="J4322" s="67" t="str">
        <x:v>Modeled from live base + Sep-2026 quality ratio</x:v>
      </x:c>
      <x:c r="K4322" s="67" t="str">
        <x:v>https://www.stonealgo.com/diamond-prices/</x:v>
      </x:c>
      <x:c r="L4322" s="67" t="str">
        <x:v>https://www.pricescope.com/blog/natural-diamond-prices-september-2026</x:v>
      </x:c>
    </x:row>
    <x:row r="4323">
      <x:c r="A4323" t="n">
        <x:v>7</x:v>
      </x:c>
      <x:c r="B4323" t="str">
        <x:v>Heart</x:v>
      </x:c>
      <x:c r="C4323" t="str">
        <x:v>H</x:v>
      </x:c>
      <x:c r="D4323" t="str">
        <x:v>IF</x:v>
      </x:c>
      <x:c r="E4323" s="36" t="n">
        <x:v>332000</x:v>
      </x:c>
      <x:c r="F4323" s="36" t="n">
        <x:v>4809</x:v>
      </x:c>
      <x:c r="G4323" s="42" t="n">
        <x:v>1.0315315315315314</x:v>
      </x:c>
      <x:c r="H4323" s="36" t="n">
        <x:f>E4323*G4323</x:f>
        <x:v>342468.46846846846</x:v>
      </x:c>
      <x:c r="I4323" s="36" t="n">
        <x:f>IFERROR(H4323/A4323,0)</x:f>
        <x:v>48924.06692406692</x:v>
      </x:c>
      <x:c r="J4323" s="67" t="str">
        <x:v>Modeled from live base + Sep-2026 quality ratio</x:v>
      </x:c>
      <x:c r="K4323" s="67" t="str">
        <x:v>https://www.stonealgo.com/diamond-prices/</x:v>
      </x:c>
      <x:c r="L4323" s="67" t="str">
        <x:v>https://www.pricescope.com/blog/natural-diamond-prices-september-2026</x:v>
      </x:c>
    </x:row>
    <x:row r="4324">
      <x:c r="A4324" t="n">
        <x:v>7</x:v>
      </x:c>
      <x:c r="B4324" t="str">
        <x:v>Heart</x:v>
      </x:c>
      <x:c r="C4324" t="str">
        <x:v>H</x:v>
      </x:c>
      <x:c r="D4324" t="str">
        <x:v>VVS1</x:v>
      </x:c>
      <x:c r="E4324" s="36" t="n">
        <x:v>332000</x:v>
      </x:c>
      <x:c r="F4324" s="36" t="n">
        <x:v>4911</x:v>
      </x:c>
      <x:c r="G4324" s="42" t="n">
        <x:v>1.0534105534105533</x:v>
      </x:c>
      <x:c r="H4324" s="36" t="n">
        <x:f>E4324*G4324</x:f>
        <x:v>349732.3037323037</x:v>
      </x:c>
      <x:c r="I4324" s="36" t="n">
        <x:f>IFERROR(H4324/A4324,0)</x:f>
        <x:v>49961.75767604339</x:v>
      </x:c>
      <x:c r="J4324" s="67" t="str">
        <x:v>Modeled from live base + Sep-2026 quality ratio</x:v>
      </x:c>
      <x:c r="K4324" s="67" t="str">
        <x:v>https://www.stonealgo.com/diamond-prices/</x:v>
      </x:c>
      <x:c r="L4324" s="67" t="str">
        <x:v>https://www.pricescope.com/blog/natural-diamond-prices-september-2026</x:v>
      </x:c>
    </x:row>
    <x:row r="4325">
      <x:c r="A4325" t="n">
        <x:v>7</x:v>
      </x:c>
      <x:c r="B4325" t="str">
        <x:v>Heart</x:v>
      </x:c>
      <x:c r="C4325" t="str">
        <x:v>H</x:v>
      </x:c>
      <x:c r="D4325" t="str">
        <x:v>VVS2</x:v>
      </x:c>
      <x:c r="E4325" s="36" t="n">
        <x:v>332000</x:v>
      </x:c>
      <x:c r="F4325" s="36" t="n">
        <x:v>4046</x:v>
      </x:c>
      <x:c r="G4325" s="42" t="n">
        <x:v>0.8678678678678678</x:v>
      </x:c>
      <x:c r="H4325" s="36" t="n">
        <x:f>E4325*G4325</x:f>
        <x:v>288132.13213213213</x:v>
      </x:c>
      <x:c r="I4325" s="36" t="n">
        <x:f>IFERROR(H4325/A4325,0)</x:f>
        <x:v>41161.73316173316</x:v>
      </x:c>
      <x:c r="J4325" s="67" t="str">
        <x:v>Modeled from live base + Sep-2026 quality ratio</x:v>
      </x:c>
      <x:c r="K4325" s="67" t="str">
        <x:v>https://www.stonealgo.com/diamond-prices/</x:v>
      </x:c>
      <x:c r="L4325" s="67" t="str">
        <x:v>https://www.pricescope.com/blog/natural-diamond-prices-september-2026</x:v>
      </x:c>
    </x:row>
    <x:row r="4326">
      <x:c r="A4326" t="n">
        <x:v>7</x:v>
      </x:c>
      <x:c r="B4326" t="str">
        <x:v>Heart</x:v>
      </x:c>
      <x:c r="C4326" t="str">
        <x:v>H</x:v>
      </x:c>
      <x:c r="D4326" t="str">
        <x:v>VS1</x:v>
      </x:c>
      <x:c r="E4326" s="36" t="n">
        <x:v>332000</x:v>
      </x:c>
      <x:c r="F4326" s="36" t="n">
        <x:v>3893</x:v>
      </x:c>
      <x:c r="G4326" s="42" t="n">
        <x:v>0.8350493350493351</x:v>
      </x:c>
      <x:c r="H4326" s="36" t="n">
        <x:f>E4326*G4326</x:f>
        <x:v>277236.37923637923</x:v>
      </x:c>
      <x:c r="I4326" s="36" t="n">
        <x:f>IFERROR(H4326/A4326,0)</x:f>
        <x:v>39605.19703376846</x:v>
      </x:c>
      <x:c r="J4326" s="67" t="str">
        <x:v>Modeled from live base + Sep-2026 quality ratio</x:v>
      </x:c>
      <x:c r="K4326" s="67" t="str">
        <x:v>https://www.stonealgo.com/diamond-prices/</x:v>
      </x:c>
      <x:c r="L4326" s="67" t="str">
        <x:v>https://www.pricescope.com/blog/natural-diamond-prices-september-2026</x:v>
      </x:c>
    </x:row>
    <x:row r="4327">
      <x:c r="A4327" t="n">
        <x:v>7</x:v>
      </x:c>
      <x:c r="B4327" t="str">
        <x:v>Heart</x:v>
      </x:c>
      <x:c r="C4327" t="str">
        <x:v>H</x:v>
      </x:c>
      <x:c r="D4327" t="str">
        <x:v>VS2</x:v>
      </x:c>
      <x:c r="E4327" s="36" t="n">
        <x:v>332000</x:v>
      </x:c>
      <x:c r="F4327" s="36" t="n">
        <x:v>3989</x:v>
      </x:c>
      <x:c r="G4327" s="42" t="n">
        <x:v>0.8556413556413557</x:v>
      </x:c>
      <x:c r="H4327" s="36" t="n">
        <x:f>E4327*G4327</x:f>
        <x:v>284072.93007293006</x:v>
      </x:c>
      <x:c r="I4327" s="36" t="n">
        <x:f>IFERROR(H4327/A4327,0)</x:f>
        <x:v>40581.847153275725</x:v>
      </x:c>
      <x:c r="J4327" s="67" t="str">
        <x:v>Modeled from live base + Sep-2026 quality ratio</x:v>
      </x:c>
      <x:c r="K4327" s="67" t="str">
        <x:v>https://www.stonealgo.com/diamond-prices/</x:v>
      </x:c>
      <x:c r="L4327" s="67" t="str">
        <x:v>https://www.pricescope.com/blog/natural-diamond-prices-september-2026</x:v>
      </x:c>
    </x:row>
    <x:row r="4328">
      <x:c r="A4328" t="n">
        <x:v>7</x:v>
      </x:c>
      <x:c r="B4328" t="str">
        <x:v>Heart</x:v>
      </x:c>
      <x:c r="C4328" t="str">
        <x:v>H</x:v>
      </x:c>
      <x:c r="D4328" t="str">
        <x:v>SI1</x:v>
      </x:c>
      <x:c r="E4328" s="36" t="n">
        <x:v>332000</x:v>
      </x:c>
      <x:c r="F4328" s="36" t="n">
        <x:v>2828</x:v>
      </x:c>
      <x:c r="G4328" s="42" t="n">
        <x:v>0.6066066066066066</x:v>
      </x:c>
      <x:c r="H4328" s="36" t="n">
        <x:f>E4328*G4328</x:f>
        <x:v>201393.3933933934</x:v>
      </x:c>
      <x:c r="I4328" s="36" t="n">
        <x:f>IFERROR(H4328/A4328,0)</x:f>
        <x:v>28770.48477048477</x:v>
      </x:c>
      <x:c r="J4328" s="67" t="str">
        <x:v>Modeled from live base + Sep-2026 quality ratio</x:v>
      </x:c>
      <x:c r="K4328" s="67" t="str">
        <x:v>https://www.stonealgo.com/diamond-prices/</x:v>
      </x:c>
      <x:c r="L4328" s="67" t="str">
        <x:v>https://www.pricescope.com/blog/natural-diamond-prices-september-2026</x:v>
      </x:c>
    </x:row>
    <x:row r="4329">
      <x:c r="A4329" t="n">
        <x:v>7</x:v>
      </x:c>
      <x:c r="B4329" t="str">
        <x:v>Heart</x:v>
      </x:c>
      <x:c r="C4329" t="str">
        <x:v>H</x:v>
      </x:c>
      <x:c r="D4329" t="str">
        <x:v>SI2</x:v>
      </x:c>
      <x:c r="E4329" s="36" t="n">
        <x:v>332000</x:v>
      </x:c>
      <x:c r="F4329" s="36" t="n">
        <x:v>2328</x:v>
      </x:c>
      <x:c r="G4329" s="42" t="n">
        <x:v>0.49935649935649934</x:v>
      </x:c>
      <x:c r="H4329" s="36" t="n">
        <x:f>E4329*G4329</x:f>
        <x:v>165786.35778635778</x:v>
      </x:c>
      <x:c r="I4329" s="36" t="n">
        <x:f>IFERROR(H4329/A4329,0)</x:f>
        <x:v>23683.765398051113</x:v>
      </x:c>
      <x:c r="J4329" s="67" t="str">
        <x:v>Modeled from live base + Sep-2026 quality ratio</x:v>
      </x:c>
      <x:c r="K4329" s="67" t="str">
        <x:v>https://www.stonealgo.com/diamond-prices/</x:v>
      </x:c>
      <x:c r="L4329" s="67" t="str">
        <x:v>https://www.pricescope.com/blog/natural-diamond-prices-september-2026</x:v>
      </x:c>
    </x:row>
    <x:row r="4330">
      <x:c r="A4330" t="n">
        <x:v>7</x:v>
      </x:c>
      <x:c r="B4330" t="str">
        <x:v>Heart</x:v>
      </x:c>
      <x:c r="C4330" t="str">
        <x:v>I</x:v>
      </x:c>
      <x:c r="D4330" t="str">
        <x:v>FL</x:v>
      </x:c>
      <x:c r="E4330" s="36" t="n">
        <x:v>332000</x:v>
      </x:c>
      <x:c r="F4330" s="36" t="n">
        <x:v>4623</x:v>
      </x:c>
      <x:c r="G4330" s="42" t="n">
        <x:v>0.9916344916344917</x:v>
      </x:c>
      <x:c r="H4330" s="36" t="n">
        <x:f>E4330*G4330</x:f>
        <x:v>329222.65122265124</x:v>
      </x:c>
      <x:c r="I4330" s="36" t="n">
        <x:f>IFERROR(H4330/A4330,0)</x:f>
        <x:v>47031.807317521605</x:v>
      </x:c>
      <x:c r="J4330" s="67" t="str">
        <x:v>Modeled from live base + Sep-2026 quality ratio</x:v>
      </x:c>
      <x:c r="K4330" s="67" t="str">
        <x:v>https://www.stonealgo.com/diamond-prices/</x:v>
      </x:c>
      <x:c r="L4330" s="67" t="str">
        <x:v>https://www.pricescope.com/blog/natural-diamond-prices-september-2026</x:v>
      </x:c>
    </x:row>
    <x:row r="4331">
      <x:c r="A4331" t="n">
        <x:v>7</x:v>
      </x:c>
      <x:c r="B4331" t="str">
        <x:v>Heart</x:v>
      </x:c>
      <x:c r="C4331" t="str">
        <x:v>I</x:v>
      </x:c>
      <x:c r="D4331" t="str">
        <x:v>IF</x:v>
      </x:c>
      <x:c r="E4331" s="36" t="n">
        <x:v>332000</x:v>
      </x:c>
      <x:c r="F4331" s="36" t="n">
        <x:v>4005</x:v>
      </x:c>
      <x:c r="G4331" s="42" t="n">
        <x:v>0.859073359073359</x:v>
      </x:c>
      <x:c r="H4331" s="36" t="n">
        <x:f>E4331*G4331</x:f>
        <x:v>285212.3552123552</x:v>
      </x:c>
      <x:c r="I4331" s="36" t="n">
        <x:f>IFERROR(H4331/A4331,0)</x:f>
        <x:v>40744.6221731936</x:v>
      </x:c>
      <x:c r="J4331" s="67" t="str">
        <x:v>Modeled from live base + Sep-2026 quality ratio</x:v>
      </x:c>
      <x:c r="K4331" s="67" t="str">
        <x:v>https://www.stonealgo.com/diamond-prices/</x:v>
      </x:c>
      <x:c r="L4331" s="67" t="str">
        <x:v>https://www.pricescope.com/blog/natural-diamond-prices-september-2026</x:v>
      </x:c>
    </x:row>
    <x:row r="4332">
      <x:c r="A4332" t="n">
        <x:v>7</x:v>
      </x:c>
      <x:c r="B4332" t="str">
        <x:v>Heart</x:v>
      </x:c>
      <x:c r="C4332" t="str">
        <x:v>I</x:v>
      </x:c>
      <x:c r="D4332" t="str">
        <x:v>VVS1</x:v>
      </x:c>
      <x:c r="E4332" s="36" t="n">
        <x:v>332000</x:v>
      </x:c>
      <x:c r="F4332" s="36" t="n">
        <x:v>3670</x:v>
      </x:c>
      <x:c r="G4332" s="42" t="n">
        <x:v>0.7872157872157872</x:v>
      </x:c>
      <x:c r="H4332" s="36" t="n">
        <x:f>E4332*G4332</x:f>
        <x:v>261355.64135564136</x:v>
      </x:c>
      <x:c r="I4332" s="36" t="n">
        <x:f>IFERROR(H4332/A4332,0)</x:f>
        <x:v>37336.520193663055</x:v>
      </x:c>
      <x:c r="J4332" s="67" t="str">
        <x:v>Modeled from live base + Sep-2026 quality ratio</x:v>
      </x:c>
      <x:c r="K4332" s="67" t="str">
        <x:v>https://www.stonealgo.com/diamond-prices/</x:v>
      </x:c>
      <x:c r="L4332" s="67" t="str">
        <x:v>https://www.pricescope.com/blog/natural-diamond-prices-september-2026</x:v>
      </x:c>
    </x:row>
    <x:row r="4333">
      <x:c r="A4333" t="n">
        <x:v>7</x:v>
      </x:c>
      <x:c r="B4333" t="str">
        <x:v>Heart</x:v>
      </x:c>
      <x:c r="C4333" t="str">
        <x:v>I</x:v>
      </x:c>
      <x:c r="D4333" t="str">
        <x:v>VVS2</x:v>
      </x:c>
      <x:c r="E4333" s="36" t="n">
        <x:v>332000</x:v>
      </x:c>
      <x:c r="F4333" s="36" t="n">
        <x:v>3447</x:v>
      </x:c>
      <x:c r="G4333" s="42" t="n">
        <x:v>0.7393822393822393</x:v>
      </x:c>
      <x:c r="H4333" s="36" t="n">
        <x:f>E4333*G4333</x:f>
        <x:v>245474.90347490346</x:v>
      </x:c>
      <x:c r="I4333" s="36" t="n">
        <x:f>IFERROR(H4333/A4333,0)</x:f>
        <x:v>35067.84335355764</x:v>
      </x:c>
      <x:c r="J4333" s="67" t="str">
        <x:v>Modeled from live base + Sep-2026 quality ratio</x:v>
      </x:c>
      <x:c r="K4333" s="67" t="str">
        <x:v>https://www.stonealgo.com/diamond-prices/</x:v>
      </x:c>
      <x:c r="L4333" s="67" t="str">
        <x:v>https://www.pricescope.com/blog/natural-diamond-prices-september-2026</x:v>
      </x:c>
    </x:row>
    <x:row r="4334">
      <x:c r="A4334" t="n">
        <x:v>7</x:v>
      </x:c>
      <x:c r="B4334" t="str">
        <x:v>Heart</x:v>
      </x:c>
      <x:c r="C4334" t="str">
        <x:v>I</x:v>
      </x:c>
      <x:c r="D4334" t="str">
        <x:v>VS1</x:v>
      </x:c>
      <x:c r="E4334" s="36" t="n">
        <x:v>332000</x:v>
      </x:c>
      <x:c r="F4334" s="36" t="n">
        <x:v>3313</x:v>
      </x:c>
      <x:c r="G4334" s="42" t="n">
        <x:v>0.7106392106392107</x:v>
      </x:c>
      <x:c r="H4334" s="36" t="n">
        <x:f>E4334*G4334</x:f>
        <x:v>235932.21793221793</x:v>
      </x:c>
      <x:c r="I4334" s="36" t="n">
        <x:f>IFERROR(H4334/A4334,0)</x:f>
        <x:v>33704.60256174542</x:v>
      </x:c>
      <x:c r="J4334" s="67" t="str">
        <x:v>Modeled from live base + Sep-2026 quality ratio</x:v>
      </x:c>
      <x:c r="K4334" s="67" t="str">
        <x:v>https://www.stonealgo.com/diamond-prices/</x:v>
      </x:c>
      <x:c r="L4334" s="67" t="str">
        <x:v>https://www.pricescope.com/blog/natural-diamond-prices-september-2026</x:v>
      </x:c>
    </x:row>
    <x:row r="4335">
      <x:c r="A4335" t="n">
        <x:v>7</x:v>
      </x:c>
      <x:c r="B4335" t="str">
        <x:v>Heart</x:v>
      </x:c>
      <x:c r="C4335" t="str">
        <x:v>I</x:v>
      </x:c>
      <x:c r="D4335" t="str">
        <x:v>VS2</x:v>
      </x:c>
      <x:c r="E4335" s="36" t="n">
        <x:v>332000</x:v>
      </x:c>
      <x:c r="F4335" s="36" t="n">
        <x:v>3240</x:v>
      </x:c>
      <x:c r="G4335" s="42" t="n">
        <x:v>0.694980694980695</x:v>
      </x:c>
      <x:c r="H4335" s="36" t="n">
        <x:f>E4335*G4335</x:f>
        <x:v>230733.59073359074</x:v>
      </x:c>
      <x:c r="I4335" s="36" t="n">
        <x:f>IFERROR(H4335/A4335,0)</x:f>
        <x:v>32961.9415333701</x:v>
      </x:c>
      <x:c r="J4335" s="67" t="str">
        <x:v>Modeled from live base + Sep-2026 quality ratio</x:v>
      </x:c>
      <x:c r="K4335" s="67" t="str">
        <x:v>https://www.stonealgo.com/diamond-prices/</x:v>
      </x:c>
      <x:c r="L4335" s="67" t="str">
        <x:v>https://www.pricescope.com/blog/natural-diamond-prices-september-2026</x:v>
      </x:c>
    </x:row>
    <x:row r="4336">
      <x:c r="A4336" t="n">
        <x:v>7</x:v>
      </x:c>
      <x:c r="B4336" t="str">
        <x:v>Heart</x:v>
      </x:c>
      <x:c r="C4336" t="str">
        <x:v>I</x:v>
      </x:c>
      <x:c r="D4336" t="str">
        <x:v>SI1</x:v>
      </x:c>
      <x:c r="E4336" s="36" t="n">
        <x:v>332000</x:v>
      </x:c>
      <x:c r="F4336" s="36" t="n">
        <x:v>3199</x:v>
      </x:c>
      <x:c r="G4336" s="42" t="n">
        <x:v>0.6861861861861862</x:v>
      </x:c>
      <x:c r="H4336" s="36" t="n">
        <x:f>E4336*G4336</x:f>
        <x:v>227813.81381381382</x:v>
      </x:c>
      <x:c r="I4336" s="36" t="n">
        <x:f>IFERROR(H4336/A4336,0)</x:f>
        <x:v>32544.830544830544</x:v>
      </x:c>
      <x:c r="J4336" s="67" t="str">
        <x:v>Modeled from live base + Sep-2026 quality ratio</x:v>
      </x:c>
      <x:c r="K4336" s="67" t="str">
        <x:v>https://www.stonealgo.com/diamond-prices/</x:v>
      </x:c>
      <x:c r="L4336" s="67" t="str">
        <x:v>https://www.pricescope.com/blog/natural-diamond-prices-september-2026</x:v>
      </x:c>
    </x:row>
    <x:row r="4337">
      <x:c r="A4337" t="n">
        <x:v>7</x:v>
      </x:c>
      <x:c r="B4337" t="str">
        <x:v>Heart</x:v>
      </x:c>
      <x:c r="C4337" t="str">
        <x:v>I</x:v>
      </x:c>
      <x:c r="D4337" t="str">
        <x:v>SI2</x:v>
      </x:c>
      <x:c r="E4337" s="36" t="n">
        <x:v>332000</x:v>
      </x:c>
      <x:c r="F4337" s="36" t="n">
        <x:v>2874</x:v>
      </x:c>
      <x:c r="G4337" s="42" t="n">
        <x:v>0.6164736164736164</x:v>
      </x:c>
      <x:c r="H4337" s="36" t="n">
        <x:f>E4337*G4337</x:f>
        <x:v>204669.24066924065</x:v>
      </x:c>
      <x:c r="I4337" s="36" t="n">
        <x:f>IFERROR(H4337/A4337,0)</x:f>
        <x:v>29238.462952748665</x:v>
      </x:c>
      <x:c r="J4337" s="67" t="str">
        <x:v>Modeled from live base + Sep-2026 quality ratio</x:v>
      </x:c>
      <x:c r="K4337" s="67" t="str">
        <x:v>https://www.stonealgo.com/diamond-prices/</x:v>
      </x:c>
      <x:c r="L4337" s="67" t="str">
        <x:v>https://www.pricescope.com/blog/natural-diamond-prices-september-2026</x:v>
      </x:c>
    </x:row>
    <x:row r="4338">
      <x:c r="A4338" t="n">
        <x:v>7</x:v>
      </x:c>
      <x:c r="B4338" t="str">
        <x:v>Heart</x:v>
      </x:c>
      <x:c r="C4338" t="str">
        <x:v>J</x:v>
      </x:c>
      <x:c r="D4338" t="str">
        <x:v>FL</x:v>
      </x:c>
      <x:c r="E4338" s="36" t="n">
        <x:v>332000</x:v>
      </x:c>
      <x:c r="F4338" s="36" t="n">
        <x:v>3646</x:v>
      </x:c>
      <x:c r="G4338" s="42" t="n">
        <x:v>0.782067782067782</x:v>
      </x:c>
      <x:c r="H4338" s="36" t="n">
        <x:f>E4338*G4338</x:f>
        <x:v>259646.50364650364</x:v>
      </x:c>
      <x:c r="I4338" s="36" t="n">
        <x:f>IFERROR(H4338/A4338,0)</x:f>
        <x:v>37092.357663786235</x:v>
      </x:c>
      <x:c r="J4338" s="67" t="str">
        <x:v>Modeled from live base + Sep-2026 quality ratio</x:v>
      </x:c>
      <x:c r="K4338" s="67" t="str">
        <x:v>https://www.stonealgo.com/diamond-prices/</x:v>
      </x:c>
      <x:c r="L4338" s="67" t="str">
        <x:v>https://www.pricescope.com/blog/natural-diamond-prices-september-2026</x:v>
      </x:c>
    </x:row>
    <x:row r="4339">
      <x:c r="A4339" t="n">
        <x:v>7</x:v>
      </x:c>
      <x:c r="B4339" t="str">
        <x:v>Heart</x:v>
      </x:c>
      <x:c r="C4339" t="str">
        <x:v>J</x:v>
      </x:c>
      <x:c r="D4339" t="str">
        <x:v>IF</x:v>
      </x:c>
      <x:c r="E4339" s="36" t="n">
        <x:v>332000</x:v>
      </x:c>
      <x:c r="F4339" s="36" t="n">
        <x:v>3368</x:v>
      </x:c>
      <x:c r="G4339" s="42" t="n">
        <x:v>0.7224367224367224</x:v>
      </x:c>
      <x:c r="H4339" s="36" t="n">
        <x:f>E4339*G4339</x:f>
        <x:v>239848.99184899183</x:v>
      </x:c>
      <x:c r="I4339" s="36" t="n">
        <x:f>IFERROR(H4339/A4339,0)</x:f>
        <x:v>34264.14169271312</x:v>
      </x:c>
      <x:c r="J4339" s="67" t="str">
        <x:v>Modeled from live base + Sep-2026 quality ratio</x:v>
      </x:c>
      <x:c r="K4339" s="67" t="str">
        <x:v>https://www.stonealgo.com/diamond-prices/</x:v>
      </x:c>
      <x:c r="L4339" s="67" t="str">
        <x:v>https://www.pricescope.com/blog/natural-diamond-prices-september-2026</x:v>
      </x:c>
    </x:row>
    <x:row r="4340">
      <x:c r="A4340" t="n">
        <x:v>7</x:v>
      </x:c>
      <x:c r="B4340" t="str">
        <x:v>Heart</x:v>
      </x:c>
      <x:c r="C4340" t="str">
        <x:v>J</x:v>
      </x:c>
      <x:c r="D4340" t="str">
        <x:v>VVS1</x:v>
      </x:c>
      <x:c r="E4340" s="36" t="n">
        <x:v>332000</x:v>
      </x:c>
      <x:c r="F4340" s="36" t="n">
        <x:v>2956</x:v>
      </x:c>
      <x:c r="G4340" s="42" t="n">
        <x:v>0.6340626340626341</x:v>
      </x:c>
      <x:c r="H4340" s="36" t="n">
        <x:f>E4340*G4340</x:f>
        <x:v>210508.79450879453</x:v>
      </x:c>
      <x:c r="I4340" s="36" t="n">
        <x:f>IFERROR(H4340/A4340,0)</x:f>
        <x:v>30072.68492982779</x:v>
      </x:c>
      <x:c r="J4340" s="67" t="str">
        <x:v>Modeled from live base + Sep-2026 quality ratio</x:v>
      </x:c>
      <x:c r="K4340" s="67" t="str">
        <x:v>https://www.stonealgo.com/diamond-prices/</x:v>
      </x:c>
      <x:c r="L4340" s="67" t="str">
        <x:v>https://www.pricescope.com/blog/natural-diamond-prices-september-2026</x:v>
      </x:c>
    </x:row>
    <x:row r="4341">
      <x:c r="A4341" t="n">
        <x:v>7</x:v>
      </x:c>
      <x:c r="B4341" t="str">
        <x:v>Heart</x:v>
      </x:c>
      <x:c r="C4341" t="str">
        <x:v>J</x:v>
      </x:c>
      <x:c r="D4341" t="str">
        <x:v>VVS2</x:v>
      </x:c>
      <x:c r="E4341" s="36" t="n">
        <x:v>332000</x:v>
      </x:c>
      <x:c r="F4341" s="36" t="n">
        <x:v>2612</x:v>
      </x:c>
      <x:c r="G4341" s="42" t="n">
        <x:v>0.5602745602745602</x:v>
      </x:c>
      <x:c r="H4341" s="36" t="n">
        <x:f>E4341*G4341</x:f>
        <x:v>186011.154011154</x:v>
      </x:c>
      <x:c r="I4341" s="36" t="n">
        <x:f>IFERROR(H4341/A4341,0)</x:f>
        <x:v>26573.02200159343</x:v>
      </x:c>
      <x:c r="J4341" s="67" t="str">
        <x:v>Modeled from live base + Sep-2026 quality ratio</x:v>
      </x:c>
      <x:c r="K4341" s="67" t="str">
        <x:v>https://www.stonealgo.com/diamond-prices/</x:v>
      </x:c>
      <x:c r="L4341" s="67" t="str">
        <x:v>https://www.pricescope.com/blog/natural-diamond-prices-september-2026</x:v>
      </x:c>
    </x:row>
    <x:row r="4342">
      <x:c r="A4342" t="n">
        <x:v>7</x:v>
      </x:c>
      <x:c r="B4342" t="str">
        <x:v>Heart</x:v>
      </x:c>
      <x:c r="C4342" t="str">
        <x:v>J</x:v>
      </x:c>
      <x:c r="D4342" t="str">
        <x:v>VS1</x:v>
      </x:c>
      <x:c r="E4342" s="36" t="n">
        <x:v>332000</x:v>
      </x:c>
      <x:c r="F4342" s="36" t="n">
        <x:v>3002</x:v>
      </x:c>
      <x:c r="G4342" s="42" t="n">
        <x:v>0.6439296439296439</x:v>
      </x:c>
      <x:c r="H4342" s="36" t="n">
        <x:f>E4342*G4342</x:f>
        <x:v>213784.64178464178</x:v>
      </x:c>
      <x:c r="I4342" s="36" t="n">
        <x:f>IFERROR(H4342/A4342,0)</x:f>
        <x:v>30540.663112091683</x:v>
      </x:c>
      <x:c r="J4342" s="67" t="str">
        <x:v>Modeled from live base + Sep-2026 quality ratio</x:v>
      </x:c>
      <x:c r="K4342" s="67" t="str">
        <x:v>https://www.stonealgo.com/diamond-prices/</x:v>
      </x:c>
      <x:c r="L4342" s="67" t="str">
        <x:v>https://www.pricescope.com/blog/natural-diamond-prices-september-2026</x:v>
      </x:c>
    </x:row>
    <x:row r="4343">
      <x:c r="A4343" t="n">
        <x:v>7</x:v>
      </x:c>
      <x:c r="B4343" t="str">
        <x:v>Heart</x:v>
      </x:c>
      <x:c r="C4343" t="str">
        <x:v>J</x:v>
      </x:c>
      <x:c r="D4343" t="str">
        <x:v>VS2</x:v>
      </x:c>
      <x:c r="E4343" s="36" t="n">
        <x:v>332000</x:v>
      </x:c>
      <x:c r="F4343" s="36" t="n">
        <x:v>2559</x:v>
      </x:c>
      <x:c r="G4343" s="42" t="n">
        <x:v>0.5489060489060489</x:v>
      </x:c>
      <x:c r="H4343" s="36" t="n">
        <x:f>E4343*G4343</x:f>
        <x:v>182236.80823680823</x:v>
      </x:c>
      <x:c r="I4343" s="36" t="n">
        <x:f>IFERROR(H4343/A4343,0)</x:f>
        <x:v>26033.829748115462</x:v>
      </x:c>
      <x:c r="J4343" s="67" t="str">
        <x:v>Modeled from live base + Sep-2026 quality ratio</x:v>
      </x:c>
      <x:c r="K4343" s="67" t="str">
        <x:v>https://www.stonealgo.com/diamond-prices/</x:v>
      </x:c>
      <x:c r="L4343" s="67" t="str">
        <x:v>https://www.pricescope.com/blog/natural-diamond-prices-september-2026</x:v>
      </x:c>
    </x:row>
    <x:row r="4344">
      <x:c r="A4344" t="n">
        <x:v>7</x:v>
      </x:c>
      <x:c r="B4344" t="str">
        <x:v>Heart</x:v>
      </x:c>
      <x:c r="C4344" t="str">
        <x:v>J</x:v>
      </x:c>
      <x:c r="D4344" t="str">
        <x:v>SI1</x:v>
      </x:c>
      <x:c r="E4344" s="36" t="n">
        <x:v>332000</x:v>
      </x:c>
      <x:c r="F4344" s="36" t="n">
        <x:v>2195</x:v>
      </x:c>
      <x:c r="G4344" s="42" t="n">
        <x:v>0.47082797082797084</x:v>
      </x:c>
      <x:c r="H4344" s="36" t="n">
        <x:f>E4344*G4344</x:f>
        <x:v>156314.88631488633</x:v>
      </x:c>
      <x:c r="I4344" s="36" t="n">
        <x:f>IFERROR(H4344/A4344,0)</x:f>
        <x:v>22330.69804498376</x:v>
      </x:c>
      <x:c r="J4344" s="67" t="str">
        <x:v>Modeled from live base + Sep-2026 quality ratio</x:v>
      </x:c>
      <x:c r="K4344" s="67" t="str">
        <x:v>https://www.stonealgo.com/diamond-prices/</x:v>
      </x:c>
      <x:c r="L4344" s="67" t="str">
        <x:v>https://www.pricescope.com/blog/natural-diamond-prices-september-2026</x:v>
      </x:c>
    </x:row>
    <x:row r="4345">
      <x:c r="A4345" t="n">
        <x:v>7</x:v>
      </x:c>
      <x:c r="B4345" t="str">
        <x:v>Heart</x:v>
      </x:c>
      <x:c r="C4345" t="str">
        <x:v>J</x:v>
      </x:c>
      <x:c r="D4345" t="str">
        <x:v>SI2</x:v>
      </x:c>
      <x:c r="E4345" s="36" t="n">
        <x:v>332000</x:v>
      </x:c>
      <x:c r="F4345" s="36" t="n">
        <x:v>2079</x:v>
      </x:c>
      <x:c r="G4345" s="42" t="n">
        <x:v>0.44594594594594594</x:v>
      </x:c>
      <x:c r="H4345" s="36" t="n">
        <x:f>E4345*G4345</x:f>
        <x:v>148054.05405405405</x:v>
      </x:c>
      <x:c r="I4345" s="36" t="n">
        <x:f>IFERROR(H4345/A4345,0)</x:f>
        <x:v>21150.57915057915</x:v>
      </x:c>
      <x:c r="J4345" s="67" t="str">
        <x:v>Modeled from live base + Sep-2026 quality ratio</x:v>
      </x:c>
      <x:c r="K4345" s="67" t="str">
        <x:v>https://www.stonealgo.com/diamond-prices/</x:v>
      </x:c>
      <x:c r="L4345" s="67" t="str">
        <x:v>https://www.pricescope.com/blog/natural-diamond-prices-september-2026</x:v>
      </x:c>
    </x:row>
    <x:row r="4346">
      <x:c r="A4346" t="n">
        <x:v>7</x:v>
      </x:c>
      <x:c r="B4346" t="str">
        <x:v>Heart</x:v>
      </x:c>
      <x:c r="C4346" t="str">
        <x:v>K</x:v>
      </x:c>
      <x:c r="D4346" t="str">
        <x:v>FL</x:v>
      </x:c>
      <x:c r="E4346" s="36" t="n">
        <x:v>332000</x:v>
      </x:c>
      <x:c r="F4346" s="36" t="n">
        <x:v>2858</x:v>
      </x:c>
      <x:c r="G4346" s="42" t="n">
        <x:v>0.6130416130416131</x:v>
      </x:c>
      <x:c r="H4346" s="36" t="n">
        <x:f>E4346*G4346</x:f>
        <x:v>203529.81552981553</x:v>
      </x:c>
      <x:c r="I4346" s="36" t="n">
        <x:f>IFERROR(H4346/A4346,0)</x:f>
        <x:v>29075.68793283079</x:v>
      </x:c>
      <x:c r="J4346" s="67" t="str">
        <x:v>Modeled from live base + Sep-2026 quality ratio; K/FL quality cell modeled</x:v>
      </x:c>
      <x:c r="K4346" s="67" t="str">
        <x:v>https://www.stonealgo.com/diamond-prices/</x:v>
      </x:c>
      <x:c r="L4346" s="67" t="str">
        <x:v>https://www.pricescope.com/blog/natural-diamond-prices-september-2026</x:v>
      </x:c>
    </x:row>
    <x:row r="4347">
      <x:c r="A4347" t="n">
        <x:v>7</x:v>
      </x:c>
      <x:c r="B4347" t="str">
        <x:v>Heart</x:v>
      </x:c>
      <x:c r="C4347" t="str">
        <x:v>K</x:v>
      </x:c>
      <x:c r="D4347" t="str">
        <x:v>IF</x:v>
      </x:c>
      <x:c r="E4347" s="36" t="n">
        <x:v>332000</x:v>
      </x:c>
      <x:c r="F4347" s="36" t="n">
        <x:v>2743</x:v>
      </x:c>
      <x:c r="G4347" s="42" t="n">
        <x:v>0.5883740883740883</x:v>
      </x:c>
      <x:c r="H4347" s="36" t="n">
        <x:f>E4347*G4347</x:f>
        <x:v>195340.19734019734</x:v>
      </x:c>
      <x:c r="I4347" s="36" t="n">
        <x:f>IFERROR(H4347/A4347,0)</x:f>
        <x:v>27905.742477171047</x:v>
      </x:c>
      <x:c r="J4347" s="67" t="str">
        <x:v>Modeled from live base + Sep-2026 quality ratio</x:v>
      </x:c>
      <x:c r="K4347" s="67" t="str">
        <x:v>https://www.stonealgo.com/diamond-prices/</x:v>
      </x:c>
      <x:c r="L4347" s="67" t="str">
        <x:v>https://www.pricescope.com/blog/natural-diamond-prices-september-2026</x:v>
      </x:c>
    </x:row>
    <x:row r="4348">
      <x:c r="A4348" t="n">
        <x:v>7</x:v>
      </x:c>
      <x:c r="B4348" t="str">
        <x:v>Heart</x:v>
      </x:c>
      <x:c r="C4348" t="str">
        <x:v>K</x:v>
      </x:c>
      <x:c r="D4348" t="str">
        <x:v>VVS1</x:v>
      </x:c>
      <x:c r="E4348" s="36" t="n">
        <x:v>332000</x:v>
      </x:c>
      <x:c r="F4348" s="36" t="n">
        <x:v>2529</x:v>
      </x:c>
      <x:c r="G4348" s="42" t="n">
        <x:v>0.5424710424710425</x:v>
      </x:c>
      <x:c r="H4348" s="36" t="n">
        <x:f>E4348*G4348</x:f>
        <x:v>180100.3861003861</x:v>
      </x:c>
      <x:c r="I4348" s="36" t="n">
        <x:f>IFERROR(H4348/A4348,0)</x:f>
        <x:v>25728.62658576944</x:v>
      </x:c>
      <x:c r="J4348" s="67" t="str">
        <x:v>Modeled from live base + Sep-2026 quality ratio</x:v>
      </x:c>
      <x:c r="K4348" s="67" t="str">
        <x:v>https://www.stonealgo.com/diamond-prices/</x:v>
      </x:c>
      <x:c r="L4348" s="67" t="str">
        <x:v>https://www.pricescope.com/blog/natural-diamond-prices-september-2026</x:v>
      </x:c>
    </x:row>
    <x:row r="4349">
      <x:c r="A4349" t="n">
        <x:v>7</x:v>
      </x:c>
      <x:c r="B4349" t="str">
        <x:v>Heart</x:v>
      </x:c>
      <x:c r="C4349" t="str">
        <x:v>K</x:v>
      </x:c>
      <x:c r="D4349" t="str">
        <x:v>VVS2</x:v>
      </x:c>
      <x:c r="E4349" s="36" t="n">
        <x:v>332000</x:v>
      </x:c>
      <x:c r="F4349" s="36" t="n">
        <x:v>2374</x:v>
      </x:c>
      <x:c r="G4349" s="42" t="n">
        <x:v>0.5092235092235092</x:v>
      </x:c>
      <x:c r="H4349" s="36" t="n">
        <x:f>E4349*G4349</x:f>
        <x:v>169062.20506220506</x:v>
      </x:c>
      <x:c r="I4349" s="36" t="n">
        <x:f>IFERROR(H4349/A4349,0)</x:f>
        <x:v>24151.743580315007</x:v>
      </x:c>
      <x:c r="J4349" s="67" t="str">
        <x:v>Modeled from live base + Sep-2026 quality ratio</x:v>
      </x:c>
      <x:c r="K4349" s="67" t="str">
        <x:v>https://www.stonealgo.com/diamond-prices/</x:v>
      </x:c>
      <x:c r="L4349" s="67" t="str">
        <x:v>https://www.pricescope.com/blog/natural-diamond-prices-september-2026</x:v>
      </x:c>
    </x:row>
    <x:row r="4350">
      <x:c r="A4350" t="n">
        <x:v>7</x:v>
      </x:c>
      <x:c r="B4350" t="str">
        <x:v>Heart</x:v>
      </x:c>
      <x:c r="C4350" t="str">
        <x:v>K</x:v>
      </x:c>
      <x:c r="D4350" t="str">
        <x:v>VS1</x:v>
      </x:c>
      <x:c r="E4350" s="36" t="n">
        <x:v>332000</x:v>
      </x:c>
      <x:c r="F4350" s="36" t="n">
        <x:v>2223</x:v>
      </x:c>
      <x:c r="G4350" s="42" t="n">
        <x:v>0.4768339768339768</x:v>
      </x:c>
      <x:c r="H4350" s="36" t="n">
        <x:f>E4350*G4350</x:f>
        <x:v>158308.8803088803</x:v>
      </x:c>
      <x:c r="I4350" s="36" t="n">
        <x:f>IFERROR(H4350/A4350,0)</x:f>
        <x:v>22615.55432984004</x:v>
      </x:c>
      <x:c r="J4350" s="67" t="str">
        <x:v>Modeled from live base + Sep-2026 quality ratio</x:v>
      </x:c>
      <x:c r="K4350" s="67" t="str">
        <x:v>https://www.stonealgo.com/diamond-prices/</x:v>
      </x:c>
      <x:c r="L4350" s="67" t="str">
        <x:v>https://www.pricescope.com/blog/natural-diamond-prices-september-2026</x:v>
      </x:c>
    </x:row>
    <x:row r="4351">
      <x:c r="A4351" t="n">
        <x:v>7</x:v>
      </x:c>
      <x:c r="B4351" t="str">
        <x:v>Heart</x:v>
      </x:c>
      <x:c r="C4351" t="str">
        <x:v>K</x:v>
      </x:c>
      <x:c r="D4351" t="str">
        <x:v>VS2</x:v>
      </x:c>
      <x:c r="E4351" s="36" t="n">
        <x:v>332000</x:v>
      </x:c>
      <x:c r="F4351" s="36" t="n">
        <x:v>2098</x:v>
      </x:c>
      <x:c r="G4351" s="42" t="n">
        <x:v>0.45002145002145</x:v>
      </x:c>
      <x:c r="H4351" s="36" t="n">
        <x:f>E4351*G4351</x:f>
        <x:v>149407.1214071214</x:v>
      </x:c>
      <x:c r="I4351" s="36" t="n">
        <x:f>IFERROR(H4351/A4351,0)</x:f>
        <x:v>21343.874486731627</x:v>
      </x:c>
      <x:c r="J4351" s="67" t="str">
        <x:v>Modeled from live base + Sep-2026 quality ratio</x:v>
      </x:c>
      <x:c r="K4351" s="67" t="str">
        <x:v>https://www.stonealgo.com/diamond-prices/</x:v>
      </x:c>
      <x:c r="L4351" s="67" t="str">
        <x:v>https://www.pricescope.com/blog/natural-diamond-prices-september-2026</x:v>
      </x:c>
    </x:row>
    <x:row r="4352">
      <x:c r="A4352" t="n">
        <x:v>7</x:v>
      </x:c>
      <x:c r="B4352" t="str">
        <x:v>Heart</x:v>
      </x:c>
      <x:c r="C4352" t="str">
        <x:v>K</x:v>
      </x:c>
      <x:c r="D4352" t="str">
        <x:v>SI1</x:v>
      </x:c>
      <x:c r="E4352" s="36" t="n">
        <x:v>332000</x:v>
      </x:c>
      <x:c r="F4352" s="36" t="n">
        <x:v>1922</x:v>
      </x:c>
      <x:c r="G4352" s="42" t="n">
        <x:v>0.41226941226941227</x:v>
      </x:c>
      <x:c r="H4352" s="36" t="n">
        <x:f>E4352*G4352</x:f>
        <x:v>136873.44487344488</x:v>
      </x:c>
      <x:c r="I4352" s="36" t="n">
        <x:f>IFERROR(H4352/A4352,0)</x:f>
        <x:v>19553.34926763498</x:v>
      </x:c>
      <x:c r="J4352" s="67" t="str">
        <x:v>Modeled from live base + Sep-2026 quality ratio</x:v>
      </x:c>
      <x:c r="K4352" s="67" t="str">
        <x:v>https://www.stonealgo.com/diamond-prices/</x:v>
      </x:c>
      <x:c r="L4352" s="67" t="str">
        <x:v>https://www.pricescope.com/blog/natural-diamond-prices-september-2026</x:v>
      </x:c>
    </x:row>
    <x:row r="4353">
      <x:c r="A4353" t="n">
        <x:v>7</x:v>
      </x:c>
      <x:c r="B4353" t="str">
        <x:v>Heart</x:v>
      </x:c>
      <x:c r="C4353" t="str">
        <x:v>K</x:v>
      </x:c>
      <x:c r="D4353" t="str">
        <x:v>SI2</x:v>
      </x:c>
      <x:c r="E4353" s="36" t="n">
        <x:v>332000</x:v>
      </x:c>
      <x:c r="F4353" s="36" t="n">
        <x:v>1764</x:v>
      </x:c>
      <x:c r="G4353" s="42" t="n">
        <x:v>0.3783783783783784</x:v>
      </x:c>
      <x:c r="H4353" s="36" t="n">
        <x:f>E4353*G4353</x:f>
        <x:v>125621.62162162163</x:v>
      </x:c>
      <x:c r="I4353" s="36" t="n">
        <x:f>IFERROR(H4353/A4353,0)</x:f>
        <x:v>17945.945945945947</x:v>
      </x:c>
      <x:c r="J4353" s="67" t="str">
        <x:v>Modeled from live base + Sep-2026 quality ratio</x:v>
      </x:c>
      <x:c r="K4353" s="67" t="str">
        <x:v>https://www.stonealgo.com/diamond-prices/</x:v>
      </x:c>
      <x:c r="L4353" s="67" t="str">
        <x:v>https://www.pricescope.com/blog/natural-diamond-prices-september-2026</x:v>
      </x:c>
    </x:row>
    <x:row r="4354">
      <x:c r="A4354" t="n">
        <x:v>7</x:v>
      </x:c>
      <x:c r="B4354" t="str">
        <x:v>Marquise</x:v>
      </x:c>
      <x:c r="C4354" t="str">
        <x:v>D</x:v>
      </x:c>
      <x:c r="D4354" t="str">
        <x:v>FL</x:v>
      </x:c>
      <x:c r="E4354" s="36" t="n">
        <x:v>231000</x:v>
      </x:c>
      <x:c r="F4354" s="36" t="n">
        <x:v>12665</x:v>
      </x:c>
      <x:c r="G4354" s="42" t="n">
        <x:v>2.7166452166452166</x:v>
      </x:c>
      <x:c r="H4354" s="36" t="n">
        <x:f>E4354*G4354</x:f>
        <x:v>627545.0450450451</x:v>
      </x:c>
      <x:c r="I4354" s="36" t="n">
        <x:f>IFERROR(H4354/A4354,0)</x:f>
        <x:v>89649.29214929216</x:v>
      </x:c>
      <x:c r="J4354" s="67" t="str">
        <x:v>Modeled from live base + Sep-2026 quality ratio</x:v>
      </x:c>
      <x:c r="K4354" s="67" t="str">
        <x:v>https://www.stonealgo.com/diamond-prices/</x:v>
      </x:c>
      <x:c r="L4354" s="67" t="str">
        <x:v>https://www.pricescope.com/blog/natural-diamond-prices-september-2026</x:v>
      </x:c>
    </x:row>
    <x:row r="4355">
      <x:c r="A4355" t="n">
        <x:v>7</x:v>
      </x:c>
      <x:c r="B4355" t="str">
        <x:v>Marquise</x:v>
      </x:c>
      <x:c r="C4355" t="str">
        <x:v>D</x:v>
      </x:c>
      <x:c r="D4355" t="str">
        <x:v>IF</x:v>
      </x:c>
      <x:c r="E4355" s="36" t="n">
        <x:v>231000</x:v>
      </x:c>
      <x:c r="F4355" s="36" t="n">
        <x:v>13240</x:v>
      </x:c>
      <x:c r="G4355" s="42" t="n">
        <x:v>2.83998283998284</x:v>
      </x:c>
      <x:c r="H4355" s="36" t="n">
        <x:f>E4355*G4355</x:f>
        <x:v>656036.0360360361</x:v>
      </x:c>
      <x:c r="I4355" s="36" t="n">
        <x:f>IFERROR(H4355/A4355,0)</x:f>
        <x:v>93719.43371943373</x:v>
      </x:c>
      <x:c r="J4355" s="67" t="str">
        <x:v>Modeled from live base + Sep-2026 quality ratio</x:v>
      </x:c>
      <x:c r="K4355" s="67" t="str">
        <x:v>https://www.stonealgo.com/diamond-prices/</x:v>
      </x:c>
      <x:c r="L4355" s="67" t="str">
        <x:v>https://www.pricescope.com/blog/natural-diamond-prices-september-2026</x:v>
      </x:c>
    </x:row>
    <x:row r="4356">
      <x:c r="A4356" t="n">
        <x:v>7</x:v>
      </x:c>
      <x:c r="B4356" t="str">
        <x:v>Marquise</x:v>
      </x:c>
      <x:c r="C4356" t="str">
        <x:v>D</x:v>
      </x:c>
      <x:c r="D4356" t="str">
        <x:v>VVS1</x:v>
      </x:c>
      <x:c r="E4356" s="36" t="n">
        <x:v>231000</x:v>
      </x:c>
      <x:c r="F4356" s="36" t="n">
        <x:v>9555</x:v>
      </x:c>
      <x:c r="G4356" s="42" t="n">
        <x:v>2.0495495495495497</x:v>
      </x:c>
      <x:c r="H4356" s="36" t="n">
        <x:f>E4356*G4356</x:f>
        <x:v>473445.945945946</x:v>
      </x:c>
      <x:c r="I4356" s="36" t="n">
        <x:f>IFERROR(H4356/A4356,0)</x:f>
        <x:v>67635.13513513513</x:v>
      </x:c>
      <x:c r="J4356" s="67" t="str">
        <x:v>Modeled from live base + Sep-2026 quality ratio</x:v>
      </x:c>
      <x:c r="K4356" s="67" t="str">
        <x:v>https://www.stonealgo.com/diamond-prices/</x:v>
      </x:c>
      <x:c r="L4356" s="67" t="str">
        <x:v>https://www.pricescope.com/blog/natural-diamond-prices-september-2026</x:v>
      </x:c>
    </x:row>
    <x:row r="4357">
      <x:c r="A4357" t="n">
        <x:v>7</x:v>
      </x:c>
      <x:c r="B4357" t="str">
        <x:v>Marquise</x:v>
      </x:c>
      <x:c r="C4357" t="str">
        <x:v>D</x:v>
      </x:c>
      <x:c r="D4357" t="str">
        <x:v>VVS2</x:v>
      </x:c>
      <x:c r="E4357" s="36" t="n">
        <x:v>231000</x:v>
      </x:c>
      <x:c r="F4357" s="36" t="n">
        <x:v>6660</x:v>
      </x:c>
      <x:c r="G4357" s="42" t="n">
        <x:v>1.4285714285714286</x:v>
      </x:c>
      <x:c r="H4357" s="36" t="n">
        <x:f>E4357*G4357</x:f>
        <x:v>330000</x:v>
      </x:c>
      <x:c r="I4357" s="36" t="n">
        <x:f>IFERROR(H4357/A4357,0)</x:f>
        <x:v>47142.857142857145</x:v>
      </x:c>
      <x:c r="J4357" s="67" t="str">
        <x:v>Modeled from live base + Sep-2026 quality ratio</x:v>
      </x:c>
      <x:c r="K4357" s="67" t="str">
        <x:v>https://www.stonealgo.com/diamond-prices/</x:v>
      </x:c>
      <x:c r="L4357" s="67" t="str">
        <x:v>https://www.pricescope.com/blog/natural-diamond-prices-september-2026</x:v>
      </x:c>
    </x:row>
    <x:row r="4358">
      <x:c r="A4358" t="n">
        <x:v>7</x:v>
      </x:c>
      <x:c r="B4358" t="str">
        <x:v>Marquise</x:v>
      </x:c>
      <x:c r="C4358" t="str">
        <x:v>D</x:v>
      </x:c>
      <x:c r="D4358" t="str">
        <x:v>VS1</x:v>
      </x:c>
      <x:c r="E4358" s="36" t="n">
        <x:v>231000</x:v>
      </x:c>
      <x:c r="F4358" s="36" t="n">
        <x:v>6247</x:v>
      </x:c>
      <x:c r="G4358" s="42" t="n">
        <x:v>1.33998283998284</x:v>
      </x:c>
      <x:c r="H4358" s="36" t="n">
        <x:f>E4358*G4358</x:f>
        <x:v>309536.03603603604</x:v>
      </x:c>
      <x:c r="I4358" s="36" t="n">
        <x:f>IFERROR(H4358/A4358,0)</x:f>
        <x:v>44219.43371943372</x:v>
      </x:c>
      <x:c r="J4358" s="67" t="str">
        <x:v>Modeled from live base + Sep-2026 quality ratio</x:v>
      </x:c>
      <x:c r="K4358" s="67" t="str">
        <x:v>https://www.stonealgo.com/diamond-prices/</x:v>
      </x:c>
      <x:c r="L4358" s="67" t="str">
        <x:v>https://www.pricescope.com/blog/natural-diamond-prices-september-2026</x:v>
      </x:c>
    </x:row>
    <x:row r="4359">
      <x:c r="A4359" t="n">
        <x:v>7</x:v>
      </x:c>
      <x:c r="B4359" t="str">
        <x:v>Marquise</x:v>
      </x:c>
      <x:c r="C4359" t="str">
        <x:v>D</x:v>
      </x:c>
      <x:c r="D4359" t="str">
        <x:v>VS2</x:v>
      </x:c>
      <x:c r="E4359" s="36" t="n">
        <x:v>231000</x:v>
      </x:c>
      <x:c r="F4359" s="36" t="n">
        <x:v>5841</x:v>
      </x:c>
      <x:c r="G4359" s="42" t="n">
        <x:v>1.252895752895753</x:v>
      </x:c>
      <x:c r="H4359" s="36" t="n">
        <x:f>E4359*G4359</x:f>
        <x:v>289418.91891891893</x:v>
      </x:c>
      <x:c r="I4359" s="36" t="n">
        <x:f>IFERROR(H4359/A4359,0)</x:f>
        <x:v>41345.559845559845</x:v>
      </x:c>
      <x:c r="J4359" s="67" t="str">
        <x:v>Modeled from live base + Sep-2026 quality ratio</x:v>
      </x:c>
      <x:c r="K4359" s="67" t="str">
        <x:v>https://www.stonealgo.com/diamond-prices/</x:v>
      </x:c>
      <x:c r="L4359" s="67" t="str">
        <x:v>https://www.pricescope.com/blog/natural-diamond-prices-september-2026</x:v>
      </x:c>
    </x:row>
    <x:row r="4360">
      <x:c r="A4360" t="n">
        <x:v>7</x:v>
      </x:c>
      <x:c r="B4360" t="str">
        <x:v>Marquise</x:v>
      </x:c>
      <x:c r="C4360" t="str">
        <x:v>D</x:v>
      </x:c>
      <x:c r="D4360" t="str">
        <x:v>SI1</x:v>
      </x:c>
      <x:c r="E4360" s="36" t="n">
        <x:v>231000</x:v>
      </x:c>
      <x:c r="F4360" s="36" t="n">
        <x:v>3762</x:v>
      </x:c>
      <x:c r="G4360" s="42" t="n">
        <x:v>0.806949806949807</x:v>
      </x:c>
      <x:c r="H4360" s="36" t="n">
        <x:f>E4360*G4360</x:f>
        <x:v>186405.4054054054</x:v>
      </x:c>
      <x:c r="I4360" s="36" t="n">
        <x:f>IFERROR(H4360/A4360,0)</x:f>
        <x:v>26629.34362934363</x:v>
      </x:c>
      <x:c r="J4360" s="67" t="str">
        <x:v>Modeled from live base + Sep-2026 quality ratio</x:v>
      </x:c>
      <x:c r="K4360" s="67" t="str">
        <x:v>https://www.stonealgo.com/diamond-prices/</x:v>
      </x:c>
      <x:c r="L4360" s="67" t="str">
        <x:v>https://www.pricescope.com/blog/natural-diamond-prices-september-2026</x:v>
      </x:c>
    </x:row>
    <x:row r="4361">
      <x:c r="A4361" t="n">
        <x:v>7</x:v>
      </x:c>
      <x:c r="B4361" t="str">
        <x:v>Marquise</x:v>
      </x:c>
      <x:c r="C4361" t="str">
        <x:v>D</x:v>
      </x:c>
      <x:c r="D4361" t="str">
        <x:v>SI2</x:v>
      </x:c>
      <x:c r="E4361" s="36" t="n">
        <x:v>231000</x:v>
      </x:c>
      <x:c r="F4361" s="36" t="n">
        <x:v>3026</x:v>
      </x:c>
      <x:c r="G4361" s="42" t="n">
        <x:v>0.6490776490776491</x:v>
      </x:c>
      <x:c r="H4361" s="36" t="n">
        <x:f>E4361*G4361</x:f>
        <x:v>149936.93693693695</x:v>
      </x:c>
      <x:c r="I4361" s="36" t="n">
        <x:f>IFERROR(H4361/A4361,0)</x:f>
        <x:v>21419.562419562422</x:v>
      </x:c>
      <x:c r="J4361" s="67" t="str">
        <x:v>Modeled from live base + Sep-2026 quality ratio</x:v>
      </x:c>
      <x:c r="K4361" s="67" t="str">
        <x:v>https://www.stonealgo.com/diamond-prices/</x:v>
      </x:c>
      <x:c r="L4361" s="67" t="str">
        <x:v>https://www.pricescope.com/blog/natural-diamond-prices-september-2026</x:v>
      </x:c>
    </x:row>
    <x:row r="4362">
      <x:c r="A4362" t="n">
        <x:v>7</x:v>
      </x:c>
      <x:c r="B4362" t="str">
        <x:v>Marquise</x:v>
      </x:c>
      <x:c r="C4362" t="str">
        <x:v>E</x:v>
      </x:c>
      <x:c r="D4362" t="str">
        <x:v>FL</x:v>
      </x:c>
      <x:c r="E4362" s="36" t="n">
        <x:v>231000</x:v>
      </x:c>
      <x:c r="F4362" s="36" t="n">
        <x:v>10072</x:v>
      </x:c>
      <x:c r="G4362" s="42" t="n">
        <x:v>2.1604461604461602</x:v>
      </x:c>
      <x:c r="H4362" s="36" t="n">
        <x:f>E4362*G4362</x:f>
        <x:v>499063.063063063</x:v>
      </x:c>
      <x:c r="I4362" s="36" t="n">
        <x:f>IFERROR(H4362/A4362,0)</x:f>
        <x:v>71294.72329472328</x:v>
      </x:c>
      <x:c r="J4362" s="67" t="str">
        <x:v>Modeled from live base + Sep-2026 quality ratio</x:v>
      </x:c>
      <x:c r="K4362" s="67" t="str">
        <x:v>https://www.stonealgo.com/diamond-prices/</x:v>
      </x:c>
      <x:c r="L4362" s="67" t="str">
        <x:v>https://www.pricescope.com/blog/natural-diamond-prices-september-2026</x:v>
      </x:c>
    </x:row>
    <x:row r="4363">
      <x:c r="A4363" t="n">
        <x:v>7</x:v>
      </x:c>
      <x:c r="B4363" t="str">
        <x:v>Marquise</x:v>
      </x:c>
      <x:c r="C4363" t="str">
        <x:v>E</x:v>
      </x:c>
      <x:c r="D4363" t="str">
        <x:v>IF</x:v>
      </x:c>
      <x:c r="E4363" s="36" t="n">
        <x:v>231000</x:v>
      </x:c>
      <x:c r="F4363" s="36" t="n">
        <x:v>8672</x:v>
      </x:c>
      <x:c r="G4363" s="42" t="n">
        <x:v>1.8601458601458603</x:v>
      </x:c>
      <x:c r="H4363" s="36" t="n">
        <x:f>E4363*G4363</x:f>
        <x:v>429693.6936936937</x:v>
      </x:c>
      <x:c r="I4363" s="36" t="n">
        <x:f>IFERROR(H4363/A4363,0)</x:f>
        <x:v>61384.81338481339</x:v>
      </x:c>
      <x:c r="J4363" s="67" t="str">
        <x:v>Modeled from live base + Sep-2026 quality ratio</x:v>
      </x:c>
      <x:c r="K4363" s="67" t="str">
        <x:v>https://www.stonealgo.com/diamond-prices/</x:v>
      </x:c>
      <x:c r="L4363" s="67" t="str">
        <x:v>https://www.pricescope.com/blog/natural-diamond-prices-september-2026</x:v>
      </x:c>
    </x:row>
    <x:row r="4364">
      <x:c r="A4364" t="n">
        <x:v>7</x:v>
      </x:c>
      <x:c r="B4364" t="str">
        <x:v>Marquise</x:v>
      </x:c>
      <x:c r="C4364" t="str">
        <x:v>E</x:v>
      </x:c>
      <x:c r="D4364" t="str">
        <x:v>VVS1</x:v>
      </x:c>
      <x:c r="E4364" s="36" t="n">
        <x:v>231000</x:v>
      </x:c>
      <x:c r="F4364" s="36" t="n">
        <x:v>7842</x:v>
      </x:c>
      <x:c r="G4364" s="42" t="n">
        <x:v>1.6821106821106822</x:v>
      </x:c>
      <x:c r="H4364" s="36" t="n">
        <x:f>E4364*G4364</x:f>
        <x:v>388567.5675675676</x:v>
      </x:c>
      <x:c r="I4364" s="36" t="n">
        <x:f>IFERROR(H4364/A4364,0)</x:f>
        <x:v>55509.65250965251</x:v>
      </x:c>
      <x:c r="J4364" s="67" t="str">
        <x:v>Modeled from live base + Sep-2026 quality ratio</x:v>
      </x:c>
      <x:c r="K4364" s="67" t="str">
        <x:v>https://www.stonealgo.com/diamond-prices/</x:v>
      </x:c>
      <x:c r="L4364" s="67" t="str">
        <x:v>https://www.pricescope.com/blog/natural-diamond-prices-september-2026</x:v>
      </x:c>
    </x:row>
    <x:row r="4365">
      <x:c r="A4365" t="n">
        <x:v>7</x:v>
      </x:c>
      <x:c r="B4365" t="str">
        <x:v>Marquise</x:v>
      </x:c>
      <x:c r="C4365" t="str">
        <x:v>E</x:v>
      </x:c>
      <x:c r="D4365" t="str">
        <x:v>VVS2</x:v>
      </x:c>
      <x:c r="E4365" s="36" t="n">
        <x:v>231000</x:v>
      </x:c>
      <x:c r="F4365" s="36" t="n">
        <x:v>6880</x:v>
      </x:c>
      <x:c r="G4365" s="42" t="n">
        <x:v>1.4757614757614759</x:v>
      </x:c>
      <x:c r="H4365" s="36" t="n">
        <x:f>E4365*G4365</x:f>
        <x:v>340900.90090090095</x:v>
      </x:c>
      <x:c r="I4365" s="36" t="n">
        <x:f>IFERROR(H4365/A4365,0)</x:f>
        <x:v>48700.128700128706</x:v>
      </x:c>
      <x:c r="J4365" s="67" t="str">
        <x:v>Modeled from live base + Sep-2026 quality ratio</x:v>
      </x:c>
      <x:c r="K4365" s="67" t="str">
        <x:v>https://www.stonealgo.com/diamond-prices/</x:v>
      </x:c>
      <x:c r="L4365" s="67" t="str">
        <x:v>https://www.pricescope.com/blog/natural-diamond-prices-september-2026</x:v>
      </x:c>
    </x:row>
    <x:row r="4366">
      <x:c r="A4366" t="n">
        <x:v>7</x:v>
      </x:c>
      <x:c r="B4366" t="str">
        <x:v>Marquise</x:v>
      </x:c>
      <x:c r="C4366" t="str">
        <x:v>E</x:v>
      </x:c>
      <x:c r="D4366" t="str">
        <x:v>VS1</x:v>
      </x:c>
      <x:c r="E4366" s="36" t="n">
        <x:v>231000</x:v>
      </x:c>
      <x:c r="F4366" s="36" t="n">
        <x:v>6307</x:v>
      </x:c>
      <x:c r="G4366" s="42" t="n">
        <x:v>1.352852852852853</x:v>
      </x:c>
      <x:c r="H4366" s="36" t="n">
        <x:f>E4366*G4366</x:f>
        <x:v>312509.00900900905</x:v>
      </x:c>
      <x:c r="I4366" s="36" t="n">
        <x:f>IFERROR(H4366/A4366,0)</x:f>
        <x:v>44644.14414414415</x:v>
      </x:c>
      <x:c r="J4366" s="67" t="str">
        <x:v>Modeled from live base + Sep-2026 quality ratio</x:v>
      </x:c>
      <x:c r="K4366" s="67" t="str">
        <x:v>https://www.stonealgo.com/diamond-prices/</x:v>
      </x:c>
      <x:c r="L4366" s="67" t="str">
        <x:v>https://www.pricescope.com/blog/natural-diamond-prices-september-2026</x:v>
      </x:c>
    </x:row>
    <x:row r="4367">
      <x:c r="A4367" t="n">
        <x:v>7</x:v>
      </x:c>
      <x:c r="B4367" t="str">
        <x:v>Marquise</x:v>
      </x:c>
      <x:c r="C4367" t="str">
        <x:v>E</x:v>
      </x:c>
      <x:c r="D4367" t="str">
        <x:v>VS2</x:v>
      </x:c>
      <x:c r="E4367" s="36" t="n">
        <x:v>231000</x:v>
      </x:c>
      <x:c r="F4367" s="36" t="n">
        <x:v>5249</x:v>
      </x:c>
      <x:c r="G4367" s="42" t="n">
        <x:v>1.125911625911626</x:v>
      </x:c>
      <x:c r="H4367" s="36" t="n">
        <x:f>E4367*G4367</x:f>
        <x:v>260085.5855855856</x:v>
      </x:c>
      <x:c r="I4367" s="36" t="n">
        <x:f>IFERROR(H4367/A4367,0)</x:f>
        <x:v>37155.083655083654</x:v>
      </x:c>
      <x:c r="J4367" s="67" t="str">
        <x:v>Modeled from live base + Sep-2026 quality ratio</x:v>
      </x:c>
      <x:c r="K4367" s="67" t="str">
        <x:v>https://www.stonealgo.com/diamond-prices/</x:v>
      </x:c>
      <x:c r="L4367" s="67" t="str">
        <x:v>https://www.pricescope.com/blog/natural-diamond-prices-september-2026</x:v>
      </x:c>
    </x:row>
    <x:row r="4368">
      <x:c r="A4368" t="n">
        <x:v>7</x:v>
      </x:c>
      <x:c r="B4368" t="str">
        <x:v>Marquise</x:v>
      </x:c>
      <x:c r="C4368" t="str">
        <x:v>E</x:v>
      </x:c>
      <x:c r="D4368" t="str">
        <x:v>SI1</x:v>
      </x:c>
      <x:c r="E4368" s="36" t="n">
        <x:v>231000</x:v>
      </x:c>
      <x:c r="F4368" s="36" t="n">
        <x:v>3551</x:v>
      </x:c>
      <x:c r="G4368" s="42" t="n">
        <x:v>0.7616902616902617</x:v>
      </x:c>
      <x:c r="H4368" s="36" t="n">
        <x:f>E4368*G4368</x:f>
        <x:v>175950.45045045044</x:v>
      </x:c>
      <x:c r="I4368" s="36" t="n">
        <x:f>IFERROR(H4368/A4368,0)</x:f>
        <x:v>25135.778635778635</x:v>
      </x:c>
      <x:c r="J4368" s="67" t="str">
        <x:v>Modeled from live base + Sep-2026 quality ratio</x:v>
      </x:c>
      <x:c r="K4368" s="67" t="str">
        <x:v>https://www.stonealgo.com/diamond-prices/</x:v>
      </x:c>
      <x:c r="L4368" s="67" t="str">
        <x:v>https://www.pricescope.com/blog/natural-diamond-prices-september-2026</x:v>
      </x:c>
    </x:row>
    <x:row r="4369">
      <x:c r="A4369" t="n">
        <x:v>7</x:v>
      </x:c>
      <x:c r="B4369" t="str">
        <x:v>Marquise</x:v>
      </x:c>
      <x:c r="C4369" t="str">
        <x:v>E</x:v>
      </x:c>
      <x:c r="D4369" t="str">
        <x:v>SI2</x:v>
      </x:c>
      <x:c r="E4369" s="36" t="n">
        <x:v>231000</x:v>
      </x:c>
      <x:c r="F4369" s="36" t="n">
        <x:v>2993</x:v>
      </x:c>
      <x:c r="G4369" s="42" t="n">
        <x:v>0.641999141999142</x:v>
      </x:c>
      <x:c r="H4369" s="36" t="n">
        <x:f>E4369*G4369</x:f>
        <x:v>148301.8018018018</x:v>
      </x:c>
      <x:c r="I4369" s="36" t="n">
        <x:f>IFERROR(H4369/A4369,0)</x:f>
        <x:v>21185.971685971686</x:v>
      </x:c>
      <x:c r="J4369" s="67" t="str">
        <x:v>Modeled from live base + Sep-2026 quality ratio</x:v>
      </x:c>
      <x:c r="K4369" s="67" t="str">
        <x:v>https://www.stonealgo.com/diamond-prices/</x:v>
      </x:c>
      <x:c r="L4369" s="67" t="str">
        <x:v>https://www.pricescope.com/blog/natural-diamond-prices-september-2026</x:v>
      </x:c>
    </x:row>
    <x:row r="4370">
      <x:c r="A4370" t="n">
        <x:v>7</x:v>
      </x:c>
      <x:c r="B4370" t="str">
        <x:v>Marquise</x:v>
      </x:c>
      <x:c r="C4370" t="str">
        <x:v>F</x:v>
      </x:c>
      <x:c r="D4370" t="str">
        <x:v>FL</x:v>
      </x:c>
      <x:c r="E4370" s="36" t="n">
        <x:v>231000</x:v>
      </x:c>
      <x:c r="F4370" s="36" t="n">
        <x:v>6830</x:v>
      </x:c>
      <x:c r="G4370" s="42" t="n">
        <x:v>1.4650364650364651</x:v>
      </x:c>
      <x:c r="H4370" s="36" t="n">
        <x:f>E4370*G4370</x:f>
        <x:v>338423.42342342343</x:v>
      </x:c>
      <x:c r="I4370" s="36" t="n">
        <x:f>IFERROR(H4370/A4370,0)</x:f>
        <x:v>48346.20334620335</x:v>
      </x:c>
      <x:c r="J4370" s="67" t="str">
        <x:v>Modeled from live base + Sep-2026 quality ratio</x:v>
      </x:c>
      <x:c r="K4370" s="67" t="str">
        <x:v>https://www.stonealgo.com/diamond-prices/</x:v>
      </x:c>
      <x:c r="L4370" s="67" t="str">
        <x:v>https://www.pricescope.com/blog/natural-diamond-prices-september-2026</x:v>
      </x:c>
    </x:row>
    <x:row r="4371">
      <x:c r="A4371" t="n">
        <x:v>7</x:v>
      </x:c>
      <x:c r="B4371" t="str">
        <x:v>Marquise</x:v>
      </x:c>
      <x:c r="C4371" t="str">
        <x:v>F</x:v>
      </x:c>
      <x:c r="D4371" t="str">
        <x:v>IF</x:v>
      </x:c>
      <x:c r="E4371" s="36" t="n">
        <x:v>231000</x:v>
      </x:c>
      <x:c r="F4371" s="36" t="n">
        <x:v>7302</x:v>
      </x:c>
      <x:c r="G4371" s="42" t="n">
        <x:v>1.5662805662805663</x:v>
      </x:c>
      <x:c r="H4371" s="36" t="n">
        <x:f>E4371*G4371</x:f>
        <x:v>361810.8108108108</x:v>
      </x:c>
      <x:c r="I4371" s="36" t="n">
        <x:f>IFERROR(H4371/A4371,0)</x:f>
        <x:v>51687.25868725869</x:v>
      </x:c>
      <x:c r="J4371" s="67" t="str">
        <x:v>Modeled from live base + Sep-2026 quality ratio</x:v>
      </x:c>
      <x:c r="K4371" s="67" t="str">
        <x:v>https://www.stonealgo.com/diamond-prices/</x:v>
      </x:c>
      <x:c r="L4371" s="67" t="str">
        <x:v>https://www.pricescope.com/blog/natural-diamond-prices-september-2026</x:v>
      </x:c>
    </x:row>
    <x:row r="4372">
      <x:c r="A4372" t="n">
        <x:v>7</x:v>
      </x:c>
      <x:c r="B4372" t="str">
        <x:v>Marquise</x:v>
      </x:c>
      <x:c r="C4372" t="str">
        <x:v>F</x:v>
      </x:c>
      <x:c r="D4372" t="str">
        <x:v>VVS1</x:v>
      </x:c>
      <x:c r="E4372" s="36" t="n">
        <x:v>231000</x:v>
      </x:c>
      <x:c r="F4372" s="36" t="n">
        <x:v>7542</x:v>
      </x:c>
      <x:c r="G4372" s="42" t="n">
        <x:v>1.6177606177606179</x:v>
      </x:c>
      <x:c r="H4372" s="36" t="n">
        <x:f>E4372*G4372</x:f>
        <x:v>373702.7027027027</x:v>
      </x:c>
      <x:c r="I4372" s="36" t="n">
        <x:f>IFERROR(H4372/A4372,0)</x:f>
        <x:v>53386.10038610039</x:v>
      </x:c>
      <x:c r="J4372" s="67" t="str">
        <x:v>Modeled from live base + Sep-2026 quality ratio</x:v>
      </x:c>
      <x:c r="K4372" s="67" t="str">
        <x:v>https://www.stonealgo.com/diamond-prices/</x:v>
      </x:c>
      <x:c r="L4372" s="67" t="str">
        <x:v>https://www.pricescope.com/blog/natural-diamond-prices-september-2026</x:v>
      </x:c>
    </x:row>
    <x:row r="4373">
      <x:c r="A4373" t="n">
        <x:v>7</x:v>
      </x:c>
      <x:c r="B4373" t="str">
        <x:v>Marquise</x:v>
      </x:c>
      <x:c r="C4373" t="str">
        <x:v>F</x:v>
      </x:c>
      <x:c r="D4373" t="str">
        <x:v>VVS2</x:v>
      </x:c>
      <x:c r="E4373" s="36" t="n">
        <x:v>231000</x:v>
      </x:c>
      <x:c r="F4373" s="36" t="n">
        <x:v>6352</x:v>
      </x:c>
      <x:c r="G4373" s="42" t="n">
        <x:v>1.3625053625053625</x:v>
      </x:c>
      <x:c r="H4373" s="36" t="n">
        <x:f>E4373*G4373</x:f>
        <x:v>314738.73873873876</x:v>
      </x:c>
      <x:c r="I4373" s="36" t="n">
        <x:f>IFERROR(H4373/A4373,0)</x:f>
        <x:v>44962.67696267697</x:v>
      </x:c>
      <x:c r="J4373" s="67" t="str">
        <x:v>Modeled from live base + Sep-2026 quality ratio</x:v>
      </x:c>
      <x:c r="K4373" s="67" t="str">
        <x:v>https://www.stonealgo.com/diamond-prices/</x:v>
      </x:c>
      <x:c r="L4373" s="67" t="str">
        <x:v>https://www.pricescope.com/blog/natural-diamond-prices-september-2026</x:v>
      </x:c>
    </x:row>
    <x:row r="4374">
      <x:c r="A4374" t="n">
        <x:v>7</x:v>
      </x:c>
      <x:c r="B4374" t="str">
        <x:v>Marquise</x:v>
      </x:c>
      <x:c r="C4374" t="str">
        <x:v>F</x:v>
      </x:c>
      <x:c r="D4374" t="str">
        <x:v>VS1</x:v>
      </x:c>
      <x:c r="E4374" s="36" t="n">
        <x:v>231000</x:v>
      </x:c>
      <x:c r="F4374" s="36" t="n">
        <x:v>5647</x:v>
      </x:c>
      <x:c r="G4374" s="42" t="n">
        <x:v>1.2112827112827114</x:v>
      </x:c>
      <x:c r="H4374" s="36" t="n">
        <x:f>E4374*G4374</x:f>
        <x:v>279806.30630630633</x:v>
      </x:c>
      <x:c r="I4374" s="36" t="n">
        <x:f>IFERROR(H4374/A4374,0)</x:f>
        <x:v>39972.329472329475</x:v>
      </x:c>
      <x:c r="J4374" s="67" t="str">
        <x:v>Modeled from live base + Sep-2026 quality ratio</x:v>
      </x:c>
      <x:c r="K4374" s="67" t="str">
        <x:v>https://www.stonealgo.com/diamond-prices/</x:v>
      </x:c>
      <x:c r="L4374" s="67" t="str">
        <x:v>https://www.pricescope.com/blog/natural-diamond-prices-september-2026</x:v>
      </x:c>
    </x:row>
    <x:row r="4375">
      <x:c r="A4375" t="n">
        <x:v>7</x:v>
      </x:c>
      <x:c r="B4375" t="str">
        <x:v>Marquise</x:v>
      </x:c>
      <x:c r="C4375" t="str">
        <x:v>F</x:v>
      </x:c>
      <x:c r="D4375" t="str">
        <x:v>VS2</x:v>
      </x:c>
      <x:c r="E4375" s="36" t="n">
        <x:v>231000</x:v>
      </x:c>
      <x:c r="F4375" s="36" t="n">
        <x:v>4730</x:v>
      </x:c>
      <x:c r="G4375" s="42" t="n">
        <x:v>1.0145860145860146</x:v>
      </x:c>
      <x:c r="H4375" s="36" t="n">
        <x:f>E4375*G4375</x:f>
        <x:v>234369.36936936938</x:v>
      </x:c>
      <x:c r="I4375" s="36" t="n">
        <x:f>IFERROR(H4375/A4375,0)</x:f>
        <x:v>33481.338481338484</x:v>
      </x:c>
      <x:c r="J4375" s="67" t="str">
        <x:v>Modeled from live base + Sep-2026 quality ratio</x:v>
      </x:c>
      <x:c r="K4375" s="67" t="str">
        <x:v>https://www.stonealgo.com/diamond-prices/</x:v>
      </x:c>
      <x:c r="L4375" s="67" t="str">
        <x:v>https://www.pricescope.com/blog/natural-diamond-prices-september-2026</x:v>
      </x:c>
    </x:row>
    <x:row r="4376">
      <x:c r="A4376" t="n">
        <x:v>7</x:v>
      </x:c>
      <x:c r="B4376" t="str">
        <x:v>Marquise</x:v>
      </x:c>
      <x:c r="C4376" t="str">
        <x:v>F</x:v>
      </x:c>
      <x:c r="D4376" t="str">
        <x:v>SI1</x:v>
      </x:c>
      <x:c r="E4376" s="36" t="n">
        <x:v>231000</x:v>
      </x:c>
      <x:c r="F4376" s="36" t="n">
        <x:v>3331</x:v>
      </x:c>
      <x:c r="G4376" s="42" t="n">
        <x:v>0.7145002145002145</x:v>
      </x:c>
      <x:c r="H4376" s="36" t="n">
        <x:f>E4376*G4376</x:f>
        <x:v>165049.54954954956</x:v>
      </x:c>
      <x:c r="I4376" s="36" t="n">
        <x:f>IFERROR(H4376/A4376,0)</x:f>
        <x:v>23578.50707850708</x:v>
      </x:c>
      <x:c r="J4376" s="67" t="str">
        <x:v>Modeled from live base + Sep-2026 quality ratio</x:v>
      </x:c>
      <x:c r="K4376" s="67" t="str">
        <x:v>https://www.stonealgo.com/diamond-prices/</x:v>
      </x:c>
      <x:c r="L4376" s="67" t="str">
        <x:v>https://www.pricescope.com/blog/natural-diamond-prices-september-2026</x:v>
      </x:c>
    </x:row>
    <x:row r="4377">
      <x:c r="A4377" t="n">
        <x:v>7</x:v>
      </x:c>
      <x:c r="B4377" t="str">
        <x:v>Marquise</x:v>
      </x:c>
      <x:c r="C4377" t="str">
        <x:v>F</x:v>
      </x:c>
      <x:c r="D4377" t="str">
        <x:v>SI2</x:v>
      </x:c>
      <x:c r="E4377" s="36" t="n">
        <x:v>231000</x:v>
      </x:c>
      <x:c r="F4377" s="36" t="n">
        <x:v>2733</x:v>
      </x:c>
      <x:c r="G4377" s="42" t="n">
        <x:v>0.5862290862290862</x:v>
      </x:c>
      <x:c r="H4377" s="36" t="n">
        <x:f>E4377*G4377</x:f>
        <x:v>135418.9189189189</x:v>
      </x:c>
      <x:c r="I4377" s="36" t="n">
        <x:f>IFERROR(H4377/A4377,0)</x:f>
        <x:v>19345.559845559845</x:v>
      </x:c>
      <x:c r="J4377" s="67" t="str">
        <x:v>Modeled from live base + Sep-2026 quality ratio</x:v>
      </x:c>
      <x:c r="K4377" s="67" t="str">
        <x:v>https://www.stonealgo.com/diamond-prices/</x:v>
      </x:c>
      <x:c r="L4377" s="67" t="str">
        <x:v>https://www.pricescope.com/blog/natural-diamond-prices-september-2026</x:v>
      </x:c>
    </x:row>
    <x:row r="4378">
      <x:c r="A4378" t="n">
        <x:v>7</x:v>
      </x:c>
      <x:c r="B4378" t="str">
        <x:v>Marquise</x:v>
      </x:c>
      <x:c r="C4378" t="str">
        <x:v>G</x:v>
      </x:c>
      <x:c r="D4378" t="str">
        <x:v>FL</x:v>
      </x:c>
      <x:c r="E4378" s="36" t="n">
        <x:v>231000</x:v>
      </x:c>
      <x:c r="F4378" s="36" t="n">
        <x:v>5905</x:v>
      </x:c>
      <x:c r="G4378" s="42" t="n">
        <x:v>1.2666237666237665</x:v>
      </x:c>
      <x:c r="H4378" s="36" t="n">
        <x:f>E4378*G4378</x:f>
        <x:v>292590.09009009006</x:v>
      </x:c>
      <x:c r="I4378" s="36" t="n">
        <x:f>IFERROR(H4378/A4378,0)</x:f>
        <x:v>41798.5842985843</x:v>
      </x:c>
      <x:c r="J4378" s="67" t="str">
        <x:v>Modeled from live base + Sep-2026 quality ratio</x:v>
      </x:c>
      <x:c r="K4378" s="67" t="str">
        <x:v>https://www.stonealgo.com/diamond-prices/</x:v>
      </x:c>
      <x:c r="L4378" s="67" t="str">
        <x:v>https://www.pricescope.com/blog/natural-diamond-prices-september-2026</x:v>
      </x:c>
    </x:row>
    <x:row r="4379">
      <x:c r="A4379" t="n">
        <x:v>7</x:v>
      </x:c>
      <x:c r="B4379" t="str">
        <x:v>Marquise</x:v>
      </x:c>
      <x:c r="C4379" t="str">
        <x:v>G</x:v>
      </x:c>
      <x:c r="D4379" t="str">
        <x:v>IF</x:v>
      </x:c>
      <x:c r="E4379" s="36" t="n">
        <x:v>231000</x:v>
      </x:c>
      <x:c r="F4379" s="36" t="n">
        <x:v>5601</x:v>
      </x:c>
      <x:c r="G4379" s="42" t="n">
        <x:v>1.2014157014157014</x:v>
      </x:c>
      <x:c r="H4379" s="36" t="n">
        <x:f>E4379*G4379</x:f>
        <x:v>277527.02702702704</x:v>
      </x:c>
      <x:c r="I4379" s="36" t="n">
        <x:f>IFERROR(H4379/A4379,0)</x:f>
        <x:v>39646.71814671815</x:v>
      </x:c>
      <x:c r="J4379" s="67" t="str">
        <x:v>Modeled from live base + Sep-2026 quality ratio</x:v>
      </x:c>
      <x:c r="K4379" s="67" t="str">
        <x:v>https://www.stonealgo.com/diamond-prices/</x:v>
      </x:c>
      <x:c r="L4379" s="67" t="str">
        <x:v>https://www.pricescope.com/blog/natural-diamond-prices-september-2026</x:v>
      </x:c>
    </x:row>
    <x:row r="4380">
      <x:c r="A4380" t="n">
        <x:v>7</x:v>
      </x:c>
      <x:c r="B4380" t="str">
        <x:v>Marquise</x:v>
      </x:c>
      <x:c r="C4380" t="str">
        <x:v>G</x:v>
      </x:c>
      <x:c r="D4380" t="str">
        <x:v>VVS1</x:v>
      </x:c>
      <x:c r="E4380" s="36" t="n">
        <x:v>231000</x:v>
      </x:c>
      <x:c r="F4380" s="36" t="n">
        <x:v>5124</x:v>
      </x:c>
      <x:c r="G4380" s="42" t="n">
        <x:v>1.0990990990990992</x:v>
      </x:c>
      <x:c r="H4380" s="36" t="n">
        <x:f>E4380*G4380</x:f>
        <x:v>253891.89189189192</x:v>
      </x:c>
      <x:c r="I4380" s="36" t="n">
        <x:f>IFERROR(H4380/A4380,0)</x:f>
        <x:v>36270.27027027027</x:v>
      </x:c>
      <x:c r="J4380" s="67" t="str">
        <x:v>Modeled from live base + Sep-2026 quality ratio</x:v>
      </x:c>
      <x:c r="K4380" s="67" t="str">
        <x:v>https://www.stonealgo.com/diamond-prices/</x:v>
      </x:c>
      <x:c r="L4380" s="67" t="str">
        <x:v>https://www.pricescope.com/blog/natural-diamond-prices-september-2026</x:v>
      </x:c>
    </x:row>
    <x:row r="4381">
      <x:c r="A4381" t="n">
        <x:v>7</x:v>
      </x:c>
      <x:c r="B4381" t="str">
        <x:v>Marquise</x:v>
      </x:c>
      <x:c r="C4381" t="str">
        <x:v>G</x:v>
      </x:c>
      <x:c r="D4381" t="str">
        <x:v>VVS2</x:v>
      </x:c>
      <x:c r="E4381" s="36" t="n">
        <x:v>231000</x:v>
      </x:c>
      <x:c r="F4381" s="36" t="n">
        <x:v>4962</x:v>
      </x:c>
      <x:c r="G4381" s="42" t="n">
        <x:v>1.0643500643500643</x:v>
      </x:c>
      <x:c r="H4381" s="36" t="n">
        <x:f>E4381*G4381</x:f>
        <x:v>245864.86486486485</x:v>
      </x:c>
      <x:c r="I4381" s="36" t="n">
        <x:f>IFERROR(H4381/A4381,0)</x:f>
        <x:v>35123.55212355212</x:v>
      </x:c>
      <x:c r="J4381" s="67" t="str">
        <x:v>Modeled from live base + Sep-2026 quality ratio</x:v>
      </x:c>
      <x:c r="K4381" s="67" t="str">
        <x:v>https://www.stonealgo.com/diamond-prices/</x:v>
      </x:c>
      <x:c r="L4381" s="67" t="str">
        <x:v>https://www.pricescope.com/blog/natural-diamond-prices-september-2026</x:v>
      </x:c>
    </x:row>
    <x:row r="4382">
      <x:c r="A4382" t="n">
        <x:v>7</x:v>
      </x:c>
      <x:c r="B4382" t="str">
        <x:v>Marquise</x:v>
      </x:c>
      <x:c r="C4382" t="str">
        <x:v>G</x:v>
      </x:c>
      <x:c r="D4382" t="str">
        <x:v>VS1</x:v>
      </x:c>
      <x:c r="E4382" s="36" t="n">
        <x:v>231000</x:v>
      </x:c>
      <x:c r="F4382" s="36" t="n">
        <x:v>4615</x:v>
      </x:c>
      <x:c r="G4382" s="42" t="n">
        <x:v>0.98991848991849</x:v>
      </x:c>
      <x:c r="H4382" s="36" t="n">
        <x:f>E4382*G4382</x:f>
        <x:v>228671.17117117118</x:v>
      </x:c>
      <x:c r="I4382" s="36" t="n">
        <x:f>IFERROR(H4382/A4382,0)</x:f>
        <x:v>32667.31016731017</x:v>
      </x:c>
      <x:c r="J4382" s="67" t="str">
        <x:v>Modeled from live base + Sep-2026 quality ratio</x:v>
      </x:c>
      <x:c r="K4382" s="67" t="str">
        <x:v>https://www.stonealgo.com/diamond-prices/</x:v>
      </x:c>
      <x:c r="L4382" s="67" t="str">
        <x:v>https://www.pricescope.com/blog/natural-diamond-prices-september-2026</x:v>
      </x:c>
    </x:row>
    <x:row r="4383">
      <x:c r="A4383" t="n">
        <x:v>7</x:v>
      </x:c>
      <x:c r="B4383" t="str">
        <x:v>Marquise</x:v>
      </x:c>
      <x:c r="C4383" t="str">
        <x:v>G</x:v>
      </x:c>
      <x:c r="D4383" t="str">
        <x:v>VS2</x:v>
      </x:c>
      <x:c r="E4383" s="36" t="n">
        <x:v>231000</x:v>
      </x:c>
      <x:c r="F4383" s="36" t="n">
        <x:v>4585</x:v>
      </x:c>
      <x:c r="G4383" s="42" t="n">
        <x:v>0.9834834834834835</x:v>
      </x:c>
      <x:c r="H4383" s="36" t="n">
        <x:f>E4383*G4383</x:f>
        <x:v>227184.68468468467</x:v>
      </x:c>
      <x:c r="I4383" s="36" t="n">
        <x:f>IFERROR(H4383/A4383,0)</x:f>
        <x:v>32454.954954954952</x:v>
      </x:c>
      <x:c r="J4383" s="67" t="str">
        <x:v>Modeled from live base + Sep-2026 quality ratio</x:v>
      </x:c>
      <x:c r="K4383" s="67" t="str">
        <x:v>https://www.stonealgo.com/diamond-prices/</x:v>
      </x:c>
      <x:c r="L4383" s="67" t="str">
        <x:v>https://www.pricescope.com/blog/natural-diamond-prices-september-2026</x:v>
      </x:c>
    </x:row>
    <x:row r="4384">
      <x:c r="A4384" t="n">
        <x:v>7</x:v>
      </x:c>
      <x:c r="B4384" t="str">
        <x:v>Marquise</x:v>
      </x:c>
      <x:c r="C4384" t="str">
        <x:v>G</x:v>
      </x:c>
      <x:c r="D4384" t="str">
        <x:v>SI1</x:v>
      </x:c>
      <x:c r="E4384" s="36" t="n">
        <x:v>231000</x:v>
      </x:c>
      <x:c r="F4384" s="36" t="n">
        <x:v>3664</x:v>
      </x:c>
      <x:c r="G4384" s="42" t="n">
        <x:v>0.7859287859287859</x:v>
      </x:c>
      <x:c r="H4384" s="36" t="n">
        <x:f>E4384*G4384</x:f>
        <x:v>181549.54954954956</x:v>
      </x:c>
      <x:c r="I4384" s="36" t="n">
        <x:f>IFERROR(H4384/A4384,0)</x:f>
        <x:v>25935.649935649937</x:v>
      </x:c>
      <x:c r="J4384" s="67" t="str">
        <x:v>Modeled from live base + Sep-2026 quality ratio</x:v>
      </x:c>
      <x:c r="K4384" s="67" t="str">
        <x:v>https://www.stonealgo.com/diamond-prices/</x:v>
      </x:c>
      <x:c r="L4384" s="67" t="str">
        <x:v>https://www.pricescope.com/blog/natural-diamond-prices-september-2026</x:v>
      </x:c>
    </x:row>
    <x:row r="4385">
      <x:c r="A4385" t="n">
        <x:v>7</x:v>
      </x:c>
      <x:c r="B4385" t="str">
        <x:v>Marquise</x:v>
      </x:c>
      <x:c r="C4385" t="str">
        <x:v>G</x:v>
      </x:c>
      <x:c r="D4385" t="str">
        <x:v>SI2</x:v>
      </x:c>
      <x:c r="E4385" s="36" t="n">
        <x:v>231000</x:v>
      </x:c>
      <x:c r="F4385" s="36" t="n">
        <x:v>2537</x:v>
      </x:c>
      <x:c r="G4385" s="42" t="n">
        <x:v>0.5441870441870442</x:v>
      </x:c>
      <x:c r="H4385" s="36" t="n">
        <x:f>E4385*G4385</x:f>
        <x:v>125707.20720720722</x:v>
      </x:c>
      <x:c r="I4385" s="36" t="n">
        <x:f>IFERROR(H4385/A4385,0)</x:f>
        <x:v>17958.17245817246</x:v>
      </x:c>
      <x:c r="J4385" s="67" t="str">
        <x:v>Modeled from live base + Sep-2026 quality ratio</x:v>
      </x:c>
      <x:c r="K4385" s="67" t="str">
        <x:v>https://www.stonealgo.com/diamond-prices/</x:v>
      </x:c>
      <x:c r="L4385" s="67" t="str">
        <x:v>https://www.pricescope.com/blog/natural-diamond-prices-september-2026</x:v>
      </x:c>
    </x:row>
    <x:row r="4386">
      <x:c r="A4386" t="n">
        <x:v>7</x:v>
      </x:c>
      <x:c r="B4386" t="str">
        <x:v>Marquise</x:v>
      </x:c>
      <x:c r="C4386" t="str">
        <x:v>H</x:v>
      </x:c>
      <x:c r="D4386" t="str">
        <x:v>FL</x:v>
      </x:c>
      <x:c r="E4386" s="36" t="n">
        <x:v>231000</x:v>
      </x:c>
      <x:c r="F4386" s="36" t="n">
        <x:v>4563</x:v>
      </x:c>
      <x:c r="G4386" s="42" t="n">
        <x:v>0.9787644787644788</x:v>
      </x:c>
      <x:c r="H4386" s="36" t="n">
        <x:f>E4386*G4386</x:f>
        <x:v>226094.59459459462</x:v>
      </x:c>
      <x:c r="I4386" s="36" t="n">
        <x:f>IFERROR(H4386/A4386,0)</x:f>
        <x:v>32299.227799227803</x:v>
      </x:c>
      <x:c r="J4386" s="67" t="str">
        <x:v>Modeled from live base + Sep-2026 quality ratio</x:v>
      </x:c>
      <x:c r="K4386" s="67" t="str">
        <x:v>https://www.stonealgo.com/diamond-prices/</x:v>
      </x:c>
      <x:c r="L4386" s="67" t="str">
        <x:v>https://www.pricescope.com/blog/natural-diamond-prices-september-2026</x:v>
      </x:c>
    </x:row>
    <x:row r="4387">
      <x:c r="A4387" t="n">
        <x:v>7</x:v>
      </x:c>
      <x:c r="B4387" t="str">
        <x:v>Marquise</x:v>
      </x:c>
      <x:c r="C4387" t="str">
        <x:v>H</x:v>
      </x:c>
      <x:c r="D4387" t="str">
        <x:v>IF</x:v>
      </x:c>
      <x:c r="E4387" s="36" t="n">
        <x:v>231000</x:v>
      </x:c>
      <x:c r="F4387" s="36" t="n">
        <x:v>4809</x:v>
      </x:c>
      <x:c r="G4387" s="42" t="n">
        <x:v>1.0315315315315314</x:v>
      </x:c>
      <x:c r="H4387" s="36" t="n">
        <x:f>E4387*G4387</x:f>
        <x:v>238283.78378378376</x:v>
      </x:c>
      <x:c r="I4387" s="36" t="n">
        <x:f>IFERROR(H4387/A4387,0)</x:f>
        <x:v>34040.54054054054</x:v>
      </x:c>
      <x:c r="J4387" s="67" t="str">
        <x:v>Modeled from live base + Sep-2026 quality ratio</x:v>
      </x:c>
      <x:c r="K4387" s="67" t="str">
        <x:v>https://www.stonealgo.com/diamond-prices/</x:v>
      </x:c>
      <x:c r="L4387" s="67" t="str">
        <x:v>https://www.pricescope.com/blog/natural-diamond-prices-september-2026</x:v>
      </x:c>
    </x:row>
    <x:row r="4388">
      <x:c r="A4388" t="n">
        <x:v>7</x:v>
      </x:c>
      <x:c r="B4388" t="str">
        <x:v>Marquise</x:v>
      </x:c>
      <x:c r="C4388" t="str">
        <x:v>H</x:v>
      </x:c>
      <x:c r="D4388" t="str">
        <x:v>VVS1</x:v>
      </x:c>
      <x:c r="E4388" s="36" t="n">
        <x:v>231000</x:v>
      </x:c>
      <x:c r="F4388" s="36" t="n">
        <x:v>4911</x:v>
      </x:c>
      <x:c r="G4388" s="42" t="n">
        <x:v>1.0534105534105533</x:v>
      </x:c>
      <x:c r="H4388" s="36" t="n">
        <x:f>E4388*G4388</x:f>
        <x:v>243337.8378378378</x:v>
      </x:c>
      <x:c r="I4388" s="36" t="n">
        <x:f>IFERROR(H4388/A4388,0)</x:f>
        <x:v>34762.54826254826</x:v>
      </x:c>
      <x:c r="J4388" s="67" t="str">
        <x:v>Modeled from live base + Sep-2026 quality ratio</x:v>
      </x:c>
      <x:c r="K4388" s="67" t="str">
        <x:v>https://www.stonealgo.com/diamond-prices/</x:v>
      </x:c>
      <x:c r="L4388" s="67" t="str">
        <x:v>https://www.pricescope.com/blog/natural-diamond-prices-september-2026</x:v>
      </x:c>
    </x:row>
    <x:row r="4389">
      <x:c r="A4389" t="n">
        <x:v>7</x:v>
      </x:c>
      <x:c r="B4389" t="str">
        <x:v>Marquise</x:v>
      </x:c>
      <x:c r="C4389" t="str">
        <x:v>H</x:v>
      </x:c>
      <x:c r="D4389" t="str">
        <x:v>VVS2</x:v>
      </x:c>
      <x:c r="E4389" s="36" t="n">
        <x:v>231000</x:v>
      </x:c>
      <x:c r="F4389" s="36" t="n">
        <x:v>4046</x:v>
      </x:c>
      <x:c r="G4389" s="42" t="n">
        <x:v>0.8678678678678678</x:v>
      </x:c>
      <x:c r="H4389" s="36" t="n">
        <x:f>E4389*G4389</x:f>
        <x:v>200477.47747747749</x:v>
      </x:c>
      <x:c r="I4389" s="36" t="n">
        <x:f>IFERROR(H4389/A4389,0)</x:f>
        <x:v>28639.63963963964</x:v>
      </x:c>
      <x:c r="J4389" s="67" t="str">
        <x:v>Modeled from live base + Sep-2026 quality ratio</x:v>
      </x:c>
      <x:c r="K4389" s="67" t="str">
        <x:v>https://www.stonealgo.com/diamond-prices/</x:v>
      </x:c>
      <x:c r="L4389" s="67" t="str">
        <x:v>https://www.pricescope.com/blog/natural-diamond-prices-september-2026</x:v>
      </x:c>
    </x:row>
    <x:row r="4390">
      <x:c r="A4390" t="n">
        <x:v>7</x:v>
      </x:c>
      <x:c r="B4390" t="str">
        <x:v>Marquise</x:v>
      </x:c>
      <x:c r="C4390" t="str">
        <x:v>H</x:v>
      </x:c>
      <x:c r="D4390" t="str">
        <x:v>VS1</x:v>
      </x:c>
      <x:c r="E4390" s="36" t="n">
        <x:v>231000</x:v>
      </x:c>
      <x:c r="F4390" s="36" t="n">
        <x:v>3893</x:v>
      </x:c>
      <x:c r="G4390" s="42" t="n">
        <x:v>0.8350493350493351</x:v>
      </x:c>
      <x:c r="H4390" s="36" t="n">
        <x:f>E4390*G4390</x:f>
        <x:v>192896.39639639642</x:v>
      </x:c>
      <x:c r="I4390" s="36" t="n">
        <x:f>IFERROR(H4390/A4390,0)</x:f>
        <x:v>27556.62805662806</x:v>
      </x:c>
      <x:c r="J4390" s="67" t="str">
        <x:v>Modeled from live base + Sep-2026 quality ratio</x:v>
      </x:c>
      <x:c r="K4390" s="67" t="str">
        <x:v>https://www.stonealgo.com/diamond-prices/</x:v>
      </x:c>
      <x:c r="L4390" s="67" t="str">
        <x:v>https://www.pricescope.com/blog/natural-diamond-prices-september-2026</x:v>
      </x:c>
    </x:row>
    <x:row r="4391">
      <x:c r="A4391" t="n">
        <x:v>7</x:v>
      </x:c>
      <x:c r="B4391" t="str">
        <x:v>Marquise</x:v>
      </x:c>
      <x:c r="C4391" t="str">
        <x:v>H</x:v>
      </x:c>
      <x:c r="D4391" t="str">
        <x:v>VS2</x:v>
      </x:c>
      <x:c r="E4391" s="36" t="n">
        <x:v>231000</x:v>
      </x:c>
      <x:c r="F4391" s="36" t="n">
        <x:v>3989</x:v>
      </x:c>
      <x:c r="G4391" s="42" t="n">
        <x:v>0.8556413556413557</x:v>
      </x:c>
      <x:c r="H4391" s="36" t="n">
        <x:f>E4391*G4391</x:f>
        <x:v>197653.15315315317</x:v>
      </x:c>
      <x:c r="I4391" s="36" t="n">
        <x:f>IFERROR(H4391/A4391,0)</x:f>
        <x:v>28236.164736164737</x:v>
      </x:c>
      <x:c r="J4391" s="67" t="str">
        <x:v>Modeled from live base + Sep-2026 quality ratio</x:v>
      </x:c>
      <x:c r="K4391" s="67" t="str">
        <x:v>https://www.stonealgo.com/diamond-prices/</x:v>
      </x:c>
      <x:c r="L4391" s="67" t="str">
        <x:v>https://www.pricescope.com/blog/natural-diamond-prices-september-2026</x:v>
      </x:c>
    </x:row>
    <x:row r="4392">
      <x:c r="A4392" t="n">
        <x:v>7</x:v>
      </x:c>
      <x:c r="B4392" t="str">
        <x:v>Marquise</x:v>
      </x:c>
      <x:c r="C4392" t="str">
        <x:v>H</x:v>
      </x:c>
      <x:c r="D4392" t="str">
        <x:v>SI1</x:v>
      </x:c>
      <x:c r="E4392" s="36" t="n">
        <x:v>231000</x:v>
      </x:c>
      <x:c r="F4392" s="36" t="n">
        <x:v>2828</x:v>
      </x:c>
      <x:c r="G4392" s="42" t="n">
        <x:v>0.6066066066066066</x:v>
      </x:c>
      <x:c r="H4392" s="36" t="n">
        <x:f>E4392*G4392</x:f>
        <x:v>140126.12612612612</x:v>
      </x:c>
      <x:c r="I4392" s="36" t="n">
        <x:f>IFERROR(H4392/A4392,0)</x:f>
        <x:v>20018.018018018018</x:v>
      </x:c>
      <x:c r="J4392" s="67" t="str">
        <x:v>Modeled from live base + Sep-2026 quality ratio</x:v>
      </x:c>
      <x:c r="K4392" s="67" t="str">
        <x:v>https://www.stonealgo.com/diamond-prices/</x:v>
      </x:c>
      <x:c r="L4392" s="67" t="str">
        <x:v>https://www.pricescope.com/blog/natural-diamond-prices-september-2026</x:v>
      </x:c>
    </x:row>
    <x:row r="4393">
      <x:c r="A4393" t="n">
        <x:v>7</x:v>
      </x:c>
      <x:c r="B4393" t="str">
        <x:v>Marquise</x:v>
      </x:c>
      <x:c r="C4393" t="str">
        <x:v>H</x:v>
      </x:c>
      <x:c r="D4393" t="str">
        <x:v>SI2</x:v>
      </x:c>
      <x:c r="E4393" s="36" t="n">
        <x:v>231000</x:v>
      </x:c>
      <x:c r="F4393" s="36" t="n">
        <x:v>2328</x:v>
      </x:c>
      <x:c r="G4393" s="42" t="n">
        <x:v>0.49935649935649934</x:v>
      </x:c>
      <x:c r="H4393" s="36" t="n">
        <x:f>E4393*G4393</x:f>
        <x:v>115351.35135135135</x:v>
      </x:c>
      <x:c r="I4393" s="36" t="n">
        <x:f>IFERROR(H4393/A4393,0)</x:f>
        <x:v>16478.76447876448</x:v>
      </x:c>
      <x:c r="J4393" s="67" t="str">
        <x:v>Modeled from live base + Sep-2026 quality ratio</x:v>
      </x:c>
      <x:c r="K4393" s="67" t="str">
        <x:v>https://www.stonealgo.com/diamond-prices/</x:v>
      </x:c>
      <x:c r="L4393" s="67" t="str">
        <x:v>https://www.pricescope.com/blog/natural-diamond-prices-september-2026</x:v>
      </x:c>
    </x:row>
    <x:row r="4394">
      <x:c r="A4394" t="n">
        <x:v>7</x:v>
      </x:c>
      <x:c r="B4394" t="str">
        <x:v>Marquise</x:v>
      </x:c>
      <x:c r="C4394" t="str">
        <x:v>I</x:v>
      </x:c>
      <x:c r="D4394" t="str">
        <x:v>FL</x:v>
      </x:c>
      <x:c r="E4394" s="36" t="n">
        <x:v>231000</x:v>
      </x:c>
      <x:c r="F4394" s="36" t="n">
        <x:v>4623</x:v>
      </x:c>
      <x:c r="G4394" s="42" t="n">
        <x:v>0.9916344916344917</x:v>
      </x:c>
      <x:c r="H4394" s="36" t="n">
        <x:f>E4394*G4394</x:f>
        <x:v>229067.56756756757</x:v>
      </x:c>
      <x:c r="I4394" s="36" t="n">
        <x:f>IFERROR(H4394/A4394,0)</x:f>
        <x:v>32723.938223938225</x:v>
      </x:c>
      <x:c r="J4394" s="67" t="str">
        <x:v>Modeled from live base + Sep-2026 quality ratio</x:v>
      </x:c>
      <x:c r="K4394" s="67" t="str">
        <x:v>https://www.stonealgo.com/diamond-prices/</x:v>
      </x:c>
      <x:c r="L4394" s="67" t="str">
        <x:v>https://www.pricescope.com/blog/natural-diamond-prices-september-2026</x:v>
      </x:c>
    </x:row>
    <x:row r="4395">
      <x:c r="A4395" t="n">
        <x:v>7</x:v>
      </x:c>
      <x:c r="B4395" t="str">
        <x:v>Marquise</x:v>
      </x:c>
      <x:c r="C4395" t="str">
        <x:v>I</x:v>
      </x:c>
      <x:c r="D4395" t="str">
        <x:v>IF</x:v>
      </x:c>
      <x:c r="E4395" s="36" t="n">
        <x:v>231000</x:v>
      </x:c>
      <x:c r="F4395" s="36" t="n">
        <x:v>4005</x:v>
      </x:c>
      <x:c r="G4395" s="42" t="n">
        <x:v>0.859073359073359</x:v>
      </x:c>
      <x:c r="H4395" s="36" t="n">
        <x:f>E4395*G4395</x:f>
        <x:v>198445.94594594595</x:v>
      </x:c>
      <x:c r="I4395" s="36" t="n">
        <x:f>IFERROR(H4395/A4395,0)</x:f>
        <x:v>28349.42084942085</x:v>
      </x:c>
      <x:c r="J4395" s="67" t="str">
        <x:v>Modeled from live base + Sep-2026 quality ratio</x:v>
      </x:c>
      <x:c r="K4395" s="67" t="str">
        <x:v>https://www.stonealgo.com/diamond-prices/</x:v>
      </x:c>
      <x:c r="L4395" s="67" t="str">
        <x:v>https://www.pricescope.com/blog/natural-diamond-prices-september-2026</x:v>
      </x:c>
    </x:row>
    <x:row r="4396">
      <x:c r="A4396" t="n">
        <x:v>7</x:v>
      </x:c>
      <x:c r="B4396" t="str">
        <x:v>Marquise</x:v>
      </x:c>
      <x:c r="C4396" t="str">
        <x:v>I</x:v>
      </x:c>
      <x:c r="D4396" t="str">
        <x:v>VVS1</x:v>
      </x:c>
      <x:c r="E4396" s="36" t="n">
        <x:v>231000</x:v>
      </x:c>
      <x:c r="F4396" s="36" t="n">
        <x:v>3670</x:v>
      </x:c>
      <x:c r="G4396" s="42" t="n">
        <x:v>0.7872157872157872</x:v>
      </x:c>
      <x:c r="H4396" s="36" t="n">
        <x:f>E4396*G4396</x:f>
        <x:v>181846.84684684683</x:v>
      </x:c>
      <x:c r="I4396" s="36" t="n">
        <x:f>IFERROR(H4396/A4396,0)</x:f>
        <x:v>25978.120978120976</x:v>
      </x:c>
      <x:c r="J4396" s="67" t="str">
        <x:v>Modeled from live base + Sep-2026 quality ratio</x:v>
      </x:c>
      <x:c r="K4396" s="67" t="str">
        <x:v>https://www.stonealgo.com/diamond-prices/</x:v>
      </x:c>
      <x:c r="L4396" s="67" t="str">
        <x:v>https://www.pricescope.com/blog/natural-diamond-prices-september-2026</x:v>
      </x:c>
    </x:row>
    <x:row r="4397">
      <x:c r="A4397" t="n">
        <x:v>7</x:v>
      </x:c>
      <x:c r="B4397" t="str">
        <x:v>Marquise</x:v>
      </x:c>
      <x:c r="C4397" t="str">
        <x:v>I</x:v>
      </x:c>
      <x:c r="D4397" t="str">
        <x:v>VVS2</x:v>
      </x:c>
      <x:c r="E4397" s="36" t="n">
        <x:v>231000</x:v>
      </x:c>
      <x:c r="F4397" s="36" t="n">
        <x:v>3447</x:v>
      </x:c>
      <x:c r="G4397" s="42" t="n">
        <x:v>0.7393822393822393</x:v>
      </x:c>
      <x:c r="H4397" s="36" t="n">
        <x:f>E4397*G4397</x:f>
        <x:v>170797.29729729728</x:v>
      </x:c>
      <x:c r="I4397" s="36" t="n">
        <x:f>IFERROR(H4397/A4397,0)</x:f>
        <x:v>24399.613899613898</x:v>
      </x:c>
      <x:c r="J4397" s="67" t="str">
        <x:v>Modeled from live base + Sep-2026 quality ratio</x:v>
      </x:c>
      <x:c r="K4397" s="67" t="str">
        <x:v>https://www.stonealgo.com/diamond-prices/</x:v>
      </x:c>
      <x:c r="L4397" s="67" t="str">
        <x:v>https://www.pricescope.com/blog/natural-diamond-prices-september-2026</x:v>
      </x:c>
    </x:row>
    <x:row r="4398">
      <x:c r="A4398" t="n">
        <x:v>7</x:v>
      </x:c>
      <x:c r="B4398" t="str">
        <x:v>Marquise</x:v>
      </x:c>
      <x:c r="C4398" t="str">
        <x:v>I</x:v>
      </x:c>
      <x:c r="D4398" t="str">
        <x:v>VS1</x:v>
      </x:c>
      <x:c r="E4398" s="36" t="n">
        <x:v>231000</x:v>
      </x:c>
      <x:c r="F4398" s="36" t="n">
        <x:v>3313</x:v>
      </x:c>
      <x:c r="G4398" s="42" t="n">
        <x:v>0.7106392106392107</x:v>
      </x:c>
      <x:c r="H4398" s="36" t="n">
        <x:f>E4398*G4398</x:f>
        <x:v>164157.65765765766</x:v>
      </x:c>
      <x:c r="I4398" s="36" t="n">
        <x:f>IFERROR(H4398/A4398,0)</x:f>
        <x:v>23451.093951093953</x:v>
      </x:c>
      <x:c r="J4398" s="67" t="str">
        <x:v>Modeled from live base + Sep-2026 quality ratio</x:v>
      </x:c>
      <x:c r="K4398" s="67" t="str">
        <x:v>https://www.stonealgo.com/diamond-prices/</x:v>
      </x:c>
      <x:c r="L4398" s="67" t="str">
        <x:v>https://www.pricescope.com/blog/natural-diamond-prices-september-2026</x:v>
      </x:c>
    </x:row>
    <x:row r="4399">
      <x:c r="A4399" t="n">
        <x:v>7</x:v>
      </x:c>
      <x:c r="B4399" t="str">
        <x:v>Marquise</x:v>
      </x:c>
      <x:c r="C4399" t="str">
        <x:v>I</x:v>
      </x:c>
      <x:c r="D4399" t="str">
        <x:v>VS2</x:v>
      </x:c>
      <x:c r="E4399" s="36" t="n">
        <x:v>231000</x:v>
      </x:c>
      <x:c r="F4399" s="36" t="n">
        <x:v>3240</x:v>
      </x:c>
      <x:c r="G4399" s="42" t="n">
        <x:v>0.694980694980695</x:v>
      </x:c>
      <x:c r="H4399" s="36" t="n">
        <x:f>E4399*G4399</x:f>
        <x:v>160540.54054054056</x:v>
      </x:c>
      <x:c r="I4399" s="36" t="n">
        <x:f>IFERROR(H4399/A4399,0)</x:f>
        <x:v>22934.362934362936</x:v>
      </x:c>
      <x:c r="J4399" s="67" t="str">
        <x:v>Modeled from live base + Sep-2026 quality ratio</x:v>
      </x:c>
      <x:c r="K4399" s="67" t="str">
        <x:v>https://www.stonealgo.com/diamond-prices/</x:v>
      </x:c>
      <x:c r="L4399" s="67" t="str">
        <x:v>https://www.pricescope.com/blog/natural-diamond-prices-september-2026</x:v>
      </x:c>
    </x:row>
    <x:row r="4400">
      <x:c r="A4400" t="n">
        <x:v>7</x:v>
      </x:c>
      <x:c r="B4400" t="str">
        <x:v>Marquise</x:v>
      </x:c>
      <x:c r="C4400" t="str">
        <x:v>I</x:v>
      </x:c>
      <x:c r="D4400" t="str">
        <x:v>SI1</x:v>
      </x:c>
      <x:c r="E4400" s="36" t="n">
        <x:v>231000</x:v>
      </x:c>
      <x:c r="F4400" s="36" t="n">
        <x:v>3199</x:v>
      </x:c>
      <x:c r="G4400" s="42" t="n">
        <x:v>0.6861861861861862</x:v>
      </x:c>
      <x:c r="H4400" s="36" t="n">
        <x:f>E4400*G4400</x:f>
        <x:v>158509.00900900902</x:v>
      </x:c>
      <x:c r="I4400" s="36" t="n">
        <x:f>IFERROR(H4400/A4400,0)</x:f>
        <x:v>22644.144144144146</x:v>
      </x:c>
      <x:c r="J4400" s="67" t="str">
        <x:v>Modeled from live base + Sep-2026 quality ratio</x:v>
      </x:c>
      <x:c r="K4400" s="67" t="str">
        <x:v>https://www.stonealgo.com/diamond-prices/</x:v>
      </x:c>
      <x:c r="L4400" s="67" t="str">
        <x:v>https://www.pricescope.com/blog/natural-diamond-prices-september-2026</x:v>
      </x:c>
    </x:row>
    <x:row r="4401">
      <x:c r="A4401" t="n">
        <x:v>7</x:v>
      </x:c>
      <x:c r="B4401" t="str">
        <x:v>Marquise</x:v>
      </x:c>
      <x:c r="C4401" t="str">
        <x:v>I</x:v>
      </x:c>
      <x:c r="D4401" t="str">
        <x:v>SI2</x:v>
      </x:c>
      <x:c r="E4401" s="36" t="n">
        <x:v>231000</x:v>
      </x:c>
      <x:c r="F4401" s="36" t="n">
        <x:v>2874</x:v>
      </x:c>
      <x:c r="G4401" s="42" t="n">
        <x:v>0.6164736164736164</x:v>
      </x:c>
      <x:c r="H4401" s="36" t="n">
        <x:f>E4401*G4401</x:f>
        <x:v>142405.40540540538</x:v>
      </x:c>
      <x:c r="I4401" s="36" t="n">
        <x:f>IFERROR(H4401/A4401,0)</x:f>
        <x:v>20343.62934362934</x:v>
      </x:c>
      <x:c r="J4401" s="67" t="str">
        <x:v>Modeled from live base + Sep-2026 quality ratio</x:v>
      </x:c>
      <x:c r="K4401" s="67" t="str">
        <x:v>https://www.stonealgo.com/diamond-prices/</x:v>
      </x:c>
      <x:c r="L4401" s="67" t="str">
        <x:v>https://www.pricescope.com/blog/natural-diamond-prices-september-2026</x:v>
      </x:c>
    </x:row>
    <x:row r="4402">
      <x:c r="A4402" t="n">
        <x:v>7</x:v>
      </x:c>
      <x:c r="B4402" t="str">
        <x:v>Marquise</x:v>
      </x:c>
      <x:c r="C4402" t="str">
        <x:v>J</x:v>
      </x:c>
      <x:c r="D4402" t="str">
        <x:v>FL</x:v>
      </x:c>
      <x:c r="E4402" s="36" t="n">
        <x:v>231000</x:v>
      </x:c>
      <x:c r="F4402" s="36" t="n">
        <x:v>3646</x:v>
      </x:c>
      <x:c r="G4402" s="42" t="n">
        <x:v>0.782067782067782</x:v>
      </x:c>
      <x:c r="H4402" s="36" t="n">
        <x:f>E4402*G4402</x:f>
        <x:v>180657.65765765766</x:v>
      </x:c>
      <x:c r="I4402" s="36" t="n">
        <x:f>IFERROR(H4402/A4402,0)</x:f>
        <x:v>25808.23680823681</x:v>
      </x:c>
      <x:c r="J4402" s="67" t="str">
        <x:v>Modeled from live base + Sep-2026 quality ratio</x:v>
      </x:c>
      <x:c r="K4402" s="67" t="str">
        <x:v>https://www.stonealgo.com/diamond-prices/</x:v>
      </x:c>
      <x:c r="L4402" s="67" t="str">
        <x:v>https://www.pricescope.com/blog/natural-diamond-prices-september-2026</x:v>
      </x:c>
    </x:row>
    <x:row r="4403">
      <x:c r="A4403" t="n">
        <x:v>7</x:v>
      </x:c>
      <x:c r="B4403" t="str">
        <x:v>Marquise</x:v>
      </x:c>
      <x:c r="C4403" t="str">
        <x:v>J</x:v>
      </x:c>
      <x:c r="D4403" t="str">
        <x:v>IF</x:v>
      </x:c>
      <x:c r="E4403" s="36" t="n">
        <x:v>231000</x:v>
      </x:c>
      <x:c r="F4403" s="36" t="n">
        <x:v>3368</x:v>
      </x:c>
      <x:c r="G4403" s="42" t="n">
        <x:v>0.7224367224367224</x:v>
      </x:c>
      <x:c r="H4403" s="36" t="n">
        <x:f>E4403*G4403</x:f>
        <x:v>166882.88288288287</x:v>
      </x:c>
      <x:c r="I4403" s="36" t="n">
        <x:f>IFERROR(H4403/A4403,0)</x:f>
        <x:v>23840.411840411838</x:v>
      </x:c>
      <x:c r="J4403" s="67" t="str">
        <x:v>Modeled from live base + Sep-2026 quality ratio</x:v>
      </x:c>
      <x:c r="K4403" s="67" t="str">
        <x:v>https://www.stonealgo.com/diamond-prices/</x:v>
      </x:c>
      <x:c r="L4403" s="67" t="str">
        <x:v>https://www.pricescope.com/blog/natural-diamond-prices-september-2026</x:v>
      </x:c>
    </x:row>
    <x:row r="4404">
      <x:c r="A4404" t="n">
        <x:v>7</x:v>
      </x:c>
      <x:c r="B4404" t="str">
        <x:v>Marquise</x:v>
      </x:c>
      <x:c r="C4404" t="str">
        <x:v>J</x:v>
      </x:c>
      <x:c r="D4404" t="str">
        <x:v>VVS1</x:v>
      </x:c>
      <x:c r="E4404" s="36" t="n">
        <x:v>231000</x:v>
      </x:c>
      <x:c r="F4404" s="36" t="n">
        <x:v>2956</x:v>
      </x:c>
      <x:c r="G4404" s="42" t="n">
        <x:v>0.6340626340626341</x:v>
      </x:c>
      <x:c r="H4404" s="36" t="n">
        <x:f>E4404*G4404</x:f>
        <x:v>146468.46846846846</x:v>
      </x:c>
      <x:c r="I4404" s="36" t="n">
        <x:f>IFERROR(H4404/A4404,0)</x:f>
        <x:v>20924.066924066923</x:v>
      </x:c>
      <x:c r="J4404" s="67" t="str">
        <x:v>Modeled from live base + Sep-2026 quality ratio</x:v>
      </x:c>
      <x:c r="K4404" s="67" t="str">
        <x:v>https://www.stonealgo.com/diamond-prices/</x:v>
      </x:c>
      <x:c r="L4404" s="67" t="str">
        <x:v>https://www.pricescope.com/blog/natural-diamond-prices-september-2026</x:v>
      </x:c>
    </x:row>
    <x:row r="4405">
      <x:c r="A4405" t="n">
        <x:v>7</x:v>
      </x:c>
      <x:c r="B4405" t="str">
        <x:v>Marquise</x:v>
      </x:c>
      <x:c r="C4405" t="str">
        <x:v>J</x:v>
      </x:c>
      <x:c r="D4405" t="str">
        <x:v>VVS2</x:v>
      </x:c>
      <x:c r="E4405" s="36" t="n">
        <x:v>231000</x:v>
      </x:c>
      <x:c r="F4405" s="36" t="n">
        <x:v>2612</x:v>
      </x:c>
      <x:c r="G4405" s="42" t="n">
        <x:v>0.5602745602745602</x:v>
      </x:c>
      <x:c r="H4405" s="36" t="n">
        <x:f>E4405*G4405</x:f>
        <x:v>129423.42342342342</x:v>
      </x:c>
      <x:c r="I4405" s="36" t="n">
        <x:f>IFERROR(H4405/A4405,0)</x:f>
        <x:v>18489.060489060488</x:v>
      </x:c>
      <x:c r="J4405" s="67" t="str">
        <x:v>Modeled from live base + Sep-2026 quality ratio</x:v>
      </x:c>
      <x:c r="K4405" s="67" t="str">
        <x:v>https://www.stonealgo.com/diamond-prices/</x:v>
      </x:c>
      <x:c r="L4405" s="67" t="str">
        <x:v>https://www.pricescope.com/blog/natural-diamond-prices-september-2026</x:v>
      </x:c>
    </x:row>
    <x:row r="4406">
      <x:c r="A4406" t="n">
        <x:v>7</x:v>
      </x:c>
      <x:c r="B4406" t="str">
        <x:v>Marquise</x:v>
      </x:c>
      <x:c r="C4406" t="str">
        <x:v>J</x:v>
      </x:c>
      <x:c r="D4406" t="str">
        <x:v>VS1</x:v>
      </x:c>
      <x:c r="E4406" s="36" t="n">
        <x:v>231000</x:v>
      </x:c>
      <x:c r="F4406" s="36" t="n">
        <x:v>3002</x:v>
      </x:c>
      <x:c r="G4406" s="42" t="n">
        <x:v>0.6439296439296439</x:v>
      </x:c>
      <x:c r="H4406" s="36" t="n">
        <x:f>E4406*G4406</x:f>
        <x:v>148747.74774774775</x:v>
      </x:c>
      <x:c r="I4406" s="36" t="n">
        <x:f>IFERROR(H4406/A4406,0)</x:f>
        <x:v>21249.67824967825</x:v>
      </x:c>
      <x:c r="J4406" s="67" t="str">
        <x:v>Modeled from live base + Sep-2026 quality ratio</x:v>
      </x:c>
      <x:c r="K4406" s="67" t="str">
        <x:v>https://www.stonealgo.com/diamond-prices/</x:v>
      </x:c>
      <x:c r="L4406" s="67" t="str">
        <x:v>https://www.pricescope.com/blog/natural-diamond-prices-september-2026</x:v>
      </x:c>
    </x:row>
    <x:row r="4407">
      <x:c r="A4407" t="n">
        <x:v>7</x:v>
      </x:c>
      <x:c r="B4407" t="str">
        <x:v>Marquise</x:v>
      </x:c>
      <x:c r="C4407" t="str">
        <x:v>J</x:v>
      </x:c>
      <x:c r="D4407" t="str">
        <x:v>VS2</x:v>
      </x:c>
      <x:c r="E4407" s="36" t="n">
        <x:v>231000</x:v>
      </x:c>
      <x:c r="F4407" s="36" t="n">
        <x:v>2559</x:v>
      </x:c>
      <x:c r="G4407" s="42" t="n">
        <x:v>0.5489060489060489</x:v>
      </x:c>
      <x:c r="H4407" s="36" t="n">
        <x:f>E4407*G4407</x:f>
        <x:v>126797.2972972973</x:v>
      </x:c>
      <x:c r="I4407" s="36" t="n">
        <x:f>IFERROR(H4407/A4407,0)</x:f>
        <x:v>18113.89961389961</x:v>
      </x:c>
      <x:c r="J4407" s="67" t="str">
        <x:v>Modeled from live base + Sep-2026 quality ratio</x:v>
      </x:c>
      <x:c r="K4407" s="67" t="str">
        <x:v>https://www.stonealgo.com/diamond-prices/</x:v>
      </x:c>
      <x:c r="L4407" s="67" t="str">
        <x:v>https://www.pricescope.com/blog/natural-diamond-prices-september-2026</x:v>
      </x:c>
    </x:row>
    <x:row r="4408">
      <x:c r="A4408" t="n">
        <x:v>7</x:v>
      </x:c>
      <x:c r="B4408" t="str">
        <x:v>Marquise</x:v>
      </x:c>
      <x:c r="C4408" t="str">
        <x:v>J</x:v>
      </x:c>
      <x:c r="D4408" t="str">
        <x:v>SI1</x:v>
      </x:c>
      <x:c r="E4408" s="36" t="n">
        <x:v>231000</x:v>
      </x:c>
      <x:c r="F4408" s="36" t="n">
        <x:v>2195</x:v>
      </x:c>
      <x:c r="G4408" s="42" t="n">
        <x:v>0.47082797082797084</x:v>
      </x:c>
      <x:c r="H4408" s="36" t="n">
        <x:f>E4408*G4408</x:f>
        <x:v>108761.26126126127</x:v>
      </x:c>
      <x:c r="I4408" s="36" t="n">
        <x:f>IFERROR(H4408/A4408,0)</x:f>
        <x:v>15537.323037323038</x:v>
      </x:c>
      <x:c r="J4408" s="67" t="str">
        <x:v>Modeled from live base + Sep-2026 quality ratio</x:v>
      </x:c>
      <x:c r="K4408" s="67" t="str">
        <x:v>https://www.stonealgo.com/diamond-prices/</x:v>
      </x:c>
      <x:c r="L4408" s="67" t="str">
        <x:v>https://www.pricescope.com/blog/natural-diamond-prices-september-2026</x:v>
      </x:c>
    </x:row>
    <x:row r="4409">
      <x:c r="A4409" t="n">
        <x:v>7</x:v>
      </x:c>
      <x:c r="B4409" t="str">
        <x:v>Marquise</x:v>
      </x:c>
      <x:c r="C4409" t="str">
        <x:v>J</x:v>
      </x:c>
      <x:c r="D4409" t="str">
        <x:v>SI2</x:v>
      </x:c>
      <x:c r="E4409" s="36" t="n">
        <x:v>231000</x:v>
      </x:c>
      <x:c r="F4409" s="36" t="n">
        <x:v>2079</x:v>
      </x:c>
      <x:c r="G4409" s="42" t="n">
        <x:v>0.44594594594594594</x:v>
      </x:c>
      <x:c r="H4409" s="36" t="n">
        <x:f>E4409*G4409</x:f>
        <x:v>103013.5135135135</x:v>
      </x:c>
      <x:c r="I4409" s="36" t="n">
        <x:f>IFERROR(H4409/A4409,0)</x:f>
        <x:v>14716.216216216215</x:v>
      </x:c>
      <x:c r="J4409" s="67" t="str">
        <x:v>Modeled from live base + Sep-2026 quality ratio</x:v>
      </x:c>
      <x:c r="K4409" s="67" t="str">
        <x:v>https://www.stonealgo.com/diamond-prices/</x:v>
      </x:c>
      <x:c r="L4409" s="67" t="str">
        <x:v>https://www.pricescope.com/blog/natural-diamond-prices-september-2026</x:v>
      </x:c>
    </x:row>
    <x:row r="4410">
      <x:c r="A4410" t="n">
        <x:v>7</x:v>
      </x:c>
      <x:c r="B4410" t="str">
        <x:v>Marquise</x:v>
      </x:c>
      <x:c r="C4410" t="str">
        <x:v>K</x:v>
      </x:c>
      <x:c r="D4410" t="str">
        <x:v>FL</x:v>
      </x:c>
      <x:c r="E4410" s="36" t="n">
        <x:v>231000</x:v>
      </x:c>
      <x:c r="F4410" s="36" t="n">
        <x:v>2858</x:v>
      </x:c>
      <x:c r="G4410" s="42" t="n">
        <x:v>0.6130416130416131</x:v>
      </x:c>
      <x:c r="H4410" s="36" t="n">
        <x:f>E4410*G4410</x:f>
        <x:v>141612.61261261263</x:v>
      </x:c>
      <x:c r="I4410" s="36" t="n">
        <x:f>IFERROR(H4410/A4410,0)</x:f>
        <x:v>20230.373230373232</x:v>
      </x:c>
      <x:c r="J4410" s="67" t="str">
        <x:v>Modeled from live base + Sep-2026 quality ratio; K/FL quality cell modeled</x:v>
      </x:c>
      <x:c r="K4410" s="67" t="str">
        <x:v>https://www.stonealgo.com/diamond-prices/</x:v>
      </x:c>
      <x:c r="L4410" s="67" t="str">
        <x:v>https://www.pricescope.com/blog/natural-diamond-prices-september-2026</x:v>
      </x:c>
    </x:row>
    <x:row r="4411">
      <x:c r="A4411" t="n">
        <x:v>7</x:v>
      </x:c>
      <x:c r="B4411" t="str">
        <x:v>Marquise</x:v>
      </x:c>
      <x:c r="C4411" t="str">
        <x:v>K</x:v>
      </x:c>
      <x:c r="D4411" t="str">
        <x:v>IF</x:v>
      </x:c>
      <x:c r="E4411" s="36" t="n">
        <x:v>231000</x:v>
      </x:c>
      <x:c r="F4411" s="36" t="n">
        <x:v>2743</x:v>
      </x:c>
      <x:c r="G4411" s="42" t="n">
        <x:v>0.5883740883740883</x:v>
      </x:c>
      <x:c r="H4411" s="36" t="n">
        <x:f>E4411*G4411</x:f>
        <x:v>135914.4144144144</x:v>
      </x:c>
      <x:c r="I4411" s="36" t="n">
        <x:f>IFERROR(H4411/A4411,0)</x:f>
        <x:v>19416.344916344915</x:v>
      </x:c>
      <x:c r="J4411" s="67" t="str">
        <x:v>Modeled from live base + Sep-2026 quality ratio</x:v>
      </x:c>
      <x:c r="K4411" s="67" t="str">
        <x:v>https://www.stonealgo.com/diamond-prices/</x:v>
      </x:c>
      <x:c r="L4411" s="67" t="str">
        <x:v>https://www.pricescope.com/blog/natural-diamond-prices-september-2026</x:v>
      </x:c>
    </x:row>
    <x:row r="4412">
      <x:c r="A4412" t="n">
        <x:v>7</x:v>
      </x:c>
      <x:c r="B4412" t="str">
        <x:v>Marquise</x:v>
      </x:c>
      <x:c r="C4412" t="str">
        <x:v>K</x:v>
      </x:c>
      <x:c r="D4412" t="str">
        <x:v>VVS1</x:v>
      </x:c>
      <x:c r="E4412" s="36" t="n">
        <x:v>231000</x:v>
      </x:c>
      <x:c r="F4412" s="36" t="n">
        <x:v>2529</x:v>
      </x:c>
      <x:c r="G4412" s="42" t="n">
        <x:v>0.5424710424710425</x:v>
      </x:c>
      <x:c r="H4412" s="36" t="n">
        <x:f>E4412*G4412</x:f>
        <x:v>125310.81081081081</x:v>
      </x:c>
      <x:c r="I4412" s="36" t="n">
        <x:f>IFERROR(H4412/A4412,0)</x:f>
        <x:v>17901.5444015444</x:v>
      </x:c>
      <x:c r="J4412" s="67" t="str">
        <x:v>Modeled from live base + Sep-2026 quality ratio</x:v>
      </x:c>
      <x:c r="K4412" s="67" t="str">
        <x:v>https://www.stonealgo.com/diamond-prices/</x:v>
      </x:c>
      <x:c r="L4412" s="67" t="str">
        <x:v>https://www.pricescope.com/blog/natural-diamond-prices-september-2026</x:v>
      </x:c>
    </x:row>
    <x:row r="4413">
      <x:c r="A4413" t="n">
        <x:v>7</x:v>
      </x:c>
      <x:c r="B4413" t="str">
        <x:v>Marquise</x:v>
      </x:c>
      <x:c r="C4413" t="str">
        <x:v>K</x:v>
      </x:c>
      <x:c r="D4413" t="str">
        <x:v>VVS2</x:v>
      </x:c>
      <x:c r="E4413" s="36" t="n">
        <x:v>231000</x:v>
      </x:c>
      <x:c r="F4413" s="36" t="n">
        <x:v>2374</x:v>
      </x:c>
      <x:c r="G4413" s="42" t="n">
        <x:v>0.5092235092235092</x:v>
      </x:c>
      <x:c r="H4413" s="36" t="n">
        <x:f>E4413*G4413</x:f>
        <x:v>117630.63063063064</x:v>
      </x:c>
      <x:c r="I4413" s="36" t="n">
        <x:f>IFERROR(H4413/A4413,0)</x:f>
        <x:v>16804.375804375806</x:v>
      </x:c>
      <x:c r="J4413" s="67" t="str">
        <x:v>Modeled from live base + Sep-2026 quality ratio</x:v>
      </x:c>
      <x:c r="K4413" s="67" t="str">
        <x:v>https://www.stonealgo.com/diamond-prices/</x:v>
      </x:c>
      <x:c r="L4413" s="67" t="str">
        <x:v>https://www.pricescope.com/blog/natural-diamond-prices-september-2026</x:v>
      </x:c>
    </x:row>
    <x:row r="4414">
      <x:c r="A4414" t="n">
        <x:v>7</x:v>
      </x:c>
      <x:c r="B4414" t="str">
        <x:v>Marquise</x:v>
      </x:c>
      <x:c r="C4414" t="str">
        <x:v>K</x:v>
      </x:c>
      <x:c r="D4414" t="str">
        <x:v>VS1</x:v>
      </x:c>
      <x:c r="E4414" s="36" t="n">
        <x:v>231000</x:v>
      </x:c>
      <x:c r="F4414" s="36" t="n">
        <x:v>2223</x:v>
      </x:c>
      <x:c r="G4414" s="42" t="n">
        <x:v>0.4768339768339768</x:v>
      </x:c>
      <x:c r="H4414" s="36" t="n">
        <x:f>E4414*G4414</x:f>
        <x:v>110148.64864864865</x:v>
      </x:c>
      <x:c r="I4414" s="36" t="n">
        <x:f>IFERROR(H4414/A4414,0)</x:f>
        <x:v>15735.521235521237</x:v>
      </x:c>
      <x:c r="J4414" s="67" t="str">
        <x:v>Modeled from live base + Sep-2026 quality ratio</x:v>
      </x:c>
      <x:c r="K4414" s="67" t="str">
        <x:v>https://www.stonealgo.com/diamond-prices/</x:v>
      </x:c>
      <x:c r="L4414" s="67" t="str">
        <x:v>https://www.pricescope.com/blog/natural-diamond-prices-september-2026</x:v>
      </x:c>
    </x:row>
    <x:row r="4415">
      <x:c r="A4415" t="n">
        <x:v>7</x:v>
      </x:c>
      <x:c r="B4415" t="str">
        <x:v>Marquise</x:v>
      </x:c>
      <x:c r="C4415" t="str">
        <x:v>K</x:v>
      </x:c>
      <x:c r="D4415" t="str">
        <x:v>VS2</x:v>
      </x:c>
      <x:c r="E4415" s="36" t="n">
        <x:v>231000</x:v>
      </x:c>
      <x:c r="F4415" s="36" t="n">
        <x:v>2098</x:v>
      </x:c>
      <x:c r="G4415" s="42" t="n">
        <x:v>0.45002145002145</x:v>
      </x:c>
      <x:c r="H4415" s="36" t="n">
        <x:f>E4415*G4415</x:f>
        <x:v>103954.95495495496</x:v>
      </x:c>
      <x:c r="I4415" s="36" t="n">
        <x:f>IFERROR(H4415/A4415,0)</x:f>
        <x:v>14850.707850707851</x:v>
      </x:c>
      <x:c r="J4415" s="67" t="str">
        <x:v>Modeled from live base + Sep-2026 quality ratio</x:v>
      </x:c>
      <x:c r="K4415" s="67" t="str">
        <x:v>https://www.stonealgo.com/diamond-prices/</x:v>
      </x:c>
      <x:c r="L4415" s="67" t="str">
        <x:v>https://www.pricescope.com/blog/natural-diamond-prices-september-2026</x:v>
      </x:c>
    </x:row>
    <x:row r="4416">
      <x:c r="A4416" t="n">
        <x:v>7</x:v>
      </x:c>
      <x:c r="B4416" t="str">
        <x:v>Marquise</x:v>
      </x:c>
      <x:c r="C4416" t="str">
        <x:v>K</x:v>
      </x:c>
      <x:c r="D4416" t="str">
        <x:v>SI1</x:v>
      </x:c>
      <x:c r="E4416" s="36" t="n">
        <x:v>231000</x:v>
      </x:c>
      <x:c r="F4416" s="36" t="n">
        <x:v>1922</x:v>
      </x:c>
      <x:c r="G4416" s="42" t="n">
        <x:v>0.41226941226941227</x:v>
      </x:c>
      <x:c r="H4416" s="36" t="n">
        <x:f>E4416*G4416</x:f>
        <x:v>95234.23423423423</x:v>
      </x:c>
      <x:c r="I4416" s="36" t="n">
        <x:f>IFERROR(H4416/A4416,0)</x:f>
        <x:v>13604.890604890605</x:v>
      </x:c>
      <x:c r="J4416" s="67" t="str">
        <x:v>Modeled from live base + Sep-2026 quality ratio</x:v>
      </x:c>
      <x:c r="K4416" s="67" t="str">
        <x:v>https://www.stonealgo.com/diamond-prices/</x:v>
      </x:c>
      <x:c r="L4416" s="67" t="str">
        <x:v>https://www.pricescope.com/blog/natural-diamond-prices-september-2026</x:v>
      </x:c>
    </x:row>
    <x:row r="4417">
      <x:c r="A4417" t="n">
        <x:v>7</x:v>
      </x:c>
      <x:c r="B4417" t="str">
        <x:v>Marquise</x:v>
      </x:c>
      <x:c r="C4417" t="str">
        <x:v>K</x:v>
      </x:c>
      <x:c r="D4417" t="str">
        <x:v>SI2</x:v>
      </x:c>
      <x:c r="E4417" s="36" t="n">
        <x:v>231000</x:v>
      </x:c>
      <x:c r="F4417" s="36" t="n">
        <x:v>1764</x:v>
      </x:c>
      <x:c r="G4417" s="42" t="n">
        <x:v>0.3783783783783784</x:v>
      </x:c>
      <x:c r="H4417" s="36" t="n">
        <x:f>E4417*G4417</x:f>
        <x:v>87405.40540540541</x:v>
      </x:c>
      <x:c r="I4417" s="36" t="n">
        <x:f>IFERROR(H4417/A4417,0)</x:f>
        <x:v>12486.486486486489</x:v>
      </x:c>
      <x:c r="J4417" s="67" t="str">
        <x:v>Modeled from live base + Sep-2026 quality ratio</x:v>
      </x:c>
      <x:c r="K4417" s="67" t="str">
        <x:v>https://www.stonealgo.com/diamond-prices/</x:v>
      </x:c>
      <x:c r="L4417" s="67" t="str">
        <x:v>https://www.pricescope.com/blog/natural-diamond-prices-september-2026</x:v>
      </x:c>
    </x:row>
    <x:row r="4418">
      <x:c r="A4418" t="n">
        <x:v>7</x:v>
      </x:c>
      <x:c r="B4418" t="str">
        <x:v>Asscher</x:v>
      </x:c>
      <x:c r="C4418" t="str">
        <x:v>D</x:v>
      </x:c>
      <x:c r="D4418" t="str">
        <x:v>FL</x:v>
      </x:c>
      <x:c r="E4418" s="36" t="n">
        <x:v>217000</x:v>
      </x:c>
      <x:c r="F4418" s="36" t="n">
        <x:v>12665</x:v>
      </x:c>
      <x:c r="G4418" s="42" t="n">
        <x:v>2.7166452166452166</x:v>
      </x:c>
      <x:c r="H4418" s="36" t="n">
        <x:f>E4418*G4418</x:f>
        <x:v>589512.012012012</x:v>
      </x:c>
      <x:c r="I4418" s="36" t="n">
        <x:f>IFERROR(H4418/A4418,0)</x:f>
        <x:v>84216.0017160017</x:v>
      </x:c>
      <x:c r="J4418" s="67" t="str">
        <x:v>Modeled from live base + Sep-2026 quality ratio</x:v>
      </x:c>
      <x:c r="K4418" s="67" t="str">
        <x:v>https://www.stonealgo.com/diamond-prices/</x:v>
      </x:c>
      <x:c r="L4418" s="67" t="str">
        <x:v>https://www.pricescope.com/blog/natural-diamond-prices-september-2026</x:v>
      </x:c>
    </x:row>
    <x:row r="4419">
      <x:c r="A4419" t="n">
        <x:v>7</x:v>
      </x:c>
      <x:c r="B4419" t="str">
        <x:v>Asscher</x:v>
      </x:c>
      <x:c r="C4419" t="str">
        <x:v>D</x:v>
      </x:c>
      <x:c r="D4419" t="str">
        <x:v>IF</x:v>
      </x:c>
      <x:c r="E4419" s="36" t="n">
        <x:v>217000</x:v>
      </x:c>
      <x:c r="F4419" s="36" t="n">
        <x:v>13240</x:v>
      </x:c>
      <x:c r="G4419" s="42" t="n">
        <x:v>2.83998283998284</x:v>
      </x:c>
      <x:c r="H4419" s="36" t="n">
        <x:f>E4419*G4419</x:f>
        <x:v>616276.2762762763</x:v>
      </x:c>
      <x:c r="I4419" s="36" t="n">
        <x:f>IFERROR(H4419/A4419,0)</x:f>
        <x:v>88039.46803946805</x:v>
      </x:c>
      <x:c r="J4419" s="67" t="str">
        <x:v>Modeled from live base + Sep-2026 quality ratio</x:v>
      </x:c>
      <x:c r="K4419" s="67" t="str">
        <x:v>https://www.stonealgo.com/diamond-prices/</x:v>
      </x:c>
      <x:c r="L4419" s="67" t="str">
        <x:v>https://www.pricescope.com/blog/natural-diamond-prices-september-2026</x:v>
      </x:c>
    </x:row>
    <x:row r="4420">
      <x:c r="A4420" t="n">
        <x:v>7</x:v>
      </x:c>
      <x:c r="B4420" t="str">
        <x:v>Asscher</x:v>
      </x:c>
      <x:c r="C4420" t="str">
        <x:v>D</x:v>
      </x:c>
      <x:c r="D4420" t="str">
        <x:v>VVS1</x:v>
      </x:c>
      <x:c r="E4420" s="36" t="n">
        <x:v>217000</x:v>
      </x:c>
      <x:c r="F4420" s="36" t="n">
        <x:v>9555</x:v>
      </x:c>
      <x:c r="G4420" s="42" t="n">
        <x:v>2.0495495495495497</x:v>
      </x:c>
      <x:c r="H4420" s="36" t="n">
        <x:f>E4420*G4420</x:f>
        <x:v>444752.2522522523</x:v>
      </x:c>
      <x:c r="I4420" s="36" t="n">
        <x:f>IFERROR(H4420/A4420,0)</x:f>
        <x:v>63536.03603603604</x:v>
      </x:c>
      <x:c r="J4420" s="67" t="str">
        <x:v>Modeled from live base + Sep-2026 quality ratio</x:v>
      </x:c>
      <x:c r="K4420" s="67" t="str">
        <x:v>https://www.stonealgo.com/diamond-prices/</x:v>
      </x:c>
      <x:c r="L4420" s="67" t="str">
        <x:v>https://www.pricescope.com/blog/natural-diamond-prices-september-2026</x:v>
      </x:c>
    </x:row>
    <x:row r="4421">
      <x:c r="A4421" t="n">
        <x:v>7</x:v>
      </x:c>
      <x:c r="B4421" t="str">
        <x:v>Asscher</x:v>
      </x:c>
      <x:c r="C4421" t="str">
        <x:v>D</x:v>
      </x:c>
      <x:c r="D4421" t="str">
        <x:v>VVS2</x:v>
      </x:c>
      <x:c r="E4421" s="36" t="n">
        <x:v>217000</x:v>
      </x:c>
      <x:c r="F4421" s="36" t="n">
        <x:v>6660</x:v>
      </x:c>
      <x:c r="G4421" s="42" t="n">
        <x:v>1.4285714285714286</x:v>
      </x:c>
      <x:c r="H4421" s="36" t="n">
        <x:f>E4421*G4421</x:f>
        <x:v>310000</x:v>
      </x:c>
      <x:c r="I4421" s="36" t="n">
        <x:f>IFERROR(H4421/A4421,0)</x:f>
        <x:v>44285.71428571428</x:v>
      </x:c>
      <x:c r="J4421" s="67" t="str">
        <x:v>Modeled from live base + Sep-2026 quality ratio</x:v>
      </x:c>
      <x:c r="K4421" s="67" t="str">
        <x:v>https://www.stonealgo.com/diamond-prices/</x:v>
      </x:c>
      <x:c r="L4421" s="67" t="str">
        <x:v>https://www.pricescope.com/blog/natural-diamond-prices-september-2026</x:v>
      </x:c>
    </x:row>
    <x:row r="4422">
      <x:c r="A4422" t="n">
        <x:v>7</x:v>
      </x:c>
      <x:c r="B4422" t="str">
        <x:v>Asscher</x:v>
      </x:c>
      <x:c r="C4422" t="str">
        <x:v>D</x:v>
      </x:c>
      <x:c r="D4422" t="str">
        <x:v>VS1</x:v>
      </x:c>
      <x:c r="E4422" s="36" t="n">
        <x:v>217000</x:v>
      </x:c>
      <x:c r="F4422" s="36" t="n">
        <x:v>6247</x:v>
      </x:c>
      <x:c r="G4422" s="42" t="n">
        <x:v>1.33998283998284</x:v>
      </x:c>
      <x:c r="H4422" s="36" t="n">
        <x:f>E4422*G4422</x:f>
        <x:v>290776.2762762763</x:v>
      </x:c>
      <x:c r="I4422" s="36" t="n">
        <x:f>IFERROR(H4422/A4422,0)</x:f>
        <x:v>41539.46803946804</x:v>
      </x:c>
      <x:c r="J4422" s="67" t="str">
        <x:v>Modeled from live base + Sep-2026 quality ratio</x:v>
      </x:c>
      <x:c r="K4422" s="67" t="str">
        <x:v>https://www.stonealgo.com/diamond-prices/</x:v>
      </x:c>
      <x:c r="L4422" s="67" t="str">
        <x:v>https://www.pricescope.com/blog/natural-diamond-prices-september-2026</x:v>
      </x:c>
    </x:row>
    <x:row r="4423">
      <x:c r="A4423" t="n">
        <x:v>7</x:v>
      </x:c>
      <x:c r="B4423" t="str">
        <x:v>Asscher</x:v>
      </x:c>
      <x:c r="C4423" t="str">
        <x:v>D</x:v>
      </x:c>
      <x:c r="D4423" t="str">
        <x:v>VS2</x:v>
      </x:c>
      <x:c r="E4423" s="36" t="n">
        <x:v>217000</x:v>
      </x:c>
      <x:c r="F4423" s="36" t="n">
        <x:v>5841</x:v>
      </x:c>
      <x:c r="G4423" s="42" t="n">
        <x:v>1.252895752895753</x:v>
      </x:c>
      <x:c r="H4423" s="36" t="n">
        <x:f>E4423*G4423</x:f>
        <x:v>271878.3783783784</x:v>
      </x:c>
      <x:c r="I4423" s="36" t="n">
        <x:f>IFERROR(H4423/A4423,0)</x:f>
        <x:v>38839.76833976834</x:v>
      </x:c>
      <x:c r="J4423" s="67" t="str">
        <x:v>Modeled from live base + Sep-2026 quality ratio</x:v>
      </x:c>
      <x:c r="K4423" s="67" t="str">
        <x:v>https://www.stonealgo.com/diamond-prices/</x:v>
      </x:c>
      <x:c r="L4423" s="67" t="str">
        <x:v>https://www.pricescope.com/blog/natural-diamond-prices-september-2026</x:v>
      </x:c>
    </x:row>
    <x:row r="4424">
      <x:c r="A4424" t="n">
        <x:v>7</x:v>
      </x:c>
      <x:c r="B4424" t="str">
        <x:v>Asscher</x:v>
      </x:c>
      <x:c r="C4424" t="str">
        <x:v>D</x:v>
      </x:c>
      <x:c r="D4424" t="str">
        <x:v>SI1</x:v>
      </x:c>
      <x:c r="E4424" s="36" t="n">
        <x:v>217000</x:v>
      </x:c>
      <x:c r="F4424" s="36" t="n">
        <x:v>3762</x:v>
      </x:c>
      <x:c r="G4424" s="42" t="n">
        <x:v>0.806949806949807</x:v>
      </x:c>
      <x:c r="H4424" s="36" t="n">
        <x:f>E4424*G4424</x:f>
        <x:v>175108.1081081081</x:v>
      </x:c>
      <x:c r="I4424" s="36" t="n">
        <x:f>IFERROR(H4424/A4424,0)</x:f>
        <x:v>25015.444015444016</x:v>
      </x:c>
      <x:c r="J4424" s="67" t="str">
        <x:v>Modeled from live base + Sep-2026 quality ratio</x:v>
      </x:c>
      <x:c r="K4424" s="67" t="str">
        <x:v>https://www.stonealgo.com/diamond-prices/</x:v>
      </x:c>
      <x:c r="L4424" s="67" t="str">
        <x:v>https://www.pricescope.com/blog/natural-diamond-prices-september-2026</x:v>
      </x:c>
    </x:row>
    <x:row r="4425">
      <x:c r="A4425" t="n">
        <x:v>7</x:v>
      </x:c>
      <x:c r="B4425" t="str">
        <x:v>Asscher</x:v>
      </x:c>
      <x:c r="C4425" t="str">
        <x:v>D</x:v>
      </x:c>
      <x:c r="D4425" t="str">
        <x:v>SI2</x:v>
      </x:c>
      <x:c r="E4425" s="36" t="n">
        <x:v>217000</x:v>
      </x:c>
      <x:c r="F4425" s="36" t="n">
        <x:v>3026</x:v>
      </x:c>
      <x:c r="G4425" s="42" t="n">
        <x:v>0.6490776490776491</x:v>
      </x:c>
      <x:c r="H4425" s="36" t="n">
        <x:f>E4425*G4425</x:f>
        <x:v>140849.84984984985</x:v>
      </x:c>
      <x:c r="I4425" s="36" t="n">
        <x:f>IFERROR(H4425/A4425,0)</x:f>
        <x:v>20121.407121407123</x:v>
      </x:c>
      <x:c r="J4425" s="67" t="str">
        <x:v>Modeled from live base + Sep-2026 quality ratio</x:v>
      </x:c>
      <x:c r="K4425" s="67" t="str">
        <x:v>https://www.stonealgo.com/diamond-prices/</x:v>
      </x:c>
      <x:c r="L4425" s="67" t="str">
        <x:v>https://www.pricescope.com/blog/natural-diamond-prices-september-2026</x:v>
      </x:c>
    </x:row>
    <x:row r="4426">
      <x:c r="A4426" t="n">
        <x:v>7</x:v>
      </x:c>
      <x:c r="B4426" t="str">
        <x:v>Asscher</x:v>
      </x:c>
      <x:c r="C4426" t="str">
        <x:v>E</x:v>
      </x:c>
      <x:c r="D4426" t="str">
        <x:v>FL</x:v>
      </x:c>
      <x:c r="E4426" s="36" t="n">
        <x:v>217000</x:v>
      </x:c>
      <x:c r="F4426" s="36" t="n">
        <x:v>10072</x:v>
      </x:c>
      <x:c r="G4426" s="42" t="n">
        <x:v>2.1604461604461602</x:v>
      </x:c>
      <x:c r="H4426" s="36" t="n">
        <x:f>E4426*G4426</x:f>
        <x:v>468816.81681681675</x:v>
      </x:c>
      <x:c r="I4426" s="36" t="n">
        <x:f>IFERROR(H4426/A4426,0)</x:f>
        <x:v>66973.83097383096</x:v>
      </x:c>
      <x:c r="J4426" s="67" t="str">
        <x:v>Modeled from live base + Sep-2026 quality ratio</x:v>
      </x:c>
      <x:c r="K4426" s="67" t="str">
        <x:v>https://www.stonealgo.com/diamond-prices/</x:v>
      </x:c>
      <x:c r="L4426" s="67" t="str">
        <x:v>https://www.pricescope.com/blog/natural-diamond-prices-september-2026</x:v>
      </x:c>
    </x:row>
    <x:row r="4427">
      <x:c r="A4427" t="n">
        <x:v>7</x:v>
      </x:c>
      <x:c r="B4427" t="str">
        <x:v>Asscher</x:v>
      </x:c>
      <x:c r="C4427" t="str">
        <x:v>E</x:v>
      </x:c>
      <x:c r="D4427" t="str">
        <x:v>IF</x:v>
      </x:c>
      <x:c r="E4427" s="36" t="n">
        <x:v>217000</x:v>
      </x:c>
      <x:c r="F4427" s="36" t="n">
        <x:v>8672</x:v>
      </x:c>
      <x:c r="G4427" s="42" t="n">
        <x:v>1.8601458601458603</x:v>
      </x:c>
      <x:c r="H4427" s="36" t="n">
        <x:f>E4427*G4427</x:f>
        <x:v>403651.65165165166</x:v>
      </x:c>
      <x:c r="I4427" s="36" t="n">
        <x:f>IFERROR(H4427/A4427,0)</x:f>
        <x:v>57664.521664521664</x:v>
      </x:c>
      <x:c r="J4427" s="67" t="str">
        <x:v>Modeled from live base + Sep-2026 quality ratio</x:v>
      </x:c>
      <x:c r="K4427" s="67" t="str">
        <x:v>https://www.stonealgo.com/diamond-prices/</x:v>
      </x:c>
      <x:c r="L4427" s="67" t="str">
        <x:v>https://www.pricescope.com/blog/natural-diamond-prices-september-2026</x:v>
      </x:c>
    </x:row>
    <x:row r="4428">
      <x:c r="A4428" t="n">
        <x:v>7</x:v>
      </x:c>
      <x:c r="B4428" t="str">
        <x:v>Asscher</x:v>
      </x:c>
      <x:c r="C4428" t="str">
        <x:v>E</x:v>
      </x:c>
      <x:c r="D4428" t="str">
        <x:v>VVS1</x:v>
      </x:c>
      <x:c r="E4428" s="36" t="n">
        <x:v>217000</x:v>
      </x:c>
      <x:c r="F4428" s="36" t="n">
        <x:v>7842</x:v>
      </x:c>
      <x:c r="G4428" s="42" t="n">
        <x:v>1.6821106821106822</x:v>
      </x:c>
      <x:c r="H4428" s="36" t="n">
        <x:f>E4428*G4428</x:f>
        <x:v>365018.01801801805</x:v>
      </x:c>
      <x:c r="I4428" s="36" t="n">
        <x:f>IFERROR(H4428/A4428,0)</x:f>
        <x:v>52145.43114543115</x:v>
      </x:c>
      <x:c r="J4428" s="67" t="str">
        <x:v>Modeled from live base + Sep-2026 quality ratio</x:v>
      </x:c>
      <x:c r="K4428" s="67" t="str">
        <x:v>https://www.stonealgo.com/diamond-prices/</x:v>
      </x:c>
      <x:c r="L4428" s="67" t="str">
        <x:v>https://www.pricescope.com/blog/natural-diamond-prices-september-2026</x:v>
      </x:c>
    </x:row>
    <x:row r="4429">
      <x:c r="A4429" t="n">
        <x:v>7</x:v>
      </x:c>
      <x:c r="B4429" t="str">
        <x:v>Asscher</x:v>
      </x:c>
      <x:c r="C4429" t="str">
        <x:v>E</x:v>
      </x:c>
      <x:c r="D4429" t="str">
        <x:v>VVS2</x:v>
      </x:c>
      <x:c r="E4429" s="36" t="n">
        <x:v>217000</x:v>
      </x:c>
      <x:c r="F4429" s="36" t="n">
        <x:v>6880</x:v>
      </x:c>
      <x:c r="G4429" s="42" t="n">
        <x:v>1.4757614757614759</x:v>
      </x:c>
      <x:c r="H4429" s="36" t="n">
        <x:f>E4429*G4429</x:f>
        <x:v>320240.24024024024</x:v>
      </x:c>
      <x:c r="I4429" s="36" t="n">
        <x:f>IFERROR(H4429/A4429,0)</x:f>
        <x:v>45748.60574860575</x:v>
      </x:c>
      <x:c r="J4429" s="67" t="str">
        <x:v>Modeled from live base + Sep-2026 quality ratio</x:v>
      </x:c>
      <x:c r="K4429" s="67" t="str">
        <x:v>https://www.stonealgo.com/diamond-prices/</x:v>
      </x:c>
      <x:c r="L4429" s="67" t="str">
        <x:v>https://www.pricescope.com/blog/natural-diamond-prices-september-2026</x:v>
      </x:c>
    </x:row>
    <x:row r="4430">
      <x:c r="A4430" t="n">
        <x:v>7</x:v>
      </x:c>
      <x:c r="B4430" t="str">
        <x:v>Asscher</x:v>
      </x:c>
      <x:c r="C4430" t="str">
        <x:v>E</x:v>
      </x:c>
      <x:c r="D4430" t="str">
        <x:v>VS1</x:v>
      </x:c>
      <x:c r="E4430" s="36" t="n">
        <x:v>217000</x:v>
      </x:c>
      <x:c r="F4430" s="36" t="n">
        <x:v>6307</x:v>
      </x:c>
      <x:c r="G4430" s="42" t="n">
        <x:v>1.352852852852853</x:v>
      </x:c>
      <x:c r="H4430" s="36" t="n">
        <x:f>E4430*G4430</x:f>
        <x:v>293569.0690690691</x:v>
      </x:c>
      <x:c r="I4430" s="36" t="n">
        <x:f>IFERROR(H4430/A4430,0)</x:f>
        <x:v>41938.43843843845</x:v>
      </x:c>
      <x:c r="J4430" s="67" t="str">
        <x:v>Modeled from live base + Sep-2026 quality ratio</x:v>
      </x:c>
      <x:c r="K4430" s="67" t="str">
        <x:v>https://www.stonealgo.com/diamond-prices/</x:v>
      </x:c>
      <x:c r="L4430" s="67" t="str">
        <x:v>https://www.pricescope.com/blog/natural-diamond-prices-september-2026</x:v>
      </x:c>
    </x:row>
    <x:row r="4431">
      <x:c r="A4431" t="n">
        <x:v>7</x:v>
      </x:c>
      <x:c r="B4431" t="str">
        <x:v>Asscher</x:v>
      </x:c>
      <x:c r="C4431" t="str">
        <x:v>E</x:v>
      </x:c>
      <x:c r="D4431" t="str">
        <x:v>VS2</x:v>
      </x:c>
      <x:c r="E4431" s="36" t="n">
        <x:v>217000</x:v>
      </x:c>
      <x:c r="F4431" s="36" t="n">
        <x:v>5249</x:v>
      </x:c>
      <x:c r="G4431" s="42" t="n">
        <x:v>1.125911625911626</x:v>
      </x:c>
      <x:c r="H4431" s="36" t="n">
        <x:f>E4431*G4431</x:f>
        <x:v>244322.82282282284</x:v>
      </x:c>
      <x:c r="I4431" s="36" t="n">
        <x:f>IFERROR(H4431/A4431,0)</x:f>
        <x:v>34903.26040326041</x:v>
      </x:c>
      <x:c r="J4431" s="67" t="str">
        <x:v>Modeled from live base + Sep-2026 quality ratio</x:v>
      </x:c>
      <x:c r="K4431" s="67" t="str">
        <x:v>https://www.stonealgo.com/diamond-prices/</x:v>
      </x:c>
      <x:c r="L4431" s="67" t="str">
        <x:v>https://www.pricescope.com/blog/natural-diamond-prices-september-2026</x:v>
      </x:c>
    </x:row>
    <x:row r="4432">
      <x:c r="A4432" t="n">
        <x:v>7</x:v>
      </x:c>
      <x:c r="B4432" t="str">
        <x:v>Asscher</x:v>
      </x:c>
      <x:c r="C4432" t="str">
        <x:v>E</x:v>
      </x:c>
      <x:c r="D4432" t="str">
        <x:v>SI1</x:v>
      </x:c>
      <x:c r="E4432" s="36" t="n">
        <x:v>217000</x:v>
      </x:c>
      <x:c r="F4432" s="36" t="n">
        <x:v>3551</x:v>
      </x:c>
      <x:c r="G4432" s="42" t="n">
        <x:v>0.7616902616902617</x:v>
      </x:c>
      <x:c r="H4432" s="36" t="n">
        <x:f>E4432*G4432</x:f>
        <x:v>165286.78678678678</x:v>
      </x:c>
      <x:c r="I4432" s="36" t="n">
        <x:f>IFERROR(H4432/A4432,0)</x:f>
        <x:v>23612.39811239811</x:v>
      </x:c>
      <x:c r="J4432" s="67" t="str">
        <x:v>Modeled from live base + Sep-2026 quality ratio</x:v>
      </x:c>
      <x:c r="K4432" s="67" t="str">
        <x:v>https://www.stonealgo.com/diamond-prices/</x:v>
      </x:c>
      <x:c r="L4432" s="67" t="str">
        <x:v>https://www.pricescope.com/blog/natural-diamond-prices-september-2026</x:v>
      </x:c>
    </x:row>
    <x:row r="4433">
      <x:c r="A4433" t="n">
        <x:v>7</x:v>
      </x:c>
      <x:c r="B4433" t="str">
        <x:v>Asscher</x:v>
      </x:c>
      <x:c r="C4433" t="str">
        <x:v>E</x:v>
      </x:c>
      <x:c r="D4433" t="str">
        <x:v>SI2</x:v>
      </x:c>
      <x:c r="E4433" s="36" t="n">
        <x:v>217000</x:v>
      </x:c>
      <x:c r="F4433" s="36" t="n">
        <x:v>2993</x:v>
      </x:c>
      <x:c r="G4433" s="42" t="n">
        <x:v>0.641999141999142</x:v>
      </x:c>
      <x:c r="H4433" s="36" t="n">
        <x:f>E4433*G4433</x:f>
        <x:v>139313.81381381382</x:v>
      </x:c>
      <x:c r="I4433" s="36" t="n">
        <x:f>IFERROR(H4433/A4433,0)</x:f>
        <x:v>19901.973401973402</x:v>
      </x:c>
      <x:c r="J4433" s="67" t="str">
        <x:v>Modeled from live base + Sep-2026 quality ratio</x:v>
      </x:c>
      <x:c r="K4433" s="67" t="str">
        <x:v>https://www.stonealgo.com/diamond-prices/</x:v>
      </x:c>
      <x:c r="L4433" s="67" t="str">
        <x:v>https://www.pricescope.com/blog/natural-diamond-prices-september-2026</x:v>
      </x:c>
    </x:row>
    <x:row r="4434">
      <x:c r="A4434" t="n">
        <x:v>7</x:v>
      </x:c>
      <x:c r="B4434" t="str">
        <x:v>Asscher</x:v>
      </x:c>
      <x:c r="C4434" t="str">
        <x:v>F</x:v>
      </x:c>
      <x:c r="D4434" t="str">
        <x:v>FL</x:v>
      </x:c>
      <x:c r="E4434" s="36" t="n">
        <x:v>217000</x:v>
      </x:c>
      <x:c r="F4434" s="36" t="n">
        <x:v>6830</x:v>
      </x:c>
      <x:c r="G4434" s="42" t="n">
        <x:v>1.4650364650364651</x:v>
      </x:c>
      <x:c r="H4434" s="36" t="n">
        <x:f>E4434*G4434</x:f>
        <x:v>317912.91291291296</x:v>
      </x:c>
      <x:c r="I4434" s="36" t="n">
        <x:f>IFERROR(H4434/A4434,0)</x:f>
        <x:v>45416.13041613042</x:v>
      </x:c>
      <x:c r="J4434" s="67" t="str">
        <x:v>Modeled from live base + Sep-2026 quality ratio</x:v>
      </x:c>
      <x:c r="K4434" s="67" t="str">
        <x:v>https://www.stonealgo.com/diamond-prices/</x:v>
      </x:c>
      <x:c r="L4434" s="67" t="str">
        <x:v>https://www.pricescope.com/blog/natural-diamond-prices-september-2026</x:v>
      </x:c>
    </x:row>
    <x:row r="4435">
      <x:c r="A4435" t="n">
        <x:v>7</x:v>
      </x:c>
      <x:c r="B4435" t="str">
        <x:v>Asscher</x:v>
      </x:c>
      <x:c r="C4435" t="str">
        <x:v>F</x:v>
      </x:c>
      <x:c r="D4435" t="str">
        <x:v>IF</x:v>
      </x:c>
      <x:c r="E4435" s="36" t="n">
        <x:v>217000</x:v>
      </x:c>
      <x:c r="F4435" s="36" t="n">
        <x:v>7302</x:v>
      </x:c>
      <x:c r="G4435" s="42" t="n">
        <x:v>1.5662805662805663</x:v>
      </x:c>
      <x:c r="H4435" s="36" t="n">
        <x:f>E4435*G4435</x:f>
        <x:v>339882.8828828829</x:v>
      </x:c>
      <x:c r="I4435" s="36" t="n">
        <x:f>IFERROR(H4435/A4435,0)</x:f>
        <x:v>48554.69755469756</x:v>
      </x:c>
      <x:c r="J4435" s="67" t="str">
        <x:v>Modeled from live base + Sep-2026 quality ratio</x:v>
      </x:c>
      <x:c r="K4435" s="67" t="str">
        <x:v>https://www.stonealgo.com/diamond-prices/</x:v>
      </x:c>
      <x:c r="L4435" s="67" t="str">
        <x:v>https://www.pricescope.com/blog/natural-diamond-prices-september-2026</x:v>
      </x:c>
    </x:row>
    <x:row r="4436">
      <x:c r="A4436" t="n">
        <x:v>7</x:v>
      </x:c>
      <x:c r="B4436" t="str">
        <x:v>Asscher</x:v>
      </x:c>
      <x:c r="C4436" t="str">
        <x:v>F</x:v>
      </x:c>
      <x:c r="D4436" t="str">
        <x:v>VVS1</x:v>
      </x:c>
      <x:c r="E4436" s="36" t="n">
        <x:v>217000</x:v>
      </x:c>
      <x:c r="F4436" s="36" t="n">
        <x:v>7542</x:v>
      </x:c>
      <x:c r="G4436" s="42" t="n">
        <x:v>1.6177606177606179</x:v>
      </x:c>
      <x:c r="H4436" s="36" t="n">
        <x:f>E4436*G4436</x:f>
        <x:v>351054.0540540541</x:v>
      </x:c>
      <x:c r="I4436" s="36" t="n">
        <x:f>IFERROR(H4436/A4436,0)</x:f>
        <x:v>50150.57915057916</x:v>
      </x:c>
      <x:c r="J4436" s="67" t="str">
        <x:v>Modeled from live base + Sep-2026 quality ratio</x:v>
      </x:c>
      <x:c r="K4436" s="67" t="str">
        <x:v>https://www.stonealgo.com/diamond-prices/</x:v>
      </x:c>
      <x:c r="L4436" s="67" t="str">
        <x:v>https://www.pricescope.com/blog/natural-diamond-prices-september-2026</x:v>
      </x:c>
    </x:row>
    <x:row r="4437">
      <x:c r="A4437" t="n">
        <x:v>7</x:v>
      </x:c>
      <x:c r="B4437" t="str">
        <x:v>Asscher</x:v>
      </x:c>
      <x:c r="C4437" t="str">
        <x:v>F</x:v>
      </x:c>
      <x:c r="D4437" t="str">
        <x:v>VVS2</x:v>
      </x:c>
      <x:c r="E4437" s="36" t="n">
        <x:v>217000</x:v>
      </x:c>
      <x:c r="F4437" s="36" t="n">
        <x:v>6352</x:v>
      </x:c>
      <x:c r="G4437" s="42" t="n">
        <x:v>1.3625053625053625</x:v>
      </x:c>
      <x:c r="H4437" s="36" t="n">
        <x:f>E4437*G4437</x:f>
        <x:v>295663.66366366367</x:v>
      </x:c>
      <x:c r="I4437" s="36" t="n">
        <x:f>IFERROR(H4437/A4437,0)</x:f>
        <x:v>42237.666237666235</x:v>
      </x:c>
      <x:c r="J4437" s="67" t="str">
        <x:v>Modeled from live base + Sep-2026 quality ratio</x:v>
      </x:c>
      <x:c r="K4437" s="67" t="str">
        <x:v>https://www.stonealgo.com/diamond-prices/</x:v>
      </x:c>
      <x:c r="L4437" s="67" t="str">
        <x:v>https://www.pricescope.com/blog/natural-diamond-prices-september-2026</x:v>
      </x:c>
    </x:row>
    <x:row r="4438">
      <x:c r="A4438" t="n">
        <x:v>7</x:v>
      </x:c>
      <x:c r="B4438" t="str">
        <x:v>Asscher</x:v>
      </x:c>
      <x:c r="C4438" t="str">
        <x:v>F</x:v>
      </x:c>
      <x:c r="D4438" t="str">
        <x:v>VS1</x:v>
      </x:c>
      <x:c r="E4438" s="36" t="n">
        <x:v>217000</x:v>
      </x:c>
      <x:c r="F4438" s="36" t="n">
        <x:v>5647</x:v>
      </x:c>
      <x:c r="G4438" s="42" t="n">
        <x:v>1.2112827112827114</x:v>
      </x:c>
      <x:c r="H4438" s="36" t="n">
        <x:f>E4438*G4438</x:f>
        <x:v>262848.34834834834</x:v>
      </x:c>
      <x:c r="I4438" s="36" t="n">
        <x:f>IFERROR(H4438/A4438,0)</x:f>
        <x:v>37549.764049764046</x:v>
      </x:c>
      <x:c r="J4438" s="67" t="str">
        <x:v>Modeled from live base + Sep-2026 quality ratio</x:v>
      </x:c>
      <x:c r="K4438" s="67" t="str">
        <x:v>https://www.stonealgo.com/diamond-prices/</x:v>
      </x:c>
      <x:c r="L4438" s="67" t="str">
        <x:v>https://www.pricescope.com/blog/natural-diamond-prices-september-2026</x:v>
      </x:c>
    </x:row>
    <x:row r="4439">
      <x:c r="A4439" t="n">
        <x:v>7</x:v>
      </x:c>
      <x:c r="B4439" t="str">
        <x:v>Asscher</x:v>
      </x:c>
      <x:c r="C4439" t="str">
        <x:v>F</x:v>
      </x:c>
      <x:c r="D4439" t="str">
        <x:v>VS2</x:v>
      </x:c>
      <x:c r="E4439" s="36" t="n">
        <x:v>217000</x:v>
      </x:c>
      <x:c r="F4439" s="36" t="n">
        <x:v>4730</x:v>
      </x:c>
      <x:c r="G4439" s="42" t="n">
        <x:v>1.0145860145860146</x:v>
      </x:c>
      <x:c r="H4439" s="36" t="n">
        <x:f>E4439*G4439</x:f>
        <x:v>220165.16516516518</x:v>
      </x:c>
      <x:c r="I4439" s="36" t="n">
        <x:f>IFERROR(H4439/A4439,0)</x:f>
        <x:v>31452.166452166453</x:v>
      </x:c>
      <x:c r="J4439" s="67" t="str">
        <x:v>Modeled from live base + Sep-2026 quality ratio</x:v>
      </x:c>
      <x:c r="K4439" s="67" t="str">
        <x:v>https://www.stonealgo.com/diamond-prices/</x:v>
      </x:c>
      <x:c r="L4439" s="67" t="str">
        <x:v>https://www.pricescope.com/blog/natural-diamond-prices-september-2026</x:v>
      </x:c>
    </x:row>
    <x:row r="4440">
      <x:c r="A4440" t="n">
        <x:v>7</x:v>
      </x:c>
      <x:c r="B4440" t="str">
        <x:v>Asscher</x:v>
      </x:c>
      <x:c r="C4440" t="str">
        <x:v>F</x:v>
      </x:c>
      <x:c r="D4440" t="str">
        <x:v>SI1</x:v>
      </x:c>
      <x:c r="E4440" s="36" t="n">
        <x:v>217000</x:v>
      </x:c>
      <x:c r="F4440" s="36" t="n">
        <x:v>3331</x:v>
      </x:c>
      <x:c r="G4440" s="42" t="n">
        <x:v>0.7145002145002145</x:v>
      </x:c>
      <x:c r="H4440" s="36" t="n">
        <x:f>E4440*G4440</x:f>
        <x:v>155046.54654654654</x:v>
      </x:c>
      <x:c r="I4440" s="36" t="n">
        <x:f>IFERROR(H4440/A4440,0)</x:f>
        <x:v>22149.50664950665</x:v>
      </x:c>
      <x:c r="J4440" s="67" t="str">
        <x:v>Modeled from live base + Sep-2026 quality ratio</x:v>
      </x:c>
      <x:c r="K4440" s="67" t="str">
        <x:v>https://www.stonealgo.com/diamond-prices/</x:v>
      </x:c>
      <x:c r="L4440" s="67" t="str">
        <x:v>https://www.pricescope.com/blog/natural-diamond-prices-september-2026</x:v>
      </x:c>
    </x:row>
    <x:row r="4441">
      <x:c r="A4441" t="n">
        <x:v>7</x:v>
      </x:c>
      <x:c r="B4441" t="str">
        <x:v>Asscher</x:v>
      </x:c>
      <x:c r="C4441" t="str">
        <x:v>F</x:v>
      </x:c>
      <x:c r="D4441" t="str">
        <x:v>SI2</x:v>
      </x:c>
      <x:c r="E4441" s="36" t="n">
        <x:v>217000</x:v>
      </x:c>
      <x:c r="F4441" s="36" t="n">
        <x:v>2733</x:v>
      </x:c>
      <x:c r="G4441" s="42" t="n">
        <x:v>0.5862290862290862</x:v>
      </x:c>
      <x:c r="H4441" s="36" t="n">
        <x:f>E4441*G4441</x:f>
        <x:v>127211.7117117117</x:v>
      </x:c>
      <x:c r="I4441" s="36" t="n">
        <x:f>IFERROR(H4441/A4441,0)</x:f>
        <x:v>18173.10167310167</x:v>
      </x:c>
      <x:c r="J4441" s="67" t="str">
        <x:v>Modeled from live base + Sep-2026 quality ratio</x:v>
      </x:c>
      <x:c r="K4441" s="67" t="str">
        <x:v>https://www.stonealgo.com/diamond-prices/</x:v>
      </x:c>
      <x:c r="L4441" s="67" t="str">
        <x:v>https://www.pricescope.com/blog/natural-diamond-prices-september-2026</x:v>
      </x:c>
    </x:row>
    <x:row r="4442">
      <x:c r="A4442" t="n">
        <x:v>7</x:v>
      </x:c>
      <x:c r="B4442" t="str">
        <x:v>Asscher</x:v>
      </x:c>
      <x:c r="C4442" t="str">
        <x:v>G</x:v>
      </x:c>
      <x:c r="D4442" t="str">
        <x:v>FL</x:v>
      </x:c>
      <x:c r="E4442" s="36" t="n">
        <x:v>217000</x:v>
      </x:c>
      <x:c r="F4442" s="36" t="n">
        <x:v>5905</x:v>
      </x:c>
      <x:c r="G4442" s="42" t="n">
        <x:v>1.2666237666237665</x:v>
      </x:c>
      <x:c r="H4442" s="36" t="n">
        <x:f>E4442*G4442</x:f>
        <x:v>274857.35735735734</x:v>
      </x:c>
      <x:c r="I4442" s="36" t="n">
        <x:f>IFERROR(H4442/A4442,0)</x:f>
        <x:v>39265.33676533676</x:v>
      </x:c>
      <x:c r="J4442" s="67" t="str">
        <x:v>Modeled from live base + Sep-2026 quality ratio</x:v>
      </x:c>
      <x:c r="K4442" s="67" t="str">
        <x:v>https://www.stonealgo.com/diamond-prices/</x:v>
      </x:c>
      <x:c r="L4442" s="67" t="str">
        <x:v>https://www.pricescope.com/blog/natural-diamond-prices-september-2026</x:v>
      </x:c>
    </x:row>
    <x:row r="4443">
      <x:c r="A4443" t="n">
        <x:v>7</x:v>
      </x:c>
      <x:c r="B4443" t="str">
        <x:v>Asscher</x:v>
      </x:c>
      <x:c r="C4443" t="str">
        <x:v>G</x:v>
      </x:c>
      <x:c r="D4443" t="str">
        <x:v>IF</x:v>
      </x:c>
      <x:c r="E4443" s="36" t="n">
        <x:v>217000</x:v>
      </x:c>
      <x:c r="F4443" s="36" t="n">
        <x:v>5601</x:v>
      </x:c>
      <x:c r="G4443" s="42" t="n">
        <x:v>1.2014157014157014</x:v>
      </x:c>
      <x:c r="H4443" s="36" t="n">
        <x:f>E4443*G4443</x:f>
        <x:v>260707.20720720722</x:v>
      </x:c>
      <x:c r="I4443" s="36" t="n">
        <x:f>IFERROR(H4443/A4443,0)</x:f>
        <x:v>37243.886743886746</x:v>
      </x:c>
      <x:c r="J4443" s="67" t="str">
        <x:v>Modeled from live base + Sep-2026 quality ratio</x:v>
      </x:c>
      <x:c r="K4443" s="67" t="str">
        <x:v>https://www.stonealgo.com/diamond-prices/</x:v>
      </x:c>
      <x:c r="L4443" s="67" t="str">
        <x:v>https://www.pricescope.com/blog/natural-diamond-prices-september-2026</x:v>
      </x:c>
    </x:row>
    <x:row r="4444">
      <x:c r="A4444" t="n">
        <x:v>7</x:v>
      </x:c>
      <x:c r="B4444" t="str">
        <x:v>Asscher</x:v>
      </x:c>
      <x:c r="C4444" t="str">
        <x:v>G</x:v>
      </x:c>
      <x:c r="D4444" t="str">
        <x:v>VVS1</x:v>
      </x:c>
      <x:c r="E4444" s="36" t="n">
        <x:v>217000</x:v>
      </x:c>
      <x:c r="F4444" s="36" t="n">
        <x:v>5124</x:v>
      </x:c>
      <x:c r="G4444" s="42" t="n">
        <x:v>1.0990990990990992</x:v>
      </x:c>
      <x:c r="H4444" s="36" t="n">
        <x:f>E4444*G4444</x:f>
        <x:v>238504.50450450453</x:v>
      </x:c>
      <x:c r="I4444" s="36" t="n">
        <x:f>IFERROR(H4444/A4444,0)</x:f>
        <x:v>34072.07207207208</x:v>
      </x:c>
      <x:c r="J4444" s="67" t="str">
        <x:v>Modeled from live base + Sep-2026 quality ratio</x:v>
      </x:c>
      <x:c r="K4444" s="67" t="str">
        <x:v>https://www.stonealgo.com/diamond-prices/</x:v>
      </x:c>
      <x:c r="L4444" s="67" t="str">
        <x:v>https://www.pricescope.com/blog/natural-diamond-prices-september-2026</x:v>
      </x:c>
    </x:row>
    <x:row r="4445">
      <x:c r="A4445" t="n">
        <x:v>7</x:v>
      </x:c>
      <x:c r="B4445" t="str">
        <x:v>Asscher</x:v>
      </x:c>
      <x:c r="C4445" t="str">
        <x:v>G</x:v>
      </x:c>
      <x:c r="D4445" t="str">
        <x:v>VVS2</x:v>
      </x:c>
      <x:c r="E4445" s="36" t="n">
        <x:v>217000</x:v>
      </x:c>
      <x:c r="F4445" s="36" t="n">
        <x:v>4962</x:v>
      </x:c>
      <x:c r="G4445" s="42" t="n">
        <x:v>1.0643500643500643</x:v>
      </x:c>
      <x:c r="H4445" s="36" t="n">
        <x:f>E4445*G4445</x:f>
        <x:v>230963.96396396396</x:v>
      </x:c>
      <x:c r="I4445" s="36" t="n">
        <x:f>IFERROR(H4445/A4445,0)</x:f>
        <x:v>32994.851994852</x:v>
      </x:c>
      <x:c r="J4445" s="67" t="str">
        <x:v>Modeled from live base + Sep-2026 quality ratio</x:v>
      </x:c>
      <x:c r="K4445" s="67" t="str">
        <x:v>https://www.stonealgo.com/diamond-prices/</x:v>
      </x:c>
      <x:c r="L4445" s="67" t="str">
        <x:v>https://www.pricescope.com/blog/natural-diamond-prices-september-2026</x:v>
      </x:c>
    </x:row>
    <x:row r="4446">
      <x:c r="A4446" t="n">
        <x:v>7</x:v>
      </x:c>
      <x:c r="B4446" t="str">
        <x:v>Asscher</x:v>
      </x:c>
      <x:c r="C4446" t="str">
        <x:v>G</x:v>
      </x:c>
      <x:c r="D4446" t="str">
        <x:v>VS1</x:v>
      </x:c>
      <x:c r="E4446" s="36" t="n">
        <x:v>217000</x:v>
      </x:c>
      <x:c r="F4446" s="36" t="n">
        <x:v>4615</x:v>
      </x:c>
      <x:c r="G4446" s="42" t="n">
        <x:v>0.98991848991849</x:v>
      </x:c>
      <x:c r="H4446" s="36" t="n">
        <x:f>E4446*G4446</x:f>
        <x:v>214812.3123123123</x:v>
      </x:c>
      <x:c r="I4446" s="36" t="n">
        <x:f>IFERROR(H4446/A4446,0)</x:f>
        <x:v>30687.473187473188</x:v>
      </x:c>
      <x:c r="J4446" s="67" t="str">
        <x:v>Modeled from live base + Sep-2026 quality ratio</x:v>
      </x:c>
      <x:c r="K4446" s="67" t="str">
        <x:v>https://www.stonealgo.com/diamond-prices/</x:v>
      </x:c>
      <x:c r="L4446" s="67" t="str">
        <x:v>https://www.pricescope.com/blog/natural-diamond-prices-september-2026</x:v>
      </x:c>
    </x:row>
    <x:row r="4447">
      <x:c r="A4447" t="n">
        <x:v>7</x:v>
      </x:c>
      <x:c r="B4447" t="str">
        <x:v>Asscher</x:v>
      </x:c>
      <x:c r="C4447" t="str">
        <x:v>G</x:v>
      </x:c>
      <x:c r="D4447" t="str">
        <x:v>VS2</x:v>
      </x:c>
      <x:c r="E4447" s="36" t="n">
        <x:v>217000</x:v>
      </x:c>
      <x:c r="F4447" s="36" t="n">
        <x:v>4585</x:v>
      </x:c>
      <x:c r="G4447" s="42" t="n">
        <x:v>0.9834834834834835</x:v>
      </x:c>
      <x:c r="H4447" s="36" t="n">
        <x:f>E4447*G4447</x:f>
        <x:v>213415.91591591592</x:v>
      </x:c>
      <x:c r="I4447" s="36" t="n">
        <x:f>IFERROR(H4447/A4447,0)</x:f>
        <x:v>30487.987987987988</x:v>
      </x:c>
      <x:c r="J4447" s="67" t="str">
        <x:v>Modeled from live base + Sep-2026 quality ratio</x:v>
      </x:c>
      <x:c r="K4447" s="67" t="str">
        <x:v>https://www.stonealgo.com/diamond-prices/</x:v>
      </x:c>
      <x:c r="L4447" s="67" t="str">
        <x:v>https://www.pricescope.com/blog/natural-diamond-prices-september-2026</x:v>
      </x:c>
    </x:row>
    <x:row r="4448">
      <x:c r="A4448" t="n">
        <x:v>7</x:v>
      </x:c>
      <x:c r="B4448" t="str">
        <x:v>Asscher</x:v>
      </x:c>
      <x:c r="C4448" t="str">
        <x:v>G</x:v>
      </x:c>
      <x:c r="D4448" t="str">
        <x:v>SI1</x:v>
      </x:c>
      <x:c r="E4448" s="36" t="n">
        <x:v>217000</x:v>
      </x:c>
      <x:c r="F4448" s="36" t="n">
        <x:v>3664</x:v>
      </x:c>
      <x:c r="G4448" s="42" t="n">
        <x:v>0.7859287859287859</x:v>
      </x:c>
      <x:c r="H4448" s="36" t="n">
        <x:f>E4448*G4448</x:f>
        <x:v>170546.54654654654</x:v>
      </x:c>
      <x:c r="I4448" s="36" t="n">
        <x:f>IFERROR(H4448/A4448,0)</x:f>
        <x:v>24363.792363792363</x:v>
      </x:c>
      <x:c r="J4448" s="67" t="str">
        <x:v>Modeled from live base + Sep-2026 quality ratio</x:v>
      </x:c>
      <x:c r="K4448" s="67" t="str">
        <x:v>https://www.stonealgo.com/diamond-prices/</x:v>
      </x:c>
      <x:c r="L4448" s="67" t="str">
        <x:v>https://www.pricescope.com/blog/natural-diamond-prices-september-2026</x:v>
      </x:c>
    </x:row>
    <x:row r="4449">
      <x:c r="A4449" t="n">
        <x:v>7</x:v>
      </x:c>
      <x:c r="B4449" t="str">
        <x:v>Asscher</x:v>
      </x:c>
      <x:c r="C4449" t="str">
        <x:v>G</x:v>
      </x:c>
      <x:c r="D4449" t="str">
        <x:v>SI2</x:v>
      </x:c>
      <x:c r="E4449" s="36" t="n">
        <x:v>217000</x:v>
      </x:c>
      <x:c r="F4449" s="36" t="n">
        <x:v>2537</x:v>
      </x:c>
      <x:c r="G4449" s="42" t="n">
        <x:v>0.5441870441870442</x:v>
      </x:c>
      <x:c r="H4449" s="36" t="n">
        <x:f>E4449*G4449</x:f>
        <x:v>118088.5885885886</x:v>
      </x:c>
      <x:c r="I4449" s="36" t="n">
        <x:f>IFERROR(H4449/A4449,0)</x:f>
        <x:v>16869.79836979837</x:v>
      </x:c>
      <x:c r="J4449" s="67" t="str">
        <x:v>Modeled from live base + Sep-2026 quality ratio</x:v>
      </x:c>
      <x:c r="K4449" s="67" t="str">
        <x:v>https://www.stonealgo.com/diamond-prices/</x:v>
      </x:c>
      <x:c r="L4449" s="67" t="str">
        <x:v>https://www.pricescope.com/blog/natural-diamond-prices-september-2026</x:v>
      </x:c>
    </x:row>
    <x:row r="4450">
      <x:c r="A4450" t="n">
        <x:v>7</x:v>
      </x:c>
      <x:c r="B4450" t="str">
        <x:v>Asscher</x:v>
      </x:c>
      <x:c r="C4450" t="str">
        <x:v>H</x:v>
      </x:c>
      <x:c r="D4450" t="str">
        <x:v>FL</x:v>
      </x:c>
      <x:c r="E4450" s="36" t="n">
        <x:v>217000</x:v>
      </x:c>
      <x:c r="F4450" s="36" t="n">
        <x:v>4563</x:v>
      </x:c>
      <x:c r="G4450" s="42" t="n">
        <x:v>0.9787644787644788</x:v>
      </x:c>
      <x:c r="H4450" s="36" t="n">
        <x:f>E4450*G4450</x:f>
        <x:v>212391.8918918919</x:v>
      </x:c>
      <x:c r="I4450" s="36" t="n">
        <x:f>IFERROR(H4450/A4450,0)</x:f>
        <x:v>30341.698841698842</x:v>
      </x:c>
      <x:c r="J4450" s="67" t="str">
        <x:v>Modeled from live base + Sep-2026 quality ratio</x:v>
      </x:c>
      <x:c r="K4450" s="67" t="str">
        <x:v>https://www.stonealgo.com/diamond-prices/</x:v>
      </x:c>
      <x:c r="L4450" s="67" t="str">
        <x:v>https://www.pricescope.com/blog/natural-diamond-prices-september-2026</x:v>
      </x:c>
    </x:row>
    <x:row r="4451">
      <x:c r="A4451" t="n">
        <x:v>7</x:v>
      </x:c>
      <x:c r="B4451" t="str">
        <x:v>Asscher</x:v>
      </x:c>
      <x:c r="C4451" t="str">
        <x:v>H</x:v>
      </x:c>
      <x:c r="D4451" t="str">
        <x:v>IF</x:v>
      </x:c>
      <x:c r="E4451" s="36" t="n">
        <x:v>217000</x:v>
      </x:c>
      <x:c r="F4451" s="36" t="n">
        <x:v>4809</x:v>
      </x:c>
      <x:c r="G4451" s="42" t="n">
        <x:v>1.0315315315315314</x:v>
      </x:c>
      <x:c r="H4451" s="36" t="n">
        <x:f>E4451*G4451</x:f>
        <x:v>223842.3423423423</x:v>
      </x:c>
      <x:c r="I4451" s="36" t="n">
        <x:f>IFERROR(H4451/A4451,0)</x:f>
        <x:v>31977.477477477474</x:v>
      </x:c>
      <x:c r="J4451" s="67" t="str">
        <x:v>Modeled from live base + Sep-2026 quality ratio</x:v>
      </x:c>
      <x:c r="K4451" s="67" t="str">
        <x:v>https://www.stonealgo.com/diamond-prices/</x:v>
      </x:c>
      <x:c r="L4451" s="67" t="str">
        <x:v>https://www.pricescope.com/blog/natural-diamond-prices-september-2026</x:v>
      </x:c>
    </x:row>
    <x:row r="4452">
      <x:c r="A4452" t="n">
        <x:v>7</x:v>
      </x:c>
      <x:c r="B4452" t="str">
        <x:v>Asscher</x:v>
      </x:c>
      <x:c r="C4452" t="str">
        <x:v>H</x:v>
      </x:c>
      <x:c r="D4452" t="str">
        <x:v>VVS1</x:v>
      </x:c>
      <x:c r="E4452" s="36" t="n">
        <x:v>217000</x:v>
      </x:c>
      <x:c r="F4452" s="36" t="n">
        <x:v>4911</x:v>
      </x:c>
      <x:c r="G4452" s="42" t="n">
        <x:v>1.0534105534105533</x:v>
      </x:c>
      <x:c r="H4452" s="36" t="n">
        <x:f>E4452*G4452</x:f>
        <x:v>228590.0900900901</x:v>
      </x:c>
      <x:c r="I4452" s="36" t="n">
        <x:f>IFERROR(H4452/A4452,0)</x:f>
        <x:v>32655.727155727156</x:v>
      </x:c>
      <x:c r="J4452" s="67" t="str">
        <x:v>Modeled from live base + Sep-2026 quality ratio</x:v>
      </x:c>
      <x:c r="K4452" s="67" t="str">
        <x:v>https://www.stonealgo.com/diamond-prices/</x:v>
      </x:c>
      <x:c r="L4452" s="67" t="str">
        <x:v>https://www.pricescope.com/blog/natural-diamond-prices-september-2026</x:v>
      </x:c>
    </x:row>
    <x:row r="4453">
      <x:c r="A4453" t="n">
        <x:v>7</x:v>
      </x:c>
      <x:c r="B4453" t="str">
        <x:v>Asscher</x:v>
      </x:c>
      <x:c r="C4453" t="str">
        <x:v>H</x:v>
      </x:c>
      <x:c r="D4453" t="str">
        <x:v>VVS2</x:v>
      </x:c>
      <x:c r="E4453" s="36" t="n">
        <x:v>217000</x:v>
      </x:c>
      <x:c r="F4453" s="36" t="n">
        <x:v>4046</x:v>
      </x:c>
      <x:c r="G4453" s="42" t="n">
        <x:v>0.8678678678678678</x:v>
      </x:c>
      <x:c r="H4453" s="36" t="n">
        <x:f>E4453*G4453</x:f>
        <x:v>188327.32732732734</x:v>
      </x:c>
      <x:c r="I4453" s="36" t="n">
        <x:f>IFERROR(H4453/A4453,0)</x:f>
        <x:v>26903.903903903905</x:v>
      </x:c>
      <x:c r="J4453" s="67" t="str">
        <x:v>Modeled from live base + Sep-2026 quality ratio</x:v>
      </x:c>
      <x:c r="K4453" s="67" t="str">
        <x:v>https://www.stonealgo.com/diamond-prices/</x:v>
      </x:c>
      <x:c r="L4453" s="67" t="str">
        <x:v>https://www.pricescope.com/blog/natural-diamond-prices-september-2026</x:v>
      </x:c>
    </x:row>
    <x:row r="4454">
      <x:c r="A4454" t="n">
        <x:v>7</x:v>
      </x:c>
      <x:c r="B4454" t="str">
        <x:v>Asscher</x:v>
      </x:c>
      <x:c r="C4454" t="str">
        <x:v>H</x:v>
      </x:c>
      <x:c r="D4454" t="str">
        <x:v>VS1</x:v>
      </x:c>
      <x:c r="E4454" s="36" t="n">
        <x:v>217000</x:v>
      </x:c>
      <x:c r="F4454" s="36" t="n">
        <x:v>3893</x:v>
      </x:c>
      <x:c r="G4454" s="42" t="n">
        <x:v>0.8350493350493351</x:v>
      </x:c>
      <x:c r="H4454" s="36" t="n">
        <x:f>E4454*G4454</x:f>
        <x:v>181205.7057057057</x:v>
      </x:c>
      <x:c r="I4454" s="36" t="n">
        <x:f>IFERROR(H4454/A4454,0)</x:f>
        <x:v>25886.529386529386</x:v>
      </x:c>
      <x:c r="J4454" s="67" t="str">
        <x:v>Modeled from live base + Sep-2026 quality ratio</x:v>
      </x:c>
      <x:c r="K4454" s="67" t="str">
        <x:v>https://www.stonealgo.com/diamond-prices/</x:v>
      </x:c>
      <x:c r="L4454" s="67" t="str">
        <x:v>https://www.pricescope.com/blog/natural-diamond-prices-september-2026</x:v>
      </x:c>
    </x:row>
    <x:row r="4455">
      <x:c r="A4455" t="n">
        <x:v>7</x:v>
      </x:c>
      <x:c r="B4455" t="str">
        <x:v>Asscher</x:v>
      </x:c>
      <x:c r="C4455" t="str">
        <x:v>H</x:v>
      </x:c>
      <x:c r="D4455" t="str">
        <x:v>VS2</x:v>
      </x:c>
      <x:c r="E4455" s="36" t="n">
        <x:v>217000</x:v>
      </x:c>
      <x:c r="F4455" s="36" t="n">
        <x:v>3989</x:v>
      </x:c>
      <x:c r="G4455" s="42" t="n">
        <x:v>0.8556413556413557</x:v>
      </x:c>
      <x:c r="H4455" s="36" t="n">
        <x:f>E4455*G4455</x:f>
        <x:v>185674.17417417417</x:v>
      </x:c>
      <x:c r="I4455" s="36" t="n">
        <x:f>IFERROR(H4455/A4455,0)</x:f>
        <x:v>26524.882024882023</x:v>
      </x:c>
      <x:c r="J4455" s="67" t="str">
        <x:v>Modeled from live base + Sep-2026 quality ratio</x:v>
      </x:c>
      <x:c r="K4455" s="67" t="str">
        <x:v>https://www.stonealgo.com/diamond-prices/</x:v>
      </x:c>
      <x:c r="L4455" s="67" t="str">
        <x:v>https://www.pricescope.com/blog/natural-diamond-prices-september-2026</x:v>
      </x:c>
    </x:row>
    <x:row r="4456">
      <x:c r="A4456" t="n">
        <x:v>7</x:v>
      </x:c>
      <x:c r="B4456" t="str">
        <x:v>Asscher</x:v>
      </x:c>
      <x:c r="C4456" t="str">
        <x:v>H</x:v>
      </x:c>
      <x:c r="D4456" t="str">
        <x:v>SI1</x:v>
      </x:c>
      <x:c r="E4456" s="36" t="n">
        <x:v>217000</x:v>
      </x:c>
      <x:c r="F4456" s="36" t="n">
        <x:v>2828</x:v>
      </x:c>
      <x:c r="G4456" s="42" t="n">
        <x:v>0.6066066066066066</x:v>
      </x:c>
      <x:c r="H4456" s="36" t="n">
        <x:f>E4456*G4456</x:f>
        <x:v>131633.63363363364</x:v>
      </x:c>
      <x:c r="I4456" s="36" t="n">
        <x:f>IFERROR(H4456/A4456,0)</x:f>
        <x:v>18804.804804804804</x:v>
      </x:c>
      <x:c r="J4456" s="67" t="str">
        <x:v>Modeled from live base + Sep-2026 quality ratio</x:v>
      </x:c>
      <x:c r="K4456" s="67" t="str">
        <x:v>https://www.stonealgo.com/diamond-prices/</x:v>
      </x:c>
      <x:c r="L4456" s="67" t="str">
        <x:v>https://www.pricescope.com/blog/natural-diamond-prices-september-2026</x:v>
      </x:c>
    </x:row>
    <x:row r="4457">
      <x:c r="A4457" t="n">
        <x:v>7</x:v>
      </x:c>
      <x:c r="B4457" t="str">
        <x:v>Asscher</x:v>
      </x:c>
      <x:c r="C4457" t="str">
        <x:v>H</x:v>
      </x:c>
      <x:c r="D4457" t="str">
        <x:v>SI2</x:v>
      </x:c>
      <x:c r="E4457" s="36" t="n">
        <x:v>217000</x:v>
      </x:c>
      <x:c r="F4457" s="36" t="n">
        <x:v>2328</x:v>
      </x:c>
      <x:c r="G4457" s="42" t="n">
        <x:v>0.49935649935649934</x:v>
      </x:c>
      <x:c r="H4457" s="36" t="n">
        <x:f>E4457*G4457</x:f>
        <x:v>108360.36036036036</x:v>
      </x:c>
      <x:c r="I4457" s="36" t="n">
        <x:f>IFERROR(H4457/A4457,0)</x:f>
        <x:v>15480.05148005148</x:v>
      </x:c>
      <x:c r="J4457" s="67" t="str">
        <x:v>Modeled from live base + Sep-2026 quality ratio</x:v>
      </x:c>
      <x:c r="K4457" s="67" t="str">
        <x:v>https://www.stonealgo.com/diamond-prices/</x:v>
      </x:c>
      <x:c r="L4457" s="67" t="str">
        <x:v>https://www.pricescope.com/blog/natural-diamond-prices-september-2026</x:v>
      </x:c>
    </x:row>
    <x:row r="4458">
      <x:c r="A4458" t="n">
        <x:v>7</x:v>
      </x:c>
      <x:c r="B4458" t="str">
        <x:v>Asscher</x:v>
      </x:c>
      <x:c r="C4458" t="str">
        <x:v>I</x:v>
      </x:c>
      <x:c r="D4458" t="str">
        <x:v>FL</x:v>
      </x:c>
      <x:c r="E4458" s="36" t="n">
        <x:v>217000</x:v>
      </x:c>
      <x:c r="F4458" s="36" t="n">
        <x:v>4623</x:v>
      </x:c>
      <x:c r="G4458" s="42" t="n">
        <x:v>0.9916344916344917</x:v>
      </x:c>
      <x:c r="H4458" s="36" t="n">
        <x:f>E4458*G4458</x:f>
        <x:v>215184.6846846847</x:v>
      </x:c>
      <x:c r="I4458" s="36" t="n">
        <x:f>IFERROR(H4458/A4458,0)</x:f>
        <x:v>30740.669240669242</x:v>
      </x:c>
      <x:c r="J4458" s="67" t="str">
        <x:v>Modeled from live base + Sep-2026 quality ratio</x:v>
      </x:c>
      <x:c r="K4458" s="67" t="str">
        <x:v>https://www.stonealgo.com/diamond-prices/</x:v>
      </x:c>
      <x:c r="L4458" s="67" t="str">
        <x:v>https://www.pricescope.com/blog/natural-diamond-prices-september-2026</x:v>
      </x:c>
    </x:row>
    <x:row r="4459">
      <x:c r="A4459" t="n">
        <x:v>7</x:v>
      </x:c>
      <x:c r="B4459" t="str">
        <x:v>Asscher</x:v>
      </x:c>
      <x:c r="C4459" t="str">
        <x:v>I</x:v>
      </x:c>
      <x:c r="D4459" t="str">
        <x:v>IF</x:v>
      </x:c>
      <x:c r="E4459" s="36" t="n">
        <x:v>217000</x:v>
      </x:c>
      <x:c r="F4459" s="36" t="n">
        <x:v>4005</x:v>
      </x:c>
      <x:c r="G4459" s="42" t="n">
        <x:v>0.859073359073359</x:v>
      </x:c>
      <x:c r="H4459" s="36" t="n">
        <x:f>E4459*G4459</x:f>
        <x:v>186418.9189189189</x:v>
      </x:c>
      <x:c r="I4459" s="36" t="n">
        <x:f>IFERROR(H4459/A4459,0)</x:f>
        <x:v>26631.27413127413</x:v>
      </x:c>
      <x:c r="J4459" s="67" t="str">
        <x:v>Modeled from live base + Sep-2026 quality ratio</x:v>
      </x:c>
      <x:c r="K4459" s="67" t="str">
        <x:v>https://www.stonealgo.com/diamond-prices/</x:v>
      </x:c>
      <x:c r="L4459" s="67" t="str">
        <x:v>https://www.pricescope.com/blog/natural-diamond-prices-september-2026</x:v>
      </x:c>
    </x:row>
    <x:row r="4460">
      <x:c r="A4460" t="n">
        <x:v>7</x:v>
      </x:c>
      <x:c r="B4460" t="str">
        <x:v>Asscher</x:v>
      </x:c>
      <x:c r="C4460" t="str">
        <x:v>I</x:v>
      </x:c>
      <x:c r="D4460" t="str">
        <x:v>VVS1</x:v>
      </x:c>
      <x:c r="E4460" s="36" t="n">
        <x:v>217000</x:v>
      </x:c>
      <x:c r="F4460" s="36" t="n">
        <x:v>3670</x:v>
      </x:c>
      <x:c r="G4460" s="42" t="n">
        <x:v>0.7872157872157872</x:v>
      </x:c>
      <x:c r="H4460" s="36" t="n">
        <x:f>E4460*G4460</x:f>
        <x:v>170825.82582582583</x:v>
      </x:c>
      <x:c r="I4460" s="36" t="n">
        <x:f>IFERROR(H4460/A4460,0)</x:f>
        <x:v>24403.689403689405</x:v>
      </x:c>
      <x:c r="J4460" s="67" t="str">
        <x:v>Modeled from live base + Sep-2026 quality ratio</x:v>
      </x:c>
      <x:c r="K4460" s="67" t="str">
        <x:v>https://www.stonealgo.com/diamond-prices/</x:v>
      </x:c>
      <x:c r="L4460" s="67" t="str">
        <x:v>https://www.pricescope.com/blog/natural-diamond-prices-september-2026</x:v>
      </x:c>
    </x:row>
    <x:row r="4461">
      <x:c r="A4461" t="n">
        <x:v>7</x:v>
      </x:c>
      <x:c r="B4461" t="str">
        <x:v>Asscher</x:v>
      </x:c>
      <x:c r="C4461" t="str">
        <x:v>I</x:v>
      </x:c>
      <x:c r="D4461" t="str">
        <x:v>VVS2</x:v>
      </x:c>
      <x:c r="E4461" s="36" t="n">
        <x:v>217000</x:v>
      </x:c>
      <x:c r="F4461" s="36" t="n">
        <x:v>3447</x:v>
      </x:c>
      <x:c r="G4461" s="42" t="n">
        <x:v>0.7393822393822393</x:v>
      </x:c>
      <x:c r="H4461" s="36" t="n">
        <x:f>E4461*G4461</x:f>
        <x:v>160445.94594594595</x:v>
      </x:c>
      <x:c r="I4461" s="36" t="n">
        <x:f>IFERROR(H4461/A4461,0)</x:f>
        <x:v>22920.84942084942</x:v>
      </x:c>
      <x:c r="J4461" s="67" t="str">
        <x:v>Modeled from live base + Sep-2026 quality ratio</x:v>
      </x:c>
      <x:c r="K4461" s="67" t="str">
        <x:v>https://www.stonealgo.com/diamond-prices/</x:v>
      </x:c>
      <x:c r="L4461" s="67" t="str">
        <x:v>https://www.pricescope.com/blog/natural-diamond-prices-september-2026</x:v>
      </x:c>
    </x:row>
    <x:row r="4462">
      <x:c r="A4462" t="n">
        <x:v>7</x:v>
      </x:c>
      <x:c r="B4462" t="str">
        <x:v>Asscher</x:v>
      </x:c>
      <x:c r="C4462" t="str">
        <x:v>I</x:v>
      </x:c>
      <x:c r="D4462" t="str">
        <x:v>VS1</x:v>
      </x:c>
      <x:c r="E4462" s="36" t="n">
        <x:v>217000</x:v>
      </x:c>
      <x:c r="F4462" s="36" t="n">
        <x:v>3313</x:v>
      </x:c>
      <x:c r="G4462" s="42" t="n">
        <x:v>0.7106392106392107</x:v>
      </x:c>
      <x:c r="H4462" s="36" t="n">
        <x:f>E4462*G4462</x:f>
        <x:v>154208.7087087087</x:v>
      </x:c>
      <x:c r="I4462" s="36" t="n">
        <x:f>IFERROR(H4462/A4462,0)</x:f>
        <x:v>22029.81552981553</x:v>
      </x:c>
      <x:c r="J4462" s="67" t="str">
        <x:v>Modeled from live base + Sep-2026 quality ratio</x:v>
      </x:c>
      <x:c r="K4462" s="67" t="str">
        <x:v>https://www.stonealgo.com/diamond-prices/</x:v>
      </x:c>
      <x:c r="L4462" s="67" t="str">
        <x:v>https://www.pricescope.com/blog/natural-diamond-prices-september-2026</x:v>
      </x:c>
    </x:row>
    <x:row r="4463">
      <x:c r="A4463" t="n">
        <x:v>7</x:v>
      </x:c>
      <x:c r="B4463" t="str">
        <x:v>Asscher</x:v>
      </x:c>
      <x:c r="C4463" t="str">
        <x:v>I</x:v>
      </x:c>
      <x:c r="D4463" t="str">
        <x:v>VS2</x:v>
      </x:c>
      <x:c r="E4463" s="36" t="n">
        <x:v>217000</x:v>
      </x:c>
      <x:c r="F4463" s="36" t="n">
        <x:v>3240</x:v>
      </x:c>
      <x:c r="G4463" s="42" t="n">
        <x:v>0.694980694980695</x:v>
      </x:c>
      <x:c r="H4463" s="36" t="n">
        <x:f>E4463*G4463</x:f>
        <x:v>150810.81081081083</x:v>
      </x:c>
      <x:c r="I4463" s="36" t="n">
        <x:f>IFERROR(H4463/A4463,0)</x:f>
        <x:v>21544.401544401546</x:v>
      </x:c>
      <x:c r="J4463" s="67" t="str">
        <x:v>Modeled from live base + Sep-2026 quality ratio</x:v>
      </x:c>
      <x:c r="K4463" s="67" t="str">
        <x:v>https://www.stonealgo.com/diamond-prices/</x:v>
      </x:c>
      <x:c r="L4463" s="67" t="str">
        <x:v>https://www.pricescope.com/blog/natural-diamond-prices-september-2026</x:v>
      </x:c>
    </x:row>
    <x:row r="4464">
      <x:c r="A4464" t="n">
        <x:v>7</x:v>
      </x:c>
      <x:c r="B4464" t="str">
        <x:v>Asscher</x:v>
      </x:c>
      <x:c r="C4464" t="str">
        <x:v>I</x:v>
      </x:c>
      <x:c r="D4464" t="str">
        <x:v>SI1</x:v>
      </x:c>
      <x:c r="E4464" s="36" t="n">
        <x:v>217000</x:v>
      </x:c>
      <x:c r="F4464" s="36" t="n">
        <x:v>3199</x:v>
      </x:c>
      <x:c r="G4464" s="42" t="n">
        <x:v>0.6861861861861862</x:v>
      </x:c>
      <x:c r="H4464" s="36" t="n">
        <x:f>E4464*G4464</x:f>
        <x:v>148902.4024024024</x:v>
      </x:c>
      <x:c r="I4464" s="36" t="n">
        <x:f>IFERROR(H4464/A4464,0)</x:f>
        <x:v>21271.77177177177</x:v>
      </x:c>
      <x:c r="J4464" s="67" t="str">
        <x:v>Modeled from live base + Sep-2026 quality ratio</x:v>
      </x:c>
      <x:c r="K4464" s="67" t="str">
        <x:v>https://www.stonealgo.com/diamond-prices/</x:v>
      </x:c>
      <x:c r="L4464" s="67" t="str">
        <x:v>https://www.pricescope.com/blog/natural-diamond-prices-september-2026</x:v>
      </x:c>
    </x:row>
    <x:row r="4465">
      <x:c r="A4465" t="n">
        <x:v>7</x:v>
      </x:c>
      <x:c r="B4465" t="str">
        <x:v>Asscher</x:v>
      </x:c>
      <x:c r="C4465" t="str">
        <x:v>I</x:v>
      </x:c>
      <x:c r="D4465" t="str">
        <x:v>SI2</x:v>
      </x:c>
      <x:c r="E4465" s="36" t="n">
        <x:v>217000</x:v>
      </x:c>
      <x:c r="F4465" s="36" t="n">
        <x:v>2874</x:v>
      </x:c>
      <x:c r="G4465" s="42" t="n">
        <x:v>0.6164736164736164</x:v>
      </x:c>
      <x:c r="H4465" s="36" t="n">
        <x:f>E4465*G4465</x:f>
        <x:v>133774.77477477476</x:v>
      </x:c>
      <x:c r="I4465" s="36" t="n">
        <x:f>IFERROR(H4465/A4465,0)</x:f>
        <x:v>19110.682110682108</x:v>
      </x:c>
      <x:c r="J4465" s="67" t="str">
        <x:v>Modeled from live base + Sep-2026 quality ratio</x:v>
      </x:c>
      <x:c r="K4465" s="67" t="str">
        <x:v>https://www.stonealgo.com/diamond-prices/</x:v>
      </x:c>
      <x:c r="L4465" s="67" t="str">
        <x:v>https://www.pricescope.com/blog/natural-diamond-prices-september-2026</x:v>
      </x:c>
    </x:row>
    <x:row r="4466">
      <x:c r="A4466" t="n">
        <x:v>7</x:v>
      </x:c>
      <x:c r="B4466" t="str">
        <x:v>Asscher</x:v>
      </x:c>
      <x:c r="C4466" t="str">
        <x:v>J</x:v>
      </x:c>
      <x:c r="D4466" t="str">
        <x:v>FL</x:v>
      </x:c>
      <x:c r="E4466" s="36" t="n">
        <x:v>217000</x:v>
      </x:c>
      <x:c r="F4466" s="36" t="n">
        <x:v>3646</x:v>
      </x:c>
      <x:c r="G4466" s="42" t="n">
        <x:v>0.782067782067782</x:v>
      </x:c>
      <x:c r="H4466" s="36" t="n">
        <x:f>E4466*G4466</x:f>
        <x:v>169708.7087087087</x:v>
      </x:c>
      <x:c r="I4466" s="36" t="n">
        <x:f>IFERROR(H4466/A4466,0)</x:f>
        <x:v>24244.101244101243</x:v>
      </x:c>
      <x:c r="J4466" s="67" t="str">
        <x:v>Modeled from live base + Sep-2026 quality ratio</x:v>
      </x:c>
      <x:c r="K4466" s="67" t="str">
        <x:v>https://www.stonealgo.com/diamond-prices/</x:v>
      </x:c>
      <x:c r="L4466" s="67" t="str">
        <x:v>https://www.pricescope.com/blog/natural-diamond-prices-september-2026</x:v>
      </x:c>
    </x:row>
    <x:row r="4467">
      <x:c r="A4467" t="n">
        <x:v>7</x:v>
      </x:c>
      <x:c r="B4467" t="str">
        <x:v>Asscher</x:v>
      </x:c>
      <x:c r="C4467" t="str">
        <x:v>J</x:v>
      </x:c>
      <x:c r="D4467" t="str">
        <x:v>IF</x:v>
      </x:c>
      <x:c r="E4467" s="36" t="n">
        <x:v>217000</x:v>
      </x:c>
      <x:c r="F4467" s="36" t="n">
        <x:v>3368</x:v>
      </x:c>
      <x:c r="G4467" s="42" t="n">
        <x:v>0.7224367224367224</x:v>
      </x:c>
      <x:c r="H4467" s="36" t="n">
        <x:f>E4467*G4467</x:f>
        <x:v>156768.76876876876</x:v>
      </x:c>
      <x:c r="I4467" s="36" t="n">
        <x:f>IFERROR(H4467/A4467,0)</x:f>
        <x:v>22395.538395538395</x:v>
      </x:c>
      <x:c r="J4467" s="67" t="str">
        <x:v>Modeled from live base + Sep-2026 quality ratio</x:v>
      </x:c>
      <x:c r="K4467" s="67" t="str">
        <x:v>https://www.stonealgo.com/diamond-prices/</x:v>
      </x:c>
      <x:c r="L4467" s="67" t="str">
        <x:v>https://www.pricescope.com/blog/natural-diamond-prices-september-2026</x:v>
      </x:c>
    </x:row>
    <x:row r="4468">
      <x:c r="A4468" t="n">
        <x:v>7</x:v>
      </x:c>
      <x:c r="B4468" t="str">
        <x:v>Asscher</x:v>
      </x:c>
      <x:c r="C4468" t="str">
        <x:v>J</x:v>
      </x:c>
      <x:c r="D4468" t="str">
        <x:v>VVS1</x:v>
      </x:c>
      <x:c r="E4468" s="36" t="n">
        <x:v>217000</x:v>
      </x:c>
      <x:c r="F4468" s="36" t="n">
        <x:v>2956</x:v>
      </x:c>
      <x:c r="G4468" s="42" t="n">
        <x:v>0.6340626340626341</x:v>
      </x:c>
      <x:c r="H4468" s="36" t="n">
        <x:f>E4468*G4468</x:f>
        <x:v>137591.5915915916</x:v>
      </x:c>
      <x:c r="I4468" s="36" t="n">
        <x:f>IFERROR(H4468/A4468,0)</x:f>
        <x:v>19655.941655941657</x:v>
      </x:c>
      <x:c r="J4468" s="67" t="str">
        <x:v>Modeled from live base + Sep-2026 quality ratio</x:v>
      </x:c>
      <x:c r="K4468" s="67" t="str">
        <x:v>https://www.stonealgo.com/diamond-prices/</x:v>
      </x:c>
      <x:c r="L4468" s="67" t="str">
        <x:v>https://www.pricescope.com/blog/natural-diamond-prices-september-2026</x:v>
      </x:c>
    </x:row>
    <x:row r="4469">
      <x:c r="A4469" t="n">
        <x:v>7</x:v>
      </x:c>
      <x:c r="B4469" t="str">
        <x:v>Asscher</x:v>
      </x:c>
      <x:c r="C4469" t="str">
        <x:v>J</x:v>
      </x:c>
      <x:c r="D4469" t="str">
        <x:v>VVS2</x:v>
      </x:c>
      <x:c r="E4469" s="36" t="n">
        <x:v>217000</x:v>
      </x:c>
      <x:c r="F4469" s="36" t="n">
        <x:v>2612</x:v>
      </x:c>
      <x:c r="G4469" s="42" t="n">
        <x:v>0.5602745602745602</x:v>
      </x:c>
      <x:c r="H4469" s="36" t="n">
        <x:f>E4469*G4469</x:f>
        <x:v>121579.57957957957</x:v>
      </x:c>
      <x:c r="I4469" s="36" t="n">
        <x:f>IFERROR(H4469/A4469,0)</x:f>
        <x:v>17368.51136851137</x:v>
      </x:c>
      <x:c r="J4469" s="67" t="str">
        <x:v>Modeled from live base + Sep-2026 quality ratio</x:v>
      </x:c>
      <x:c r="K4469" s="67" t="str">
        <x:v>https://www.stonealgo.com/diamond-prices/</x:v>
      </x:c>
      <x:c r="L4469" s="67" t="str">
        <x:v>https://www.pricescope.com/blog/natural-diamond-prices-september-2026</x:v>
      </x:c>
    </x:row>
    <x:row r="4470">
      <x:c r="A4470" t="n">
        <x:v>7</x:v>
      </x:c>
      <x:c r="B4470" t="str">
        <x:v>Asscher</x:v>
      </x:c>
      <x:c r="C4470" t="str">
        <x:v>J</x:v>
      </x:c>
      <x:c r="D4470" t="str">
        <x:v>VS1</x:v>
      </x:c>
      <x:c r="E4470" s="36" t="n">
        <x:v>217000</x:v>
      </x:c>
      <x:c r="F4470" s="36" t="n">
        <x:v>3002</x:v>
      </x:c>
      <x:c r="G4470" s="42" t="n">
        <x:v>0.6439296439296439</x:v>
      </x:c>
      <x:c r="H4470" s="36" t="n">
        <x:f>E4470*G4470</x:f>
        <x:v>139732.73273273272</x:v>
      </x:c>
      <x:c r="I4470" s="36" t="n">
        <x:f>IFERROR(H4470/A4470,0)</x:f>
        <x:v>19961.81896181896</x:v>
      </x:c>
      <x:c r="J4470" s="67" t="str">
        <x:v>Modeled from live base + Sep-2026 quality ratio</x:v>
      </x:c>
      <x:c r="K4470" s="67" t="str">
        <x:v>https://www.stonealgo.com/diamond-prices/</x:v>
      </x:c>
      <x:c r="L4470" s="67" t="str">
        <x:v>https://www.pricescope.com/blog/natural-diamond-prices-september-2026</x:v>
      </x:c>
    </x:row>
    <x:row r="4471">
      <x:c r="A4471" t="n">
        <x:v>7</x:v>
      </x:c>
      <x:c r="B4471" t="str">
        <x:v>Asscher</x:v>
      </x:c>
      <x:c r="C4471" t="str">
        <x:v>J</x:v>
      </x:c>
      <x:c r="D4471" t="str">
        <x:v>VS2</x:v>
      </x:c>
      <x:c r="E4471" s="36" t="n">
        <x:v>217000</x:v>
      </x:c>
      <x:c r="F4471" s="36" t="n">
        <x:v>2559</x:v>
      </x:c>
      <x:c r="G4471" s="42" t="n">
        <x:v>0.5489060489060489</x:v>
      </x:c>
      <x:c r="H4471" s="36" t="n">
        <x:f>E4471*G4471</x:f>
        <x:v>119112.6126126126</x:v>
      </x:c>
      <x:c r="I4471" s="36" t="n">
        <x:f>IFERROR(H4471/A4471,0)</x:f>
        <x:v>17016.087516087515</x:v>
      </x:c>
      <x:c r="J4471" s="67" t="str">
        <x:v>Modeled from live base + Sep-2026 quality ratio</x:v>
      </x:c>
      <x:c r="K4471" s="67" t="str">
        <x:v>https://www.stonealgo.com/diamond-prices/</x:v>
      </x:c>
      <x:c r="L4471" s="67" t="str">
        <x:v>https://www.pricescope.com/blog/natural-diamond-prices-september-2026</x:v>
      </x:c>
    </x:row>
    <x:row r="4472">
      <x:c r="A4472" t="n">
        <x:v>7</x:v>
      </x:c>
      <x:c r="B4472" t="str">
        <x:v>Asscher</x:v>
      </x:c>
      <x:c r="C4472" t="str">
        <x:v>J</x:v>
      </x:c>
      <x:c r="D4472" t="str">
        <x:v>SI1</x:v>
      </x:c>
      <x:c r="E4472" s="36" t="n">
        <x:v>217000</x:v>
      </x:c>
      <x:c r="F4472" s="36" t="n">
        <x:v>2195</x:v>
      </x:c>
      <x:c r="G4472" s="42" t="n">
        <x:v>0.47082797082797084</x:v>
      </x:c>
      <x:c r="H4472" s="36" t="n">
        <x:f>E4472*G4472</x:f>
        <x:v>102169.66966966967</x:v>
      </x:c>
      <x:c r="I4472" s="36" t="n">
        <x:f>IFERROR(H4472/A4472,0)</x:f>
        <x:v>14595.667095667097</x:v>
      </x:c>
      <x:c r="J4472" s="67" t="str">
        <x:v>Modeled from live base + Sep-2026 quality ratio</x:v>
      </x:c>
      <x:c r="K4472" s="67" t="str">
        <x:v>https://www.stonealgo.com/diamond-prices/</x:v>
      </x:c>
      <x:c r="L4472" s="67" t="str">
        <x:v>https://www.pricescope.com/blog/natural-diamond-prices-september-2026</x:v>
      </x:c>
    </x:row>
    <x:row r="4473">
      <x:c r="A4473" t="n">
        <x:v>7</x:v>
      </x:c>
      <x:c r="B4473" t="str">
        <x:v>Asscher</x:v>
      </x:c>
      <x:c r="C4473" t="str">
        <x:v>J</x:v>
      </x:c>
      <x:c r="D4473" t="str">
        <x:v>SI2</x:v>
      </x:c>
      <x:c r="E4473" s="36" t="n">
        <x:v>217000</x:v>
      </x:c>
      <x:c r="F4473" s="36" t="n">
        <x:v>2079</x:v>
      </x:c>
      <x:c r="G4473" s="42" t="n">
        <x:v>0.44594594594594594</x:v>
      </x:c>
      <x:c r="H4473" s="36" t="n">
        <x:f>E4473*G4473</x:f>
        <x:v>96770.27027027027</x:v>
      </x:c>
      <x:c r="I4473" s="36" t="n">
        <x:f>IFERROR(H4473/A4473,0)</x:f>
        <x:v>13824.324324324323</x:v>
      </x:c>
      <x:c r="J4473" s="67" t="str">
        <x:v>Modeled from live base + Sep-2026 quality ratio</x:v>
      </x:c>
      <x:c r="K4473" s="67" t="str">
        <x:v>https://www.stonealgo.com/diamond-prices/</x:v>
      </x:c>
      <x:c r="L4473" s="67" t="str">
        <x:v>https://www.pricescope.com/blog/natural-diamond-prices-september-2026</x:v>
      </x:c>
    </x:row>
    <x:row r="4474">
      <x:c r="A4474" t="n">
        <x:v>7</x:v>
      </x:c>
      <x:c r="B4474" t="str">
        <x:v>Asscher</x:v>
      </x:c>
      <x:c r="C4474" t="str">
        <x:v>K</x:v>
      </x:c>
      <x:c r="D4474" t="str">
        <x:v>FL</x:v>
      </x:c>
      <x:c r="E4474" s="36" t="n">
        <x:v>217000</x:v>
      </x:c>
      <x:c r="F4474" s="36" t="n">
        <x:v>2858</x:v>
      </x:c>
      <x:c r="G4474" s="42" t="n">
        <x:v>0.6130416130416131</x:v>
      </x:c>
      <x:c r="H4474" s="36" t="n">
        <x:f>E4474*G4474</x:f>
        <x:v>133030.03003003003</x:v>
      </x:c>
      <x:c r="I4474" s="36" t="n">
        <x:f>IFERROR(H4474/A4474,0)</x:f>
        <x:v>19004.290004290004</x:v>
      </x:c>
      <x:c r="J4474" s="67" t="str">
        <x:v>Modeled from live base + Sep-2026 quality ratio; K/FL quality cell modeled</x:v>
      </x:c>
      <x:c r="K4474" s="67" t="str">
        <x:v>https://www.stonealgo.com/diamond-prices/</x:v>
      </x:c>
      <x:c r="L4474" s="67" t="str">
        <x:v>https://www.pricescope.com/blog/natural-diamond-prices-september-2026</x:v>
      </x:c>
    </x:row>
    <x:row r="4475">
      <x:c r="A4475" t="n">
        <x:v>7</x:v>
      </x:c>
      <x:c r="B4475" t="str">
        <x:v>Asscher</x:v>
      </x:c>
      <x:c r="C4475" t="str">
        <x:v>K</x:v>
      </x:c>
      <x:c r="D4475" t="str">
        <x:v>IF</x:v>
      </x:c>
      <x:c r="E4475" s="36" t="n">
        <x:v>217000</x:v>
      </x:c>
      <x:c r="F4475" s="36" t="n">
        <x:v>2743</x:v>
      </x:c>
      <x:c r="G4475" s="42" t="n">
        <x:v>0.5883740883740883</x:v>
      </x:c>
      <x:c r="H4475" s="36" t="n">
        <x:f>E4475*G4475</x:f>
        <x:v>127677.17717717717</x:v>
      </x:c>
      <x:c r="I4475" s="36" t="n">
        <x:f>IFERROR(H4475/A4475,0)</x:f>
        <x:v>18239.59673959674</x:v>
      </x:c>
      <x:c r="J4475" s="67" t="str">
        <x:v>Modeled from live base + Sep-2026 quality ratio</x:v>
      </x:c>
      <x:c r="K4475" s="67" t="str">
        <x:v>https://www.stonealgo.com/diamond-prices/</x:v>
      </x:c>
      <x:c r="L4475" s="67" t="str">
        <x:v>https://www.pricescope.com/blog/natural-diamond-prices-september-2026</x:v>
      </x:c>
    </x:row>
    <x:row r="4476">
      <x:c r="A4476" t="n">
        <x:v>7</x:v>
      </x:c>
      <x:c r="B4476" t="str">
        <x:v>Asscher</x:v>
      </x:c>
      <x:c r="C4476" t="str">
        <x:v>K</x:v>
      </x:c>
      <x:c r="D4476" t="str">
        <x:v>VVS1</x:v>
      </x:c>
      <x:c r="E4476" s="36" t="n">
        <x:v>217000</x:v>
      </x:c>
      <x:c r="F4476" s="36" t="n">
        <x:v>2529</x:v>
      </x:c>
      <x:c r="G4476" s="42" t="n">
        <x:v>0.5424710424710425</x:v>
      </x:c>
      <x:c r="H4476" s="36" t="n">
        <x:f>E4476*G4476</x:f>
        <x:v>117716.21621621623</x:v>
      </x:c>
      <x:c r="I4476" s="36" t="n">
        <x:f>IFERROR(H4476/A4476,0)</x:f>
        <x:v>16816.60231660232</x:v>
      </x:c>
      <x:c r="J4476" s="67" t="str">
        <x:v>Modeled from live base + Sep-2026 quality ratio</x:v>
      </x:c>
      <x:c r="K4476" s="67" t="str">
        <x:v>https://www.stonealgo.com/diamond-prices/</x:v>
      </x:c>
      <x:c r="L4476" s="67" t="str">
        <x:v>https://www.pricescope.com/blog/natural-diamond-prices-september-2026</x:v>
      </x:c>
    </x:row>
    <x:row r="4477">
      <x:c r="A4477" t="n">
        <x:v>7</x:v>
      </x:c>
      <x:c r="B4477" t="str">
        <x:v>Asscher</x:v>
      </x:c>
      <x:c r="C4477" t="str">
        <x:v>K</x:v>
      </x:c>
      <x:c r="D4477" t="str">
        <x:v>VVS2</x:v>
      </x:c>
      <x:c r="E4477" s="36" t="n">
        <x:v>217000</x:v>
      </x:c>
      <x:c r="F4477" s="36" t="n">
        <x:v>2374</x:v>
      </x:c>
      <x:c r="G4477" s="42" t="n">
        <x:v>0.5092235092235092</x:v>
      </x:c>
      <x:c r="H4477" s="36" t="n">
        <x:f>E4477*G4477</x:f>
        <x:v>110501.50150150151</x:v>
      </x:c>
      <x:c r="I4477" s="36" t="n">
        <x:f>IFERROR(H4477/A4477,0)</x:f>
        <x:v>15785.928785928787</x:v>
      </x:c>
      <x:c r="J4477" s="67" t="str">
        <x:v>Modeled from live base + Sep-2026 quality ratio</x:v>
      </x:c>
      <x:c r="K4477" s="67" t="str">
        <x:v>https://www.stonealgo.com/diamond-prices/</x:v>
      </x:c>
      <x:c r="L4477" s="67" t="str">
        <x:v>https://www.pricescope.com/blog/natural-diamond-prices-september-2026</x:v>
      </x:c>
    </x:row>
    <x:row r="4478">
      <x:c r="A4478" t="n">
        <x:v>7</x:v>
      </x:c>
      <x:c r="B4478" t="str">
        <x:v>Asscher</x:v>
      </x:c>
      <x:c r="C4478" t="str">
        <x:v>K</x:v>
      </x:c>
      <x:c r="D4478" t="str">
        <x:v>VS1</x:v>
      </x:c>
      <x:c r="E4478" s="36" t="n">
        <x:v>217000</x:v>
      </x:c>
      <x:c r="F4478" s="36" t="n">
        <x:v>2223</x:v>
      </x:c>
      <x:c r="G4478" s="42" t="n">
        <x:v>0.4768339768339768</x:v>
      </x:c>
      <x:c r="H4478" s="36" t="n">
        <x:f>E4478*G4478</x:f>
        <x:v>103472.97297297297</x:v>
      </x:c>
      <x:c r="I4478" s="36" t="n">
        <x:f>IFERROR(H4478/A4478,0)</x:f>
        <x:v>14781.853281853282</x:v>
      </x:c>
      <x:c r="J4478" s="67" t="str">
        <x:v>Modeled from live base + Sep-2026 quality ratio</x:v>
      </x:c>
      <x:c r="K4478" s="67" t="str">
        <x:v>https://www.stonealgo.com/diamond-prices/</x:v>
      </x:c>
      <x:c r="L4478" s="67" t="str">
        <x:v>https://www.pricescope.com/blog/natural-diamond-prices-september-2026</x:v>
      </x:c>
    </x:row>
    <x:row r="4479">
      <x:c r="A4479" t="n">
        <x:v>7</x:v>
      </x:c>
      <x:c r="B4479" t="str">
        <x:v>Asscher</x:v>
      </x:c>
      <x:c r="C4479" t="str">
        <x:v>K</x:v>
      </x:c>
      <x:c r="D4479" t="str">
        <x:v>VS2</x:v>
      </x:c>
      <x:c r="E4479" s="36" t="n">
        <x:v>217000</x:v>
      </x:c>
      <x:c r="F4479" s="36" t="n">
        <x:v>2098</x:v>
      </x:c>
      <x:c r="G4479" s="42" t="n">
        <x:v>0.45002145002145</x:v>
      </x:c>
      <x:c r="H4479" s="36" t="n">
        <x:f>E4479*G4479</x:f>
        <x:v>97654.65465465465</x:v>
      </x:c>
      <x:c r="I4479" s="36" t="n">
        <x:f>IFERROR(H4479/A4479,0)</x:f>
        <x:v>13950.66495066495</x:v>
      </x:c>
      <x:c r="J4479" s="67" t="str">
        <x:v>Modeled from live base + Sep-2026 quality ratio</x:v>
      </x:c>
      <x:c r="K4479" s="67" t="str">
        <x:v>https://www.stonealgo.com/diamond-prices/</x:v>
      </x:c>
      <x:c r="L4479" s="67" t="str">
        <x:v>https://www.pricescope.com/blog/natural-diamond-prices-september-2026</x:v>
      </x:c>
    </x:row>
    <x:row r="4480">
      <x:c r="A4480" t="n">
        <x:v>7</x:v>
      </x:c>
      <x:c r="B4480" t="str">
        <x:v>Asscher</x:v>
      </x:c>
      <x:c r="C4480" t="str">
        <x:v>K</x:v>
      </x:c>
      <x:c r="D4480" t="str">
        <x:v>SI1</x:v>
      </x:c>
      <x:c r="E4480" s="36" t="n">
        <x:v>217000</x:v>
      </x:c>
      <x:c r="F4480" s="36" t="n">
        <x:v>1922</x:v>
      </x:c>
      <x:c r="G4480" s="42" t="n">
        <x:v>0.41226941226941227</x:v>
      </x:c>
      <x:c r="H4480" s="36" t="n">
        <x:f>E4480*G4480</x:f>
        <x:v>89462.46246246247</x:v>
      </x:c>
      <x:c r="I4480" s="36" t="n">
        <x:f>IFERROR(H4480/A4480,0)</x:f>
        <x:v>12780.35178035178</x:v>
      </x:c>
      <x:c r="J4480" s="67" t="str">
        <x:v>Modeled from live base + Sep-2026 quality ratio</x:v>
      </x:c>
      <x:c r="K4480" s="67" t="str">
        <x:v>https://www.stonealgo.com/diamond-prices/</x:v>
      </x:c>
      <x:c r="L4480" s="67" t="str">
        <x:v>https://www.pricescope.com/blog/natural-diamond-prices-september-2026</x:v>
      </x:c>
    </x:row>
    <x:row r="4481">
      <x:c r="A4481" t="n">
        <x:v>7</x:v>
      </x:c>
      <x:c r="B4481" t="str">
        <x:v>Asscher</x:v>
      </x:c>
      <x:c r="C4481" t="str">
        <x:v>K</x:v>
      </x:c>
      <x:c r="D4481" t="str">
        <x:v>SI2</x:v>
      </x:c>
      <x:c r="E4481" s="36" t="n">
        <x:v>217000</x:v>
      </x:c>
      <x:c r="F4481" s="36" t="n">
        <x:v>1764</x:v>
      </x:c>
      <x:c r="G4481" s="42" t="n">
        <x:v>0.3783783783783784</x:v>
      </x:c>
      <x:c r="H4481" s="36" t="n">
        <x:f>E4481*G4481</x:f>
        <x:v>82108.1081081081</x:v>
      </x:c>
      <x:c r="I4481" s="36" t="n">
        <x:f>IFERROR(H4481/A4481,0)</x:f>
        <x:v>11729.72972972973</x:v>
      </x:c>
      <x:c r="J4481" s="67" t="str">
        <x:v>Modeled from live base + Sep-2026 quality ratio</x:v>
      </x:c>
      <x:c r="K4481" s="67" t="str">
        <x:v>https://www.stonealgo.com/diamond-prices/</x:v>
      </x:c>
      <x:c r="L4481" s="67" t="str">
        <x:v>https://www.pricescope.com/blog/natural-diamond-prices-september-2026</x:v>
      </x:c>
    </x:row>
    <x:row r="4482">
      <x:c r="A4482" t="n">
        <x:v>8</x:v>
      </x:c>
      <x:c r="B4482" t="str">
        <x:v>Round</x:v>
      </x:c>
      <x:c r="C4482" t="str">
        <x:v>D</x:v>
      </x:c>
      <x:c r="D4482" t="str">
        <x:v>FL</x:v>
      </x:c>
      <x:c r="E4482" s="36" t="n">
        <x:v>200565</x:v>
      </x:c>
      <x:c r="F4482" s="36" t="n">
        <x:v>12665</x:v>
      </x:c>
      <x:c r="G4482" s="42" t="n">
        <x:v>2.7166452166452166</x:v>
      </x:c>
      <x:c r="H4482" s="36" t="n">
        <x:f>E4482*G4482</x:f>
        <x:v>544863.9478764479</x:v>
      </x:c>
      <x:c r="I4482" s="36" t="n">
        <x:f>IFERROR(H4482/A4482,0)</x:f>
        <x:v>68107.99348455599</x:v>
      </x:c>
      <x:c r="J4482" s="67" t="str">
        <x:v>Modeled from live base + Sep-2026 quality ratio</x:v>
      </x:c>
      <x:c r="K4482" s="67" t="str">
        <x:v>https://www.stonealgo.com/diamond-prices/</x:v>
      </x:c>
      <x:c r="L4482" s="67" t="str">
        <x:v>https://www.pricescope.com/blog/natural-diamond-prices-september-2026</x:v>
      </x:c>
    </x:row>
    <x:row r="4483">
      <x:c r="A4483" t="n">
        <x:v>8</x:v>
      </x:c>
      <x:c r="B4483" t="str">
        <x:v>Round</x:v>
      </x:c>
      <x:c r="C4483" t="str">
        <x:v>D</x:v>
      </x:c>
      <x:c r="D4483" t="str">
        <x:v>IF</x:v>
      </x:c>
      <x:c r="E4483" s="36" t="n">
        <x:v>200565</x:v>
      </x:c>
      <x:c r="F4483" s="36" t="n">
        <x:v>13240</x:v>
      </x:c>
      <x:c r="G4483" s="42" t="n">
        <x:v>2.83998283998284</x:v>
      </x:c>
      <x:c r="H4483" s="36" t="n">
        <x:f>E4483*G4483</x:f>
        <x:v>569601.1583011583</x:v>
      </x:c>
      <x:c r="I4483" s="36" t="n">
        <x:f>IFERROR(H4483/A4483,0)</x:f>
        <x:v>71200.1447876448</x:v>
      </x:c>
      <x:c r="J4483" s="67" t="str">
        <x:v>Modeled from live base + Sep-2026 quality ratio</x:v>
      </x:c>
      <x:c r="K4483" s="67" t="str">
        <x:v>https://www.stonealgo.com/diamond-prices/</x:v>
      </x:c>
      <x:c r="L4483" s="67" t="str">
        <x:v>https://www.pricescope.com/blog/natural-diamond-prices-september-2026</x:v>
      </x:c>
    </x:row>
    <x:row r="4484">
      <x:c r="A4484" t="n">
        <x:v>8</x:v>
      </x:c>
      <x:c r="B4484" t="str">
        <x:v>Round</x:v>
      </x:c>
      <x:c r="C4484" t="str">
        <x:v>D</x:v>
      </x:c>
      <x:c r="D4484" t="str">
        <x:v>VVS1</x:v>
      </x:c>
      <x:c r="E4484" s="36" t="n">
        <x:v>200565</x:v>
      </x:c>
      <x:c r="F4484" s="36" t="n">
        <x:v>9555</x:v>
      </x:c>
      <x:c r="G4484" s="42" t="n">
        <x:v>2.0495495495495497</x:v>
      </x:c>
      <x:c r="H4484" s="36" t="n">
        <x:f>E4484*G4484</x:f>
        <x:v>411067.90540540544</x:v>
      </x:c>
      <x:c r="I4484" s="36" t="n">
        <x:f>IFERROR(H4484/A4484,0)</x:f>
        <x:v>51383.48817567568</x:v>
      </x:c>
      <x:c r="J4484" s="67" t="str">
        <x:v>Modeled from live base + Sep-2026 quality ratio</x:v>
      </x:c>
      <x:c r="K4484" s="67" t="str">
        <x:v>https://www.stonealgo.com/diamond-prices/</x:v>
      </x:c>
      <x:c r="L4484" s="67" t="str">
        <x:v>https://www.pricescope.com/blog/natural-diamond-prices-september-2026</x:v>
      </x:c>
    </x:row>
    <x:row r="4485">
      <x:c r="A4485" t="n">
        <x:v>8</x:v>
      </x:c>
      <x:c r="B4485" t="str">
        <x:v>Round</x:v>
      </x:c>
      <x:c r="C4485" t="str">
        <x:v>D</x:v>
      </x:c>
      <x:c r="D4485" t="str">
        <x:v>VVS2</x:v>
      </x:c>
      <x:c r="E4485" s="36" t="n">
        <x:v>200565</x:v>
      </x:c>
      <x:c r="F4485" s="36" t="n">
        <x:v>6660</x:v>
      </x:c>
      <x:c r="G4485" s="42" t="n">
        <x:v>1.4285714285714286</x:v>
      </x:c>
      <x:c r="H4485" s="36" t="n">
        <x:f>E4485*G4485</x:f>
        <x:v>286521.4285714286</x:v>
      </x:c>
      <x:c r="I4485" s="36" t="n">
        <x:f>IFERROR(H4485/A4485,0)</x:f>
        <x:v>35815.17857142857</x:v>
      </x:c>
      <x:c r="J4485" s="67" t="str">
        <x:v>Modeled from live base + Sep-2026 quality ratio</x:v>
      </x:c>
      <x:c r="K4485" s="67" t="str">
        <x:v>https://www.stonealgo.com/diamond-prices/</x:v>
      </x:c>
      <x:c r="L4485" s="67" t="str">
        <x:v>https://www.pricescope.com/blog/natural-diamond-prices-september-2026</x:v>
      </x:c>
    </x:row>
    <x:row r="4486">
      <x:c r="A4486" t="n">
        <x:v>8</x:v>
      </x:c>
      <x:c r="B4486" t="str">
        <x:v>Round</x:v>
      </x:c>
      <x:c r="C4486" t="str">
        <x:v>D</x:v>
      </x:c>
      <x:c r="D4486" t="str">
        <x:v>VS1</x:v>
      </x:c>
      <x:c r="E4486" s="36" t="n">
        <x:v>200565</x:v>
      </x:c>
      <x:c r="F4486" s="36" t="n">
        <x:v>6247</x:v>
      </x:c>
      <x:c r="G4486" s="42" t="n">
        <x:v>1.33998283998284</x:v>
      </x:c>
      <x:c r="H4486" s="36" t="n">
        <x:f>E4486*G4486</x:f>
        <x:v>268753.6583011583</x:v>
      </x:c>
      <x:c r="I4486" s="36" t="n">
        <x:f>IFERROR(H4486/A4486,0)</x:f>
        <x:v>33594.207287644786</x:v>
      </x:c>
      <x:c r="J4486" s="67" t="str">
        <x:v>Modeled from live base + Sep-2026 quality ratio</x:v>
      </x:c>
      <x:c r="K4486" s="67" t="str">
        <x:v>https://www.stonealgo.com/diamond-prices/</x:v>
      </x:c>
      <x:c r="L4486" s="67" t="str">
        <x:v>https://www.pricescope.com/blog/natural-diamond-prices-september-2026</x:v>
      </x:c>
    </x:row>
    <x:row r="4487">
      <x:c r="A4487" t="n">
        <x:v>8</x:v>
      </x:c>
      <x:c r="B4487" t="str">
        <x:v>Round</x:v>
      </x:c>
      <x:c r="C4487" t="str">
        <x:v>D</x:v>
      </x:c>
      <x:c r="D4487" t="str">
        <x:v>VS2</x:v>
      </x:c>
      <x:c r="E4487" s="36" t="n">
        <x:v>200565</x:v>
      </x:c>
      <x:c r="F4487" s="36" t="n">
        <x:v>5841</x:v>
      </x:c>
      <x:c r="G4487" s="42" t="n">
        <x:v>1.252895752895753</x:v>
      </x:c>
      <x:c r="H4487" s="36" t="n">
        <x:f>E4487*G4487</x:f>
        <x:v>251287.0366795367</x:v>
      </x:c>
      <x:c r="I4487" s="36" t="n">
        <x:f>IFERROR(H4487/A4487,0)</x:f>
        <x:v>31410.879584942086</x:v>
      </x:c>
      <x:c r="J4487" s="67" t="str">
        <x:v>Modeled from live base + Sep-2026 quality ratio</x:v>
      </x:c>
      <x:c r="K4487" s="67" t="str">
        <x:v>https://www.stonealgo.com/diamond-prices/</x:v>
      </x:c>
      <x:c r="L4487" s="67" t="str">
        <x:v>https://www.pricescope.com/blog/natural-diamond-prices-september-2026</x:v>
      </x:c>
    </x:row>
    <x:row r="4488">
      <x:c r="A4488" t="n">
        <x:v>8</x:v>
      </x:c>
      <x:c r="B4488" t="str">
        <x:v>Round</x:v>
      </x:c>
      <x:c r="C4488" t="str">
        <x:v>D</x:v>
      </x:c>
      <x:c r="D4488" t="str">
        <x:v>SI1</x:v>
      </x:c>
      <x:c r="E4488" s="36" t="n">
        <x:v>200565</x:v>
      </x:c>
      <x:c r="F4488" s="36" t="n">
        <x:v>3762</x:v>
      </x:c>
      <x:c r="G4488" s="42" t="n">
        <x:v>0.806949806949807</x:v>
      </x:c>
      <x:c r="H4488" s="36" t="n">
        <x:f>E4488*G4488</x:f>
        <x:v>161845.88803088805</x:v>
      </x:c>
      <x:c r="I4488" s="36" t="n">
        <x:f>IFERROR(H4488/A4488,0)</x:f>
        <x:v>20230.736003861006</x:v>
      </x:c>
      <x:c r="J4488" s="67" t="str">
        <x:v>Modeled from live base + Sep-2026 quality ratio</x:v>
      </x:c>
      <x:c r="K4488" s="67" t="str">
        <x:v>https://www.stonealgo.com/diamond-prices/</x:v>
      </x:c>
      <x:c r="L4488" s="67" t="str">
        <x:v>https://www.pricescope.com/blog/natural-diamond-prices-september-2026</x:v>
      </x:c>
    </x:row>
    <x:row r="4489">
      <x:c r="A4489" t="n">
        <x:v>8</x:v>
      </x:c>
      <x:c r="B4489" t="str">
        <x:v>Round</x:v>
      </x:c>
      <x:c r="C4489" t="str">
        <x:v>D</x:v>
      </x:c>
      <x:c r="D4489" t="str">
        <x:v>SI2</x:v>
      </x:c>
      <x:c r="E4489" s="36" t="n">
        <x:v>200565</x:v>
      </x:c>
      <x:c r="F4489" s="36" t="n">
        <x:v>3026</x:v>
      </x:c>
      <x:c r="G4489" s="42" t="n">
        <x:v>0.6490776490776491</x:v>
      </x:c>
      <x:c r="H4489" s="36" t="n">
        <x:f>E4489*G4489</x:f>
        <x:v>130182.25868725868</x:v>
      </x:c>
      <x:c r="I4489" s="36" t="n">
        <x:f>IFERROR(H4489/A4489,0)</x:f>
        <x:v>16272.782335907335</x:v>
      </x:c>
      <x:c r="J4489" s="67" t="str">
        <x:v>Modeled from live base + Sep-2026 quality ratio</x:v>
      </x:c>
      <x:c r="K4489" s="67" t="str">
        <x:v>https://www.stonealgo.com/diamond-prices/</x:v>
      </x:c>
      <x:c r="L4489" s="67" t="str">
        <x:v>https://www.pricescope.com/blog/natural-diamond-prices-september-2026</x:v>
      </x:c>
    </x:row>
    <x:row r="4490">
      <x:c r="A4490" t="n">
        <x:v>8</x:v>
      </x:c>
      <x:c r="B4490" t="str">
        <x:v>Round</x:v>
      </x:c>
      <x:c r="C4490" t="str">
        <x:v>E</x:v>
      </x:c>
      <x:c r="D4490" t="str">
        <x:v>FL</x:v>
      </x:c>
      <x:c r="E4490" s="36" t="n">
        <x:v>200565</x:v>
      </x:c>
      <x:c r="F4490" s="36" t="n">
        <x:v>10072</x:v>
      </x:c>
      <x:c r="G4490" s="42" t="n">
        <x:v>2.1604461604461602</x:v>
      </x:c>
      <x:c r="H4490" s="36" t="n">
        <x:f>E4490*G4490</x:f>
        <x:v>433309.88416988414</x:v>
      </x:c>
      <x:c r="I4490" s="36" t="n">
        <x:f>IFERROR(H4490/A4490,0)</x:f>
        <x:v>54163.73552123552</x:v>
      </x:c>
      <x:c r="J4490" s="67" t="str">
        <x:v>Modeled from live base + Sep-2026 quality ratio</x:v>
      </x:c>
      <x:c r="K4490" s="67" t="str">
        <x:v>https://www.stonealgo.com/diamond-prices/</x:v>
      </x:c>
      <x:c r="L4490" s="67" t="str">
        <x:v>https://www.pricescope.com/blog/natural-diamond-prices-september-2026</x:v>
      </x:c>
    </x:row>
    <x:row r="4491">
      <x:c r="A4491" t="n">
        <x:v>8</x:v>
      </x:c>
      <x:c r="B4491" t="str">
        <x:v>Round</x:v>
      </x:c>
      <x:c r="C4491" t="str">
        <x:v>E</x:v>
      </x:c>
      <x:c r="D4491" t="str">
        <x:v>IF</x:v>
      </x:c>
      <x:c r="E4491" s="36" t="n">
        <x:v>200565</x:v>
      </x:c>
      <x:c r="F4491" s="36" t="n">
        <x:v>8672</x:v>
      </x:c>
      <x:c r="G4491" s="42" t="n">
        <x:v>1.8601458601458603</x:v>
      </x:c>
      <x:c r="H4491" s="36" t="n">
        <x:f>E4491*G4491</x:f>
        <x:v>373080.15444015444</x:v>
      </x:c>
      <x:c r="I4491" s="36" t="n">
        <x:f>IFERROR(H4491/A4491,0)</x:f>
        <x:v>46635.019305019305</x:v>
      </x:c>
      <x:c r="J4491" s="67" t="str">
        <x:v>Modeled from live base + Sep-2026 quality ratio</x:v>
      </x:c>
      <x:c r="K4491" s="67" t="str">
        <x:v>https://www.stonealgo.com/diamond-prices/</x:v>
      </x:c>
      <x:c r="L4491" s="67" t="str">
        <x:v>https://www.pricescope.com/blog/natural-diamond-prices-september-2026</x:v>
      </x:c>
    </x:row>
    <x:row r="4492">
      <x:c r="A4492" t="n">
        <x:v>8</x:v>
      </x:c>
      <x:c r="B4492" t="str">
        <x:v>Round</x:v>
      </x:c>
      <x:c r="C4492" t="str">
        <x:v>E</x:v>
      </x:c>
      <x:c r="D4492" t="str">
        <x:v>VVS1</x:v>
      </x:c>
      <x:c r="E4492" s="36" t="n">
        <x:v>200565</x:v>
      </x:c>
      <x:c r="F4492" s="36" t="n">
        <x:v>7842</x:v>
      </x:c>
      <x:c r="G4492" s="42" t="n">
        <x:v>1.6821106821106822</x:v>
      </x:c>
      <x:c r="H4492" s="36" t="n">
        <x:f>E4492*G4492</x:f>
        <x:v>337372.528957529</x:v>
      </x:c>
      <x:c r="I4492" s="36" t="n">
        <x:f>IFERROR(H4492/A4492,0)</x:f>
        <x:v>42171.566119691124</x:v>
      </x:c>
      <x:c r="J4492" s="67" t="str">
        <x:v>Modeled from live base + Sep-2026 quality ratio</x:v>
      </x:c>
      <x:c r="K4492" s="67" t="str">
        <x:v>https://www.stonealgo.com/diamond-prices/</x:v>
      </x:c>
      <x:c r="L4492" s="67" t="str">
        <x:v>https://www.pricescope.com/blog/natural-diamond-prices-september-2026</x:v>
      </x:c>
    </x:row>
    <x:row r="4493">
      <x:c r="A4493" t="n">
        <x:v>8</x:v>
      </x:c>
      <x:c r="B4493" t="str">
        <x:v>Round</x:v>
      </x:c>
      <x:c r="C4493" t="str">
        <x:v>E</x:v>
      </x:c>
      <x:c r="D4493" t="str">
        <x:v>VVS2</x:v>
      </x:c>
      <x:c r="E4493" s="36" t="n">
        <x:v>200565</x:v>
      </x:c>
      <x:c r="F4493" s="36" t="n">
        <x:v>6880</x:v>
      </x:c>
      <x:c r="G4493" s="42" t="n">
        <x:v>1.4757614757614759</x:v>
      </x:c>
      <x:c r="H4493" s="36" t="n">
        <x:f>E4493*G4493</x:f>
        <x:v>295986.1003861004</x:v>
      </x:c>
      <x:c r="I4493" s="36" t="n">
        <x:f>IFERROR(H4493/A4493,0)</x:f>
        <x:v>36998.26254826255</x:v>
      </x:c>
      <x:c r="J4493" s="67" t="str">
        <x:v>Modeled from live base + Sep-2026 quality ratio</x:v>
      </x:c>
      <x:c r="K4493" s="67" t="str">
        <x:v>https://www.stonealgo.com/diamond-prices/</x:v>
      </x:c>
      <x:c r="L4493" s="67" t="str">
        <x:v>https://www.pricescope.com/blog/natural-diamond-prices-september-2026</x:v>
      </x:c>
    </x:row>
    <x:row r="4494">
      <x:c r="A4494" t="n">
        <x:v>8</x:v>
      </x:c>
      <x:c r="B4494" t="str">
        <x:v>Round</x:v>
      </x:c>
      <x:c r="C4494" t="str">
        <x:v>E</x:v>
      </x:c>
      <x:c r="D4494" t="str">
        <x:v>VS1</x:v>
      </x:c>
      <x:c r="E4494" s="36" t="n">
        <x:v>200565</x:v>
      </x:c>
      <x:c r="F4494" s="36" t="n">
        <x:v>6307</x:v>
      </x:c>
      <x:c r="G4494" s="42" t="n">
        <x:v>1.352852852852853</x:v>
      </x:c>
      <x:c r="H4494" s="36" t="n">
        <x:f>E4494*G4494</x:f>
        <x:v>271334.9324324324</x:v>
      </x:c>
      <x:c r="I4494" s="36" t="n">
        <x:f>IFERROR(H4494/A4494,0)</x:f>
        <x:v>33916.86655405405</x:v>
      </x:c>
      <x:c r="J4494" s="67" t="str">
        <x:v>Modeled from live base + Sep-2026 quality ratio</x:v>
      </x:c>
      <x:c r="K4494" s="67" t="str">
        <x:v>https://www.stonealgo.com/diamond-prices/</x:v>
      </x:c>
      <x:c r="L4494" s="67" t="str">
        <x:v>https://www.pricescope.com/blog/natural-diamond-prices-september-2026</x:v>
      </x:c>
    </x:row>
    <x:row r="4495">
      <x:c r="A4495" t="n">
        <x:v>8</x:v>
      </x:c>
      <x:c r="B4495" t="str">
        <x:v>Round</x:v>
      </x:c>
      <x:c r="C4495" t="str">
        <x:v>E</x:v>
      </x:c>
      <x:c r="D4495" t="str">
        <x:v>VS2</x:v>
      </x:c>
      <x:c r="E4495" s="36" t="n">
        <x:v>200565</x:v>
      </x:c>
      <x:c r="F4495" s="36" t="n">
        <x:v>5249</x:v>
      </x:c>
      <x:c r="G4495" s="42" t="n">
        <x:v>1.125911625911626</x:v>
      </x:c>
      <x:c r="H4495" s="36" t="n">
        <x:f>E4495*G4495</x:f>
        <x:v>225818.46525096527</x:v>
      </x:c>
      <x:c r="I4495" s="36" t="n">
        <x:f>IFERROR(H4495/A4495,0)</x:f>
        <x:v>28227.30815637066</x:v>
      </x:c>
      <x:c r="J4495" s="67" t="str">
        <x:v>Modeled from live base + Sep-2026 quality ratio</x:v>
      </x:c>
      <x:c r="K4495" s="67" t="str">
        <x:v>https://www.stonealgo.com/diamond-prices/</x:v>
      </x:c>
      <x:c r="L4495" s="67" t="str">
        <x:v>https://www.pricescope.com/blog/natural-diamond-prices-september-2026</x:v>
      </x:c>
    </x:row>
    <x:row r="4496">
      <x:c r="A4496" t="n">
        <x:v>8</x:v>
      </x:c>
      <x:c r="B4496" t="str">
        <x:v>Round</x:v>
      </x:c>
      <x:c r="C4496" t="str">
        <x:v>E</x:v>
      </x:c>
      <x:c r="D4496" t="str">
        <x:v>SI1</x:v>
      </x:c>
      <x:c r="E4496" s="36" t="n">
        <x:v>200565</x:v>
      </x:c>
      <x:c r="F4496" s="36" t="n">
        <x:v>3551</x:v>
      </x:c>
      <x:c r="G4496" s="42" t="n">
        <x:v>0.7616902616902617</x:v>
      </x:c>
      <x:c r="H4496" s="36" t="n">
        <x:f>E4496*G4496</x:f>
        <x:v>152768.40733590734</x:v>
      </x:c>
      <x:c r="I4496" s="36" t="n">
        <x:f>IFERROR(H4496/A4496,0)</x:f>
        <x:v>19096.050916988417</x:v>
      </x:c>
      <x:c r="J4496" s="67" t="str">
        <x:v>Modeled from live base + Sep-2026 quality ratio</x:v>
      </x:c>
      <x:c r="K4496" s="67" t="str">
        <x:v>https://www.stonealgo.com/diamond-prices/</x:v>
      </x:c>
      <x:c r="L4496" s="67" t="str">
        <x:v>https://www.pricescope.com/blog/natural-diamond-prices-september-2026</x:v>
      </x:c>
    </x:row>
    <x:row r="4497">
      <x:c r="A4497" t="n">
        <x:v>8</x:v>
      </x:c>
      <x:c r="B4497" t="str">
        <x:v>Round</x:v>
      </x:c>
      <x:c r="C4497" t="str">
        <x:v>E</x:v>
      </x:c>
      <x:c r="D4497" t="str">
        <x:v>SI2</x:v>
      </x:c>
      <x:c r="E4497" s="36" t="n">
        <x:v>200565</x:v>
      </x:c>
      <x:c r="F4497" s="36" t="n">
        <x:v>2993</x:v>
      </x:c>
      <x:c r="G4497" s="42" t="n">
        <x:v>0.641999141999142</x:v>
      </x:c>
      <x:c r="H4497" s="36" t="n">
        <x:f>E4497*G4497</x:f>
        <x:v>128762.55791505791</x:v>
      </x:c>
      <x:c r="I4497" s="36" t="n">
        <x:f>IFERROR(H4497/A4497,0)</x:f>
        <x:v>16095.31973938224</x:v>
      </x:c>
      <x:c r="J4497" s="67" t="str">
        <x:v>Modeled from live base + Sep-2026 quality ratio</x:v>
      </x:c>
      <x:c r="K4497" s="67" t="str">
        <x:v>https://www.stonealgo.com/diamond-prices/</x:v>
      </x:c>
      <x:c r="L4497" s="67" t="str">
        <x:v>https://www.pricescope.com/blog/natural-diamond-prices-september-2026</x:v>
      </x:c>
    </x:row>
    <x:row r="4498">
      <x:c r="A4498" t="n">
        <x:v>8</x:v>
      </x:c>
      <x:c r="B4498" t="str">
        <x:v>Round</x:v>
      </x:c>
      <x:c r="C4498" t="str">
        <x:v>F</x:v>
      </x:c>
      <x:c r="D4498" t="str">
        <x:v>FL</x:v>
      </x:c>
      <x:c r="E4498" s="36" t="n">
        <x:v>200565</x:v>
      </x:c>
      <x:c r="F4498" s="36" t="n">
        <x:v>6830</x:v>
      </x:c>
      <x:c r="G4498" s="42" t="n">
        <x:v>1.4650364650364651</x:v>
      </x:c>
      <x:c r="H4498" s="36" t="n">
        <x:f>E4498*G4498</x:f>
        <x:v>293835.03861003864</x:v>
      </x:c>
      <x:c r="I4498" s="36" t="n">
        <x:f>IFERROR(H4498/A4498,0)</x:f>
        <x:v>36729.37982625483</x:v>
      </x:c>
      <x:c r="J4498" s="67" t="str">
        <x:v>Modeled from live base + Sep-2026 quality ratio</x:v>
      </x:c>
      <x:c r="K4498" s="67" t="str">
        <x:v>https://www.stonealgo.com/diamond-prices/</x:v>
      </x:c>
      <x:c r="L4498" s="67" t="str">
        <x:v>https://www.pricescope.com/blog/natural-diamond-prices-september-2026</x:v>
      </x:c>
    </x:row>
    <x:row r="4499">
      <x:c r="A4499" t="n">
        <x:v>8</x:v>
      </x:c>
      <x:c r="B4499" t="str">
        <x:v>Round</x:v>
      </x:c>
      <x:c r="C4499" t="str">
        <x:v>F</x:v>
      </x:c>
      <x:c r="D4499" t="str">
        <x:v>IF</x:v>
      </x:c>
      <x:c r="E4499" s="36" t="n">
        <x:v>200565</x:v>
      </x:c>
      <x:c r="F4499" s="36" t="n">
        <x:v>7302</x:v>
      </x:c>
      <x:c r="G4499" s="42" t="n">
        <x:v>1.5662805662805663</x:v>
      </x:c>
      <x:c r="H4499" s="36" t="n">
        <x:f>E4499*G4499</x:f>
        <x:v>314141.0617760618</x:v>
      </x:c>
      <x:c r="I4499" s="36" t="n">
        <x:f>IFERROR(H4499/A4499,0)</x:f>
        <x:v>39267.63272200772</x:v>
      </x:c>
      <x:c r="J4499" s="67" t="str">
        <x:v>Modeled from live base + Sep-2026 quality ratio</x:v>
      </x:c>
      <x:c r="K4499" s="67" t="str">
        <x:v>https://www.stonealgo.com/diamond-prices/</x:v>
      </x:c>
      <x:c r="L4499" s="67" t="str">
        <x:v>https://www.pricescope.com/blog/natural-diamond-prices-september-2026</x:v>
      </x:c>
    </x:row>
    <x:row r="4500">
      <x:c r="A4500" t="n">
        <x:v>8</x:v>
      </x:c>
      <x:c r="B4500" t="str">
        <x:v>Round</x:v>
      </x:c>
      <x:c r="C4500" t="str">
        <x:v>F</x:v>
      </x:c>
      <x:c r="D4500" t="str">
        <x:v>VVS1</x:v>
      </x:c>
      <x:c r="E4500" s="36" t="n">
        <x:v>200565</x:v>
      </x:c>
      <x:c r="F4500" s="36" t="n">
        <x:v>7542</x:v>
      </x:c>
      <x:c r="G4500" s="42" t="n">
        <x:v>1.6177606177606179</x:v>
      </x:c>
      <x:c r="H4500" s="36" t="n">
        <x:f>E4500*G4500</x:f>
        <x:v>324466.15830115834</x:v>
      </x:c>
      <x:c r="I4500" s="36" t="n">
        <x:f>IFERROR(H4500/A4500,0)</x:f>
        <x:v>40558.26978764479</x:v>
      </x:c>
      <x:c r="J4500" s="67" t="str">
        <x:v>Modeled from live base + Sep-2026 quality ratio</x:v>
      </x:c>
      <x:c r="K4500" s="67" t="str">
        <x:v>https://www.stonealgo.com/diamond-prices/</x:v>
      </x:c>
      <x:c r="L4500" s="67" t="str">
        <x:v>https://www.pricescope.com/blog/natural-diamond-prices-september-2026</x:v>
      </x:c>
    </x:row>
    <x:row r="4501">
      <x:c r="A4501" t="n">
        <x:v>8</x:v>
      </x:c>
      <x:c r="B4501" t="str">
        <x:v>Round</x:v>
      </x:c>
      <x:c r="C4501" t="str">
        <x:v>F</x:v>
      </x:c>
      <x:c r="D4501" t="str">
        <x:v>VVS2</x:v>
      </x:c>
      <x:c r="E4501" s="36" t="n">
        <x:v>200565</x:v>
      </x:c>
      <x:c r="F4501" s="36" t="n">
        <x:v>6352</x:v>
      </x:c>
      <x:c r="G4501" s="42" t="n">
        <x:v>1.3625053625053625</x:v>
      </x:c>
      <x:c r="H4501" s="36" t="n">
        <x:f>E4501*G4501</x:f>
        <x:v>273270.88803088805</x:v>
      </x:c>
      <x:c r="I4501" s="36" t="n">
        <x:f>IFERROR(H4501/A4501,0)</x:f>
        <x:v>34158.861003861006</x:v>
      </x:c>
      <x:c r="J4501" s="67" t="str">
        <x:v>Modeled from live base + Sep-2026 quality ratio</x:v>
      </x:c>
      <x:c r="K4501" s="67" t="str">
        <x:v>https://www.stonealgo.com/diamond-prices/</x:v>
      </x:c>
      <x:c r="L4501" s="67" t="str">
        <x:v>https://www.pricescope.com/blog/natural-diamond-prices-september-2026</x:v>
      </x:c>
    </x:row>
    <x:row r="4502">
      <x:c r="A4502" t="n">
        <x:v>8</x:v>
      </x:c>
      <x:c r="B4502" t="str">
        <x:v>Round</x:v>
      </x:c>
      <x:c r="C4502" t="str">
        <x:v>F</x:v>
      </x:c>
      <x:c r="D4502" t="str">
        <x:v>VS1</x:v>
      </x:c>
      <x:c r="E4502" s="36" t="n">
        <x:v>200565</x:v>
      </x:c>
      <x:c r="F4502" s="36" t="n">
        <x:v>5647</x:v>
      </x:c>
      <x:c r="G4502" s="42" t="n">
        <x:v>1.2112827112827114</x:v>
      </x:c>
      <x:c r="H4502" s="36" t="n">
        <x:f>E4502*G4502</x:f>
        <x:v>242940.916988417</x:v>
      </x:c>
      <x:c r="I4502" s="36" t="n">
        <x:f>IFERROR(H4502/A4502,0)</x:f>
        <x:v>30367.614623552126</x:v>
      </x:c>
      <x:c r="J4502" s="67" t="str">
        <x:v>Modeled from live base + Sep-2026 quality ratio</x:v>
      </x:c>
      <x:c r="K4502" s="67" t="str">
        <x:v>https://www.stonealgo.com/diamond-prices/</x:v>
      </x:c>
      <x:c r="L4502" s="67" t="str">
        <x:v>https://www.pricescope.com/blog/natural-diamond-prices-september-2026</x:v>
      </x:c>
    </x:row>
    <x:row r="4503">
      <x:c r="A4503" t="n">
        <x:v>8</x:v>
      </x:c>
      <x:c r="B4503" t="str">
        <x:v>Round</x:v>
      </x:c>
      <x:c r="C4503" t="str">
        <x:v>F</x:v>
      </x:c>
      <x:c r="D4503" t="str">
        <x:v>VS2</x:v>
      </x:c>
      <x:c r="E4503" s="36" t="n">
        <x:v>200565</x:v>
      </x:c>
      <x:c r="F4503" s="36" t="n">
        <x:v>4730</x:v>
      </x:c>
      <x:c r="G4503" s="42" t="n">
        <x:v>1.0145860145860146</x:v>
      </x:c>
      <x:c r="H4503" s="36" t="n">
        <x:f>E4503*G4503</x:f>
        <x:v>203490.44401544402</x:v>
      </x:c>
      <x:c r="I4503" s="36" t="n">
        <x:f>IFERROR(H4503/A4503,0)</x:f>
        <x:v>25436.305501930503</x:v>
      </x:c>
      <x:c r="J4503" s="67" t="str">
        <x:v>Modeled from live base + Sep-2026 quality ratio</x:v>
      </x:c>
      <x:c r="K4503" s="67" t="str">
        <x:v>https://www.stonealgo.com/diamond-prices/</x:v>
      </x:c>
      <x:c r="L4503" s="67" t="str">
        <x:v>https://www.pricescope.com/blog/natural-diamond-prices-september-2026</x:v>
      </x:c>
    </x:row>
    <x:row r="4504">
      <x:c r="A4504" t="n">
        <x:v>8</x:v>
      </x:c>
      <x:c r="B4504" t="str">
        <x:v>Round</x:v>
      </x:c>
      <x:c r="C4504" t="str">
        <x:v>F</x:v>
      </x:c>
      <x:c r="D4504" t="str">
        <x:v>SI1</x:v>
      </x:c>
      <x:c r="E4504" s="36" t="n">
        <x:v>200565</x:v>
      </x:c>
      <x:c r="F4504" s="36" t="n">
        <x:v>3331</x:v>
      </x:c>
      <x:c r="G4504" s="42" t="n">
        <x:v>0.7145002145002145</x:v>
      </x:c>
      <x:c r="H4504" s="36" t="n">
        <x:f>E4504*G4504</x:f>
        <x:v>143303.73552123553</x:v>
      </x:c>
      <x:c r="I4504" s="36" t="n">
        <x:f>IFERROR(H4504/A4504,0)</x:f>
        <x:v>17912.96694015444</x:v>
      </x:c>
      <x:c r="J4504" s="67" t="str">
        <x:v>Modeled from live base + Sep-2026 quality ratio</x:v>
      </x:c>
      <x:c r="K4504" s="67" t="str">
        <x:v>https://www.stonealgo.com/diamond-prices/</x:v>
      </x:c>
      <x:c r="L4504" s="67" t="str">
        <x:v>https://www.pricescope.com/blog/natural-diamond-prices-september-2026</x:v>
      </x:c>
    </x:row>
    <x:row r="4505">
      <x:c r="A4505" t="n">
        <x:v>8</x:v>
      </x:c>
      <x:c r="B4505" t="str">
        <x:v>Round</x:v>
      </x:c>
      <x:c r="C4505" t="str">
        <x:v>F</x:v>
      </x:c>
      <x:c r="D4505" t="str">
        <x:v>SI2</x:v>
      </x:c>
      <x:c r="E4505" s="36" t="n">
        <x:v>200565</x:v>
      </x:c>
      <x:c r="F4505" s="36" t="n">
        <x:v>2733</x:v>
      </x:c>
      <x:c r="G4505" s="42" t="n">
        <x:v>0.5862290862290862</x:v>
      </x:c>
      <x:c r="H4505" s="36" t="n">
        <x:f>E4505*G4505</x:f>
        <x:v>117577.03667953667</x:v>
      </x:c>
      <x:c r="I4505" s="36" t="n">
        <x:f>IFERROR(H4505/A4505,0)</x:f>
        <x:v>14697.129584942084</x:v>
      </x:c>
      <x:c r="J4505" s="67" t="str">
        <x:v>Modeled from live base + Sep-2026 quality ratio</x:v>
      </x:c>
      <x:c r="K4505" s="67" t="str">
        <x:v>https://www.stonealgo.com/diamond-prices/</x:v>
      </x:c>
      <x:c r="L4505" s="67" t="str">
        <x:v>https://www.pricescope.com/blog/natural-diamond-prices-september-2026</x:v>
      </x:c>
    </x:row>
    <x:row r="4506">
      <x:c r="A4506" t="n">
        <x:v>8</x:v>
      </x:c>
      <x:c r="B4506" t="str">
        <x:v>Round</x:v>
      </x:c>
      <x:c r="C4506" t="str">
        <x:v>G</x:v>
      </x:c>
      <x:c r="D4506" t="str">
        <x:v>FL</x:v>
      </x:c>
      <x:c r="E4506" s="36" t="n">
        <x:v>200565</x:v>
      </x:c>
      <x:c r="F4506" s="36" t="n">
        <x:v>5905</x:v>
      </x:c>
      <x:c r="G4506" s="42" t="n">
        <x:v>1.2666237666237665</x:v>
      </x:c>
      <x:c r="H4506" s="36" t="n">
        <x:f>E4506*G4506</x:f>
        <x:v>254040.39575289574</x:v>
      </x:c>
      <x:c r="I4506" s="36" t="n">
        <x:f>IFERROR(H4506/A4506,0)</x:f>
        <x:v>31755.049469111967</x:v>
      </x:c>
      <x:c r="J4506" s="67" t="str">
        <x:v>Modeled from live base + Sep-2026 quality ratio</x:v>
      </x:c>
      <x:c r="K4506" s="67" t="str">
        <x:v>https://www.stonealgo.com/diamond-prices/</x:v>
      </x:c>
      <x:c r="L4506" s="67" t="str">
        <x:v>https://www.pricescope.com/blog/natural-diamond-prices-september-2026</x:v>
      </x:c>
    </x:row>
    <x:row r="4507">
      <x:c r="A4507" t="n">
        <x:v>8</x:v>
      </x:c>
      <x:c r="B4507" t="str">
        <x:v>Round</x:v>
      </x:c>
      <x:c r="C4507" t="str">
        <x:v>G</x:v>
      </x:c>
      <x:c r="D4507" t="str">
        <x:v>IF</x:v>
      </x:c>
      <x:c r="E4507" s="36" t="n">
        <x:v>200565</x:v>
      </x:c>
      <x:c r="F4507" s="36" t="n">
        <x:v>5601</x:v>
      </x:c>
      <x:c r="G4507" s="42" t="n">
        <x:v>1.2014157014157014</x:v>
      </x:c>
      <x:c r="H4507" s="36" t="n">
        <x:f>E4507*G4507</x:f>
        <x:v>240961.94015444015</x:v>
      </x:c>
      <x:c r="I4507" s="36" t="n">
        <x:f>IFERROR(H4507/A4507,0)</x:f>
        <x:v>30120.24251930502</x:v>
      </x:c>
      <x:c r="J4507" s="67" t="str">
        <x:v>Modeled from live base + Sep-2026 quality ratio</x:v>
      </x:c>
      <x:c r="K4507" s="67" t="str">
        <x:v>https://www.stonealgo.com/diamond-prices/</x:v>
      </x:c>
      <x:c r="L4507" s="67" t="str">
        <x:v>https://www.pricescope.com/blog/natural-diamond-prices-september-2026</x:v>
      </x:c>
    </x:row>
    <x:row r="4508">
      <x:c r="A4508" t="n">
        <x:v>8</x:v>
      </x:c>
      <x:c r="B4508" t="str">
        <x:v>Round</x:v>
      </x:c>
      <x:c r="C4508" t="str">
        <x:v>G</x:v>
      </x:c>
      <x:c r="D4508" t="str">
        <x:v>VVS1</x:v>
      </x:c>
      <x:c r="E4508" s="36" t="n">
        <x:v>200565</x:v>
      </x:c>
      <x:c r="F4508" s="36" t="n">
        <x:v>5124</x:v>
      </x:c>
      <x:c r="G4508" s="42" t="n">
        <x:v>1.0990990990990992</x:v>
      </x:c>
      <x:c r="H4508" s="36" t="n">
        <x:f>E4508*G4508</x:f>
        <x:v>220440.81081081083</x:v>
      </x:c>
      <x:c r="I4508" s="36" t="n">
        <x:f>IFERROR(H4508/A4508,0)</x:f>
        <x:v>27555.101351351354</x:v>
      </x:c>
      <x:c r="J4508" s="67" t="str">
        <x:v>Modeled from live base + Sep-2026 quality ratio</x:v>
      </x:c>
      <x:c r="K4508" s="67" t="str">
        <x:v>https://www.stonealgo.com/diamond-prices/</x:v>
      </x:c>
      <x:c r="L4508" s="67" t="str">
        <x:v>https://www.pricescope.com/blog/natural-diamond-prices-september-2026</x:v>
      </x:c>
    </x:row>
    <x:row r="4509">
      <x:c r="A4509" t="n">
        <x:v>8</x:v>
      </x:c>
      <x:c r="B4509" t="str">
        <x:v>Round</x:v>
      </x:c>
      <x:c r="C4509" t="str">
        <x:v>G</x:v>
      </x:c>
      <x:c r="D4509" t="str">
        <x:v>VVS2</x:v>
      </x:c>
      <x:c r="E4509" s="36" t="n">
        <x:v>200565</x:v>
      </x:c>
      <x:c r="F4509" s="36" t="n">
        <x:v>4962</x:v>
      </x:c>
      <x:c r="G4509" s="42" t="n">
        <x:v>1.0643500643500643</x:v>
      </x:c>
      <x:c r="H4509" s="36" t="n">
        <x:f>E4509*G4509</x:f>
        <x:v>213471.37065637065</x:v>
      </x:c>
      <x:c r="I4509" s="36" t="n">
        <x:f>IFERROR(H4509/A4509,0)</x:f>
        <x:v>26683.92133204633</x:v>
      </x:c>
      <x:c r="J4509" s="67" t="str">
        <x:v>Modeled from live base + Sep-2026 quality ratio</x:v>
      </x:c>
      <x:c r="K4509" s="67" t="str">
        <x:v>https://www.stonealgo.com/diamond-prices/</x:v>
      </x:c>
      <x:c r="L4509" s="67" t="str">
        <x:v>https://www.pricescope.com/blog/natural-diamond-prices-september-2026</x:v>
      </x:c>
    </x:row>
    <x:row r="4510">
      <x:c r="A4510" t="n">
        <x:v>8</x:v>
      </x:c>
      <x:c r="B4510" t="str">
        <x:v>Round</x:v>
      </x:c>
      <x:c r="C4510" t="str">
        <x:v>G</x:v>
      </x:c>
      <x:c r="D4510" t="str">
        <x:v>VS1</x:v>
      </x:c>
      <x:c r="E4510" s="36" t="n">
        <x:v>200565</x:v>
      </x:c>
      <x:c r="F4510" s="36" t="n">
        <x:v>4615</x:v>
      </x:c>
      <x:c r="G4510" s="42" t="n">
        <x:v>0.98991848991849</x:v>
      </x:c>
      <x:c r="H4510" s="36" t="n">
        <x:f>E4510*G4510</x:f>
        <x:v>198543.00193050195</x:v>
      </x:c>
      <x:c r="I4510" s="36" t="n">
        <x:f>IFERROR(H4510/A4510,0)</x:f>
        <x:v>24817.875241312744</x:v>
      </x:c>
      <x:c r="J4510" s="67" t="str">
        <x:v>Modeled from live base + Sep-2026 quality ratio</x:v>
      </x:c>
      <x:c r="K4510" s="67" t="str">
        <x:v>https://www.stonealgo.com/diamond-prices/</x:v>
      </x:c>
      <x:c r="L4510" s="67" t="str">
        <x:v>https://www.pricescope.com/blog/natural-diamond-prices-september-2026</x:v>
      </x:c>
    </x:row>
    <x:row r="4511">
      <x:c r="A4511" t="n">
        <x:v>8</x:v>
      </x:c>
      <x:c r="B4511" t="str">
        <x:v>Round</x:v>
      </x:c>
      <x:c r="C4511" t="str">
        <x:v>G</x:v>
      </x:c>
      <x:c r="D4511" t="str">
        <x:v>VS2</x:v>
      </x:c>
      <x:c r="E4511" s="36" t="n">
        <x:v>200565</x:v>
      </x:c>
      <x:c r="F4511" s="36" t="n">
        <x:v>4585</x:v>
      </x:c>
      <x:c r="G4511" s="42" t="n">
        <x:v>0.9834834834834835</x:v>
      </x:c>
      <x:c r="H4511" s="36" t="n">
        <x:f>E4511*G4511</x:f>
        <x:v>197252.36486486485</x:v>
      </x:c>
      <x:c r="I4511" s="36" t="n">
        <x:f>IFERROR(H4511/A4511,0)</x:f>
        <x:v>24656.545608108107</x:v>
      </x:c>
      <x:c r="J4511" s="67" t="str">
        <x:v>Modeled from live base + Sep-2026 quality ratio</x:v>
      </x:c>
      <x:c r="K4511" s="67" t="str">
        <x:v>https://www.stonealgo.com/diamond-prices/</x:v>
      </x:c>
      <x:c r="L4511" s="67" t="str">
        <x:v>https://www.pricescope.com/blog/natural-diamond-prices-september-2026</x:v>
      </x:c>
    </x:row>
    <x:row r="4512">
      <x:c r="A4512" t="n">
        <x:v>8</x:v>
      </x:c>
      <x:c r="B4512" t="str">
        <x:v>Round</x:v>
      </x:c>
      <x:c r="C4512" t="str">
        <x:v>G</x:v>
      </x:c>
      <x:c r="D4512" t="str">
        <x:v>SI1</x:v>
      </x:c>
      <x:c r="E4512" s="36" t="n">
        <x:v>200565</x:v>
      </x:c>
      <x:c r="F4512" s="36" t="n">
        <x:v>3664</x:v>
      </x:c>
      <x:c r="G4512" s="42" t="n">
        <x:v>0.7859287859287859</x:v>
      </x:c>
      <x:c r="H4512" s="36" t="n">
        <x:f>E4512*G4512</x:f>
        <x:v>157629.80694980695</x:v>
      </x:c>
      <x:c r="I4512" s="36" t="n">
        <x:f>IFERROR(H4512/A4512,0)</x:f>
        <x:v>19703.72586872587</x:v>
      </x:c>
      <x:c r="J4512" s="67" t="str">
        <x:v>Modeled from live base + Sep-2026 quality ratio</x:v>
      </x:c>
      <x:c r="K4512" s="67" t="str">
        <x:v>https://www.stonealgo.com/diamond-prices/</x:v>
      </x:c>
      <x:c r="L4512" s="67" t="str">
        <x:v>https://www.pricescope.com/blog/natural-diamond-prices-september-2026</x:v>
      </x:c>
    </x:row>
    <x:row r="4513">
      <x:c r="A4513" t="n">
        <x:v>8</x:v>
      </x:c>
      <x:c r="B4513" t="str">
        <x:v>Round</x:v>
      </x:c>
      <x:c r="C4513" t="str">
        <x:v>G</x:v>
      </x:c>
      <x:c r="D4513" t="str">
        <x:v>SI2</x:v>
      </x:c>
      <x:c r="E4513" s="36" t="n">
        <x:v>200565</x:v>
      </x:c>
      <x:c r="F4513" s="36" t="n">
        <x:v>2537</x:v>
      </x:c>
      <x:c r="G4513" s="42" t="n">
        <x:v>0.5441870441870442</x:v>
      </x:c>
      <x:c r="H4513" s="36" t="n">
        <x:f>E4513*G4513</x:f>
        <x:v>109144.87451737453</x:v>
      </x:c>
      <x:c r="I4513" s="36" t="n">
        <x:f>IFERROR(H4513/A4513,0)</x:f>
        <x:v>13643.109314671816</x:v>
      </x:c>
      <x:c r="J4513" s="67" t="str">
        <x:v>Modeled from live base + Sep-2026 quality ratio</x:v>
      </x:c>
      <x:c r="K4513" s="67" t="str">
        <x:v>https://www.stonealgo.com/diamond-prices/</x:v>
      </x:c>
      <x:c r="L4513" s="67" t="str">
        <x:v>https://www.pricescope.com/blog/natural-diamond-prices-september-2026</x:v>
      </x:c>
    </x:row>
    <x:row r="4514">
      <x:c r="A4514" t="n">
        <x:v>8</x:v>
      </x:c>
      <x:c r="B4514" t="str">
        <x:v>Round</x:v>
      </x:c>
      <x:c r="C4514" t="str">
        <x:v>H</x:v>
      </x:c>
      <x:c r="D4514" t="str">
        <x:v>FL</x:v>
      </x:c>
      <x:c r="E4514" s="36" t="n">
        <x:v>200565</x:v>
      </x:c>
      <x:c r="F4514" s="36" t="n">
        <x:v>4563</x:v>
      </x:c>
      <x:c r="G4514" s="42" t="n">
        <x:v>0.9787644787644788</x:v>
      </x:c>
      <x:c r="H4514" s="36" t="n">
        <x:f>E4514*G4514</x:f>
        <x:v>196305.8976833977</x:v>
      </x:c>
      <x:c r="I4514" s="36" t="n">
        <x:f>IFERROR(H4514/A4514,0)</x:f>
        <x:v>24538.23721042471</x:v>
      </x:c>
      <x:c r="J4514" s="67" t="str">
        <x:v>Modeled from live base + Sep-2026 quality ratio</x:v>
      </x:c>
      <x:c r="K4514" s="67" t="str">
        <x:v>https://www.stonealgo.com/diamond-prices/</x:v>
      </x:c>
      <x:c r="L4514" s="67" t="str">
        <x:v>https://www.pricescope.com/blog/natural-diamond-prices-september-2026</x:v>
      </x:c>
    </x:row>
    <x:row r="4515">
      <x:c r="A4515" t="n">
        <x:v>8</x:v>
      </x:c>
      <x:c r="B4515" t="str">
        <x:v>Round</x:v>
      </x:c>
      <x:c r="C4515" t="str">
        <x:v>H</x:v>
      </x:c>
      <x:c r="D4515" t="str">
        <x:v>IF</x:v>
      </x:c>
      <x:c r="E4515" s="36" t="n">
        <x:v>200565</x:v>
      </x:c>
      <x:c r="F4515" s="36" t="n">
        <x:v>4809</x:v>
      </x:c>
      <x:c r="G4515" s="42" t="n">
        <x:v>1.0315315315315314</x:v>
      </x:c>
      <x:c r="H4515" s="36" t="n">
        <x:f>E4515*G4515</x:f>
        <x:v>206889.1216216216</x:v>
      </x:c>
      <x:c r="I4515" s="36" t="n">
        <x:f>IFERROR(H4515/A4515,0)</x:f>
        <x:v>25861.1402027027</x:v>
      </x:c>
      <x:c r="J4515" s="67" t="str">
        <x:v>Modeled from live base + Sep-2026 quality ratio</x:v>
      </x:c>
      <x:c r="K4515" s="67" t="str">
        <x:v>https://www.stonealgo.com/diamond-prices/</x:v>
      </x:c>
      <x:c r="L4515" s="67" t="str">
        <x:v>https://www.pricescope.com/blog/natural-diamond-prices-september-2026</x:v>
      </x:c>
    </x:row>
    <x:row r="4516">
      <x:c r="A4516" t="n">
        <x:v>8</x:v>
      </x:c>
      <x:c r="B4516" t="str">
        <x:v>Round</x:v>
      </x:c>
      <x:c r="C4516" t="str">
        <x:v>H</x:v>
      </x:c>
      <x:c r="D4516" t="str">
        <x:v>VVS1</x:v>
      </x:c>
      <x:c r="E4516" s="36" t="n">
        <x:v>200565</x:v>
      </x:c>
      <x:c r="F4516" s="36" t="n">
        <x:v>4911</x:v>
      </x:c>
      <x:c r="G4516" s="42" t="n">
        <x:v>1.0534105534105533</x:v>
      </x:c>
      <x:c r="H4516" s="36" t="n">
        <x:f>E4516*G4516</x:f>
        <x:v>211277.28764478763</x:v>
      </x:c>
      <x:c r="I4516" s="36" t="n">
        <x:f>IFERROR(H4516/A4516,0)</x:f>
        <x:v>26409.660955598454</x:v>
      </x:c>
      <x:c r="J4516" s="67" t="str">
        <x:v>Modeled from live base + Sep-2026 quality ratio</x:v>
      </x:c>
      <x:c r="K4516" s="67" t="str">
        <x:v>https://www.stonealgo.com/diamond-prices/</x:v>
      </x:c>
      <x:c r="L4516" s="67" t="str">
        <x:v>https://www.pricescope.com/blog/natural-diamond-prices-september-2026</x:v>
      </x:c>
    </x:row>
    <x:row r="4517">
      <x:c r="A4517" t="n">
        <x:v>8</x:v>
      </x:c>
      <x:c r="B4517" t="str">
        <x:v>Round</x:v>
      </x:c>
      <x:c r="C4517" t="str">
        <x:v>H</x:v>
      </x:c>
      <x:c r="D4517" t="str">
        <x:v>VVS2</x:v>
      </x:c>
      <x:c r="E4517" s="36" t="n">
        <x:v>200565</x:v>
      </x:c>
      <x:c r="F4517" s="36" t="n">
        <x:v>4046</x:v>
      </x:c>
      <x:c r="G4517" s="42" t="n">
        <x:v>0.8678678678678678</x:v>
      </x:c>
      <x:c r="H4517" s="36" t="n">
        <x:f>E4517*G4517</x:f>
        <x:v>174063.9189189189</x:v>
      </x:c>
      <x:c r="I4517" s="36" t="n">
        <x:f>IFERROR(H4517/A4517,0)</x:f>
        <x:v>21757.989864864863</x:v>
      </x:c>
      <x:c r="J4517" s="67" t="str">
        <x:v>Modeled from live base + Sep-2026 quality ratio</x:v>
      </x:c>
      <x:c r="K4517" s="67" t="str">
        <x:v>https://www.stonealgo.com/diamond-prices/</x:v>
      </x:c>
      <x:c r="L4517" s="67" t="str">
        <x:v>https://www.pricescope.com/blog/natural-diamond-prices-september-2026</x:v>
      </x:c>
    </x:row>
    <x:row r="4518">
      <x:c r="A4518" t="n">
        <x:v>8</x:v>
      </x:c>
      <x:c r="B4518" t="str">
        <x:v>Round</x:v>
      </x:c>
      <x:c r="C4518" t="str">
        <x:v>H</x:v>
      </x:c>
      <x:c r="D4518" t="str">
        <x:v>VS1</x:v>
      </x:c>
      <x:c r="E4518" s="36" t="n">
        <x:v>200565</x:v>
      </x:c>
      <x:c r="F4518" s="36" t="n">
        <x:v>3893</x:v>
      </x:c>
      <x:c r="G4518" s="42" t="n">
        <x:v>0.8350493350493351</x:v>
      </x:c>
      <x:c r="H4518" s="36" t="n">
        <x:f>E4518*G4518</x:f>
        <x:v>167481.66988416988</x:v>
      </x:c>
      <x:c r="I4518" s="36" t="n">
        <x:f>IFERROR(H4518/A4518,0)</x:f>
        <x:v>20935.208735521235</x:v>
      </x:c>
      <x:c r="J4518" s="67" t="str">
        <x:v>Modeled from live base + Sep-2026 quality ratio</x:v>
      </x:c>
      <x:c r="K4518" s="67" t="str">
        <x:v>https://www.stonealgo.com/diamond-prices/</x:v>
      </x:c>
      <x:c r="L4518" s="67" t="str">
        <x:v>https://www.pricescope.com/blog/natural-diamond-prices-september-2026</x:v>
      </x:c>
    </x:row>
    <x:row r="4519">
      <x:c r="A4519" t="n">
        <x:v>8</x:v>
      </x:c>
      <x:c r="B4519" t="str">
        <x:v>Round</x:v>
      </x:c>
      <x:c r="C4519" t="str">
        <x:v>H</x:v>
      </x:c>
      <x:c r="D4519" t="str">
        <x:v>VS2</x:v>
      </x:c>
      <x:c r="E4519" s="36" t="n">
        <x:v>200565</x:v>
      </x:c>
      <x:c r="F4519" s="36" t="n">
        <x:v>3989</x:v>
      </x:c>
      <x:c r="G4519" s="42" t="n">
        <x:v>0.8556413556413557</x:v>
      </x:c>
      <x:c r="H4519" s="36" t="n">
        <x:f>E4519*G4519</x:f>
        <x:v>171611.7084942085</x:v>
      </x:c>
      <x:c r="I4519" s="36" t="n">
        <x:f>IFERROR(H4519/A4519,0)</x:f>
        <x:v>21451.46356177606</x:v>
      </x:c>
      <x:c r="J4519" s="67" t="str">
        <x:v>Modeled from live base + Sep-2026 quality ratio</x:v>
      </x:c>
      <x:c r="K4519" s="67" t="str">
        <x:v>https://www.stonealgo.com/diamond-prices/</x:v>
      </x:c>
      <x:c r="L4519" s="67" t="str">
        <x:v>https://www.pricescope.com/blog/natural-diamond-prices-september-2026</x:v>
      </x:c>
    </x:row>
    <x:row r="4520">
      <x:c r="A4520" t="n">
        <x:v>8</x:v>
      </x:c>
      <x:c r="B4520" t="str">
        <x:v>Round</x:v>
      </x:c>
      <x:c r="C4520" t="str">
        <x:v>H</x:v>
      </x:c>
      <x:c r="D4520" t="str">
        <x:v>SI1</x:v>
      </x:c>
      <x:c r="E4520" s="36" t="n">
        <x:v>200565</x:v>
      </x:c>
      <x:c r="F4520" s="36" t="n">
        <x:v>2828</x:v>
      </x:c>
      <x:c r="G4520" s="42" t="n">
        <x:v>0.6066066066066066</x:v>
      </x:c>
      <x:c r="H4520" s="36" t="n">
        <x:f>E4520*G4520</x:f>
        <x:v>121664.05405405405</x:v>
      </x:c>
      <x:c r="I4520" s="36" t="n">
        <x:f>IFERROR(H4520/A4520,0)</x:f>
        <x:v>15208.006756756757</x:v>
      </x:c>
      <x:c r="J4520" s="67" t="str">
        <x:v>Modeled from live base + Sep-2026 quality ratio</x:v>
      </x:c>
      <x:c r="K4520" s="67" t="str">
        <x:v>https://www.stonealgo.com/diamond-prices/</x:v>
      </x:c>
      <x:c r="L4520" s="67" t="str">
        <x:v>https://www.pricescope.com/blog/natural-diamond-prices-september-2026</x:v>
      </x:c>
    </x:row>
    <x:row r="4521">
      <x:c r="A4521" t="n">
        <x:v>8</x:v>
      </x:c>
      <x:c r="B4521" t="str">
        <x:v>Round</x:v>
      </x:c>
      <x:c r="C4521" t="str">
        <x:v>H</x:v>
      </x:c>
      <x:c r="D4521" t="str">
        <x:v>SI2</x:v>
      </x:c>
      <x:c r="E4521" s="36" t="n">
        <x:v>200565</x:v>
      </x:c>
      <x:c r="F4521" s="36" t="n">
        <x:v>2328</x:v>
      </x:c>
      <x:c r="G4521" s="42" t="n">
        <x:v>0.49935649935649934</x:v>
      </x:c>
      <x:c r="H4521" s="36" t="n">
        <x:f>E4521*G4521</x:f>
        <x:v>100153.43629343629</x:v>
      </x:c>
      <x:c r="I4521" s="36" t="n">
        <x:f>IFERROR(H4521/A4521,0)</x:f>
        <x:v>12519.179536679536</x:v>
      </x:c>
      <x:c r="J4521" s="67" t="str">
        <x:v>Modeled from live base + Sep-2026 quality ratio</x:v>
      </x:c>
      <x:c r="K4521" s="67" t="str">
        <x:v>https://www.stonealgo.com/diamond-prices/</x:v>
      </x:c>
      <x:c r="L4521" s="67" t="str">
        <x:v>https://www.pricescope.com/blog/natural-diamond-prices-september-2026</x:v>
      </x:c>
    </x:row>
    <x:row r="4522">
      <x:c r="A4522" t="n">
        <x:v>8</x:v>
      </x:c>
      <x:c r="B4522" t="str">
        <x:v>Round</x:v>
      </x:c>
      <x:c r="C4522" t="str">
        <x:v>I</x:v>
      </x:c>
      <x:c r="D4522" t="str">
        <x:v>FL</x:v>
      </x:c>
      <x:c r="E4522" s="36" t="n">
        <x:v>200565</x:v>
      </x:c>
      <x:c r="F4522" s="36" t="n">
        <x:v>4623</x:v>
      </x:c>
      <x:c r="G4522" s="42" t="n">
        <x:v>0.9916344916344917</x:v>
      </x:c>
      <x:c r="H4522" s="36" t="n">
        <x:f>E4522*G4522</x:f>
        <x:v>198887.17181467183</x:v>
      </x:c>
      <x:c r="I4522" s="36" t="n">
        <x:f>IFERROR(H4522/A4522,0)</x:f>
        <x:v>24860.89647683398</x:v>
      </x:c>
      <x:c r="J4522" s="67" t="str">
        <x:v>Modeled from live base + Sep-2026 quality ratio</x:v>
      </x:c>
      <x:c r="K4522" s="67" t="str">
        <x:v>https://www.stonealgo.com/diamond-prices/</x:v>
      </x:c>
      <x:c r="L4522" s="67" t="str">
        <x:v>https://www.pricescope.com/blog/natural-diamond-prices-september-2026</x:v>
      </x:c>
    </x:row>
    <x:row r="4523">
      <x:c r="A4523" t="n">
        <x:v>8</x:v>
      </x:c>
      <x:c r="B4523" t="str">
        <x:v>Round</x:v>
      </x:c>
      <x:c r="C4523" t="str">
        <x:v>I</x:v>
      </x:c>
      <x:c r="D4523" t="str">
        <x:v>IF</x:v>
      </x:c>
      <x:c r="E4523" s="36" t="n">
        <x:v>200565</x:v>
      </x:c>
      <x:c r="F4523" s="36" t="n">
        <x:v>4005</x:v>
      </x:c>
      <x:c r="G4523" s="42" t="n">
        <x:v>0.859073359073359</x:v>
      </x:c>
      <x:c r="H4523" s="36" t="n">
        <x:f>E4523*G4523</x:f>
        <x:v>172300.04826254825</x:v>
      </x:c>
      <x:c r="I4523" s="36" t="n">
        <x:f>IFERROR(H4523/A4523,0)</x:f>
        <x:v>21537.506032818532</x:v>
      </x:c>
      <x:c r="J4523" s="67" t="str">
        <x:v>Modeled from live base + Sep-2026 quality ratio</x:v>
      </x:c>
      <x:c r="K4523" s="67" t="str">
        <x:v>https://www.stonealgo.com/diamond-prices/</x:v>
      </x:c>
      <x:c r="L4523" s="67" t="str">
        <x:v>https://www.pricescope.com/blog/natural-diamond-prices-september-2026</x:v>
      </x:c>
    </x:row>
    <x:row r="4524">
      <x:c r="A4524" t="n">
        <x:v>8</x:v>
      </x:c>
      <x:c r="B4524" t="str">
        <x:v>Round</x:v>
      </x:c>
      <x:c r="C4524" t="str">
        <x:v>I</x:v>
      </x:c>
      <x:c r="D4524" t="str">
        <x:v>VVS1</x:v>
      </x:c>
      <x:c r="E4524" s="36" t="n">
        <x:v>200565</x:v>
      </x:c>
      <x:c r="F4524" s="36" t="n">
        <x:v>3670</x:v>
      </x:c>
      <x:c r="G4524" s="42" t="n">
        <x:v>0.7872157872157872</x:v>
      </x:c>
      <x:c r="H4524" s="36" t="n">
        <x:f>E4524*G4524</x:f>
        <x:v>157887.93436293438</x:v>
      </x:c>
      <x:c r="I4524" s="36" t="n">
        <x:f>IFERROR(H4524/A4524,0)</x:f>
        <x:v>19735.991795366797</x:v>
      </x:c>
      <x:c r="J4524" s="67" t="str">
        <x:v>Modeled from live base + Sep-2026 quality ratio</x:v>
      </x:c>
      <x:c r="K4524" s="67" t="str">
        <x:v>https://www.stonealgo.com/diamond-prices/</x:v>
      </x:c>
      <x:c r="L4524" s="67" t="str">
        <x:v>https://www.pricescope.com/blog/natural-diamond-prices-september-2026</x:v>
      </x:c>
    </x:row>
    <x:row r="4525">
      <x:c r="A4525" t="n">
        <x:v>8</x:v>
      </x:c>
      <x:c r="B4525" t="str">
        <x:v>Round</x:v>
      </x:c>
      <x:c r="C4525" t="str">
        <x:v>I</x:v>
      </x:c>
      <x:c r="D4525" t="str">
        <x:v>VVS2</x:v>
      </x:c>
      <x:c r="E4525" s="36" t="n">
        <x:v>200565</x:v>
      </x:c>
      <x:c r="F4525" s="36" t="n">
        <x:v>3447</x:v>
      </x:c>
      <x:c r="G4525" s="42" t="n">
        <x:v>0.7393822393822393</x:v>
      </x:c>
      <x:c r="H4525" s="36" t="n">
        <x:f>E4525*G4525</x:f>
        <x:v>148294.19884169885</x:v>
      </x:c>
      <x:c r="I4525" s="36" t="n">
        <x:f>IFERROR(H4525/A4525,0)</x:f>
        <x:v>18536.774855212356</x:v>
      </x:c>
      <x:c r="J4525" s="67" t="str">
        <x:v>Modeled from live base + Sep-2026 quality ratio</x:v>
      </x:c>
      <x:c r="K4525" s="67" t="str">
        <x:v>https://www.stonealgo.com/diamond-prices/</x:v>
      </x:c>
      <x:c r="L4525" s="67" t="str">
        <x:v>https://www.pricescope.com/blog/natural-diamond-prices-september-2026</x:v>
      </x:c>
    </x:row>
    <x:row r="4526">
      <x:c r="A4526" t="n">
        <x:v>8</x:v>
      </x:c>
      <x:c r="B4526" t="str">
        <x:v>Round</x:v>
      </x:c>
      <x:c r="C4526" t="str">
        <x:v>I</x:v>
      </x:c>
      <x:c r="D4526" t="str">
        <x:v>VS1</x:v>
      </x:c>
      <x:c r="E4526" s="36" t="n">
        <x:v>200565</x:v>
      </x:c>
      <x:c r="F4526" s="36" t="n">
        <x:v>3313</x:v>
      </x:c>
      <x:c r="G4526" s="42" t="n">
        <x:v>0.7106392106392107</x:v>
      </x:c>
      <x:c r="H4526" s="36" t="n">
        <x:f>E4526*G4526</x:f>
        <x:v>142529.35328185328</x:v>
      </x:c>
      <x:c r="I4526" s="36" t="n">
        <x:f>IFERROR(H4526/A4526,0)</x:f>
        <x:v>17816.16916023166</x:v>
      </x:c>
      <x:c r="J4526" s="67" t="str">
        <x:v>Modeled from live base + Sep-2026 quality ratio</x:v>
      </x:c>
      <x:c r="K4526" s="67" t="str">
        <x:v>https://www.stonealgo.com/diamond-prices/</x:v>
      </x:c>
      <x:c r="L4526" s="67" t="str">
        <x:v>https://www.pricescope.com/blog/natural-diamond-prices-september-2026</x:v>
      </x:c>
    </x:row>
    <x:row r="4527">
      <x:c r="A4527" t="n">
        <x:v>8</x:v>
      </x:c>
      <x:c r="B4527" t="str">
        <x:v>Round</x:v>
      </x:c>
      <x:c r="C4527" t="str">
        <x:v>I</x:v>
      </x:c>
      <x:c r="D4527" t="str">
        <x:v>VS2</x:v>
      </x:c>
      <x:c r="E4527" s="36" t="n">
        <x:v>200565</x:v>
      </x:c>
      <x:c r="F4527" s="36" t="n">
        <x:v>3240</x:v>
      </x:c>
      <x:c r="G4527" s="42" t="n">
        <x:v>0.694980694980695</x:v>
      </x:c>
      <x:c r="H4527" s="36" t="n">
        <x:f>E4527*G4527</x:f>
        <x:v>139388.8030888031</x:v>
      </x:c>
      <x:c r="I4527" s="36" t="n">
        <x:f>IFERROR(H4527/A4527,0)</x:f>
        <x:v>17423.60038610039</x:v>
      </x:c>
      <x:c r="J4527" s="67" t="str">
        <x:v>Modeled from live base + Sep-2026 quality ratio</x:v>
      </x:c>
      <x:c r="K4527" s="67" t="str">
        <x:v>https://www.stonealgo.com/diamond-prices/</x:v>
      </x:c>
      <x:c r="L4527" s="67" t="str">
        <x:v>https://www.pricescope.com/blog/natural-diamond-prices-september-2026</x:v>
      </x:c>
    </x:row>
    <x:row r="4528">
      <x:c r="A4528" t="n">
        <x:v>8</x:v>
      </x:c>
      <x:c r="B4528" t="str">
        <x:v>Round</x:v>
      </x:c>
      <x:c r="C4528" t="str">
        <x:v>I</x:v>
      </x:c>
      <x:c r="D4528" t="str">
        <x:v>SI1</x:v>
      </x:c>
      <x:c r="E4528" s="36" t="n">
        <x:v>200565</x:v>
      </x:c>
      <x:c r="F4528" s="36" t="n">
        <x:v>3199</x:v>
      </x:c>
      <x:c r="G4528" s="42" t="n">
        <x:v>0.6861861861861862</x:v>
      </x:c>
      <x:c r="H4528" s="36" t="n">
        <x:f>E4528*G4528</x:f>
        <x:v>137624.93243243243</x:v>
      </x:c>
      <x:c r="I4528" s="36" t="n">
        <x:f>IFERROR(H4528/A4528,0)</x:f>
        <x:v>17203.116554054053</x:v>
      </x:c>
      <x:c r="J4528" s="67" t="str">
        <x:v>Modeled from live base + Sep-2026 quality ratio</x:v>
      </x:c>
      <x:c r="K4528" s="67" t="str">
        <x:v>https://www.stonealgo.com/diamond-prices/</x:v>
      </x:c>
      <x:c r="L4528" s="67" t="str">
        <x:v>https://www.pricescope.com/blog/natural-diamond-prices-september-2026</x:v>
      </x:c>
    </x:row>
    <x:row r="4529">
      <x:c r="A4529" t="n">
        <x:v>8</x:v>
      </x:c>
      <x:c r="B4529" t="str">
        <x:v>Round</x:v>
      </x:c>
      <x:c r="C4529" t="str">
        <x:v>I</x:v>
      </x:c>
      <x:c r="D4529" t="str">
        <x:v>SI2</x:v>
      </x:c>
      <x:c r="E4529" s="36" t="n">
        <x:v>200565</x:v>
      </x:c>
      <x:c r="F4529" s="36" t="n">
        <x:v>2874</x:v>
      </x:c>
      <x:c r="G4529" s="42" t="n">
        <x:v>0.6164736164736164</x:v>
      </x:c>
      <x:c r="H4529" s="36" t="n">
        <x:f>E4529*G4529</x:f>
        <x:v>123643.03088803087</x:v>
      </x:c>
      <x:c r="I4529" s="36" t="n">
        <x:f>IFERROR(H4529/A4529,0)</x:f>
        <x:v>15455.37886100386</x:v>
      </x:c>
      <x:c r="J4529" s="67" t="str">
        <x:v>Modeled from live base + Sep-2026 quality ratio</x:v>
      </x:c>
      <x:c r="K4529" s="67" t="str">
        <x:v>https://www.stonealgo.com/diamond-prices/</x:v>
      </x:c>
      <x:c r="L4529" s="67" t="str">
        <x:v>https://www.pricescope.com/blog/natural-diamond-prices-september-2026</x:v>
      </x:c>
    </x:row>
    <x:row r="4530">
      <x:c r="A4530" t="n">
        <x:v>8</x:v>
      </x:c>
      <x:c r="B4530" t="str">
        <x:v>Round</x:v>
      </x:c>
      <x:c r="C4530" t="str">
        <x:v>J</x:v>
      </x:c>
      <x:c r="D4530" t="str">
        <x:v>FL</x:v>
      </x:c>
      <x:c r="E4530" s="36" t="n">
        <x:v>200565</x:v>
      </x:c>
      <x:c r="F4530" s="36" t="n">
        <x:v>3646</x:v>
      </x:c>
      <x:c r="G4530" s="42" t="n">
        <x:v>0.782067782067782</x:v>
      </x:c>
      <x:c r="H4530" s="36" t="n">
        <x:f>E4530*G4530</x:f>
        <x:v>156855.4247104247</x:v>
      </x:c>
      <x:c r="I4530" s="36" t="n">
        <x:f>IFERROR(H4530/A4530,0)</x:f>
        <x:v>19606.928088803088</x:v>
      </x:c>
      <x:c r="J4530" s="67" t="str">
        <x:v>Modeled from live base + Sep-2026 quality ratio</x:v>
      </x:c>
      <x:c r="K4530" s="67" t="str">
        <x:v>https://www.stonealgo.com/diamond-prices/</x:v>
      </x:c>
      <x:c r="L4530" s="67" t="str">
        <x:v>https://www.pricescope.com/blog/natural-diamond-prices-september-2026</x:v>
      </x:c>
    </x:row>
    <x:row r="4531">
      <x:c r="A4531" t="n">
        <x:v>8</x:v>
      </x:c>
      <x:c r="B4531" t="str">
        <x:v>Round</x:v>
      </x:c>
      <x:c r="C4531" t="str">
        <x:v>J</x:v>
      </x:c>
      <x:c r="D4531" t="str">
        <x:v>IF</x:v>
      </x:c>
      <x:c r="E4531" s="36" t="n">
        <x:v>200565</x:v>
      </x:c>
      <x:c r="F4531" s="36" t="n">
        <x:v>3368</x:v>
      </x:c>
      <x:c r="G4531" s="42" t="n">
        <x:v>0.7224367224367224</x:v>
      </x:c>
      <x:c r="H4531" s="36" t="n">
        <x:f>E4531*G4531</x:f>
        <x:v>144895.52123552124</x:v>
      </x:c>
      <x:c r="I4531" s="36" t="n">
        <x:f>IFERROR(H4531/A4531,0)</x:f>
        <x:v>18111.940154440155</x:v>
      </x:c>
      <x:c r="J4531" s="67" t="str">
        <x:v>Modeled from live base + Sep-2026 quality ratio</x:v>
      </x:c>
      <x:c r="K4531" s="67" t="str">
        <x:v>https://www.stonealgo.com/diamond-prices/</x:v>
      </x:c>
      <x:c r="L4531" s="67" t="str">
        <x:v>https://www.pricescope.com/blog/natural-diamond-prices-september-2026</x:v>
      </x:c>
    </x:row>
    <x:row r="4532">
      <x:c r="A4532" t="n">
        <x:v>8</x:v>
      </x:c>
      <x:c r="B4532" t="str">
        <x:v>Round</x:v>
      </x:c>
      <x:c r="C4532" t="str">
        <x:v>J</x:v>
      </x:c>
      <x:c r="D4532" t="str">
        <x:v>VVS1</x:v>
      </x:c>
      <x:c r="E4532" s="36" t="n">
        <x:v>200565</x:v>
      </x:c>
      <x:c r="F4532" s="36" t="n">
        <x:v>2956</x:v>
      </x:c>
      <x:c r="G4532" s="42" t="n">
        <x:v>0.6340626340626341</x:v>
      </x:c>
      <x:c r="H4532" s="36" t="n">
        <x:f>E4532*G4532</x:f>
        <x:v>127170.7722007722</x:v>
      </x:c>
      <x:c r="I4532" s="36" t="n">
        <x:f>IFERROR(H4532/A4532,0)</x:f>
        <x:v>15896.346525096526</x:v>
      </x:c>
      <x:c r="J4532" s="67" t="str">
        <x:v>Modeled from live base + Sep-2026 quality ratio</x:v>
      </x:c>
      <x:c r="K4532" s="67" t="str">
        <x:v>https://www.stonealgo.com/diamond-prices/</x:v>
      </x:c>
      <x:c r="L4532" s="67" t="str">
        <x:v>https://www.pricescope.com/blog/natural-diamond-prices-september-2026</x:v>
      </x:c>
    </x:row>
    <x:row r="4533">
      <x:c r="A4533" t="n">
        <x:v>8</x:v>
      </x:c>
      <x:c r="B4533" t="str">
        <x:v>Round</x:v>
      </x:c>
      <x:c r="C4533" t="str">
        <x:v>J</x:v>
      </x:c>
      <x:c r="D4533" t="str">
        <x:v>VVS2</x:v>
      </x:c>
      <x:c r="E4533" s="36" t="n">
        <x:v>200565</x:v>
      </x:c>
      <x:c r="F4533" s="36" t="n">
        <x:v>2612</x:v>
      </x:c>
      <x:c r="G4533" s="42" t="n">
        <x:v>0.5602745602745602</x:v>
      </x:c>
      <x:c r="H4533" s="36" t="n">
        <x:f>E4533*G4533</x:f>
        <x:v>112371.46718146717</x:v>
      </x:c>
      <x:c r="I4533" s="36" t="n">
        <x:f>IFERROR(H4533/A4533,0)</x:f>
        <x:v>14046.433397683397</x:v>
      </x:c>
      <x:c r="J4533" s="67" t="str">
        <x:v>Modeled from live base + Sep-2026 quality ratio</x:v>
      </x:c>
      <x:c r="K4533" s="67" t="str">
        <x:v>https://www.stonealgo.com/diamond-prices/</x:v>
      </x:c>
      <x:c r="L4533" s="67" t="str">
        <x:v>https://www.pricescope.com/blog/natural-diamond-prices-september-2026</x:v>
      </x:c>
    </x:row>
    <x:row r="4534">
      <x:c r="A4534" t="n">
        <x:v>8</x:v>
      </x:c>
      <x:c r="B4534" t="str">
        <x:v>Round</x:v>
      </x:c>
      <x:c r="C4534" t="str">
        <x:v>J</x:v>
      </x:c>
      <x:c r="D4534" t="str">
        <x:v>VS1</x:v>
      </x:c>
      <x:c r="E4534" s="36" t="n">
        <x:v>200565</x:v>
      </x:c>
      <x:c r="F4534" s="36" t="n">
        <x:v>3002</x:v>
      </x:c>
      <x:c r="G4534" s="42" t="n">
        <x:v>0.6439296439296439</x:v>
      </x:c>
      <x:c r="H4534" s="36" t="n">
        <x:f>E4534*G4534</x:f>
        <x:v>129149.74903474904</x:v>
      </x:c>
      <x:c r="I4534" s="36" t="n">
        <x:f>IFERROR(H4534/A4534,0)</x:f>
        <x:v>16143.71862934363</x:v>
      </x:c>
      <x:c r="J4534" s="67" t="str">
        <x:v>Modeled from live base + Sep-2026 quality ratio</x:v>
      </x:c>
      <x:c r="K4534" s="67" t="str">
        <x:v>https://www.stonealgo.com/diamond-prices/</x:v>
      </x:c>
      <x:c r="L4534" s="67" t="str">
        <x:v>https://www.pricescope.com/blog/natural-diamond-prices-september-2026</x:v>
      </x:c>
    </x:row>
    <x:row r="4535">
      <x:c r="A4535" t="n">
        <x:v>8</x:v>
      </x:c>
      <x:c r="B4535" t="str">
        <x:v>Round</x:v>
      </x:c>
      <x:c r="C4535" t="str">
        <x:v>J</x:v>
      </x:c>
      <x:c r="D4535" t="str">
        <x:v>VS2</x:v>
      </x:c>
      <x:c r="E4535" s="36" t="n">
        <x:v>200565</x:v>
      </x:c>
      <x:c r="F4535" s="36" t="n">
        <x:v>2559</x:v>
      </x:c>
      <x:c r="G4535" s="42" t="n">
        <x:v>0.5489060489060489</x:v>
      </x:c>
      <x:c r="H4535" s="36" t="n">
        <x:f>E4535*G4535</x:f>
        <x:v>110091.3416988417</x:v>
      </x:c>
      <x:c r="I4535" s="36" t="n">
        <x:f>IFERROR(H4535/A4535,0)</x:f>
        <x:v>13761.417712355213</x:v>
      </x:c>
      <x:c r="J4535" s="67" t="str">
        <x:v>Modeled from live base + Sep-2026 quality ratio</x:v>
      </x:c>
      <x:c r="K4535" s="67" t="str">
        <x:v>https://www.stonealgo.com/diamond-prices/</x:v>
      </x:c>
      <x:c r="L4535" s="67" t="str">
        <x:v>https://www.pricescope.com/blog/natural-diamond-prices-september-2026</x:v>
      </x:c>
    </x:row>
    <x:row r="4536">
      <x:c r="A4536" t="n">
        <x:v>8</x:v>
      </x:c>
      <x:c r="B4536" t="str">
        <x:v>Round</x:v>
      </x:c>
      <x:c r="C4536" t="str">
        <x:v>J</x:v>
      </x:c>
      <x:c r="D4536" t="str">
        <x:v>SI1</x:v>
      </x:c>
      <x:c r="E4536" s="36" t="n">
        <x:v>200565</x:v>
      </x:c>
      <x:c r="F4536" s="36" t="n">
        <x:v>2195</x:v>
      </x:c>
      <x:c r="G4536" s="42" t="n">
        <x:v>0.47082797082797084</x:v>
      </x:c>
      <x:c r="H4536" s="36" t="n">
        <x:f>E4536*G4536</x:f>
        <x:v>94431.61196911197</x:v>
      </x:c>
      <x:c r="I4536" s="36" t="n">
        <x:f>IFERROR(H4536/A4536,0)</x:f>
        <x:v>11803.951496138996</x:v>
      </x:c>
      <x:c r="J4536" s="67" t="str">
        <x:v>Modeled from live base + Sep-2026 quality ratio</x:v>
      </x:c>
      <x:c r="K4536" s="67" t="str">
        <x:v>https://www.stonealgo.com/diamond-prices/</x:v>
      </x:c>
      <x:c r="L4536" s="67" t="str">
        <x:v>https://www.pricescope.com/blog/natural-diamond-prices-september-2026</x:v>
      </x:c>
    </x:row>
    <x:row r="4537">
      <x:c r="A4537" t="n">
        <x:v>8</x:v>
      </x:c>
      <x:c r="B4537" t="str">
        <x:v>Round</x:v>
      </x:c>
      <x:c r="C4537" t="str">
        <x:v>J</x:v>
      </x:c>
      <x:c r="D4537" t="str">
        <x:v>SI2</x:v>
      </x:c>
      <x:c r="E4537" s="36" t="n">
        <x:v>200565</x:v>
      </x:c>
      <x:c r="F4537" s="36" t="n">
        <x:v>2079</x:v>
      </x:c>
      <x:c r="G4537" s="42" t="n">
        <x:v>0.44594594594594594</x:v>
      </x:c>
      <x:c r="H4537" s="36" t="n">
        <x:f>E4537*G4537</x:f>
        <x:v>89441.14864864865</x:v>
      </x:c>
      <x:c r="I4537" s="36" t="n">
        <x:f>IFERROR(H4537/A4537,0)</x:f>
        <x:v>11180.143581081082</x:v>
      </x:c>
      <x:c r="J4537" s="67" t="str">
        <x:v>Modeled from live base + Sep-2026 quality ratio</x:v>
      </x:c>
      <x:c r="K4537" s="67" t="str">
        <x:v>https://www.stonealgo.com/diamond-prices/</x:v>
      </x:c>
      <x:c r="L4537" s="67" t="str">
        <x:v>https://www.pricescope.com/blog/natural-diamond-prices-september-2026</x:v>
      </x:c>
    </x:row>
    <x:row r="4538">
      <x:c r="A4538" t="n">
        <x:v>8</x:v>
      </x:c>
      <x:c r="B4538" t="str">
        <x:v>Round</x:v>
      </x:c>
      <x:c r="C4538" t="str">
        <x:v>K</x:v>
      </x:c>
      <x:c r="D4538" t="str">
        <x:v>FL</x:v>
      </x:c>
      <x:c r="E4538" s="36" t="n">
        <x:v>200565</x:v>
      </x:c>
      <x:c r="F4538" s="36" t="n">
        <x:v>2858</x:v>
      </x:c>
      <x:c r="G4538" s="42" t="n">
        <x:v>0.6130416130416131</x:v>
      </x:c>
      <x:c r="H4538" s="36" t="n">
        <x:f>E4538*G4538</x:f>
        <x:v>122954.69111969112</x:v>
      </x:c>
      <x:c r="I4538" s="36" t="n">
        <x:f>IFERROR(H4538/A4538,0)</x:f>
        <x:v>15369.33638996139</x:v>
      </x:c>
      <x:c r="J4538" s="67" t="str">
        <x:v>Modeled from live base + Sep-2026 quality ratio; K/FL quality cell modeled</x:v>
      </x:c>
      <x:c r="K4538" s="67" t="str">
        <x:v>https://www.stonealgo.com/diamond-prices/</x:v>
      </x:c>
      <x:c r="L4538" s="67" t="str">
        <x:v>https://www.pricescope.com/blog/natural-diamond-prices-september-2026</x:v>
      </x:c>
    </x:row>
    <x:row r="4539">
      <x:c r="A4539" t="n">
        <x:v>8</x:v>
      </x:c>
      <x:c r="B4539" t="str">
        <x:v>Round</x:v>
      </x:c>
      <x:c r="C4539" t="str">
        <x:v>K</x:v>
      </x:c>
      <x:c r="D4539" t="str">
        <x:v>IF</x:v>
      </x:c>
      <x:c r="E4539" s="36" t="n">
        <x:v>200565</x:v>
      </x:c>
      <x:c r="F4539" s="36" t="n">
        <x:v>2743</x:v>
      </x:c>
      <x:c r="G4539" s="42" t="n">
        <x:v>0.5883740883740883</x:v>
      </x:c>
      <x:c r="H4539" s="36" t="n">
        <x:f>E4539*G4539</x:f>
        <x:v>118007.24903474902</x:v>
      </x:c>
      <x:c r="I4539" s="36" t="n">
        <x:f>IFERROR(H4539/A4539,0)</x:f>
        <x:v>14750.906129343628</x:v>
      </x:c>
      <x:c r="J4539" s="67" t="str">
        <x:v>Modeled from live base + Sep-2026 quality ratio</x:v>
      </x:c>
      <x:c r="K4539" s="67" t="str">
        <x:v>https://www.stonealgo.com/diamond-prices/</x:v>
      </x:c>
      <x:c r="L4539" s="67" t="str">
        <x:v>https://www.pricescope.com/blog/natural-diamond-prices-september-2026</x:v>
      </x:c>
    </x:row>
    <x:row r="4540">
      <x:c r="A4540" t="n">
        <x:v>8</x:v>
      </x:c>
      <x:c r="B4540" t="str">
        <x:v>Round</x:v>
      </x:c>
      <x:c r="C4540" t="str">
        <x:v>K</x:v>
      </x:c>
      <x:c r="D4540" t="str">
        <x:v>VVS1</x:v>
      </x:c>
      <x:c r="E4540" s="36" t="n">
        <x:v>200565</x:v>
      </x:c>
      <x:c r="F4540" s="36" t="n">
        <x:v>2529</x:v>
      </x:c>
      <x:c r="G4540" s="42" t="n">
        <x:v>0.5424710424710425</x:v>
      </x:c>
      <x:c r="H4540" s="36" t="n">
        <x:f>E4540*G4540</x:f>
        <x:v>108800.70463320464</x:v>
      </x:c>
      <x:c r="I4540" s="36" t="n">
        <x:f>IFERROR(H4540/A4540,0)</x:f>
        <x:v>13600.08807915058</x:v>
      </x:c>
      <x:c r="J4540" s="67" t="str">
        <x:v>Modeled from live base + Sep-2026 quality ratio</x:v>
      </x:c>
      <x:c r="K4540" s="67" t="str">
        <x:v>https://www.stonealgo.com/diamond-prices/</x:v>
      </x:c>
      <x:c r="L4540" s="67" t="str">
        <x:v>https://www.pricescope.com/blog/natural-diamond-prices-september-2026</x:v>
      </x:c>
    </x:row>
    <x:row r="4541">
      <x:c r="A4541" t="n">
        <x:v>8</x:v>
      </x:c>
      <x:c r="B4541" t="str">
        <x:v>Round</x:v>
      </x:c>
      <x:c r="C4541" t="str">
        <x:v>K</x:v>
      </x:c>
      <x:c r="D4541" t="str">
        <x:v>VVS2</x:v>
      </x:c>
      <x:c r="E4541" s="36" t="n">
        <x:v>200565</x:v>
      </x:c>
      <x:c r="F4541" s="36" t="n">
        <x:v>2374</x:v>
      </x:c>
      <x:c r="G4541" s="42" t="n">
        <x:v>0.5092235092235092</x:v>
      </x:c>
      <x:c r="H4541" s="36" t="n">
        <x:f>E4541*G4541</x:f>
        <x:v>102132.41312741312</x:v>
      </x:c>
      <x:c r="I4541" s="36" t="n">
        <x:f>IFERROR(H4541/A4541,0)</x:f>
        <x:v>12766.55164092664</x:v>
      </x:c>
      <x:c r="J4541" s="67" t="str">
        <x:v>Modeled from live base + Sep-2026 quality ratio</x:v>
      </x:c>
      <x:c r="K4541" s="67" t="str">
        <x:v>https://www.stonealgo.com/diamond-prices/</x:v>
      </x:c>
      <x:c r="L4541" s="67" t="str">
        <x:v>https://www.pricescope.com/blog/natural-diamond-prices-september-2026</x:v>
      </x:c>
    </x:row>
    <x:row r="4542">
      <x:c r="A4542" t="n">
        <x:v>8</x:v>
      </x:c>
      <x:c r="B4542" t="str">
        <x:v>Round</x:v>
      </x:c>
      <x:c r="C4542" t="str">
        <x:v>K</x:v>
      </x:c>
      <x:c r="D4542" t="str">
        <x:v>VS1</x:v>
      </x:c>
      <x:c r="E4542" s="36" t="n">
        <x:v>200565</x:v>
      </x:c>
      <x:c r="F4542" s="36" t="n">
        <x:v>2223</x:v>
      </x:c>
      <x:c r="G4542" s="42" t="n">
        <x:v>0.4768339768339768</x:v>
      </x:c>
      <x:c r="H4542" s="36" t="n">
        <x:f>E4542*G4542</x:f>
        <x:v>95636.20656370657</x:v>
      </x:c>
      <x:c r="I4542" s="36" t="n">
        <x:f>IFERROR(H4542/A4542,0)</x:f>
        <x:v>11954.525820463321</x:v>
      </x:c>
      <x:c r="J4542" s="67" t="str">
        <x:v>Modeled from live base + Sep-2026 quality ratio</x:v>
      </x:c>
      <x:c r="K4542" s="67" t="str">
        <x:v>https://www.stonealgo.com/diamond-prices/</x:v>
      </x:c>
      <x:c r="L4542" s="67" t="str">
        <x:v>https://www.pricescope.com/blog/natural-diamond-prices-september-2026</x:v>
      </x:c>
    </x:row>
    <x:row r="4543">
      <x:c r="A4543" t="n">
        <x:v>8</x:v>
      </x:c>
      <x:c r="B4543" t="str">
        <x:v>Round</x:v>
      </x:c>
      <x:c r="C4543" t="str">
        <x:v>K</x:v>
      </x:c>
      <x:c r="D4543" t="str">
        <x:v>VS2</x:v>
      </x:c>
      <x:c r="E4543" s="36" t="n">
        <x:v>200565</x:v>
      </x:c>
      <x:c r="F4543" s="36" t="n">
        <x:v>2098</x:v>
      </x:c>
      <x:c r="G4543" s="42" t="n">
        <x:v>0.45002145002145</x:v>
      </x:c>
      <x:c r="H4543" s="36" t="n">
        <x:f>E4543*G4543</x:f>
        <x:v>90258.55212355212</x:v>
      </x:c>
      <x:c r="I4543" s="36" t="n">
        <x:f>IFERROR(H4543/A4543,0)</x:f>
        <x:v>11282.319015444014</x:v>
      </x:c>
      <x:c r="J4543" s="67" t="str">
        <x:v>Modeled from live base + Sep-2026 quality ratio</x:v>
      </x:c>
      <x:c r="K4543" s="67" t="str">
        <x:v>https://www.stonealgo.com/diamond-prices/</x:v>
      </x:c>
      <x:c r="L4543" s="67" t="str">
        <x:v>https://www.pricescope.com/blog/natural-diamond-prices-september-2026</x:v>
      </x:c>
    </x:row>
    <x:row r="4544">
      <x:c r="A4544" t="n">
        <x:v>8</x:v>
      </x:c>
      <x:c r="B4544" t="str">
        <x:v>Round</x:v>
      </x:c>
      <x:c r="C4544" t="str">
        <x:v>K</x:v>
      </x:c>
      <x:c r="D4544" t="str">
        <x:v>SI1</x:v>
      </x:c>
      <x:c r="E4544" s="36" t="n">
        <x:v>200565</x:v>
      </x:c>
      <x:c r="F4544" s="36" t="n">
        <x:v>1922</x:v>
      </x:c>
      <x:c r="G4544" s="42" t="n">
        <x:v>0.41226941226941227</x:v>
      </x:c>
      <x:c r="H4544" s="36" t="n">
        <x:f>E4544*G4544</x:f>
        <x:v>82686.81467181467</x:v>
      </x:c>
      <x:c r="I4544" s="36" t="n">
        <x:f>IFERROR(H4544/A4544,0)</x:f>
        <x:v>10335.851833976834</x:v>
      </x:c>
      <x:c r="J4544" s="67" t="str">
        <x:v>Modeled from live base + Sep-2026 quality ratio</x:v>
      </x:c>
      <x:c r="K4544" s="67" t="str">
        <x:v>https://www.stonealgo.com/diamond-prices/</x:v>
      </x:c>
      <x:c r="L4544" s="67" t="str">
        <x:v>https://www.pricescope.com/blog/natural-diamond-prices-september-2026</x:v>
      </x:c>
    </x:row>
    <x:row r="4545">
      <x:c r="A4545" t="n">
        <x:v>8</x:v>
      </x:c>
      <x:c r="B4545" t="str">
        <x:v>Round</x:v>
      </x:c>
      <x:c r="C4545" t="str">
        <x:v>K</x:v>
      </x:c>
      <x:c r="D4545" t="str">
        <x:v>SI2</x:v>
      </x:c>
      <x:c r="E4545" s="36" t="n">
        <x:v>200565</x:v>
      </x:c>
      <x:c r="F4545" s="36" t="n">
        <x:v>1764</x:v>
      </x:c>
      <x:c r="G4545" s="42" t="n">
        <x:v>0.3783783783783784</x:v>
      </x:c>
      <x:c r="H4545" s="36" t="n">
        <x:f>E4545*G4545</x:f>
        <x:v>75889.45945945947</x:v>
      </x:c>
      <x:c r="I4545" s="36" t="n">
        <x:f>IFERROR(H4545/A4545,0)</x:f>
        <x:v>9486.182432432433</x:v>
      </x:c>
      <x:c r="J4545" s="67" t="str">
        <x:v>Modeled from live base + Sep-2026 quality ratio</x:v>
      </x:c>
      <x:c r="K4545" s="67" t="str">
        <x:v>https://www.stonealgo.com/diamond-prices/</x:v>
      </x:c>
      <x:c r="L4545" s="67" t="str">
        <x:v>https://www.pricescope.com/blog/natural-diamond-prices-september-2026</x:v>
      </x:c>
    </x:row>
    <x:row r="4546">
      <x:c r="A4546" t="n">
        <x:v>8</x:v>
      </x:c>
      <x:c r="B4546" t="str">
        <x:v>Oval</x:v>
      </x:c>
      <x:c r="C4546" t="str">
        <x:v>D</x:v>
      </x:c>
      <x:c r="D4546" t="str">
        <x:v>FL</x:v>
      </x:c>
      <x:c r="E4546" s="36" t="n">
        <x:v>305215</x:v>
      </x:c>
      <x:c r="F4546" s="36" t="n">
        <x:v>12665</x:v>
      </x:c>
      <x:c r="G4546" s="42" t="n">
        <x:v>2.7166452166452166</x:v>
      </x:c>
      <x:c r="H4546" s="36" t="n">
        <x:f>E4546*G4546</x:f>
        <x:v>829160.8697983698</x:v>
      </x:c>
      <x:c r="I4546" s="36" t="n">
        <x:f>IFERROR(H4546/A4546,0)</x:f>
        <x:v>103645.10872479623</x:v>
      </x:c>
      <x:c r="J4546" s="67" t="str">
        <x:v>Modeled from live base + Sep-2026 quality ratio</x:v>
      </x:c>
      <x:c r="K4546" s="67" t="str">
        <x:v>https://www.stonealgo.com/diamond-prices/</x:v>
      </x:c>
      <x:c r="L4546" s="67" t="str">
        <x:v>https://www.pricescope.com/blog/natural-diamond-prices-september-2026</x:v>
      </x:c>
    </x:row>
    <x:row r="4547">
      <x:c r="A4547" t="n">
        <x:v>8</x:v>
      </x:c>
      <x:c r="B4547" t="str">
        <x:v>Oval</x:v>
      </x:c>
      <x:c r="C4547" t="str">
        <x:v>D</x:v>
      </x:c>
      <x:c r="D4547" t="str">
        <x:v>IF</x:v>
      </x:c>
      <x:c r="E4547" s="36" t="n">
        <x:v>305215</x:v>
      </x:c>
      <x:c r="F4547" s="36" t="n">
        <x:v>13240</x:v>
      </x:c>
      <x:c r="G4547" s="42" t="n">
        <x:v>2.83998283998284</x:v>
      </x:c>
      <x:c r="H4547" s="36" t="n">
        <x:f>E4547*G4547</x:f>
        <x:v>866805.3625053626</x:v>
      </x:c>
      <x:c r="I4547" s="36" t="n">
        <x:f>IFERROR(H4547/A4547,0)</x:f>
        <x:v>108350.67031317033</x:v>
      </x:c>
      <x:c r="J4547" s="67" t="str">
        <x:v>Modeled from live base + Sep-2026 quality ratio</x:v>
      </x:c>
      <x:c r="K4547" s="67" t="str">
        <x:v>https://www.stonealgo.com/diamond-prices/</x:v>
      </x:c>
      <x:c r="L4547" s="67" t="str">
        <x:v>https://www.pricescope.com/blog/natural-diamond-prices-september-2026</x:v>
      </x:c>
    </x:row>
    <x:row r="4548">
      <x:c r="A4548" t="n">
        <x:v>8</x:v>
      </x:c>
      <x:c r="B4548" t="str">
        <x:v>Oval</x:v>
      </x:c>
      <x:c r="C4548" t="str">
        <x:v>D</x:v>
      </x:c>
      <x:c r="D4548" t="str">
        <x:v>VVS1</x:v>
      </x:c>
      <x:c r="E4548" s="36" t="n">
        <x:v>305215</x:v>
      </x:c>
      <x:c r="F4548" s="36" t="n">
        <x:v>9555</x:v>
      </x:c>
      <x:c r="G4548" s="42" t="n">
        <x:v>2.0495495495495497</x:v>
      </x:c>
      <x:c r="H4548" s="36" t="n">
        <x:f>E4548*G4548</x:f>
        <x:v>625553.2657657658</x:v>
      </x:c>
      <x:c r="I4548" s="36" t="n">
        <x:f>IFERROR(H4548/A4548,0)</x:f>
        <x:v>78194.15822072072</x:v>
      </x:c>
      <x:c r="J4548" s="67" t="str">
        <x:v>Modeled from live base + Sep-2026 quality ratio</x:v>
      </x:c>
      <x:c r="K4548" s="67" t="str">
        <x:v>https://www.stonealgo.com/diamond-prices/</x:v>
      </x:c>
      <x:c r="L4548" s="67" t="str">
        <x:v>https://www.pricescope.com/blog/natural-diamond-prices-september-2026</x:v>
      </x:c>
    </x:row>
    <x:row r="4549">
      <x:c r="A4549" t="n">
        <x:v>8</x:v>
      </x:c>
      <x:c r="B4549" t="str">
        <x:v>Oval</x:v>
      </x:c>
      <x:c r="C4549" t="str">
        <x:v>D</x:v>
      </x:c>
      <x:c r="D4549" t="str">
        <x:v>VVS2</x:v>
      </x:c>
      <x:c r="E4549" s="36" t="n">
        <x:v>305215</x:v>
      </x:c>
      <x:c r="F4549" s="36" t="n">
        <x:v>6660</x:v>
      </x:c>
      <x:c r="G4549" s="42" t="n">
        <x:v>1.4285714285714286</x:v>
      </x:c>
      <x:c r="H4549" s="36" t="n">
        <x:f>E4549*G4549</x:f>
        <x:v>436021.4285714286</x:v>
      </x:c>
      <x:c r="I4549" s="36" t="n">
        <x:f>IFERROR(H4549/A4549,0)</x:f>
        <x:v>54502.67857142857</x:v>
      </x:c>
      <x:c r="J4549" s="67" t="str">
        <x:v>Modeled from live base + Sep-2026 quality ratio</x:v>
      </x:c>
      <x:c r="K4549" s="67" t="str">
        <x:v>https://www.stonealgo.com/diamond-prices/</x:v>
      </x:c>
      <x:c r="L4549" s="67" t="str">
        <x:v>https://www.pricescope.com/blog/natural-diamond-prices-september-2026</x:v>
      </x:c>
    </x:row>
    <x:row r="4550">
      <x:c r="A4550" t="n">
        <x:v>8</x:v>
      </x:c>
      <x:c r="B4550" t="str">
        <x:v>Oval</x:v>
      </x:c>
      <x:c r="C4550" t="str">
        <x:v>D</x:v>
      </x:c>
      <x:c r="D4550" t="str">
        <x:v>VS1</x:v>
      </x:c>
      <x:c r="E4550" s="36" t="n">
        <x:v>305215</x:v>
      </x:c>
      <x:c r="F4550" s="36" t="n">
        <x:v>6247</x:v>
      </x:c>
      <x:c r="G4550" s="42" t="n">
        <x:v>1.33998283998284</x:v>
      </x:c>
      <x:c r="H4550" s="36" t="n">
        <x:f>E4550*G4550</x:f>
        <x:v>408982.8625053625</x:v>
      </x:c>
      <x:c r="I4550" s="36" t="n">
        <x:f>IFERROR(H4550/A4550,0)</x:f>
        <x:v>51122.85781317031</x:v>
      </x:c>
      <x:c r="J4550" s="67" t="str">
        <x:v>Modeled from live base + Sep-2026 quality ratio</x:v>
      </x:c>
      <x:c r="K4550" s="67" t="str">
        <x:v>https://www.stonealgo.com/diamond-prices/</x:v>
      </x:c>
      <x:c r="L4550" s="67" t="str">
        <x:v>https://www.pricescope.com/blog/natural-diamond-prices-september-2026</x:v>
      </x:c>
    </x:row>
    <x:row r="4551">
      <x:c r="A4551" t="n">
        <x:v>8</x:v>
      </x:c>
      <x:c r="B4551" t="str">
        <x:v>Oval</x:v>
      </x:c>
      <x:c r="C4551" t="str">
        <x:v>D</x:v>
      </x:c>
      <x:c r="D4551" t="str">
        <x:v>VS2</x:v>
      </x:c>
      <x:c r="E4551" s="36" t="n">
        <x:v>305215</x:v>
      </x:c>
      <x:c r="F4551" s="36" t="n">
        <x:v>5841</x:v>
      </x:c>
      <x:c r="G4551" s="42" t="n">
        <x:v>1.252895752895753</x:v>
      </x:c>
      <x:c r="H4551" s="36" t="n">
        <x:f>E4551*G4551</x:f>
        <x:v>382402.5772200772</x:v>
      </x:c>
      <x:c r="I4551" s="36" t="n">
        <x:f>IFERROR(H4551/A4551,0)</x:f>
        <x:v>47800.32215250965</x:v>
      </x:c>
      <x:c r="J4551" s="67" t="str">
        <x:v>Modeled from live base + Sep-2026 quality ratio</x:v>
      </x:c>
      <x:c r="K4551" s="67" t="str">
        <x:v>https://www.stonealgo.com/diamond-prices/</x:v>
      </x:c>
      <x:c r="L4551" s="67" t="str">
        <x:v>https://www.pricescope.com/blog/natural-diamond-prices-september-2026</x:v>
      </x:c>
    </x:row>
    <x:row r="4552">
      <x:c r="A4552" t="n">
        <x:v>8</x:v>
      </x:c>
      <x:c r="B4552" t="str">
        <x:v>Oval</x:v>
      </x:c>
      <x:c r="C4552" t="str">
        <x:v>D</x:v>
      </x:c>
      <x:c r="D4552" t="str">
        <x:v>SI1</x:v>
      </x:c>
      <x:c r="E4552" s="36" t="n">
        <x:v>305215</x:v>
      </x:c>
      <x:c r="F4552" s="36" t="n">
        <x:v>3762</x:v>
      </x:c>
      <x:c r="G4552" s="42" t="n">
        <x:v>0.806949806949807</x:v>
      </x:c>
      <x:c r="H4552" s="36" t="n">
        <x:f>E4552*G4552</x:f>
        <x:v>246293.18532818535</x:v>
      </x:c>
      <x:c r="I4552" s="36" t="n">
        <x:f>IFERROR(H4552/A4552,0)</x:f>
        <x:v>30786.64816602317</x:v>
      </x:c>
      <x:c r="J4552" s="67" t="str">
        <x:v>Modeled from live base + Sep-2026 quality ratio</x:v>
      </x:c>
      <x:c r="K4552" s="67" t="str">
        <x:v>https://www.stonealgo.com/diamond-prices/</x:v>
      </x:c>
      <x:c r="L4552" s="67" t="str">
        <x:v>https://www.pricescope.com/blog/natural-diamond-prices-september-2026</x:v>
      </x:c>
    </x:row>
    <x:row r="4553">
      <x:c r="A4553" t="n">
        <x:v>8</x:v>
      </x:c>
      <x:c r="B4553" t="str">
        <x:v>Oval</x:v>
      </x:c>
      <x:c r="C4553" t="str">
        <x:v>D</x:v>
      </x:c>
      <x:c r="D4553" t="str">
        <x:v>SI2</x:v>
      </x:c>
      <x:c r="E4553" s="36" t="n">
        <x:v>305215</x:v>
      </x:c>
      <x:c r="F4553" s="36" t="n">
        <x:v>3026</x:v>
      </x:c>
      <x:c r="G4553" s="42" t="n">
        <x:v>0.6490776490776491</x:v>
      </x:c>
      <x:c r="H4553" s="36" t="n">
        <x:f>E4553*G4553</x:f>
        <x:v>198108.23466323467</x:v>
      </x:c>
      <x:c r="I4553" s="36" t="n">
        <x:f>IFERROR(H4553/A4553,0)</x:f>
        <x:v>24763.529332904334</x:v>
      </x:c>
      <x:c r="J4553" s="67" t="str">
        <x:v>Modeled from live base + Sep-2026 quality ratio</x:v>
      </x:c>
      <x:c r="K4553" s="67" t="str">
        <x:v>https://www.stonealgo.com/diamond-prices/</x:v>
      </x:c>
      <x:c r="L4553" s="67" t="str">
        <x:v>https://www.pricescope.com/blog/natural-diamond-prices-september-2026</x:v>
      </x:c>
    </x:row>
    <x:row r="4554">
      <x:c r="A4554" t="n">
        <x:v>8</x:v>
      </x:c>
      <x:c r="B4554" t="str">
        <x:v>Oval</x:v>
      </x:c>
      <x:c r="C4554" t="str">
        <x:v>E</x:v>
      </x:c>
      <x:c r="D4554" t="str">
        <x:v>FL</x:v>
      </x:c>
      <x:c r="E4554" s="36" t="n">
        <x:v>305215</x:v>
      </x:c>
      <x:c r="F4554" s="36" t="n">
        <x:v>10072</x:v>
      </x:c>
      <x:c r="G4554" s="42" t="n">
        <x:v>2.1604461604461602</x:v>
      </x:c>
      <x:c r="H4554" s="36" t="n">
        <x:f>E4554*G4554</x:f>
        <x:v>659400.5748605748</x:v>
      </x:c>
      <x:c r="I4554" s="36" t="n">
        <x:f>IFERROR(H4554/A4554,0)</x:f>
        <x:v>82425.07185757185</x:v>
      </x:c>
      <x:c r="J4554" s="67" t="str">
        <x:v>Modeled from live base + Sep-2026 quality ratio</x:v>
      </x:c>
      <x:c r="K4554" s="67" t="str">
        <x:v>https://www.stonealgo.com/diamond-prices/</x:v>
      </x:c>
      <x:c r="L4554" s="67" t="str">
        <x:v>https://www.pricescope.com/blog/natural-diamond-prices-september-2026</x:v>
      </x:c>
    </x:row>
    <x:row r="4555">
      <x:c r="A4555" t="n">
        <x:v>8</x:v>
      </x:c>
      <x:c r="B4555" t="str">
        <x:v>Oval</x:v>
      </x:c>
      <x:c r="C4555" t="str">
        <x:v>E</x:v>
      </x:c>
      <x:c r="D4555" t="str">
        <x:v>IF</x:v>
      </x:c>
      <x:c r="E4555" s="36" t="n">
        <x:v>305215</x:v>
      </x:c>
      <x:c r="F4555" s="36" t="n">
        <x:v>8672</x:v>
      </x:c>
      <x:c r="G4555" s="42" t="n">
        <x:v>1.8601458601458603</x:v>
      </x:c>
      <x:c r="H4555" s="36" t="n">
        <x:f>E4555*G4555</x:f>
        <x:v>567744.4187044187</x:v>
      </x:c>
      <x:c r="I4555" s="36" t="n">
        <x:f>IFERROR(H4555/A4555,0)</x:f>
        <x:v>70968.05233805234</x:v>
      </x:c>
      <x:c r="J4555" s="67" t="str">
        <x:v>Modeled from live base + Sep-2026 quality ratio</x:v>
      </x:c>
      <x:c r="K4555" s="67" t="str">
        <x:v>https://www.stonealgo.com/diamond-prices/</x:v>
      </x:c>
      <x:c r="L4555" s="67" t="str">
        <x:v>https://www.pricescope.com/blog/natural-diamond-prices-september-2026</x:v>
      </x:c>
    </x:row>
    <x:row r="4556">
      <x:c r="A4556" t="n">
        <x:v>8</x:v>
      </x:c>
      <x:c r="B4556" t="str">
        <x:v>Oval</x:v>
      </x:c>
      <x:c r="C4556" t="str">
        <x:v>E</x:v>
      </x:c>
      <x:c r="D4556" t="str">
        <x:v>VVS1</x:v>
      </x:c>
      <x:c r="E4556" s="36" t="n">
        <x:v>305215</x:v>
      </x:c>
      <x:c r="F4556" s="36" t="n">
        <x:v>7842</x:v>
      </x:c>
      <x:c r="G4556" s="42" t="n">
        <x:v>1.6821106821106822</x:v>
      </x:c>
      <x:c r="H4556" s="36" t="n">
        <x:f>E4556*G4556</x:f>
        <x:v>513405.41184041183</x:v>
      </x:c>
      <x:c r="I4556" s="36" t="n">
        <x:f>IFERROR(H4556/A4556,0)</x:f>
        <x:v>64175.67648005148</x:v>
      </x:c>
      <x:c r="J4556" s="67" t="str">
        <x:v>Modeled from live base + Sep-2026 quality ratio</x:v>
      </x:c>
      <x:c r="K4556" s="67" t="str">
        <x:v>https://www.stonealgo.com/diamond-prices/</x:v>
      </x:c>
      <x:c r="L4556" s="67" t="str">
        <x:v>https://www.pricescope.com/blog/natural-diamond-prices-september-2026</x:v>
      </x:c>
    </x:row>
    <x:row r="4557">
      <x:c r="A4557" t="n">
        <x:v>8</x:v>
      </x:c>
      <x:c r="B4557" t="str">
        <x:v>Oval</x:v>
      </x:c>
      <x:c r="C4557" t="str">
        <x:v>E</x:v>
      </x:c>
      <x:c r="D4557" t="str">
        <x:v>VVS2</x:v>
      </x:c>
      <x:c r="E4557" s="36" t="n">
        <x:v>305215</x:v>
      </x:c>
      <x:c r="F4557" s="36" t="n">
        <x:v>6880</x:v>
      </x:c>
      <x:c r="G4557" s="42" t="n">
        <x:v>1.4757614757614759</x:v>
      </x:c>
      <x:c r="H4557" s="36" t="n">
        <x:f>E4557*G4557</x:f>
        <x:v>450424.5388245389</x:v>
      </x:c>
      <x:c r="I4557" s="36" t="n">
        <x:f>IFERROR(H4557/A4557,0)</x:f>
        <x:v>56303.06735306736</x:v>
      </x:c>
      <x:c r="J4557" s="67" t="str">
        <x:v>Modeled from live base + Sep-2026 quality ratio</x:v>
      </x:c>
      <x:c r="K4557" s="67" t="str">
        <x:v>https://www.stonealgo.com/diamond-prices/</x:v>
      </x:c>
      <x:c r="L4557" s="67" t="str">
        <x:v>https://www.pricescope.com/blog/natural-diamond-prices-september-2026</x:v>
      </x:c>
    </x:row>
    <x:row r="4558">
      <x:c r="A4558" t="n">
        <x:v>8</x:v>
      </x:c>
      <x:c r="B4558" t="str">
        <x:v>Oval</x:v>
      </x:c>
      <x:c r="C4558" t="str">
        <x:v>E</x:v>
      </x:c>
      <x:c r="D4558" t="str">
        <x:v>VS1</x:v>
      </x:c>
      <x:c r="E4558" s="36" t="n">
        <x:v>305215</x:v>
      </x:c>
      <x:c r="F4558" s="36" t="n">
        <x:v>6307</x:v>
      </x:c>
      <x:c r="G4558" s="42" t="n">
        <x:v>1.352852852852853</x:v>
      </x:c>
      <x:c r="H4558" s="36" t="n">
        <x:f>E4558*G4558</x:f>
        <x:v>412910.9834834835</x:v>
      </x:c>
      <x:c r="I4558" s="36" t="n">
        <x:f>IFERROR(H4558/A4558,0)</x:f>
        <x:v>51613.87293543544</x:v>
      </x:c>
      <x:c r="J4558" s="67" t="str">
        <x:v>Modeled from live base + Sep-2026 quality ratio</x:v>
      </x:c>
      <x:c r="K4558" s="67" t="str">
        <x:v>https://www.stonealgo.com/diamond-prices/</x:v>
      </x:c>
      <x:c r="L4558" s="67" t="str">
        <x:v>https://www.pricescope.com/blog/natural-diamond-prices-september-2026</x:v>
      </x:c>
    </x:row>
    <x:row r="4559">
      <x:c r="A4559" t="n">
        <x:v>8</x:v>
      </x:c>
      <x:c r="B4559" t="str">
        <x:v>Oval</x:v>
      </x:c>
      <x:c r="C4559" t="str">
        <x:v>E</x:v>
      </x:c>
      <x:c r="D4559" t="str">
        <x:v>VS2</x:v>
      </x:c>
      <x:c r="E4559" s="36" t="n">
        <x:v>305215</x:v>
      </x:c>
      <x:c r="F4559" s="36" t="n">
        <x:v>5249</x:v>
      </x:c>
      <x:c r="G4559" s="42" t="n">
        <x:v>1.125911625911626</x:v>
      </x:c>
      <x:c r="H4559" s="36" t="n">
        <x:f>E4559*G4559</x:f>
        <x:v>343645.1169026169</x:v>
      </x:c>
      <x:c r="I4559" s="36" t="n">
        <x:f>IFERROR(H4559/A4559,0)</x:f>
        <x:v>42955.639612827115</x:v>
      </x:c>
      <x:c r="J4559" s="67" t="str">
        <x:v>Modeled from live base + Sep-2026 quality ratio</x:v>
      </x:c>
      <x:c r="K4559" s="67" t="str">
        <x:v>https://www.stonealgo.com/diamond-prices/</x:v>
      </x:c>
      <x:c r="L4559" s="67" t="str">
        <x:v>https://www.pricescope.com/blog/natural-diamond-prices-september-2026</x:v>
      </x:c>
    </x:row>
    <x:row r="4560">
      <x:c r="A4560" t="n">
        <x:v>8</x:v>
      </x:c>
      <x:c r="B4560" t="str">
        <x:v>Oval</x:v>
      </x:c>
      <x:c r="C4560" t="str">
        <x:v>E</x:v>
      </x:c>
      <x:c r="D4560" t="str">
        <x:v>SI1</x:v>
      </x:c>
      <x:c r="E4560" s="36" t="n">
        <x:v>305215</x:v>
      </x:c>
      <x:c r="F4560" s="36" t="n">
        <x:v>3551</x:v>
      </x:c>
      <x:c r="G4560" s="42" t="n">
        <x:v>0.7616902616902617</x:v>
      </x:c>
      <x:c r="H4560" s="36" t="n">
        <x:f>E4560*G4560</x:f>
        <x:v>232479.29322179322</x:v>
      </x:c>
      <x:c r="I4560" s="36" t="n">
        <x:f>IFERROR(H4560/A4560,0)</x:f>
        <x:v>29059.911652724153</x:v>
      </x:c>
      <x:c r="J4560" s="67" t="str">
        <x:v>Modeled from live base + Sep-2026 quality ratio</x:v>
      </x:c>
      <x:c r="K4560" s="67" t="str">
        <x:v>https://www.stonealgo.com/diamond-prices/</x:v>
      </x:c>
      <x:c r="L4560" s="67" t="str">
        <x:v>https://www.pricescope.com/blog/natural-diamond-prices-september-2026</x:v>
      </x:c>
    </x:row>
    <x:row r="4561">
      <x:c r="A4561" t="n">
        <x:v>8</x:v>
      </x:c>
      <x:c r="B4561" t="str">
        <x:v>Oval</x:v>
      </x:c>
      <x:c r="C4561" t="str">
        <x:v>E</x:v>
      </x:c>
      <x:c r="D4561" t="str">
        <x:v>SI2</x:v>
      </x:c>
      <x:c r="E4561" s="36" t="n">
        <x:v>305215</x:v>
      </x:c>
      <x:c r="F4561" s="36" t="n">
        <x:v>2993</x:v>
      </x:c>
      <x:c r="G4561" s="42" t="n">
        <x:v>0.641999141999142</x:v>
      </x:c>
      <x:c r="H4561" s="36" t="n">
        <x:f>E4561*G4561</x:f>
        <x:v>195947.76812526814</x:v>
      </x:c>
      <x:c r="I4561" s="36" t="n">
        <x:f>IFERROR(H4561/A4561,0)</x:f>
        <x:v>24493.471015658517</x:v>
      </x:c>
      <x:c r="J4561" s="67" t="str">
        <x:v>Modeled from live base + Sep-2026 quality ratio</x:v>
      </x:c>
      <x:c r="K4561" s="67" t="str">
        <x:v>https://www.stonealgo.com/diamond-prices/</x:v>
      </x:c>
      <x:c r="L4561" s="67" t="str">
        <x:v>https://www.pricescope.com/blog/natural-diamond-prices-september-2026</x:v>
      </x:c>
    </x:row>
    <x:row r="4562">
      <x:c r="A4562" t="n">
        <x:v>8</x:v>
      </x:c>
      <x:c r="B4562" t="str">
        <x:v>Oval</x:v>
      </x:c>
      <x:c r="C4562" t="str">
        <x:v>F</x:v>
      </x:c>
      <x:c r="D4562" t="str">
        <x:v>FL</x:v>
      </x:c>
      <x:c r="E4562" s="36" t="n">
        <x:v>305215</x:v>
      </x:c>
      <x:c r="F4562" s="36" t="n">
        <x:v>6830</x:v>
      </x:c>
      <x:c r="G4562" s="42" t="n">
        <x:v>1.4650364650364651</x:v>
      </x:c>
      <x:c r="H4562" s="36" t="n">
        <x:f>E4562*G4562</x:f>
        <x:v>447151.1046761047</x:v>
      </x:c>
      <x:c r="I4562" s="36" t="n">
        <x:f>IFERROR(H4562/A4562,0)</x:f>
        <x:v>55893.888084513084</x:v>
      </x:c>
      <x:c r="J4562" s="67" t="str">
        <x:v>Modeled from live base + Sep-2026 quality ratio</x:v>
      </x:c>
      <x:c r="K4562" s="67" t="str">
        <x:v>https://www.stonealgo.com/diamond-prices/</x:v>
      </x:c>
      <x:c r="L4562" s="67" t="str">
        <x:v>https://www.pricescope.com/blog/natural-diamond-prices-september-2026</x:v>
      </x:c>
    </x:row>
    <x:row r="4563">
      <x:c r="A4563" t="n">
        <x:v>8</x:v>
      </x:c>
      <x:c r="B4563" t="str">
        <x:v>Oval</x:v>
      </x:c>
      <x:c r="C4563" t="str">
        <x:v>F</x:v>
      </x:c>
      <x:c r="D4563" t="str">
        <x:v>IF</x:v>
      </x:c>
      <x:c r="E4563" s="36" t="n">
        <x:v>305215</x:v>
      </x:c>
      <x:c r="F4563" s="36" t="n">
        <x:v>7302</x:v>
      </x:c>
      <x:c r="G4563" s="42" t="n">
        <x:v>1.5662805662805663</x:v>
      </x:c>
      <x:c r="H4563" s="36" t="n">
        <x:f>E4563*G4563</x:f>
        <x:v>478052.3230373231</x:v>
      </x:c>
      <x:c r="I4563" s="36" t="n">
        <x:f>IFERROR(H4563/A4563,0)</x:f>
        <x:v>59756.540379665385</x:v>
      </x:c>
      <x:c r="J4563" s="67" t="str">
        <x:v>Modeled from live base + Sep-2026 quality ratio</x:v>
      </x:c>
      <x:c r="K4563" s="67" t="str">
        <x:v>https://www.stonealgo.com/diamond-prices/</x:v>
      </x:c>
      <x:c r="L4563" s="67" t="str">
        <x:v>https://www.pricescope.com/blog/natural-diamond-prices-september-2026</x:v>
      </x:c>
    </x:row>
    <x:row r="4564">
      <x:c r="A4564" t="n">
        <x:v>8</x:v>
      </x:c>
      <x:c r="B4564" t="str">
        <x:v>Oval</x:v>
      </x:c>
      <x:c r="C4564" t="str">
        <x:v>F</x:v>
      </x:c>
      <x:c r="D4564" t="str">
        <x:v>VVS1</x:v>
      </x:c>
      <x:c r="E4564" s="36" t="n">
        <x:v>305215</x:v>
      </x:c>
      <x:c r="F4564" s="36" t="n">
        <x:v>7542</x:v>
      </x:c>
      <x:c r="G4564" s="42" t="n">
        <x:v>1.6177606177606179</x:v>
      </x:c>
      <x:c r="H4564" s="36" t="n">
        <x:f>E4564*G4564</x:f>
        <x:v>493764.806949807</x:v>
      </x:c>
      <x:c r="I4564" s="36" t="n">
        <x:f>IFERROR(H4564/A4564,0)</x:f>
        <x:v>61720.60086872587</x:v>
      </x:c>
      <x:c r="J4564" s="67" t="str">
        <x:v>Modeled from live base + Sep-2026 quality ratio</x:v>
      </x:c>
      <x:c r="K4564" s="67" t="str">
        <x:v>https://www.stonealgo.com/diamond-prices/</x:v>
      </x:c>
      <x:c r="L4564" s="67" t="str">
        <x:v>https://www.pricescope.com/blog/natural-diamond-prices-september-2026</x:v>
      </x:c>
    </x:row>
    <x:row r="4565">
      <x:c r="A4565" t="n">
        <x:v>8</x:v>
      </x:c>
      <x:c r="B4565" t="str">
        <x:v>Oval</x:v>
      </x:c>
      <x:c r="C4565" t="str">
        <x:v>F</x:v>
      </x:c>
      <x:c r="D4565" t="str">
        <x:v>VVS2</x:v>
      </x:c>
      <x:c r="E4565" s="36" t="n">
        <x:v>305215</x:v>
      </x:c>
      <x:c r="F4565" s="36" t="n">
        <x:v>6352</x:v>
      </x:c>
      <x:c r="G4565" s="42" t="n">
        <x:v>1.3625053625053625</x:v>
      </x:c>
      <x:c r="H4565" s="36" t="n">
        <x:f>E4565*G4565</x:f>
        <x:v>415857.0742170742</x:v>
      </x:c>
      <x:c r="I4565" s="36" t="n">
        <x:f>IFERROR(H4565/A4565,0)</x:f>
        <x:v>51982.134277134275</x:v>
      </x:c>
      <x:c r="J4565" s="67" t="str">
        <x:v>Modeled from live base + Sep-2026 quality ratio</x:v>
      </x:c>
      <x:c r="K4565" s="67" t="str">
        <x:v>https://www.stonealgo.com/diamond-prices/</x:v>
      </x:c>
      <x:c r="L4565" s="67" t="str">
        <x:v>https://www.pricescope.com/blog/natural-diamond-prices-september-2026</x:v>
      </x:c>
    </x:row>
    <x:row r="4566">
      <x:c r="A4566" t="n">
        <x:v>8</x:v>
      </x:c>
      <x:c r="B4566" t="str">
        <x:v>Oval</x:v>
      </x:c>
      <x:c r="C4566" t="str">
        <x:v>F</x:v>
      </x:c>
      <x:c r="D4566" t="str">
        <x:v>VS1</x:v>
      </x:c>
      <x:c r="E4566" s="36" t="n">
        <x:v>305215</x:v>
      </x:c>
      <x:c r="F4566" s="36" t="n">
        <x:v>5647</x:v>
      </x:c>
      <x:c r="G4566" s="42" t="n">
        <x:v>1.2112827112827114</x:v>
      </x:c>
      <x:c r="H4566" s="36" t="n">
        <x:f>E4566*G4566</x:f>
        <x:v>369701.6527241527</x:v>
      </x:c>
      <x:c r="I4566" s="36" t="n">
        <x:f>IFERROR(H4566/A4566,0)</x:f>
        <x:v>46212.70659051909</x:v>
      </x:c>
      <x:c r="J4566" s="67" t="str">
        <x:v>Modeled from live base + Sep-2026 quality ratio</x:v>
      </x:c>
      <x:c r="K4566" s="67" t="str">
        <x:v>https://www.stonealgo.com/diamond-prices/</x:v>
      </x:c>
      <x:c r="L4566" s="67" t="str">
        <x:v>https://www.pricescope.com/blog/natural-diamond-prices-september-2026</x:v>
      </x:c>
    </x:row>
    <x:row r="4567">
      <x:c r="A4567" t="n">
        <x:v>8</x:v>
      </x:c>
      <x:c r="B4567" t="str">
        <x:v>Oval</x:v>
      </x:c>
      <x:c r="C4567" t="str">
        <x:v>F</x:v>
      </x:c>
      <x:c r="D4567" t="str">
        <x:v>VS2</x:v>
      </x:c>
      <x:c r="E4567" s="36" t="n">
        <x:v>305215</x:v>
      </x:c>
      <x:c r="F4567" s="36" t="n">
        <x:v>4730</x:v>
      </x:c>
      <x:c r="G4567" s="42" t="n">
        <x:v>1.0145860145860146</x:v>
      </x:c>
      <x:c r="H4567" s="36" t="n">
        <x:f>E4567*G4567</x:f>
        <x:v>309666.8704418705</x:v>
      </x:c>
      <x:c r="I4567" s="36" t="n">
        <x:f>IFERROR(H4567/A4567,0)</x:f>
        <x:v>38708.35880523381</x:v>
      </x:c>
      <x:c r="J4567" s="67" t="str">
        <x:v>Modeled from live base + Sep-2026 quality ratio</x:v>
      </x:c>
      <x:c r="K4567" s="67" t="str">
        <x:v>https://www.stonealgo.com/diamond-prices/</x:v>
      </x:c>
      <x:c r="L4567" s="67" t="str">
        <x:v>https://www.pricescope.com/blog/natural-diamond-prices-september-2026</x:v>
      </x:c>
    </x:row>
    <x:row r="4568">
      <x:c r="A4568" t="n">
        <x:v>8</x:v>
      </x:c>
      <x:c r="B4568" t="str">
        <x:v>Oval</x:v>
      </x:c>
      <x:c r="C4568" t="str">
        <x:v>F</x:v>
      </x:c>
      <x:c r="D4568" t="str">
        <x:v>SI1</x:v>
      </x:c>
      <x:c r="E4568" s="36" t="n">
        <x:v>305215</x:v>
      </x:c>
      <x:c r="F4568" s="36" t="n">
        <x:v>3331</x:v>
      </x:c>
      <x:c r="G4568" s="42" t="n">
        <x:v>0.7145002145002145</x:v>
      </x:c>
      <x:c r="H4568" s="36" t="n">
        <x:f>E4568*G4568</x:f>
        <x:v>218076.18296868296</x:v>
      </x:c>
      <x:c r="I4568" s="36" t="n">
        <x:f>IFERROR(H4568/A4568,0)</x:f>
        <x:v>27259.52287108537</x:v>
      </x:c>
      <x:c r="J4568" s="67" t="str">
        <x:v>Modeled from live base + Sep-2026 quality ratio</x:v>
      </x:c>
      <x:c r="K4568" s="67" t="str">
        <x:v>https://www.stonealgo.com/diamond-prices/</x:v>
      </x:c>
      <x:c r="L4568" s="67" t="str">
        <x:v>https://www.pricescope.com/blog/natural-diamond-prices-september-2026</x:v>
      </x:c>
    </x:row>
    <x:row r="4569">
      <x:c r="A4569" t="n">
        <x:v>8</x:v>
      </x:c>
      <x:c r="B4569" t="str">
        <x:v>Oval</x:v>
      </x:c>
      <x:c r="C4569" t="str">
        <x:v>F</x:v>
      </x:c>
      <x:c r="D4569" t="str">
        <x:v>SI2</x:v>
      </x:c>
      <x:c r="E4569" s="36" t="n">
        <x:v>305215</x:v>
      </x:c>
      <x:c r="F4569" s="36" t="n">
        <x:v>2733</x:v>
      </x:c>
      <x:c r="G4569" s="42" t="n">
        <x:v>0.5862290862290862</x:v>
      </x:c>
      <x:c r="H4569" s="36" t="n">
        <x:f>E4569*G4569</x:f>
        <x:v>178925.91055341053</x:v>
      </x:c>
      <x:c r="I4569" s="36" t="n">
        <x:f>IFERROR(H4569/A4569,0)</x:f>
        <x:v>22365.738819176317</x:v>
      </x:c>
      <x:c r="J4569" s="67" t="str">
        <x:v>Modeled from live base + Sep-2026 quality ratio</x:v>
      </x:c>
      <x:c r="K4569" s="67" t="str">
        <x:v>https://www.stonealgo.com/diamond-prices/</x:v>
      </x:c>
      <x:c r="L4569" s="67" t="str">
        <x:v>https://www.pricescope.com/blog/natural-diamond-prices-september-2026</x:v>
      </x:c>
    </x:row>
    <x:row r="4570">
      <x:c r="A4570" t="n">
        <x:v>8</x:v>
      </x:c>
      <x:c r="B4570" t="str">
        <x:v>Oval</x:v>
      </x:c>
      <x:c r="C4570" t="str">
        <x:v>G</x:v>
      </x:c>
      <x:c r="D4570" t="str">
        <x:v>FL</x:v>
      </x:c>
      <x:c r="E4570" s="36" t="n">
        <x:v>305215</x:v>
      </x:c>
      <x:c r="F4570" s="36" t="n">
        <x:v>5905</x:v>
      </x:c>
      <x:c r="G4570" s="42" t="n">
        <x:v>1.2666237666237665</x:v>
      </x:c>
      <x:c r="H4570" s="36" t="n">
        <x:f>E4570*G4570</x:f>
        <x:v>386592.5729300729</x:v>
      </x:c>
      <x:c r="I4570" s="36" t="n">
        <x:f>IFERROR(H4570/A4570,0)</x:f>
        <x:v>48324.07161625911</x:v>
      </x:c>
      <x:c r="J4570" s="67" t="str">
        <x:v>Modeled from live base + Sep-2026 quality ratio</x:v>
      </x:c>
      <x:c r="K4570" s="67" t="str">
        <x:v>https://www.stonealgo.com/diamond-prices/</x:v>
      </x:c>
      <x:c r="L4570" s="67" t="str">
        <x:v>https://www.pricescope.com/blog/natural-diamond-prices-september-2026</x:v>
      </x:c>
    </x:row>
    <x:row r="4571">
      <x:c r="A4571" t="n">
        <x:v>8</x:v>
      </x:c>
      <x:c r="B4571" t="str">
        <x:v>Oval</x:v>
      </x:c>
      <x:c r="C4571" t="str">
        <x:v>G</x:v>
      </x:c>
      <x:c r="D4571" t="str">
        <x:v>IF</x:v>
      </x:c>
      <x:c r="E4571" s="36" t="n">
        <x:v>305215</x:v>
      </x:c>
      <x:c r="F4571" s="36" t="n">
        <x:v>5601</x:v>
      </x:c>
      <x:c r="G4571" s="42" t="n">
        <x:v>1.2014157014157014</x:v>
      </x:c>
      <x:c r="H4571" s="36" t="n">
        <x:f>E4571*G4571</x:f>
        <x:v>366690.0933075933</x:v>
      </x:c>
      <x:c r="I4571" s="36" t="n">
        <x:f>IFERROR(H4571/A4571,0)</x:f>
        <x:v>45836.261663449164</x:v>
      </x:c>
      <x:c r="J4571" s="67" t="str">
        <x:v>Modeled from live base + Sep-2026 quality ratio</x:v>
      </x:c>
      <x:c r="K4571" s="67" t="str">
        <x:v>https://www.stonealgo.com/diamond-prices/</x:v>
      </x:c>
      <x:c r="L4571" s="67" t="str">
        <x:v>https://www.pricescope.com/blog/natural-diamond-prices-september-2026</x:v>
      </x:c>
    </x:row>
    <x:row r="4572">
      <x:c r="A4572" t="n">
        <x:v>8</x:v>
      </x:c>
      <x:c r="B4572" t="str">
        <x:v>Oval</x:v>
      </x:c>
      <x:c r="C4572" t="str">
        <x:v>G</x:v>
      </x:c>
      <x:c r="D4572" t="str">
        <x:v>VVS1</x:v>
      </x:c>
      <x:c r="E4572" s="36" t="n">
        <x:v>305215</x:v>
      </x:c>
      <x:c r="F4572" s="36" t="n">
        <x:v>5124</x:v>
      </x:c>
      <x:c r="G4572" s="42" t="n">
        <x:v>1.0990990990990992</x:v>
      </x:c>
      <x:c r="H4572" s="36" t="n">
        <x:f>E4572*G4572</x:f>
        <x:v>335461.53153153154</x:v>
      </x:c>
      <x:c r="I4572" s="36" t="n">
        <x:f>IFERROR(H4572/A4572,0)</x:f>
        <x:v>41932.69144144144</x:v>
      </x:c>
      <x:c r="J4572" s="67" t="str">
        <x:v>Modeled from live base + Sep-2026 quality ratio</x:v>
      </x:c>
      <x:c r="K4572" s="67" t="str">
        <x:v>https://www.stonealgo.com/diamond-prices/</x:v>
      </x:c>
      <x:c r="L4572" s="67" t="str">
        <x:v>https://www.pricescope.com/blog/natural-diamond-prices-september-2026</x:v>
      </x:c>
    </x:row>
    <x:row r="4573">
      <x:c r="A4573" t="n">
        <x:v>8</x:v>
      </x:c>
      <x:c r="B4573" t="str">
        <x:v>Oval</x:v>
      </x:c>
      <x:c r="C4573" t="str">
        <x:v>G</x:v>
      </x:c>
      <x:c r="D4573" t="str">
        <x:v>VVS2</x:v>
      </x:c>
      <x:c r="E4573" s="36" t="n">
        <x:v>305215</x:v>
      </x:c>
      <x:c r="F4573" s="36" t="n">
        <x:v>4962</x:v>
      </x:c>
      <x:c r="G4573" s="42" t="n">
        <x:v>1.0643500643500643</x:v>
      </x:c>
      <x:c r="H4573" s="36" t="n">
        <x:f>E4573*G4573</x:f>
        <x:v>324855.60489060485</x:v>
      </x:c>
      <x:c r="I4573" s="36" t="n">
        <x:f>IFERROR(H4573/A4573,0)</x:f>
        <x:v>40606.95061132561</x:v>
      </x:c>
      <x:c r="J4573" s="67" t="str">
        <x:v>Modeled from live base + Sep-2026 quality ratio</x:v>
      </x:c>
      <x:c r="K4573" s="67" t="str">
        <x:v>https://www.stonealgo.com/diamond-prices/</x:v>
      </x:c>
      <x:c r="L4573" s="67" t="str">
        <x:v>https://www.pricescope.com/blog/natural-diamond-prices-september-2026</x:v>
      </x:c>
    </x:row>
    <x:row r="4574">
      <x:c r="A4574" t="n">
        <x:v>8</x:v>
      </x:c>
      <x:c r="B4574" t="str">
        <x:v>Oval</x:v>
      </x:c>
      <x:c r="C4574" t="str">
        <x:v>G</x:v>
      </x:c>
      <x:c r="D4574" t="str">
        <x:v>VS1</x:v>
      </x:c>
      <x:c r="E4574" s="36" t="n">
        <x:v>305215</x:v>
      </x:c>
      <x:c r="F4574" s="36" t="n">
        <x:v>4615</x:v>
      </x:c>
      <x:c r="G4574" s="42" t="n">
        <x:v>0.98991848991849</x:v>
      </x:c>
      <x:c r="H4574" s="36" t="n">
        <x:f>E4574*G4574</x:f>
        <x:v>302137.9719004719</x:v>
      </x:c>
      <x:c r="I4574" s="36" t="n">
        <x:f>IFERROR(H4574/A4574,0)</x:f>
        <x:v>37767.24648755899</x:v>
      </x:c>
      <x:c r="J4574" s="67" t="str">
        <x:v>Modeled from live base + Sep-2026 quality ratio</x:v>
      </x:c>
      <x:c r="K4574" s="67" t="str">
        <x:v>https://www.stonealgo.com/diamond-prices/</x:v>
      </x:c>
      <x:c r="L4574" s="67" t="str">
        <x:v>https://www.pricescope.com/blog/natural-diamond-prices-september-2026</x:v>
      </x:c>
    </x:row>
    <x:row r="4575">
      <x:c r="A4575" t="n">
        <x:v>8</x:v>
      </x:c>
      <x:c r="B4575" t="str">
        <x:v>Oval</x:v>
      </x:c>
      <x:c r="C4575" t="str">
        <x:v>G</x:v>
      </x:c>
      <x:c r="D4575" t="str">
        <x:v>VS2</x:v>
      </x:c>
      <x:c r="E4575" s="36" t="n">
        <x:v>305215</x:v>
      </x:c>
      <x:c r="F4575" s="36" t="n">
        <x:v>4585</x:v>
      </x:c>
      <x:c r="G4575" s="42" t="n">
        <x:v>0.9834834834834835</x:v>
      </x:c>
      <x:c r="H4575" s="36" t="n">
        <x:f>E4575*G4575</x:f>
        <x:v>300173.9114114114</x:v>
      </x:c>
      <x:c r="I4575" s="36" t="n">
        <x:f>IFERROR(H4575/A4575,0)</x:f>
        <x:v>37521.73892642643</x:v>
      </x:c>
      <x:c r="J4575" s="67" t="str">
        <x:v>Modeled from live base + Sep-2026 quality ratio</x:v>
      </x:c>
      <x:c r="K4575" s="67" t="str">
        <x:v>https://www.stonealgo.com/diamond-prices/</x:v>
      </x:c>
      <x:c r="L4575" s="67" t="str">
        <x:v>https://www.pricescope.com/blog/natural-diamond-prices-september-2026</x:v>
      </x:c>
    </x:row>
    <x:row r="4576">
      <x:c r="A4576" t="n">
        <x:v>8</x:v>
      </x:c>
      <x:c r="B4576" t="str">
        <x:v>Oval</x:v>
      </x:c>
      <x:c r="C4576" t="str">
        <x:v>G</x:v>
      </x:c>
      <x:c r="D4576" t="str">
        <x:v>SI1</x:v>
      </x:c>
      <x:c r="E4576" s="36" t="n">
        <x:v>305215</x:v>
      </x:c>
      <x:c r="F4576" s="36" t="n">
        <x:v>3664</x:v>
      </x:c>
      <x:c r="G4576" s="42" t="n">
        <x:v>0.7859287859287859</x:v>
      </x:c>
      <x:c r="H4576" s="36" t="n">
        <x:f>E4576*G4576</x:f>
        <x:v>239877.25439725438</x:v>
      </x:c>
      <x:c r="I4576" s="36" t="n">
        <x:f>IFERROR(H4576/A4576,0)</x:f>
        <x:v>29984.656799656797</x:v>
      </x:c>
      <x:c r="J4576" s="67" t="str">
        <x:v>Modeled from live base + Sep-2026 quality ratio</x:v>
      </x:c>
      <x:c r="K4576" s="67" t="str">
        <x:v>https://www.stonealgo.com/diamond-prices/</x:v>
      </x:c>
      <x:c r="L4576" s="67" t="str">
        <x:v>https://www.pricescope.com/blog/natural-diamond-prices-september-2026</x:v>
      </x:c>
    </x:row>
    <x:row r="4577">
      <x:c r="A4577" t="n">
        <x:v>8</x:v>
      </x:c>
      <x:c r="B4577" t="str">
        <x:v>Oval</x:v>
      </x:c>
      <x:c r="C4577" t="str">
        <x:v>G</x:v>
      </x:c>
      <x:c r="D4577" t="str">
        <x:v>SI2</x:v>
      </x:c>
      <x:c r="E4577" s="36" t="n">
        <x:v>305215</x:v>
      </x:c>
      <x:c r="F4577" s="36" t="n">
        <x:v>2537</x:v>
      </x:c>
      <x:c r="G4577" s="42" t="n">
        <x:v>0.5441870441870442</x:v>
      </x:c>
      <x:c r="H4577" s="36" t="n">
        <x:f>E4577*G4577</x:f>
        <x:v>166094.0486915487</x:v>
      </x:c>
      <x:c r="I4577" s="36" t="n">
        <x:f>IFERROR(H4577/A4577,0)</x:f>
        <x:v>20761.756086443587</x:v>
      </x:c>
      <x:c r="J4577" s="67" t="str">
        <x:v>Modeled from live base + Sep-2026 quality ratio</x:v>
      </x:c>
      <x:c r="K4577" s="67" t="str">
        <x:v>https://www.stonealgo.com/diamond-prices/</x:v>
      </x:c>
      <x:c r="L4577" s="67" t="str">
        <x:v>https://www.pricescope.com/blog/natural-diamond-prices-september-2026</x:v>
      </x:c>
    </x:row>
    <x:row r="4578">
      <x:c r="A4578" t="n">
        <x:v>8</x:v>
      </x:c>
      <x:c r="B4578" t="str">
        <x:v>Oval</x:v>
      </x:c>
      <x:c r="C4578" t="str">
        <x:v>H</x:v>
      </x:c>
      <x:c r="D4578" t="str">
        <x:v>FL</x:v>
      </x:c>
      <x:c r="E4578" s="36" t="n">
        <x:v>305215</x:v>
      </x:c>
      <x:c r="F4578" s="36" t="n">
        <x:v>4563</x:v>
      </x:c>
      <x:c r="G4578" s="42" t="n">
        <x:v>0.9787644787644788</x:v>
      </x:c>
      <x:c r="H4578" s="36" t="n">
        <x:f>E4578*G4578</x:f>
        <x:v>298733.6003861004</x:v>
      </x:c>
      <x:c r="I4578" s="36" t="n">
        <x:f>IFERROR(H4578/A4578,0)</x:f>
        <x:v>37341.70004826255</x:v>
      </x:c>
      <x:c r="J4578" s="67" t="str">
        <x:v>Modeled from live base + Sep-2026 quality ratio</x:v>
      </x:c>
      <x:c r="K4578" s="67" t="str">
        <x:v>https://www.stonealgo.com/diamond-prices/</x:v>
      </x:c>
      <x:c r="L4578" s="67" t="str">
        <x:v>https://www.pricescope.com/blog/natural-diamond-prices-september-2026</x:v>
      </x:c>
    </x:row>
    <x:row r="4579">
      <x:c r="A4579" t="n">
        <x:v>8</x:v>
      </x:c>
      <x:c r="B4579" t="str">
        <x:v>Oval</x:v>
      </x:c>
      <x:c r="C4579" t="str">
        <x:v>H</x:v>
      </x:c>
      <x:c r="D4579" t="str">
        <x:v>IF</x:v>
      </x:c>
      <x:c r="E4579" s="36" t="n">
        <x:v>305215</x:v>
      </x:c>
      <x:c r="F4579" s="36" t="n">
        <x:v>4809</x:v>
      </x:c>
      <x:c r="G4579" s="42" t="n">
        <x:v>1.0315315315315314</x:v>
      </x:c>
      <x:c r="H4579" s="36" t="n">
        <x:f>E4579*G4579</x:f>
        <x:v>314838.8963963964</x:v>
      </x:c>
      <x:c r="I4579" s="36" t="n">
        <x:f>IFERROR(H4579/A4579,0)</x:f>
        <x:v>39354.86204954955</x:v>
      </x:c>
      <x:c r="J4579" s="67" t="str">
        <x:v>Modeled from live base + Sep-2026 quality ratio</x:v>
      </x:c>
      <x:c r="K4579" s="67" t="str">
        <x:v>https://www.stonealgo.com/diamond-prices/</x:v>
      </x:c>
      <x:c r="L4579" s="67" t="str">
        <x:v>https://www.pricescope.com/blog/natural-diamond-prices-september-2026</x:v>
      </x:c>
    </x:row>
    <x:row r="4580">
      <x:c r="A4580" t="n">
        <x:v>8</x:v>
      </x:c>
      <x:c r="B4580" t="str">
        <x:v>Oval</x:v>
      </x:c>
      <x:c r="C4580" t="str">
        <x:v>H</x:v>
      </x:c>
      <x:c r="D4580" t="str">
        <x:v>VVS1</x:v>
      </x:c>
      <x:c r="E4580" s="36" t="n">
        <x:v>305215</x:v>
      </x:c>
      <x:c r="F4580" s="36" t="n">
        <x:v>4911</x:v>
      </x:c>
      <x:c r="G4580" s="42" t="n">
        <x:v>1.0534105534105533</x:v>
      </x:c>
      <x:c r="H4580" s="36" t="n">
        <x:f>E4580*G4580</x:f>
        <x:v>321516.702059202</x:v>
      </x:c>
      <x:c r="I4580" s="36" t="n">
        <x:f>IFERROR(H4580/A4580,0)</x:f>
        <x:v>40189.58775740025</x:v>
      </x:c>
      <x:c r="J4580" s="67" t="str">
        <x:v>Modeled from live base + Sep-2026 quality ratio</x:v>
      </x:c>
      <x:c r="K4580" s="67" t="str">
        <x:v>https://www.stonealgo.com/diamond-prices/</x:v>
      </x:c>
      <x:c r="L4580" s="67" t="str">
        <x:v>https://www.pricescope.com/blog/natural-diamond-prices-september-2026</x:v>
      </x:c>
    </x:row>
    <x:row r="4581">
      <x:c r="A4581" t="n">
        <x:v>8</x:v>
      </x:c>
      <x:c r="B4581" t="str">
        <x:v>Oval</x:v>
      </x:c>
      <x:c r="C4581" t="str">
        <x:v>H</x:v>
      </x:c>
      <x:c r="D4581" t="str">
        <x:v>VVS2</x:v>
      </x:c>
      <x:c r="E4581" s="36" t="n">
        <x:v>305215</x:v>
      </x:c>
      <x:c r="F4581" s="36" t="n">
        <x:v>4046</x:v>
      </x:c>
      <x:c r="G4581" s="42" t="n">
        <x:v>0.8678678678678678</x:v>
      </x:c>
      <x:c r="H4581" s="36" t="n">
        <x:f>E4581*G4581</x:f>
        <x:v>264886.2912912913</x:v>
      </x:c>
      <x:c r="I4581" s="36" t="n">
        <x:f>IFERROR(H4581/A4581,0)</x:f>
        <x:v>33110.78641141141</x:v>
      </x:c>
      <x:c r="J4581" s="67" t="str">
        <x:v>Modeled from live base + Sep-2026 quality ratio</x:v>
      </x:c>
      <x:c r="K4581" s="67" t="str">
        <x:v>https://www.stonealgo.com/diamond-prices/</x:v>
      </x:c>
      <x:c r="L4581" s="67" t="str">
        <x:v>https://www.pricescope.com/blog/natural-diamond-prices-september-2026</x:v>
      </x:c>
    </x:row>
    <x:row r="4582">
      <x:c r="A4582" t="n">
        <x:v>8</x:v>
      </x:c>
      <x:c r="B4582" t="str">
        <x:v>Oval</x:v>
      </x:c>
      <x:c r="C4582" t="str">
        <x:v>H</x:v>
      </x:c>
      <x:c r="D4582" t="str">
        <x:v>VS1</x:v>
      </x:c>
      <x:c r="E4582" s="36" t="n">
        <x:v>305215</x:v>
      </x:c>
      <x:c r="F4582" s="36" t="n">
        <x:v>3893</x:v>
      </x:c>
      <x:c r="G4582" s="42" t="n">
        <x:v>0.8350493350493351</x:v>
      </x:c>
      <x:c r="H4582" s="36" t="n">
        <x:f>E4582*G4582</x:f>
        <x:v>254869.5827970828</x:v>
      </x:c>
      <x:c r="I4582" s="36" t="n">
        <x:f>IFERROR(H4582/A4582,0)</x:f>
        <x:v>31858.69784963535</x:v>
      </x:c>
      <x:c r="J4582" s="67" t="str">
        <x:v>Modeled from live base + Sep-2026 quality ratio</x:v>
      </x:c>
      <x:c r="K4582" s="67" t="str">
        <x:v>https://www.stonealgo.com/diamond-prices/</x:v>
      </x:c>
      <x:c r="L4582" s="67" t="str">
        <x:v>https://www.pricescope.com/blog/natural-diamond-prices-september-2026</x:v>
      </x:c>
    </x:row>
    <x:row r="4583">
      <x:c r="A4583" t="n">
        <x:v>8</x:v>
      </x:c>
      <x:c r="B4583" t="str">
        <x:v>Oval</x:v>
      </x:c>
      <x:c r="C4583" t="str">
        <x:v>H</x:v>
      </x:c>
      <x:c r="D4583" t="str">
        <x:v>VS2</x:v>
      </x:c>
      <x:c r="E4583" s="36" t="n">
        <x:v>305215</x:v>
      </x:c>
      <x:c r="F4583" s="36" t="n">
        <x:v>3989</x:v>
      </x:c>
      <x:c r="G4583" s="42" t="n">
        <x:v>0.8556413556413557</x:v>
      </x:c>
      <x:c r="H4583" s="36" t="n">
        <x:f>E4583*G4583</x:f>
        <x:v>261154.57636207636</x:v>
      </x:c>
      <x:c r="I4583" s="36" t="n">
        <x:f>IFERROR(H4583/A4583,0)</x:f>
        <x:v>32644.322045259545</x:v>
      </x:c>
      <x:c r="J4583" s="67" t="str">
        <x:v>Modeled from live base + Sep-2026 quality ratio</x:v>
      </x:c>
      <x:c r="K4583" s="67" t="str">
        <x:v>https://www.stonealgo.com/diamond-prices/</x:v>
      </x:c>
      <x:c r="L4583" s="67" t="str">
        <x:v>https://www.pricescope.com/blog/natural-diamond-prices-september-2026</x:v>
      </x:c>
    </x:row>
    <x:row r="4584">
      <x:c r="A4584" t="n">
        <x:v>8</x:v>
      </x:c>
      <x:c r="B4584" t="str">
        <x:v>Oval</x:v>
      </x:c>
      <x:c r="C4584" t="str">
        <x:v>H</x:v>
      </x:c>
      <x:c r="D4584" t="str">
        <x:v>SI1</x:v>
      </x:c>
      <x:c r="E4584" s="36" t="n">
        <x:v>305215</x:v>
      </x:c>
      <x:c r="F4584" s="36" t="n">
        <x:v>2828</x:v>
      </x:c>
      <x:c r="G4584" s="42" t="n">
        <x:v>0.6066066066066066</x:v>
      </x:c>
      <x:c r="H4584" s="36" t="n">
        <x:f>E4584*G4584</x:f>
        <x:v>185145.43543543544</x:v>
      </x:c>
      <x:c r="I4584" s="36" t="n">
        <x:f>IFERROR(H4584/A4584,0)</x:f>
        <x:v>23143.17942942943</x:v>
      </x:c>
      <x:c r="J4584" s="67" t="str">
        <x:v>Modeled from live base + Sep-2026 quality ratio</x:v>
      </x:c>
      <x:c r="K4584" s="67" t="str">
        <x:v>https://www.stonealgo.com/diamond-prices/</x:v>
      </x:c>
      <x:c r="L4584" s="67" t="str">
        <x:v>https://www.pricescope.com/blog/natural-diamond-prices-september-2026</x:v>
      </x:c>
    </x:row>
    <x:row r="4585">
      <x:c r="A4585" t="n">
        <x:v>8</x:v>
      </x:c>
      <x:c r="B4585" t="str">
        <x:v>Oval</x:v>
      </x:c>
      <x:c r="C4585" t="str">
        <x:v>H</x:v>
      </x:c>
      <x:c r="D4585" t="str">
        <x:v>SI2</x:v>
      </x:c>
      <x:c r="E4585" s="36" t="n">
        <x:v>305215</x:v>
      </x:c>
      <x:c r="F4585" s="36" t="n">
        <x:v>2328</x:v>
      </x:c>
      <x:c r="G4585" s="42" t="n">
        <x:v>0.49935649935649934</x:v>
      </x:c>
      <x:c r="H4585" s="36" t="n">
        <x:f>E4585*G4585</x:f>
        <x:v>152411.09395109394</x:v>
      </x:c>
      <x:c r="I4585" s="36" t="n">
        <x:f>IFERROR(H4585/A4585,0)</x:f>
        <x:v>19051.386743886742</x:v>
      </x:c>
      <x:c r="J4585" s="67" t="str">
        <x:v>Modeled from live base + Sep-2026 quality ratio</x:v>
      </x:c>
      <x:c r="K4585" s="67" t="str">
        <x:v>https://www.stonealgo.com/diamond-prices/</x:v>
      </x:c>
      <x:c r="L4585" s="67" t="str">
        <x:v>https://www.pricescope.com/blog/natural-diamond-prices-september-2026</x:v>
      </x:c>
    </x:row>
    <x:row r="4586">
      <x:c r="A4586" t="n">
        <x:v>8</x:v>
      </x:c>
      <x:c r="B4586" t="str">
        <x:v>Oval</x:v>
      </x:c>
      <x:c r="C4586" t="str">
        <x:v>I</x:v>
      </x:c>
      <x:c r="D4586" t="str">
        <x:v>FL</x:v>
      </x:c>
      <x:c r="E4586" s="36" t="n">
        <x:v>305215</x:v>
      </x:c>
      <x:c r="F4586" s="36" t="n">
        <x:v>4623</x:v>
      </x:c>
      <x:c r="G4586" s="42" t="n">
        <x:v>0.9916344916344917</x:v>
      </x:c>
      <x:c r="H4586" s="36" t="n">
        <x:f>E4586*G4586</x:f>
        <x:v>302661.72136422136</x:v>
      </x:c>
      <x:c r="I4586" s="36" t="n">
        <x:f>IFERROR(H4586/A4586,0)</x:f>
        <x:v>37832.71517052767</x:v>
      </x:c>
      <x:c r="J4586" s="67" t="str">
        <x:v>Modeled from live base + Sep-2026 quality ratio</x:v>
      </x:c>
      <x:c r="K4586" s="67" t="str">
        <x:v>https://www.stonealgo.com/diamond-prices/</x:v>
      </x:c>
      <x:c r="L4586" s="67" t="str">
        <x:v>https://www.pricescope.com/blog/natural-diamond-prices-september-2026</x:v>
      </x:c>
    </x:row>
    <x:row r="4587">
      <x:c r="A4587" t="n">
        <x:v>8</x:v>
      </x:c>
      <x:c r="B4587" t="str">
        <x:v>Oval</x:v>
      </x:c>
      <x:c r="C4587" t="str">
        <x:v>I</x:v>
      </x:c>
      <x:c r="D4587" t="str">
        <x:v>IF</x:v>
      </x:c>
      <x:c r="E4587" s="36" t="n">
        <x:v>305215</x:v>
      </x:c>
      <x:c r="F4587" s="36" t="n">
        <x:v>4005</x:v>
      </x:c>
      <x:c r="G4587" s="42" t="n">
        <x:v>0.859073359073359</x:v>
      </x:c>
      <x:c r="H4587" s="36" t="n">
        <x:f>E4587*G4587</x:f>
        <x:v>262202.07528957527</x:v>
      </x:c>
      <x:c r="I4587" s="36" t="n">
        <x:f>IFERROR(H4587/A4587,0)</x:f>
        <x:v>32775.25941119691</x:v>
      </x:c>
      <x:c r="J4587" s="67" t="str">
        <x:v>Modeled from live base + Sep-2026 quality ratio</x:v>
      </x:c>
      <x:c r="K4587" s="67" t="str">
        <x:v>https://www.stonealgo.com/diamond-prices/</x:v>
      </x:c>
      <x:c r="L4587" s="67" t="str">
        <x:v>https://www.pricescope.com/blog/natural-diamond-prices-september-2026</x:v>
      </x:c>
    </x:row>
    <x:row r="4588">
      <x:c r="A4588" t="n">
        <x:v>8</x:v>
      </x:c>
      <x:c r="B4588" t="str">
        <x:v>Oval</x:v>
      </x:c>
      <x:c r="C4588" t="str">
        <x:v>I</x:v>
      </x:c>
      <x:c r="D4588" t="str">
        <x:v>VVS1</x:v>
      </x:c>
      <x:c r="E4588" s="36" t="n">
        <x:v>305215</x:v>
      </x:c>
      <x:c r="F4588" s="36" t="n">
        <x:v>3670</x:v>
      </x:c>
      <x:c r="G4588" s="42" t="n">
        <x:v>0.7872157872157872</x:v>
      </x:c>
      <x:c r="H4588" s="36" t="n">
        <x:f>E4588*G4588</x:f>
        <x:v>240270.0664950665</x:v>
      </x:c>
      <x:c r="I4588" s="36" t="n">
        <x:f>IFERROR(H4588/A4588,0)</x:f>
        <x:v>30033.758311883314</x:v>
      </x:c>
      <x:c r="J4588" s="67" t="str">
        <x:v>Modeled from live base + Sep-2026 quality ratio</x:v>
      </x:c>
      <x:c r="K4588" s="67" t="str">
        <x:v>https://www.stonealgo.com/diamond-prices/</x:v>
      </x:c>
      <x:c r="L4588" s="67" t="str">
        <x:v>https://www.pricescope.com/blog/natural-diamond-prices-september-2026</x:v>
      </x:c>
    </x:row>
    <x:row r="4589">
      <x:c r="A4589" t="n">
        <x:v>8</x:v>
      </x:c>
      <x:c r="B4589" t="str">
        <x:v>Oval</x:v>
      </x:c>
      <x:c r="C4589" t="str">
        <x:v>I</x:v>
      </x:c>
      <x:c r="D4589" t="str">
        <x:v>VVS2</x:v>
      </x:c>
      <x:c r="E4589" s="36" t="n">
        <x:v>305215</x:v>
      </x:c>
      <x:c r="F4589" s="36" t="n">
        <x:v>3447</x:v>
      </x:c>
      <x:c r="G4589" s="42" t="n">
        <x:v>0.7393822393822393</x:v>
      </x:c>
      <x:c r="H4589" s="36" t="n">
        <x:f>E4589*G4589</x:f>
        <x:v>225670.55019305018</x:v>
      </x:c>
      <x:c r="I4589" s="36" t="n">
        <x:f>IFERROR(H4589/A4589,0)</x:f>
        <x:v>28208.818774131272</x:v>
      </x:c>
      <x:c r="J4589" s="67" t="str">
        <x:v>Modeled from live base + Sep-2026 quality ratio</x:v>
      </x:c>
      <x:c r="K4589" s="67" t="str">
        <x:v>https://www.stonealgo.com/diamond-prices/</x:v>
      </x:c>
      <x:c r="L4589" s="67" t="str">
        <x:v>https://www.pricescope.com/blog/natural-diamond-prices-september-2026</x:v>
      </x:c>
    </x:row>
    <x:row r="4590">
      <x:c r="A4590" t="n">
        <x:v>8</x:v>
      </x:c>
      <x:c r="B4590" t="str">
        <x:v>Oval</x:v>
      </x:c>
      <x:c r="C4590" t="str">
        <x:v>I</x:v>
      </x:c>
      <x:c r="D4590" t="str">
        <x:v>VS1</x:v>
      </x:c>
      <x:c r="E4590" s="36" t="n">
        <x:v>305215</x:v>
      </x:c>
      <x:c r="F4590" s="36" t="n">
        <x:v>3313</x:v>
      </x:c>
      <x:c r="G4590" s="42" t="n">
        <x:v>0.7106392106392107</x:v>
      </x:c>
      <x:c r="H4590" s="36" t="n">
        <x:f>E4590*G4590</x:f>
        <x:v>216897.7466752467</x:v>
      </x:c>
      <x:c r="I4590" s="36" t="n">
        <x:f>IFERROR(H4590/A4590,0)</x:f>
        <x:v>27112.218334405836</x:v>
      </x:c>
      <x:c r="J4590" s="67" t="str">
        <x:v>Modeled from live base + Sep-2026 quality ratio</x:v>
      </x:c>
      <x:c r="K4590" s="67" t="str">
        <x:v>https://www.stonealgo.com/diamond-prices/</x:v>
      </x:c>
      <x:c r="L4590" s="67" t="str">
        <x:v>https://www.pricescope.com/blog/natural-diamond-prices-september-2026</x:v>
      </x:c>
    </x:row>
    <x:row r="4591">
      <x:c r="A4591" t="n">
        <x:v>8</x:v>
      </x:c>
      <x:c r="B4591" t="str">
        <x:v>Oval</x:v>
      </x:c>
      <x:c r="C4591" t="str">
        <x:v>I</x:v>
      </x:c>
      <x:c r="D4591" t="str">
        <x:v>VS2</x:v>
      </x:c>
      <x:c r="E4591" s="36" t="n">
        <x:v>305215</x:v>
      </x:c>
      <x:c r="F4591" s="36" t="n">
        <x:v>3240</x:v>
      </x:c>
      <x:c r="G4591" s="42" t="n">
        <x:v>0.694980694980695</x:v>
      </x:c>
      <x:c r="H4591" s="36" t="n">
        <x:f>E4591*G4591</x:f>
        <x:v>212118.53281853284</x:v>
      </x:c>
      <x:c r="I4591" s="36" t="n">
        <x:f>IFERROR(H4591/A4591,0)</x:f>
        <x:v>26514.816602316605</x:v>
      </x:c>
      <x:c r="J4591" s="67" t="str">
        <x:v>Modeled from live base + Sep-2026 quality ratio</x:v>
      </x:c>
      <x:c r="K4591" s="67" t="str">
        <x:v>https://www.stonealgo.com/diamond-prices/</x:v>
      </x:c>
      <x:c r="L4591" s="67" t="str">
        <x:v>https://www.pricescope.com/blog/natural-diamond-prices-september-2026</x:v>
      </x:c>
    </x:row>
    <x:row r="4592">
      <x:c r="A4592" t="n">
        <x:v>8</x:v>
      </x:c>
      <x:c r="B4592" t="str">
        <x:v>Oval</x:v>
      </x:c>
      <x:c r="C4592" t="str">
        <x:v>I</x:v>
      </x:c>
      <x:c r="D4592" t="str">
        <x:v>SI1</x:v>
      </x:c>
      <x:c r="E4592" s="36" t="n">
        <x:v>305215</x:v>
      </x:c>
      <x:c r="F4592" s="36" t="n">
        <x:v>3199</x:v>
      </x:c>
      <x:c r="G4592" s="42" t="n">
        <x:v>0.6861861861861862</x:v>
      </x:c>
      <x:c r="H4592" s="36" t="n">
        <x:f>E4592*G4592</x:f>
        <x:v>209434.31681681683</x:v>
      </x:c>
      <x:c r="I4592" s="36" t="n">
        <x:f>IFERROR(H4592/A4592,0)</x:f>
        <x:v>26179.289602102104</x:v>
      </x:c>
      <x:c r="J4592" s="67" t="str">
        <x:v>Modeled from live base + Sep-2026 quality ratio</x:v>
      </x:c>
      <x:c r="K4592" s="67" t="str">
        <x:v>https://www.stonealgo.com/diamond-prices/</x:v>
      </x:c>
      <x:c r="L4592" s="67" t="str">
        <x:v>https://www.pricescope.com/blog/natural-diamond-prices-september-2026</x:v>
      </x:c>
    </x:row>
    <x:row r="4593">
      <x:c r="A4593" t="n">
        <x:v>8</x:v>
      </x:c>
      <x:c r="B4593" t="str">
        <x:v>Oval</x:v>
      </x:c>
      <x:c r="C4593" t="str">
        <x:v>I</x:v>
      </x:c>
      <x:c r="D4593" t="str">
        <x:v>SI2</x:v>
      </x:c>
      <x:c r="E4593" s="36" t="n">
        <x:v>305215</x:v>
      </x:c>
      <x:c r="F4593" s="36" t="n">
        <x:v>2874</x:v>
      </x:c>
      <x:c r="G4593" s="42" t="n">
        <x:v>0.6164736164736164</x:v>
      </x:c>
      <x:c r="H4593" s="36" t="n">
        <x:f>E4593*G4593</x:f>
        <x:v>188156.99485199482</x:v>
      </x:c>
      <x:c r="I4593" s="36" t="n">
        <x:f>IFERROR(H4593/A4593,0)</x:f>
        <x:v>23519.624356499353</x:v>
      </x:c>
      <x:c r="J4593" s="67" t="str">
        <x:v>Modeled from live base + Sep-2026 quality ratio</x:v>
      </x:c>
      <x:c r="K4593" s="67" t="str">
        <x:v>https://www.stonealgo.com/diamond-prices/</x:v>
      </x:c>
      <x:c r="L4593" s="67" t="str">
        <x:v>https://www.pricescope.com/blog/natural-diamond-prices-september-2026</x:v>
      </x:c>
    </x:row>
    <x:row r="4594">
      <x:c r="A4594" t="n">
        <x:v>8</x:v>
      </x:c>
      <x:c r="B4594" t="str">
        <x:v>Oval</x:v>
      </x:c>
      <x:c r="C4594" t="str">
        <x:v>J</x:v>
      </x:c>
      <x:c r="D4594" t="str">
        <x:v>FL</x:v>
      </x:c>
      <x:c r="E4594" s="36" t="n">
        <x:v>305215</x:v>
      </x:c>
      <x:c r="F4594" s="36" t="n">
        <x:v>3646</x:v>
      </x:c>
      <x:c r="G4594" s="42" t="n">
        <x:v>0.782067782067782</x:v>
      </x:c>
      <x:c r="H4594" s="36" t="n">
        <x:f>E4594*G4594</x:f>
        <x:v>238698.8181038181</x:v>
      </x:c>
      <x:c r="I4594" s="36" t="n">
        <x:f>IFERROR(H4594/A4594,0)</x:f>
        <x:v>29837.352262977263</x:v>
      </x:c>
      <x:c r="J4594" s="67" t="str">
        <x:v>Modeled from live base + Sep-2026 quality ratio</x:v>
      </x:c>
      <x:c r="K4594" s="67" t="str">
        <x:v>https://www.stonealgo.com/diamond-prices/</x:v>
      </x:c>
      <x:c r="L4594" s="67" t="str">
        <x:v>https://www.pricescope.com/blog/natural-diamond-prices-september-2026</x:v>
      </x:c>
    </x:row>
    <x:row r="4595">
      <x:c r="A4595" t="n">
        <x:v>8</x:v>
      </x:c>
      <x:c r="B4595" t="str">
        <x:v>Oval</x:v>
      </x:c>
      <x:c r="C4595" t="str">
        <x:v>J</x:v>
      </x:c>
      <x:c r="D4595" t="str">
        <x:v>IF</x:v>
      </x:c>
      <x:c r="E4595" s="36" t="n">
        <x:v>305215</x:v>
      </x:c>
      <x:c r="F4595" s="36" t="n">
        <x:v>3368</x:v>
      </x:c>
      <x:c r="G4595" s="42" t="n">
        <x:v>0.7224367224367224</x:v>
      </x:c>
      <x:c r="H4595" s="36" t="n">
        <x:f>E4595*G4595</x:f>
        <x:v>220498.52423852423</x:v>
      </x:c>
      <x:c r="I4595" s="36" t="n">
        <x:f>IFERROR(H4595/A4595,0)</x:f>
        <x:v>27562.31552981553</x:v>
      </x:c>
      <x:c r="J4595" s="67" t="str">
        <x:v>Modeled from live base + Sep-2026 quality ratio</x:v>
      </x:c>
      <x:c r="K4595" s="67" t="str">
        <x:v>https://www.stonealgo.com/diamond-prices/</x:v>
      </x:c>
      <x:c r="L4595" s="67" t="str">
        <x:v>https://www.pricescope.com/blog/natural-diamond-prices-september-2026</x:v>
      </x:c>
    </x:row>
    <x:row r="4596">
      <x:c r="A4596" t="n">
        <x:v>8</x:v>
      </x:c>
      <x:c r="B4596" t="str">
        <x:v>Oval</x:v>
      </x:c>
      <x:c r="C4596" t="str">
        <x:v>J</x:v>
      </x:c>
      <x:c r="D4596" t="str">
        <x:v>VVS1</x:v>
      </x:c>
      <x:c r="E4596" s="36" t="n">
        <x:v>305215</x:v>
      </x:c>
      <x:c r="F4596" s="36" t="n">
        <x:v>2956</x:v>
      </x:c>
      <x:c r="G4596" s="42" t="n">
        <x:v>0.6340626340626341</x:v>
      </x:c>
      <x:c r="H4596" s="36" t="n">
        <x:f>E4596*G4596</x:f>
        <x:v>193525.42685542686</x:v>
      </x:c>
      <x:c r="I4596" s="36" t="n">
        <x:f>IFERROR(H4596/A4596,0)</x:f>
        <x:v>24190.678356928358</x:v>
      </x:c>
      <x:c r="J4596" s="67" t="str">
        <x:v>Modeled from live base + Sep-2026 quality ratio</x:v>
      </x:c>
      <x:c r="K4596" s="67" t="str">
        <x:v>https://www.stonealgo.com/diamond-prices/</x:v>
      </x:c>
      <x:c r="L4596" s="67" t="str">
        <x:v>https://www.pricescope.com/blog/natural-diamond-prices-september-2026</x:v>
      </x:c>
    </x:row>
    <x:row r="4597">
      <x:c r="A4597" t="n">
        <x:v>8</x:v>
      </x:c>
      <x:c r="B4597" t="str">
        <x:v>Oval</x:v>
      </x:c>
      <x:c r="C4597" t="str">
        <x:v>J</x:v>
      </x:c>
      <x:c r="D4597" t="str">
        <x:v>VVS2</x:v>
      </x:c>
      <x:c r="E4597" s="36" t="n">
        <x:v>305215</x:v>
      </x:c>
      <x:c r="F4597" s="36" t="n">
        <x:v>2612</x:v>
      </x:c>
      <x:c r="G4597" s="42" t="n">
        <x:v>0.5602745602745602</x:v>
      </x:c>
      <x:c r="H4597" s="36" t="n">
        <x:f>E4597*G4597</x:f>
        <x:v>171004.1999141999</x:v>
      </x:c>
      <x:c r="I4597" s="36" t="n">
        <x:f>IFERROR(H4597/A4597,0)</x:f>
        <x:v>21375.52498927499</x:v>
      </x:c>
      <x:c r="J4597" s="67" t="str">
        <x:v>Modeled from live base + Sep-2026 quality ratio</x:v>
      </x:c>
      <x:c r="K4597" s="67" t="str">
        <x:v>https://www.stonealgo.com/diamond-prices/</x:v>
      </x:c>
      <x:c r="L4597" s="67" t="str">
        <x:v>https://www.pricescope.com/blog/natural-diamond-prices-september-2026</x:v>
      </x:c>
    </x:row>
    <x:row r="4598">
      <x:c r="A4598" t="n">
        <x:v>8</x:v>
      </x:c>
      <x:c r="B4598" t="str">
        <x:v>Oval</x:v>
      </x:c>
      <x:c r="C4598" t="str">
        <x:v>J</x:v>
      </x:c>
      <x:c r="D4598" t="str">
        <x:v>VS1</x:v>
      </x:c>
      <x:c r="E4598" s="36" t="n">
        <x:v>305215</x:v>
      </x:c>
      <x:c r="F4598" s="36" t="n">
        <x:v>3002</x:v>
      </x:c>
      <x:c r="G4598" s="42" t="n">
        <x:v>0.6439296439296439</x:v>
      </x:c>
      <x:c r="H4598" s="36" t="n">
        <x:f>E4598*G4598</x:f>
        <x:v>196536.98627198627</x:v>
      </x:c>
      <x:c r="I4598" s="36" t="n">
        <x:f>IFERROR(H4598/A4598,0)</x:f>
        <x:v>24567.123283998284</x:v>
      </x:c>
      <x:c r="J4598" s="67" t="str">
        <x:v>Modeled from live base + Sep-2026 quality ratio</x:v>
      </x:c>
      <x:c r="K4598" s="67" t="str">
        <x:v>https://www.stonealgo.com/diamond-prices/</x:v>
      </x:c>
      <x:c r="L4598" s="67" t="str">
        <x:v>https://www.pricescope.com/blog/natural-diamond-prices-september-2026</x:v>
      </x:c>
    </x:row>
    <x:row r="4599">
      <x:c r="A4599" t="n">
        <x:v>8</x:v>
      </x:c>
      <x:c r="B4599" t="str">
        <x:v>Oval</x:v>
      </x:c>
      <x:c r="C4599" t="str">
        <x:v>J</x:v>
      </x:c>
      <x:c r="D4599" t="str">
        <x:v>VS2</x:v>
      </x:c>
      <x:c r="E4599" s="36" t="n">
        <x:v>305215</x:v>
      </x:c>
      <x:c r="F4599" s="36" t="n">
        <x:v>2559</x:v>
      </x:c>
      <x:c r="G4599" s="42" t="n">
        <x:v>0.5489060489060489</x:v>
      </x:c>
      <x:c r="H4599" s="36" t="n">
        <x:f>E4599*G4599</x:f>
        <x:v>167534.3597168597</x:v>
      </x:c>
      <x:c r="I4599" s="36" t="n">
        <x:f>IFERROR(H4599/A4599,0)</x:f>
        <x:v>20941.794964607463</x:v>
      </x:c>
      <x:c r="J4599" s="67" t="str">
        <x:v>Modeled from live base + Sep-2026 quality ratio</x:v>
      </x:c>
      <x:c r="K4599" s="67" t="str">
        <x:v>https://www.stonealgo.com/diamond-prices/</x:v>
      </x:c>
      <x:c r="L4599" s="67" t="str">
        <x:v>https://www.pricescope.com/blog/natural-diamond-prices-september-2026</x:v>
      </x:c>
    </x:row>
    <x:row r="4600">
      <x:c r="A4600" t="n">
        <x:v>8</x:v>
      </x:c>
      <x:c r="B4600" t="str">
        <x:v>Oval</x:v>
      </x:c>
      <x:c r="C4600" t="str">
        <x:v>J</x:v>
      </x:c>
      <x:c r="D4600" t="str">
        <x:v>SI1</x:v>
      </x:c>
      <x:c r="E4600" s="36" t="n">
        <x:v>305215</x:v>
      </x:c>
      <x:c r="F4600" s="36" t="n">
        <x:v>2195</x:v>
      </x:c>
      <x:c r="G4600" s="42" t="n">
        <x:v>0.47082797082797084</x:v>
      </x:c>
      <x:c r="H4600" s="36" t="n">
        <x:f>E4600*G4600</x:f>
        <x:v>143703.7591162591</x:v>
      </x:c>
      <x:c r="I4600" s="36" t="n">
        <x:f>IFERROR(H4600/A4600,0)</x:f>
        <x:v>17962.96988953239</x:v>
      </x:c>
      <x:c r="J4600" s="67" t="str">
        <x:v>Modeled from live base + Sep-2026 quality ratio</x:v>
      </x:c>
      <x:c r="K4600" s="67" t="str">
        <x:v>https://www.stonealgo.com/diamond-prices/</x:v>
      </x:c>
      <x:c r="L4600" s="67" t="str">
        <x:v>https://www.pricescope.com/blog/natural-diamond-prices-september-2026</x:v>
      </x:c>
    </x:row>
    <x:row r="4601">
      <x:c r="A4601" t="n">
        <x:v>8</x:v>
      </x:c>
      <x:c r="B4601" t="str">
        <x:v>Oval</x:v>
      </x:c>
      <x:c r="C4601" t="str">
        <x:v>J</x:v>
      </x:c>
      <x:c r="D4601" t="str">
        <x:v>SI2</x:v>
      </x:c>
      <x:c r="E4601" s="36" t="n">
        <x:v>305215</x:v>
      </x:c>
      <x:c r="F4601" s="36" t="n">
        <x:v>2079</x:v>
      </x:c>
      <x:c r="G4601" s="42" t="n">
        <x:v>0.44594594594594594</x:v>
      </x:c>
      <x:c r="H4601" s="36" t="n">
        <x:f>E4601*G4601</x:f>
        <x:v>136109.3918918919</x:v>
      </x:c>
      <x:c r="I4601" s="36" t="n">
        <x:f>IFERROR(H4601/A4601,0)</x:f>
        <x:v>17013.673986486487</x:v>
      </x:c>
      <x:c r="J4601" s="67" t="str">
        <x:v>Modeled from live base + Sep-2026 quality ratio</x:v>
      </x:c>
      <x:c r="K4601" s="67" t="str">
        <x:v>https://www.stonealgo.com/diamond-prices/</x:v>
      </x:c>
      <x:c r="L4601" s="67" t="str">
        <x:v>https://www.pricescope.com/blog/natural-diamond-prices-september-2026</x:v>
      </x:c>
    </x:row>
    <x:row r="4602">
      <x:c r="A4602" t="n">
        <x:v>8</x:v>
      </x:c>
      <x:c r="B4602" t="str">
        <x:v>Oval</x:v>
      </x:c>
      <x:c r="C4602" t="str">
        <x:v>K</x:v>
      </x:c>
      <x:c r="D4602" t="str">
        <x:v>FL</x:v>
      </x:c>
      <x:c r="E4602" s="36" t="n">
        <x:v>305215</x:v>
      </x:c>
      <x:c r="F4602" s="36" t="n">
        <x:v>2858</x:v>
      </x:c>
      <x:c r="G4602" s="42" t="n">
        <x:v>0.6130416130416131</x:v>
      </x:c>
      <x:c r="H4602" s="36" t="n">
        <x:f>E4602*G4602</x:f>
        <x:v>187109.49592449595</x:v>
      </x:c>
      <x:c r="I4602" s="36" t="n">
        <x:f>IFERROR(H4602/A4602,0)</x:f>
        <x:v>23388.686990561993</x:v>
      </x:c>
      <x:c r="J4602" s="67" t="str">
        <x:v>Modeled from live base + Sep-2026 quality ratio; K/FL quality cell modeled</x:v>
      </x:c>
      <x:c r="K4602" s="67" t="str">
        <x:v>https://www.stonealgo.com/diamond-prices/</x:v>
      </x:c>
      <x:c r="L4602" s="67" t="str">
        <x:v>https://www.pricescope.com/blog/natural-diamond-prices-september-2026</x:v>
      </x:c>
    </x:row>
    <x:row r="4603">
      <x:c r="A4603" t="n">
        <x:v>8</x:v>
      </x:c>
      <x:c r="B4603" t="str">
        <x:v>Oval</x:v>
      </x:c>
      <x:c r="C4603" t="str">
        <x:v>K</x:v>
      </x:c>
      <x:c r="D4603" t="str">
        <x:v>IF</x:v>
      </x:c>
      <x:c r="E4603" s="36" t="n">
        <x:v>305215</x:v>
      </x:c>
      <x:c r="F4603" s="36" t="n">
        <x:v>2743</x:v>
      </x:c>
      <x:c r="G4603" s="42" t="n">
        <x:v>0.5883740883740883</x:v>
      </x:c>
      <x:c r="H4603" s="36" t="n">
        <x:f>E4603*G4603</x:f>
        <x:v>179580.59738309737</x:v>
      </x:c>
      <x:c r="I4603" s="36" t="n">
        <x:f>IFERROR(H4603/A4603,0)</x:f>
        <x:v>22447.57467288717</x:v>
      </x:c>
      <x:c r="J4603" s="67" t="str">
        <x:v>Modeled from live base + Sep-2026 quality ratio</x:v>
      </x:c>
      <x:c r="K4603" s="67" t="str">
        <x:v>https://www.stonealgo.com/diamond-prices/</x:v>
      </x:c>
      <x:c r="L4603" s="67" t="str">
        <x:v>https://www.pricescope.com/blog/natural-diamond-prices-september-2026</x:v>
      </x:c>
    </x:row>
    <x:row r="4604">
      <x:c r="A4604" t="n">
        <x:v>8</x:v>
      </x:c>
      <x:c r="B4604" t="str">
        <x:v>Oval</x:v>
      </x:c>
      <x:c r="C4604" t="str">
        <x:v>K</x:v>
      </x:c>
      <x:c r="D4604" t="str">
        <x:v>VVS1</x:v>
      </x:c>
      <x:c r="E4604" s="36" t="n">
        <x:v>305215</x:v>
      </x:c>
      <x:c r="F4604" s="36" t="n">
        <x:v>2529</x:v>
      </x:c>
      <x:c r="G4604" s="42" t="n">
        <x:v>0.5424710424710425</x:v>
      </x:c>
      <x:c r="H4604" s="36" t="n">
        <x:f>E4604*G4604</x:f>
        <x:v>165570.29922779923</x:v>
      </x:c>
      <x:c r="I4604" s="36" t="n">
        <x:f>IFERROR(H4604/A4604,0)</x:f>
        <x:v>20696.287403474904</x:v>
      </x:c>
      <x:c r="J4604" s="67" t="str">
        <x:v>Modeled from live base + Sep-2026 quality ratio</x:v>
      </x:c>
      <x:c r="K4604" s="67" t="str">
        <x:v>https://www.stonealgo.com/diamond-prices/</x:v>
      </x:c>
      <x:c r="L4604" s="67" t="str">
        <x:v>https://www.pricescope.com/blog/natural-diamond-prices-september-2026</x:v>
      </x:c>
    </x:row>
    <x:row r="4605">
      <x:c r="A4605" t="n">
        <x:v>8</x:v>
      </x:c>
      <x:c r="B4605" t="str">
        <x:v>Oval</x:v>
      </x:c>
      <x:c r="C4605" t="str">
        <x:v>K</x:v>
      </x:c>
      <x:c r="D4605" t="str">
        <x:v>VVS2</x:v>
      </x:c>
      <x:c r="E4605" s="36" t="n">
        <x:v>305215</x:v>
      </x:c>
      <x:c r="F4605" s="36" t="n">
        <x:v>2374</x:v>
      </x:c>
      <x:c r="G4605" s="42" t="n">
        <x:v>0.5092235092235092</x:v>
      </x:c>
      <x:c r="H4605" s="36" t="n">
        <x:f>E4605*G4605</x:f>
        <x:v>155422.65336765337</x:v>
      </x:c>
      <x:c r="I4605" s="36" t="n">
        <x:f>IFERROR(H4605/A4605,0)</x:f>
        <x:v>19427.83167095667</x:v>
      </x:c>
      <x:c r="J4605" s="67" t="str">
        <x:v>Modeled from live base + Sep-2026 quality ratio</x:v>
      </x:c>
      <x:c r="K4605" s="67" t="str">
        <x:v>https://www.stonealgo.com/diamond-prices/</x:v>
      </x:c>
      <x:c r="L4605" s="67" t="str">
        <x:v>https://www.pricescope.com/blog/natural-diamond-prices-september-2026</x:v>
      </x:c>
    </x:row>
    <x:row r="4606">
      <x:c r="A4606" t="n">
        <x:v>8</x:v>
      </x:c>
      <x:c r="B4606" t="str">
        <x:v>Oval</x:v>
      </x:c>
      <x:c r="C4606" t="str">
        <x:v>K</x:v>
      </x:c>
      <x:c r="D4606" t="str">
        <x:v>VS1</x:v>
      </x:c>
      <x:c r="E4606" s="36" t="n">
        <x:v>305215</x:v>
      </x:c>
      <x:c r="F4606" s="36" t="n">
        <x:v>2223</x:v>
      </x:c>
      <x:c r="G4606" s="42" t="n">
        <x:v>0.4768339768339768</x:v>
      </x:c>
      <x:c r="H4606" s="36" t="n">
        <x:f>E4606*G4606</x:f>
        <x:v>145536.88223938225</x:v>
      </x:c>
      <x:c r="I4606" s="36" t="n">
        <x:f>IFERROR(H4606/A4606,0)</x:f>
        <x:v>18192.11027992278</x:v>
      </x:c>
      <x:c r="J4606" s="67" t="str">
        <x:v>Modeled from live base + Sep-2026 quality ratio</x:v>
      </x:c>
      <x:c r="K4606" s="67" t="str">
        <x:v>https://www.stonealgo.com/diamond-prices/</x:v>
      </x:c>
      <x:c r="L4606" s="67" t="str">
        <x:v>https://www.pricescope.com/blog/natural-diamond-prices-september-2026</x:v>
      </x:c>
    </x:row>
    <x:row r="4607">
      <x:c r="A4607" t="n">
        <x:v>8</x:v>
      </x:c>
      <x:c r="B4607" t="str">
        <x:v>Oval</x:v>
      </x:c>
      <x:c r="C4607" t="str">
        <x:v>K</x:v>
      </x:c>
      <x:c r="D4607" t="str">
        <x:v>VS2</x:v>
      </x:c>
      <x:c r="E4607" s="36" t="n">
        <x:v>305215</x:v>
      </x:c>
      <x:c r="F4607" s="36" t="n">
        <x:v>2098</x:v>
      </x:c>
      <x:c r="G4607" s="42" t="n">
        <x:v>0.45002145002145</x:v>
      </x:c>
      <x:c r="H4607" s="36" t="n">
        <x:f>E4607*G4607</x:f>
        <x:v>137353.29686829686</x:v>
      </x:c>
      <x:c r="I4607" s="36" t="n">
        <x:f>IFERROR(H4607/A4607,0)</x:f>
        <x:v>17169.162108537108</x:v>
      </x:c>
      <x:c r="J4607" s="67" t="str">
        <x:v>Modeled from live base + Sep-2026 quality ratio</x:v>
      </x:c>
      <x:c r="K4607" s="67" t="str">
        <x:v>https://www.stonealgo.com/diamond-prices/</x:v>
      </x:c>
      <x:c r="L4607" s="67" t="str">
        <x:v>https://www.pricescope.com/blog/natural-diamond-prices-september-2026</x:v>
      </x:c>
    </x:row>
    <x:row r="4608">
      <x:c r="A4608" t="n">
        <x:v>8</x:v>
      </x:c>
      <x:c r="B4608" t="str">
        <x:v>Oval</x:v>
      </x:c>
      <x:c r="C4608" t="str">
        <x:v>K</x:v>
      </x:c>
      <x:c r="D4608" t="str">
        <x:v>SI1</x:v>
      </x:c>
      <x:c r="E4608" s="36" t="n">
        <x:v>305215</x:v>
      </x:c>
      <x:c r="F4608" s="36" t="n">
        <x:v>1922</x:v>
      </x:c>
      <x:c r="G4608" s="42" t="n">
        <x:v>0.41226941226941227</x:v>
      </x:c>
      <x:c r="H4608" s="36" t="n">
        <x:f>E4608*G4608</x:f>
        <x:v>125830.80866580867</x:v>
      </x:c>
      <x:c r="I4608" s="36" t="n">
        <x:f>IFERROR(H4608/A4608,0)</x:f>
        <x:v>15728.851083226084</x:v>
      </x:c>
      <x:c r="J4608" s="67" t="str">
        <x:v>Modeled from live base + Sep-2026 quality ratio</x:v>
      </x:c>
      <x:c r="K4608" s="67" t="str">
        <x:v>https://www.stonealgo.com/diamond-prices/</x:v>
      </x:c>
      <x:c r="L4608" s="67" t="str">
        <x:v>https://www.pricescope.com/blog/natural-diamond-prices-september-2026</x:v>
      </x:c>
    </x:row>
    <x:row r="4609">
      <x:c r="A4609" t="n">
        <x:v>8</x:v>
      </x:c>
      <x:c r="B4609" t="str">
        <x:v>Oval</x:v>
      </x:c>
      <x:c r="C4609" t="str">
        <x:v>K</x:v>
      </x:c>
      <x:c r="D4609" t="str">
        <x:v>SI2</x:v>
      </x:c>
      <x:c r="E4609" s="36" t="n">
        <x:v>305215</x:v>
      </x:c>
      <x:c r="F4609" s="36" t="n">
        <x:v>1764</x:v>
      </x:c>
      <x:c r="G4609" s="42" t="n">
        <x:v>0.3783783783783784</x:v>
      </x:c>
      <x:c r="H4609" s="36" t="n">
        <x:f>E4609*G4609</x:f>
        <x:v>115486.75675675676</x:v>
      </x:c>
      <x:c r="I4609" s="36" t="n">
        <x:f>IFERROR(H4609/A4609,0)</x:f>
        <x:v>14435.844594594595</x:v>
      </x:c>
      <x:c r="J4609" s="67" t="str">
        <x:v>Modeled from live base + Sep-2026 quality ratio</x:v>
      </x:c>
      <x:c r="K4609" s="67" t="str">
        <x:v>https://www.stonealgo.com/diamond-prices/</x:v>
      </x:c>
      <x:c r="L4609" s="67" t="str">
        <x:v>https://www.pricescope.com/blog/natural-diamond-prices-september-2026</x:v>
      </x:c>
    </x:row>
    <x:row r="4610">
      <x:c r="A4610" t="n">
        <x:v>8</x:v>
      </x:c>
      <x:c r="B4610" t="str">
        <x:v>Princess</x:v>
      </x:c>
      <x:c r="C4610" t="str">
        <x:v>D</x:v>
      </x:c>
      <x:c r="D4610" t="str">
        <x:v>FL</x:v>
      </x:c>
      <x:c r="E4610" s="36" t="n">
        <x:v>174000</x:v>
      </x:c>
      <x:c r="F4610" s="36" t="n">
        <x:v>12665</x:v>
      </x:c>
      <x:c r="G4610" s="42" t="n">
        <x:v>2.7166452166452166</x:v>
      </x:c>
      <x:c r="H4610" s="36" t="n">
        <x:f>E4610*G4610</x:f>
        <x:v>472696.2676962677</x:v>
      </x:c>
      <x:c r="I4610" s="36" t="n">
        <x:f>IFERROR(H4610/A4610,0)</x:f>
        <x:v>59087.03346203346</x:v>
      </x:c>
      <x:c r="J4610" s="67" t="str">
        <x:v>Modeled from live base + Sep-2026 quality ratio</x:v>
      </x:c>
      <x:c r="K4610" s="67" t="str">
        <x:v>https://www.stonealgo.com/diamond-prices/</x:v>
      </x:c>
      <x:c r="L4610" s="67" t="str">
        <x:v>https://www.pricescope.com/blog/natural-diamond-prices-september-2026</x:v>
      </x:c>
    </x:row>
    <x:row r="4611">
      <x:c r="A4611" t="n">
        <x:v>8</x:v>
      </x:c>
      <x:c r="B4611" t="str">
        <x:v>Princess</x:v>
      </x:c>
      <x:c r="C4611" t="str">
        <x:v>D</x:v>
      </x:c>
      <x:c r="D4611" t="str">
        <x:v>IF</x:v>
      </x:c>
      <x:c r="E4611" s="36" t="n">
        <x:v>174000</x:v>
      </x:c>
      <x:c r="F4611" s="36" t="n">
        <x:v>13240</x:v>
      </x:c>
      <x:c r="G4611" s="42" t="n">
        <x:v>2.83998283998284</x:v>
      </x:c>
      <x:c r="H4611" s="36" t="n">
        <x:f>E4611*G4611</x:f>
        <x:v>494157.0141570142</x:v>
      </x:c>
      <x:c r="I4611" s="36" t="n">
        <x:f>IFERROR(H4611/A4611,0)</x:f>
        <x:v>61769.626769626775</x:v>
      </x:c>
      <x:c r="J4611" s="67" t="str">
        <x:v>Modeled from live base + Sep-2026 quality ratio</x:v>
      </x:c>
      <x:c r="K4611" s="67" t="str">
        <x:v>https://www.stonealgo.com/diamond-prices/</x:v>
      </x:c>
      <x:c r="L4611" s="67" t="str">
        <x:v>https://www.pricescope.com/blog/natural-diamond-prices-september-2026</x:v>
      </x:c>
    </x:row>
    <x:row r="4612">
      <x:c r="A4612" t="n">
        <x:v>8</x:v>
      </x:c>
      <x:c r="B4612" t="str">
        <x:v>Princess</x:v>
      </x:c>
      <x:c r="C4612" t="str">
        <x:v>D</x:v>
      </x:c>
      <x:c r="D4612" t="str">
        <x:v>VVS1</x:v>
      </x:c>
      <x:c r="E4612" s="36" t="n">
        <x:v>174000</x:v>
      </x:c>
      <x:c r="F4612" s="36" t="n">
        <x:v>9555</x:v>
      </x:c>
      <x:c r="G4612" s="42" t="n">
        <x:v>2.0495495495495497</x:v>
      </x:c>
      <x:c r="H4612" s="36" t="n">
        <x:f>E4612*G4612</x:f>
        <x:v>356621.62162162166</x:v>
      </x:c>
      <x:c r="I4612" s="36" t="n">
        <x:f>IFERROR(H4612/A4612,0)</x:f>
        <x:v>44577.70270270271</x:v>
      </x:c>
      <x:c r="J4612" s="67" t="str">
        <x:v>Modeled from live base + Sep-2026 quality ratio</x:v>
      </x:c>
      <x:c r="K4612" s="67" t="str">
        <x:v>https://www.stonealgo.com/diamond-prices/</x:v>
      </x:c>
      <x:c r="L4612" s="67" t="str">
        <x:v>https://www.pricescope.com/blog/natural-diamond-prices-september-2026</x:v>
      </x:c>
    </x:row>
    <x:row r="4613">
      <x:c r="A4613" t="n">
        <x:v>8</x:v>
      </x:c>
      <x:c r="B4613" t="str">
        <x:v>Princess</x:v>
      </x:c>
      <x:c r="C4613" t="str">
        <x:v>D</x:v>
      </x:c>
      <x:c r="D4613" t="str">
        <x:v>VVS2</x:v>
      </x:c>
      <x:c r="E4613" s="36" t="n">
        <x:v>174000</x:v>
      </x:c>
      <x:c r="F4613" s="36" t="n">
        <x:v>6660</x:v>
      </x:c>
      <x:c r="G4613" s="42" t="n">
        <x:v>1.4285714285714286</x:v>
      </x:c>
      <x:c r="H4613" s="36" t="n">
        <x:f>E4613*G4613</x:f>
        <x:v>248571.42857142858</x:v>
      </x:c>
      <x:c r="I4613" s="36" t="n">
        <x:f>IFERROR(H4613/A4613,0)</x:f>
        <x:v>31071.428571428572</x:v>
      </x:c>
      <x:c r="J4613" s="67" t="str">
        <x:v>Modeled from live base + Sep-2026 quality ratio</x:v>
      </x:c>
      <x:c r="K4613" s="67" t="str">
        <x:v>https://www.stonealgo.com/diamond-prices/</x:v>
      </x:c>
      <x:c r="L4613" s="67" t="str">
        <x:v>https://www.pricescope.com/blog/natural-diamond-prices-september-2026</x:v>
      </x:c>
    </x:row>
    <x:row r="4614">
      <x:c r="A4614" t="n">
        <x:v>8</x:v>
      </x:c>
      <x:c r="B4614" t="str">
        <x:v>Princess</x:v>
      </x:c>
      <x:c r="C4614" t="str">
        <x:v>D</x:v>
      </x:c>
      <x:c r="D4614" t="str">
        <x:v>VS1</x:v>
      </x:c>
      <x:c r="E4614" s="36" t="n">
        <x:v>174000</x:v>
      </x:c>
      <x:c r="F4614" s="36" t="n">
        <x:v>6247</x:v>
      </x:c>
      <x:c r="G4614" s="42" t="n">
        <x:v>1.33998283998284</x:v>
      </x:c>
      <x:c r="H4614" s="36" t="n">
        <x:f>E4614*G4614</x:f>
        <x:v>233157.01415701414</x:v>
      </x:c>
      <x:c r="I4614" s="36" t="n">
        <x:f>IFERROR(H4614/A4614,0)</x:f>
        <x:v>29144.626769626768</x:v>
      </x:c>
      <x:c r="J4614" s="67" t="str">
        <x:v>Modeled from live base + Sep-2026 quality ratio</x:v>
      </x:c>
      <x:c r="K4614" s="67" t="str">
        <x:v>https://www.stonealgo.com/diamond-prices/</x:v>
      </x:c>
      <x:c r="L4614" s="67" t="str">
        <x:v>https://www.pricescope.com/blog/natural-diamond-prices-september-2026</x:v>
      </x:c>
    </x:row>
    <x:row r="4615">
      <x:c r="A4615" t="n">
        <x:v>8</x:v>
      </x:c>
      <x:c r="B4615" t="str">
        <x:v>Princess</x:v>
      </x:c>
      <x:c r="C4615" t="str">
        <x:v>D</x:v>
      </x:c>
      <x:c r="D4615" t="str">
        <x:v>VS2</x:v>
      </x:c>
      <x:c r="E4615" s="36" t="n">
        <x:v>174000</x:v>
      </x:c>
      <x:c r="F4615" s="36" t="n">
        <x:v>5841</x:v>
      </x:c>
      <x:c r="G4615" s="42" t="n">
        <x:v>1.252895752895753</x:v>
      </x:c>
      <x:c r="H4615" s="36" t="n">
        <x:f>E4615*G4615</x:f>
        <x:v>218003.861003861</x:v>
      </x:c>
      <x:c r="I4615" s="36" t="n">
        <x:f>IFERROR(H4615/A4615,0)</x:f>
        <x:v>27250.482625482626</x:v>
      </x:c>
      <x:c r="J4615" s="67" t="str">
        <x:v>Modeled from live base + Sep-2026 quality ratio</x:v>
      </x:c>
      <x:c r="K4615" s="67" t="str">
        <x:v>https://www.stonealgo.com/diamond-prices/</x:v>
      </x:c>
      <x:c r="L4615" s="67" t="str">
        <x:v>https://www.pricescope.com/blog/natural-diamond-prices-september-2026</x:v>
      </x:c>
    </x:row>
    <x:row r="4616">
      <x:c r="A4616" t="n">
        <x:v>8</x:v>
      </x:c>
      <x:c r="B4616" t="str">
        <x:v>Princess</x:v>
      </x:c>
      <x:c r="C4616" t="str">
        <x:v>D</x:v>
      </x:c>
      <x:c r="D4616" t="str">
        <x:v>SI1</x:v>
      </x:c>
      <x:c r="E4616" s="36" t="n">
        <x:v>174000</x:v>
      </x:c>
      <x:c r="F4616" s="36" t="n">
        <x:v>3762</x:v>
      </x:c>
      <x:c r="G4616" s="42" t="n">
        <x:v>0.806949806949807</x:v>
      </x:c>
      <x:c r="H4616" s="36" t="n">
        <x:f>E4616*G4616</x:f>
        <x:v>140409.26640926642</x:v>
      </x:c>
      <x:c r="I4616" s="36" t="n">
        <x:f>IFERROR(H4616/A4616,0)</x:f>
        <x:v>17551.158301158302</x:v>
      </x:c>
      <x:c r="J4616" s="67" t="str">
        <x:v>Modeled from live base + Sep-2026 quality ratio</x:v>
      </x:c>
      <x:c r="K4616" s="67" t="str">
        <x:v>https://www.stonealgo.com/diamond-prices/</x:v>
      </x:c>
      <x:c r="L4616" s="67" t="str">
        <x:v>https://www.pricescope.com/blog/natural-diamond-prices-september-2026</x:v>
      </x:c>
    </x:row>
    <x:row r="4617">
      <x:c r="A4617" t="n">
        <x:v>8</x:v>
      </x:c>
      <x:c r="B4617" t="str">
        <x:v>Princess</x:v>
      </x:c>
      <x:c r="C4617" t="str">
        <x:v>D</x:v>
      </x:c>
      <x:c r="D4617" t="str">
        <x:v>SI2</x:v>
      </x:c>
      <x:c r="E4617" s="36" t="n">
        <x:v>174000</x:v>
      </x:c>
      <x:c r="F4617" s="36" t="n">
        <x:v>3026</x:v>
      </x:c>
      <x:c r="G4617" s="42" t="n">
        <x:v>0.6490776490776491</x:v>
      </x:c>
      <x:c r="H4617" s="36" t="n">
        <x:f>E4617*G4617</x:f>
        <x:v>112939.51093951095</x:v>
      </x:c>
      <x:c r="I4617" s="36" t="n">
        <x:f>IFERROR(H4617/A4617,0)</x:f>
        <x:v>14117.438867438868</x:v>
      </x:c>
      <x:c r="J4617" s="67" t="str">
        <x:v>Modeled from live base + Sep-2026 quality ratio</x:v>
      </x:c>
      <x:c r="K4617" s="67" t="str">
        <x:v>https://www.stonealgo.com/diamond-prices/</x:v>
      </x:c>
      <x:c r="L4617" s="67" t="str">
        <x:v>https://www.pricescope.com/blog/natural-diamond-prices-september-2026</x:v>
      </x:c>
    </x:row>
    <x:row r="4618">
      <x:c r="A4618" t="n">
        <x:v>8</x:v>
      </x:c>
      <x:c r="B4618" t="str">
        <x:v>Princess</x:v>
      </x:c>
      <x:c r="C4618" t="str">
        <x:v>E</x:v>
      </x:c>
      <x:c r="D4618" t="str">
        <x:v>FL</x:v>
      </x:c>
      <x:c r="E4618" s="36" t="n">
        <x:v>174000</x:v>
      </x:c>
      <x:c r="F4618" s="36" t="n">
        <x:v>10072</x:v>
      </x:c>
      <x:c r="G4618" s="42" t="n">
        <x:v>2.1604461604461602</x:v>
      </x:c>
      <x:c r="H4618" s="36" t="n">
        <x:f>E4618*G4618</x:f>
        <x:v>375917.6319176319</x:v>
      </x:c>
      <x:c r="I4618" s="36" t="n">
        <x:f>IFERROR(H4618/A4618,0)</x:f>
        <x:v>46989.70398970399</x:v>
      </x:c>
      <x:c r="J4618" s="67" t="str">
        <x:v>Modeled from live base + Sep-2026 quality ratio</x:v>
      </x:c>
      <x:c r="K4618" s="67" t="str">
        <x:v>https://www.stonealgo.com/diamond-prices/</x:v>
      </x:c>
      <x:c r="L4618" s="67" t="str">
        <x:v>https://www.pricescope.com/blog/natural-diamond-prices-september-2026</x:v>
      </x:c>
    </x:row>
    <x:row r="4619">
      <x:c r="A4619" t="n">
        <x:v>8</x:v>
      </x:c>
      <x:c r="B4619" t="str">
        <x:v>Princess</x:v>
      </x:c>
      <x:c r="C4619" t="str">
        <x:v>E</x:v>
      </x:c>
      <x:c r="D4619" t="str">
        <x:v>IF</x:v>
      </x:c>
      <x:c r="E4619" s="36" t="n">
        <x:v>174000</x:v>
      </x:c>
      <x:c r="F4619" s="36" t="n">
        <x:v>8672</x:v>
      </x:c>
      <x:c r="G4619" s="42" t="n">
        <x:v>1.8601458601458603</x:v>
      </x:c>
      <x:c r="H4619" s="36" t="n">
        <x:f>E4619*G4619</x:f>
        <x:v>323665.3796653797</x:v>
      </x:c>
      <x:c r="I4619" s="36" t="n">
        <x:f>IFERROR(H4619/A4619,0)</x:f>
        <x:v>40458.17245817246</x:v>
      </x:c>
      <x:c r="J4619" s="67" t="str">
        <x:v>Modeled from live base + Sep-2026 quality ratio</x:v>
      </x:c>
      <x:c r="K4619" s="67" t="str">
        <x:v>https://www.stonealgo.com/diamond-prices/</x:v>
      </x:c>
      <x:c r="L4619" s="67" t="str">
        <x:v>https://www.pricescope.com/blog/natural-diamond-prices-september-2026</x:v>
      </x:c>
    </x:row>
    <x:row r="4620">
      <x:c r="A4620" t="n">
        <x:v>8</x:v>
      </x:c>
      <x:c r="B4620" t="str">
        <x:v>Princess</x:v>
      </x:c>
      <x:c r="C4620" t="str">
        <x:v>E</x:v>
      </x:c>
      <x:c r="D4620" t="str">
        <x:v>VVS1</x:v>
      </x:c>
      <x:c r="E4620" s="36" t="n">
        <x:v>174000</x:v>
      </x:c>
      <x:c r="F4620" s="36" t="n">
        <x:v>7842</x:v>
      </x:c>
      <x:c r="G4620" s="42" t="n">
        <x:v>1.6821106821106822</x:v>
      </x:c>
      <x:c r="H4620" s="36" t="n">
        <x:f>E4620*G4620</x:f>
        <x:v>292687.2586872587</x:v>
      </x:c>
      <x:c r="I4620" s="36" t="n">
        <x:f>IFERROR(H4620/A4620,0)</x:f>
        <x:v>36585.90733590734</x:v>
      </x:c>
      <x:c r="J4620" s="67" t="str">
        <x:v>Modeled from live base + Sep-2026 quality ratio</x:v>
      </x:c>
      <x:c r="K4620" s="67" t="str">
        <x:v>https://www.stonealgo.com/diamond-prices/</x:v>
      </x:c>
      <x:c r="L4620" s="67" t="str">
        <x:v>https://www.pricescope.com/blog/natural-diamond-prices-september-2026</x:v>
      </x:c>
    </x:row>
    <x:row r="4621">
      <x:c r="A4621" t="n">
        <x:v>8</x:v>
      </x:c>
      <x:c r="B4621" t="str">
        <x:v>Princess</x:v>
      </x:c>
      <x:c r="C4621" t="str">
        <x:v>E</x:v>
      </x:c>
      <x:c r="D4621" t="str">
        <x:v>VVS2</x:v>
      </x:c>
      <x:c r="E4621" s="36" t="n">
        <x:v>174000</x:v>
      </x:c>
      <x:c r="F4621" s="36" t="n">
        <x:v>6880</x:v>
      </x:c>
      <x:c r="G4621" s="42" t="n">
        <x:v>1.4757614757614759</x:v>
      </x:c>
      <x:c r="H4621" s="36" t="n">
        <x:f>E4621*G4621</x:f>
        <x:v>256782.4967824968</x:v>
      </x:c>
      <x:c r="I4621" s="36" t="n">
        <x:f>IFERROR(H4621/A4621,0)</x:f>
        <x:v>32097.8120978121</x:v>
      </x:c>
      <x:c r="J4621" s="67" t="str">
        <x:v>Modeled from live base + Sep-2026 quality ratio</x:v>
      </x:c>
      <x:c r="K4621" s="67" t="str">
        <x:v>https://www.stonealgo.com/diamond-prices/</x:v>
      </x:c>
      <x:c r="L4621" s="67" t="str">
        <x:v>https://www.pricescope.com/blog/natural-diamond-prices-september-2026</x:v>
      </x:c>
    </x:row>
    <x:row r="4622">
      <x:c r="A4622" t="n">
        <x:v>8</x:v>
      </x:c>
      <x:c r="B4622" t="str">
        <x:v>Princess</x:v>
      </x:c>
      <x:c r="C4622" t="str">
        <x:v>E</x:v>
      </x:c>
      <x:c r="D4622" t="str">
        <x:v>VS1</x:v>
      </x:c>
      <x:c r="E4622" s="36" t="n">
        <x:v>174000</x:v>
      </x:c>
      <x:c r="F4622" s="36" t="n">
        <x:v>6307</x:v>
      </x:c>
      <x:c r="G4622" s="42" t="n">
        <x:v>1.352852852852853</x:v>
      </x:c>
      <x:c r="H4622" s="36" t="n">
        <x:f>E4622*G4622</x:f>
        <x:v>235396.39639639642</x:v>
      </x:c>
      <x:c r="I4622" s="36" t="n">
        <x:f>IFERROR(H4622/A4622,0)</x:f>
        <x:v>29424.549549549552</x:v>
      </x:c>
      <x:c r="J4622" s="67" t="str">
        <x:v>Modeled from live base + Sep-2026 quality ratio</x:v>
      </x:c>
      <x:c r="K4622" s="67" t="str">
        <x:v>https://www.stonealgo.com/diamond-prices/</x:v>
      </x:c>
      <x:c r="L4622" s="67" t="str">
        <x:v>https://www.pricescope.com/blog/natural-diamond-prices-september-2026</x:v>
      </x:c>
    </x:row>
    <x:row r="4623">
      <x:c r="A4623" t="n">
        <x:v>8</x:v>
      </x:c>
      <x:c r="B4623" t="str">
        <x:v>Princess</x:v>
      </x:c>
      <x:c r="C4623" t="str">
        <x:v>E</x:v>
      </x:c>
      <x:c r="D4623" t="str">
        <x:v>VS2</x:v>
      </x:c>
      <x:c r="E4623" s="36" t="n">
        <x:v>174000</x:v>
      </x:c>
      <x:c r="F4623" s="36" t="n">
        <x:v>5249</x:v>
      </x:c>
      <x:c r="G4623" s="42" t="n">
        <x:v>1.125911625911626</x:v>
      </x:c>
      <x:c r="H4623" s="36" t="n">
        <x:f>E4623*G4623</x:f>
        <x:v>195908.62290862293</x:v>
      </x:c>
      <x:c r="I4623" s="36" t="n">
        <x:f>IFERROR(H4623/A4623,0)</x:f>
        <x:v>24488.577863577866</x:v>
      </x:c>
      <x:c r="J4623" s="67" t="str">
        <x:v>Modeled from live base + Sep-2026 quality ratio</x:v>
      </x:c>
      <x:c r="K4623" s="67" t="str">
        <x:v>https://www.stonealgo.com/diamond-prices/</x:v>
      </x:c>
      <x:c r="L4623" s="67" t="str">
        <x:v>https://www.pricescope.com/blog/natural-diamond-prices-september-2026</x:v>
      </x:c>
    </x:row>
    <x:row r="4624">
      <x:c r="A4624" t="n">
        <x:v>8</x:v>
      </x:c>
      <x:c r="B4624" t="str">
        <x:v>Princess</x:v>
      </x:c>
      <x:c r="C4624" t="str">
        <x:v>E</x:v>
      </x:c>
      <x:c r="D4624" t="str">
        <x:v>SI1</x:v>
      </x:c>
      <x:c r="E4624" s="36" t="n">
        <x:v>174000</x:v>
      </x:c>
      <x:c r="F4624" s="36" t="n">
        <x:v>3551</x:v>
      </x:c>
      <x:c r="G4624" s="42" t="n">
        <x:v>0.7616902616902617</x:v>
      </x:c>
      <x:c r="H4624" s="36" t="n">
        <x:f>E4624*G4624</x:f>
        <x:v>132534.10553410553</x:v>
      </x:c>
      <x:c r="I4624" s="36" t="n">
        <x:f>IFERROR(H4624/A4624,0)</x:f>
        <x:v>16566.76319176319</x:v>
      </x:c>
      <x:c r="J4624" s="67" t="str">
        <x:v>Modeled from live base + Sep-2026 quality ratio</x:v>
      </x:c>
      <x:c r="K4624" s="67" t="str">
        <x:v>https://www.stonealgo.com/diamond-prices/</x:v>
      </x:c>
      <x:c r="L4624" s="67" t="str">
        <x:v>https://www.pricescope.com/blog/natural-diamond-prices-september-2026</x:v>
      </x:c>
    </x:row>
    <x:row r="4625">
      <x:c r="A4625" t="n">
        <x:v>8</x:v>
      </x:c>
      <x:c r="B4625" t="str">
        <x:v>Princess</x:v>
      </x:c>
      <x:c r="C4625" t="str">
        <x:v>E</x:v>
      </x:c>
      <x:c r="D4625" t="str">
        <x:v>SI2</x:v>
      </x:c>
      <x:c r="E4625" s="36" t="n">
        <x:v>174000</x:v>
      </x:c>
      <x:c r="F4625" s="36" t="n">
        <x:v>2993</x:v>
      </x:c>
      <x:c r="G4625" s="42" t="n">
        <x:v>0.641999141999142</x:v>
      </x:c>
      <x:c r="H4625" s="36" t="n">
        <x:f>E4625*G4625</x:f>
        <x:v>111707.85070785071</x:v>
      </x:c>
      <x:c r="I4625" s="36" t="n">
        <x:f>IFERROR(H4625/A4625,0)</x:f>
        <x:v>13963.481338481339</x:v>
      </x:c>
      <x:c r="J4625" s="67" t="str">
        <x:v>Modeled from live base + Sep-2026 quality ratio</x:v>
      </x:c>
      <x:c r="K4625" s="67" t="str">
        <x:v>https://www.stonealgo.com/diamond-prices/</x:v>
      </x:c>
      <x:c r="L4625" s="67" t="str">
        <x:v>https://www.pricescope.com/blog/natural-diamond-prices-september-2026</x:v>
      </x:c>
    </x:row>
    <x:row r="4626">
      <x:c r="A4626" t="n">
        <x:v>8</x:v>
      </x:c>
      <x:c r="B4626" t="str">
        <x:v>Princess</x:v>
      </x:c>
      <x:c r="C4626" t="str">
        <x:v>F</x:v>
      </x:c>
      <x:c r="D4626" t="str">
        <x:v>FL</x:v>
      </x:c>
      <x:c r="E4626" s="36" t="n">
        <x:v>174000</x:v>
      </x:c>
      <x:c r="F4626" s="36" t="n">
        <x:v>6830</x:v>
      </x:c>
      <x:c r="G4626" s="42" t="n">
        <x:v>1.4650364650364651</x:v>
      </x:c>
      <x:c r="H4626" s="36" t="n">
        <x:f>E4626*G4626</x:f>
        <x:v>254916.34491634494</x:v>
      </x:c>
      <x:c r="I4626" s="36" t="n">
        <x:f>IFERROR(H4626/A4626,0)</x:f>
        <x:v>31864.543114543118</x:v>
      </x:c>
      <x:c r="J4626" s="67" t="str">
        <x:v>Modeled from live base + Sep-2026 quality ratio</x:v>
      </x:c>
      <x:c r="K4626" s="67" t="str">
        <x:v>https://www.stonealgo.com/diamond-prices/</x:v>
      </x:c>
      <x:c r="L4626" s="67" t="str">
        <x:v>https://www.pricescope.com/blog/natural-diamond-prices-september-2026</x:v>
      </x:c>
    </x:row>
    <x:row r="4627">
      <x:c r="A4627" t="n">
        <x:v>8</x:v>
      </x:c>
      <x:c r="B4627" t="str">
        <x:v>Princess</x:v>
      </x:c>
      <x:c r="C4627" t="str">
        <x:v>F</x:v>
      </x:c>
      <x:c r="D4627" t="str">
        <x:v>IF</x:v>
      </x:c>
      <x:c r="E4627" s="36" t="n">
        <x:v>174000</x:v>
      </x:c>
      <x:c r="F4627" s="36" t="n">
        <x:v>7302</x:v>
      </x:c>
      <x:c r="G4627" s="42" t="n">
        <x:v>1.5662805662805663</x:v>
      </x:c>
      <x:c r="H4627" s="36" t="n">
        <x:f>E4627*G4627</x:f>
        <x:v>272532.8185328185</x:v>
      </x:c>
      <x:c r="I4627" s="36" t="n">
        <x:f>IFERROR(H4627/A4627,0)</x:f>
        <x:v>34066.602316602315</x:v>
      </x:c>
      <x:c r="J4627" s="67" t="str">
        <x:v>Modeled from live base + Sep-2026 quality ratio</x:v>
      </x:c>
      <x:c r="K4627" s="67" t="str">
        <x:v>https://www.stonealgo.com/diamond-prices/</x:v>
      </x:c>
      <x:c r="L4627" s="67" t="str">
        <x:v>https://www.pricescope.com/blog/natural-diamond-prices-september-2026</x:v>
      </x:c>
    </x:row>
    <x:row r="4628">
      <x:c r="A4628" t="n">
        <x:v>8</x:v>
      </x:c>
      <x:c r="B4628" t="str">
        <x:v>Princess</x:v>
      </x:c>
      <x:c r="C4628" t="str">
        <x:v>F</x:v>
      </x:c>
      <x:c r="D4628" t="str">
        <x:v>VVS1</x:v>
      </x:c>
      <x:c r="E4628" s="36" t="n">
        <x:v>174000</x:v>
      </x:c>
      <x:c r="F4628" s="36" t="n">
        <x:v>7542</x:v>
      </x:c>
      <x:c r="G4628" s="42" t="n">
        <x:v>1.6177606177606179</x:v>
      </x:c>
      <x:c r="H4628" s="36" t="n">
        <x:f>E4628*G4628</x:f>
        <x:v>281490.3474903475</x:v>
      </x:c>
      <x:c r="I4628" s="36" t="n">
        <x:f>IFERROR(H4628/A4628,0)</x:f>
        <x:v>35186.29343629344</x:v>
      </x:c>
      <x:c r="J4628" s="67" t="str">
        <x:v>Modeled from live base + Sep-2026 quality ratio</x:v>
      </x:c>
      <x:c r="K4628" s="67" t="str">
        <x:v>https://www.stonealgo.com/diamond-prices/</x:v>
      </x:c>
      <x:c r="L4628" s="67" t="str">
        <x:v>https://www.pricescope.com/blog/natural-diamond-prices-september-2026</x:v>
      </x:c>
    </x:row>
    <x:row r="4629">
      <x:c r="A4629" t="n">
        <x:v>8</x:v>
      </x:c>
      <x:c r="B4629" t="str">
        <x:v>Princess</x:v>
      </x:c>
      <x:c r="C4629" t="str">
        <x:v>F</x:v>
      </x:c>
      <x:c r="D4629" t="str">
        <x:v>VVS2</x:v>
      </x:c>
      <x:c r="E4629" s="36" t="n">
        <x:v>174000</x:v>
      </x:c>
      <x:c r="F4629" s="36" t="n">
        <x:v>6352</x:v>
      </x:c>
      <x:c r="G4629" s="42" t="n">
        <x:v>1.3625053625053625</x:v>
      </x:c>
      <x:c r="H4629" s="36" t="n">
        <x:f>E4629*G4629</x:f>
        <x:v>237075.93307593308</x:v>
      </x:c>
      <x:c r="I4629" s="36" t="n">
        <x:f>IFERROR(H4629/A4629,0)</x:f>
        <x:v>29634.491634491635</x:v>
      </x:c>
      <x:c r="J4629" s="67" t="str">
        <x:v>Modeled from live base + Sep-2026 quality ratio</x:v>
      </x:c>
      <x:c r="K4629" s="67" t="str">
        <x:v>https://www.stonealgo.com/diamond-prices/</x:v>
      </x:c>
      <x:c r="L4629" s="67" t="str">
        <x:v>https://www.pricescope.com/blog/natural-diamond-prices-september-2026</x:v>
      </x:c>
    </x:row>
    <x:row r="4630">
      <x:c r="A4630" t="n">
        <x:v>8</x:v>
      </x:c>
      <x:c r="B4630" t="str">
        <x:v>Princess</x:v>
      </x:c>
      <x:c r="C4630" t="str">
        <x:v>F</x:v>
      </x:c>
      <x:c r="D4630" t="str">
        <x:v>VS1</x:v>
      </x:c>
      <x:c r="E4630" s="36" t="n">
        <x:v>174000</x:v>
      </x:c>
      <x:c r="F4630" s="36" t="n">
        <x:v>5647</x:v>
      </x:c>
      <x:c r="G4630" s="42" t="n">
        <x:v>1.2112827112827114</x:v>
      </x:c>
      <x:c r="H4630" s="36" t="n">
        <x:f>E4630*G4630</x:f>
        <x:v>210763.19176319177</x:v>
      </x:c>
      <x:c r="I4630" s="36" t="n">
        <x:f>IFERROR(H4630/A4630,0)</x:f>
        <x:v>26345.398970398972</x:v>
      </x:c>
      <x:c r="J4630" s="67" t="str">
        <x:v>Modeled from live base + Sep-2026 quality ratio</x:v>
      </x:c>
      <x:c r="K4630" s="67" t="str">
        <x:v>https://www.stonealgo.com/diamond-prices/</x:v>
      </x:c>
      <x:c r="L4630" s="67" t="str">
        <x:v>https://www.pricescope.com/blog/natural-diamond-prices-september-2026</x:v>
      </x:c>
    </x:row>
    <x:row r="4631">
      <x:c r="A4631" t="n">
        <x:v>8</x:v>
      </x:c>
      <x:c r="B4631" t="str">
        <x:v>Princess</x:v>
      </x:c>
      <x:c r="C4631" t="str">
        <x:v>F</x:v>
      </x:c>
      <x:c r="D4631" t="str">
        <x:v>VS2</x:v>
      </x:c>
      <x:c r="E4631" s="36" t="n">
        <x:v>174000</x:v>
      </x:c>
      <x:c r="F4631" s="36" t="n">
        <x:v>4730</x:v>
      </x:c>
      <x:c r="G4631" s="42" t="n">
        <x:v>1.0145860145860146</x:v>
      </x:c>
      <x:c r="H4631" s="36" t="n">
        <x:f>E4631*G4631</x:f>
        <x:v>176537.96653796654</x:v>
      </x:c>
      <x:c r="I4631" s="36" t="n">
        <x:f>IFERROR(H4631/A4631,0)</x:f>
        <x:v>22067.245817245817</x:v>
      </x:c>
      <x:c r="J4631" s="67" t="str">
        <x:v>Modeled from live base + Sep-2026 quality ratio</x:v>
      </x:c>
      <x:c r="K4631" s="67" t="str">
        <x:v>https://www.stonealgo.com/diamond-prices/</x:v>
      </x:c>
      <x:c r="L4631" s="67" t="str">
        <x:v>https://www.pricescope.com/blog/natural-diamond-prices-september-2026</x:v>
      </x:c>
    </x:row>
    <x:row r="4632">
      <x:c r="A4632" t="n">
        <x:v>8</x:v>
      </x:c>
      <x:c r="B4632" t="str">
        <x:v>Princess</x:v>
      </x:c>
      <x:c r="C4632" t="str">
        <x:v>F</x:v>
      </x:c>
      <x:c r="D4632" t="str">
        <x:v>SI1</x:v>
      </x:c>
      <x:c r="E4632" s="36" t="n">
        <x:v>174000</x:v>
      </x:c>
      <x:c r="F4632" s="36" t="n">
        <x:v>3331</x:v>
      </x:c>
      <x:c r="G4632" s="42" t="n">
        <x:v>0.7145002145002145</x:v>
      </x:c>
      <x:c r="H4632" s="36" t="n">
        <x:f>E4632*G4632</x:f>
        <x:v>124323.03732303732</x:v>
      </x:c>
      <x:c r="I4632" s="36" t="n">
        <x:f>IFERROR(H4632/A4632,0)</x:f>
        <x:v>15540.379665379665</x:v>
      </x:c>
      <x:c r="J4632" s="67" t="str">
        <x:v>Modeled from live base + Sep-2026 quality ratio</x:v>
      </x:c>
      <x:c r="K4632" s="67" t="str">
        <x:v>https://www.stonealgo.com/diamond-prices/</x:v>
      </x:c>
      <x:c r="L4632" s="67" t="str">
        <x:v>https://www.pricescope.com/blog/natural-diamond-prices-september-2026</x:v>
      </x:c>
    </x:row>
    <x:row r="4633">
      <x:c r="A4633" t="n">
        <x:v>8</x:v>
      </x:c>
      <x:c r="B4633" t="str">
        <x:v>Princess</x:v>
      </x:c>
      <x:c r="C4633" t="str">
        <x:v>F</x:v>
      </x:c>
      <x:c r="D4633" t="str">
        <x:v>SI2</x:v>
      </x:c>
      <x:c r="E4633" s="36" t="n">
        <x:v>174000</x:v>
      </x:c>
      <x:c r="F4633" s="36" t="n">
        <x:v>2733</x:v>
      </x:c>
      <x:c r="G4633" s="42" t="n">
        <x:v>0.5862290862290862</x:v>
      </x:c>
      <x:c r="H4633" s="36" t="n">
        <x:f>E4633*G4633</x:f>
        <x:v>102003.861003861</x:v>
      </x:c>
      <x:c r="I4633" s="36" t="n">
        <x:f>IFERROR(H4633/A4633,0)</x:f>
        <x:v>12750.482625482626</x:v>
      </x:c>
      <x:c r="J4633" s="67" t="str">
        <x:v>Modeled from live base + Sep-2026 quality ratio</x:v>
      </x:c>
      <x:c r="K4633" s="67" t="str">
        <x:v>https://www.stonealgo.com/diamond-prices/</x:v>
      </x:c>
      <x:c r="L4633" s="67" t="str">
        <x:v>https://www.pricescope.com/blog/natural-diamond-prices-september-2026</x:v>
      </x:c>
    </x:row>
    <x:row r="4634">
      <x:c r="A4634" t="n">
        <x:v>8</x:v>
      </x:c>
      <x:c r="B4634" t="str">
        <x:v>Princess</x:v>
      </x:c>
      <x:c r="C4634" t="str">
        <x:v>G</x:v>
      </x:c>
      <x:c r="D4634" t="str">
        <x:v>FL</x:v>
      </x:c>
      <x:c r="E4634" s="36" t="n">
        <x:v>174000</x:v>
      </x:c>
      <x:c r="F4634" s="36" t="n">
        <x:v>5905</x:v>
      </x:c>
      <x:c r="G4634" s="42" t="n">
        <x:v>1.2666237666237665</x:v>
      </x:c>
      <x:c r="H4634" s="36" t="n">
        <x:f>E4634*G4634</x:f>
        <x:v>220392.53539253538</x:v>
      </x:c>
      <x:c r="I4634" s="36" t="n">
        <x:f>IFERROR(H4634/A4634,0)</x:f>
        <x:v>27549.066924066923</x:v>
      </x:c>
      <x:c r="J4634" s="67" t="str">
        <x:v>Modeled from live base + Sep-2026 quality ratio</x:v>
      </x:c>
      <x:c r="K4634" s="67" t="str">
        <x:v>https://www.stonealgo.com/diamond-prices/</x:v>
      </x:c>
      <x:c r="L4634" s="67" t="str">
        <x:v>https://www.pricescope.com/blog/natural-diamond-prices-september-2026</x:v>
      </x:c>
    </x:row>
    <x:row r="4635">
      <x:c r="A4635" t="n">
        <x:v>8</x:v>
      </x:c>
      <x:c r="B4635" t="str">
        <x:v>Princess</x:v>
      </x:c>
      <x:c r="C4635" t="str">
        <x:v>G</x:v>
      </x:c>
      <x:c r="D4635" t="str">
        <x:v>IF</x:v>
      </x:c>
      <x:c r="E4635" s="36" t="n">
        <x:v>174000</x:v>
      </x:c>
      <x:c r="F4635" s="36" t="n">
        <x:v>5601</x:v>
      </x:c>
      <x:c r="G4635" s="42" t="n">
        <x:v>1.2014157014157014</x:v>
      </x:c>
      <x:c r="H4635" s="36" t="n">
        <x:f>E4635*G4635</x:f>
        <x:v>209046.33204633204</x:v>
      </x:c>
      <x:c r="I4635" s="36" t="n">
        <x:f>IFERROR(H4635/A4635,0)</x:f>
        <x:v>26130.791505791505</x:v>
      </x:c>
      <x:c r="J4635" s="67" t="str">
        <x:v>Modeled from live base + Sep-2026 quality ratio</x:v>
      </x:c>
      <x:c r="K4635" s="67" t="str">
        <x:v>https://www.stonealgo.com/diamond-prices/</x:v>
      </x:c>
      <x:c r="L4635" s="67" t="str">
        <x:v>https://www.pricescope.com/blog/natural-diamond-prices-september-2026</x:v>
      </x:c>
    </x:row>
    <x:row r="4636">
      <x:c r="A4636" t="n">
        <x:v>8</x:v>
      </x:c>
      <x:c r="B4636" t="str">
        <x:v>Princess</x:v>
      </x:c>
      <x:c r="C4636" t="str">
        <x:v>G</x:v>
      </x:c>
      <x:c r="D4636" t="str">
        <x:v>VVS1</x:v>
      </x:c>
      <x:c r="E4636" s="36" t="n">
        <x:v>174000</x:v>
      </x:c>
      <x:c r="F4636" s="36" t="n">
        <x:v>5124</x:v>
      </x:c>
      <x:c r="G4636" s="42" t="n">
        <x:v>1.0990990990990992</x:v>
      </x:c>
      <x:c r="H4636" s="36" t="n">
        <x:f>E4636*G4636</x:f>
        <x:v>191243.24324324325</x:v>
      </x:c>
      <x:c r="I4636" s="36" t="n">
        <x:f>IFERROR(H4636/A4636,0)</x:f>
        <x:v>23905.405405405407</x:v>
      </x:c>
      <x:c r="J4636" s="67" t="str">
        <x:v>Modeled from live base + Sep-2026 quality ratio</x:v>
      </x:c>
      <x:c r="K4636" s="67" t="str">
        <x:v>https://www.stonealgo.com/diamond-prices/</x:v>
      </x:c>
      <x:c r="L4636" s="67" t="str">
        <x:v>https://www.pricescope.com/blog/natural-diamond-prices-september-2026</x:v>
      </x:c>
    </x:row>
    <x:row r="4637">
      <x:c r="A4637" t="n">
        <x:v>8</x:v>
      </x:c>
      <x:c r="B4637" t="str">
        <x:v>Princess</x:v>
      </x:c>
      <x:c r="C4637" t="str">
        <x:v>G</x:v>
      </x:c>
      <x:c r="D4637" t="str">
        <x:v>VVS2</x:v>
      </x:c>
      <x:c r="E4637" s="36" t="n">
        <x:v>174000</x:v>
      </x:c>
      <x:c r="F4637" s="36" t="n">
        <x:v>4962</x:v>
      </x:c>
      <x:c r="G4637" s="42" t="n">
        <x:v>1.0643500643500643</x:v>
      </x:c>
      <x:c r="H4637" s="36" t="n">
        <x:f>E4637*G4637</x:f>
        <x:v>185196.91119691118</x:v>
      </x:c>
      <x:c r="I4637" s="36" t="n">
        <x:f>IFERROR(H4637/A4637,0)</x:f>
        <x:v>23149.613899613898</x:v>
      </x:c>
      <x:c r="J4637" s="67" t="str">
        <x:v>Modeled from live base + Sep-2026 quality ratio</x:v>
      </x:c>
      <x:c r="K4637" s="67" t="str">
        <x:v>https://www.stonealgo.com/diamond-prices/</x:v>
      </x:c>
      <x:c r="L4637" s="67" t="str">
        <x:v>https://www.pricescope.com/blog/natural-diamond-prices-september-2026</x:v>
      </x:c>
    </x:row>
    <x:row r="4638">
      <x:c r="A4638" t="n">
        <x:v>8</x:v>
      </x:c>
      <x:c r="B4638" t="str">
        <x:v>Princess</x:v>
      </x:c>
      <x:c r="C4638" t="str">
        <x:v>G</x:v>
      </x:c>
      <x:c r="D4638" t="str">
        <x:v>VS1</x:v>
      </x:c>
      <x:c r="E4638" s="36" t="n">
        <x:v>174000</x:v>
      </x:c>
      <x:c r="F4638" s="36" t="n">
        <x:v>4615</x:v>
      </x:c>
      <x:c r="G4638" s="42" t="n">
        <x:v>0.98991848991849</x:v>
      </x:c>
      <x:c r="H4638" s="36" t="n">
        <x:f>E4638*G4638</x:f>
        <x:v>172245.81724581725</x:v>
      </x:c>
      <x:c r="I4638" s="36" t="n">
        <x:f>IFERROR(H4638/A4638,0)</x:f>
        <x:v>21530.727155727156</x:v>
      </x:c>
      <x:c r="J4638" s="67" t="str">
        <x:v>Modeled from live base + Sep-2026 quality ratio</x:v>
      </x:c>
      <x:c r="K4638" s="67" t="str">
        <x:v>https://www.stonealgo.com/diamond-prices/</x:v>
      </x:c>
      <x:c r="L4638" s="67" t="str">
        <x:v>https://www.pricescope.com/blog/natural-diamond-prices-september-2026</x:v>
      </x:c>
    </x:row>
    <x:row r="4639">
      <x:c r="A4639" t="n">
        <x:v>8</x:v>
      </x:c>
      <x:c r="B4639" t="str">
        <x:v>Princess</x:v>
      </x:c>
      <x:c r="C4639" t="str">
        <x:v>G</x:v>
      </x:c>
      <x:c r="D4639" t="str">
        <x:v>VS2</x:v>
      </x:c>
      <x:c r="E4639" s="36" t="n">
        <x:v>174000</x:v>
      </x:c>
      <x:c r="F4639" s="36" t="n">
        <x:v>4585</x:v>
      </x:c>
      <x:c r="G4639" s="42" t="n">
        <x:v>0.9834834834834835</x:v>
      </x:c>
      <x:c r="H4639" s="36" t="n">
        <x:f>E4639*G4639</x:f>
        <x:v>171126.12612612612</x:v>
      </x:c>
      <x:c r="I4639" s="36" t="n">
        <x:f>IFERROR(H4639/A4639,0)</x:f>
        <x:v>21390.765765765766</x:v>
      </x:c>
      <x:c r="J4639" s="67" t="str">
        <x:v>Modeled from live base + Sep-2026 quality ratio</x:v>
      </x:c>
      <x:c r="K4639" s="67" t="str">
        <x:v>https://www.stonealgo.com/diamond-prices/</x:v>
      </x:c>
      <x:c r="L4639" s="67" t="str">
        <x:v>https://www.pricescope.com/blog/natural-diamond-prices-september-2026</x:v>
      </x:c>
    </x:row>
    <x:row r="4640">
      <x:c r="A4640" t="n">
        <x:v>8</x:v>
      </x:c>
      <x:c r="B4640" t="str">
        <x:v>Princess</x:v>
      </x:c>
      <x:c r="C4640" t="str">
        <x:v>G</x:v>
      </x:c>
      <x:c r="D4640" t="str">
        <x:v>SI1</x:v>
      </x:c>
      <x:c r="E4640" s="36" t="n">
        <x:v>174000</x:v>
      </x:c>
      <x:c r="F4640" s="36" t="n">
        <x:v>3664</x:v>
      </x:c>
      <x:c r="G4640" s="42" t="n">
        <x:v>0.7859287859287859</x:v>
      </x:c>
      <x:c r="H4640" s="36" t="n">
        <x:f>E4640*G4640</x:f>
        <x:v>136751.60875160876</x:v>
      </x:c>
      <x:c r="I4640" s="36" t="n">
        <x:f>IFERROR(H4640/A4640,0)</x:f>
        <x:v>17093.951093951095</x:v>
      </x:c>
      <x:c r="J4640" s="67" t="str">
        <x:v>Modeled from live base + Sep-2026 quality ratio</x:v>
      </x:c>
      <x:c r="K4640" s="67" t="str">
        <x:v>https://www.stonealgo.com/diamond-prices/</x:v>
      </x:c>
      <x:c r="L4640" s="67" t="str">
        <x:v>https://www.pricescope.com/blog/natural-diamond-prices-september-2026</x:v>
      </x:c>
    </x:row>
    <x:row r="4641">
      <x:c r="A4641" t="n">
        <x:v>8</x:v>
      </x:c>
      <x:c r="B4641" t="str">
        <x:v>Princess</x:v>
      </x:c>
      <x:c r="C4641" t="str">
        <x:v>G</x:v>
      </x:c>
      <x:c r="D4641" t="str">
        <x:v>SI2</x:v>
      </x:c>
      <x:c r="E4641" s="36" t="n">
        <x:v>174000</x:v>
      </x:c>
      <x:c r="F4641" s="36" t="n">
        <x:v>2537</x:v>
      </x:c>
      <x:c r="G4641" s="42" t="n">
        <x:v>0.5441870441870442</x:v>
      </x:c>
      <x:c r="H4641" s="36" t="n">
        <x:f>E4641*G4641</x:f>
        <x:v>94688.5456885457</x:v>
      </x:c>
      <x:c r="I4641" s="36" t="n">
        <x:f>IFERROR(H4641/A4641,0)</x:f>
        <x:v>11836.068211068212</x:v>
      </x:c>
      <x:c r="J4641" s="67" t="str">
        <x:v>Modeled from live base + Sep-2026 quality ratio</x:v>
      </x:c>
      <x:c r="K4641" s="67" t="str">
        <x:v>https://www.stonealgo.com/diamond-prices/</x:v>
      </x:c>
      <x:c r="L4641" s="67" t="str">
        <x:v>https://www.pricescope.com/blog/natural-diamond-prices-september-2026</x:v>
      </x:c>
    </x:row>
    <x:row r="4642">
      <x:c r="A4642" t="n">
        <x:v>8</x:v>
      </x:c>
      <x:c r="B4642" t="str">
        <x:v>Princess</x:v>
      </x:c>
      <x:c r="C4642" t="str">
        <x:v>H</x:v>
      </x:c>
      <x:c r="D4642" t="str">
        <x:v>FL</x:v>
      </x:c>
      <x:c r="E4642" s="36" t="n">
        <x:v>174000</x:v>
      </x:c>
      <x:c r="F4642" s="36" t="n">
        <x:v>4563</x:v>
      </x:c>
      <x:c r="G4642" s="42" t="n">
        <x:v>0.9787644787644788</x:v>
      </x:c>
      <x:c r="H4642" s="36" t="n">
        <x:f>E4642*G4642</x:f>
        <x:v>170305.01930501932</x:v>
      </x:c>
      <x:c r="I4642" s="36" t="n">
        <x:f>IFERROR(H4642/A4642,0)</x:f>
        <x:v>21288.127413127415</x:v>
      </x:c>
      <x:c r="J4642" s="67" t="str">
        <x:v>Modeled from live base + Sep-2026 quality ratio</x:v>
      </x:c>
      <x:c r="K4642" s="67" t="str">
        <x:v>https://www.stonealgo.com/diamond-prices/</x:v>
      </x:c>
      <x:c r="L4642" s="67" t="str">
        <x:v>https://www.pricescope.com/blog/natural-diamond-prices-september-2026</x:v>
      </x:c>
    </x:row>
    <x:row r="4643">
      <x:c r="A4643" t="n">
        <x:v>8</x:v>
      </x:c>
      <x:c r="B4643" t="str">
        <x:v>Princess</x:v>
      </x:c>
      <x:c r="C4643" t="str">
        <x:v>H</x:v>
      </x:c>
      <x:c r="D4643" t="str">
        <x:v>IF</x:v>
      </x:c>
      <x:c r="E4643" s="36" t="n">
        <x:v>174000</x:v>
      </x:c>
      <x:c r="F4643" s="36" t="n">
        <x:v>4809</x:v>
      </x:c>
      <x:c r="G4643" s="42" t="n">
        <x:v>1.0315315315315314</x:v>
      </x:c>
      <x:c r="H4643" s="36" t="n">
        <x:f>E4643*G4643</x:f>
        <x:v>179486.48648648648</x:v>
      </x:c>
      <x:c r="I4643" s="36" t="n">
        <x:f>IFERROR(H4643/A4643,0)</x:f>
        <x:v>22435.81081081081</x:v>
      </x:c>
      <x:c r="J4643" s="67" t="str">
        <x:v>Modeled from live base + Sep-2026 quality ratio</x:v>
      </x:c>
      <x:c r="K4643" s="67" t="str">
        <x:v>https://www.stonealgo.com/diamond-prices/</x:v>
      </x:c>
      <x:c r="L4643" s="67" t="str">
        <x:v>https://www.pricescope.com/blog/natural-diamond-prices-september-2026</x:v>
      </x:c>
    </x:row>
    <x:row r="4644">
      <x:c r="A4644" t="n">
        <x:v>8</x:v>
      </x:c>
      <x:c r="B4644" t="str">
        <x:v>Princess</x:v>
      </x:c>
      <x:c r="C4644" t="str">
        <x:v>H</x:v>
      </x:c>
      <x:c r="D4644" t="str">
        <x:v>VVS1</x:v>
      </x:c>
      <x:c r="E4644" s="36" t="n">
        <x:v>174000</x:v>
      </x:c>
      <x:c r="F4644" s="36" t="n">
        <x:v>4911</x:v>
      </x:c>
      <x:c r="G4644" s="42" t="n">
        <x:v>1.0534105534105533</x:v>
      </x:c>
      <x:c r="H4644" s="36" t="n">
        <x:f>E4644*G4644</x:f>
        <x:v>183293.43629343627</x:v>
      </x:c>
      <x:c r="I4644" s="36" t="n">
        <x:f>IFERROR(H4644/A4644,0)</x:f>
        <x:v>22911.679536679534</x:v>
      </x:c>
      <x:c r="J4644" s="67" t="str">
        <x:v>Modeled from live base + Sep-2026 quality ratio</x:v>
      </x:c>
      <x:c r="K4644" s="67" t="str">
        <x:v>https://www.stonealgo.com/diamond-prices/</x:v>
      </x:c>
      <x:c r="L4644" s="67" t="str">
        <x:v>https://www.pricescope.com/blog/natural-diamond-prices-september-2026</x:v>
      </x:c>
    </x:row>
    <x:row r="4645">
      <x:c r="A4645" t="n">
        <x:v>8</x:v>
      </x:c>
      <x:c r="B4645" t="str">
        <x:v>Princess</x:v>
      </x:c>
      <x:c r="C4645" t="str">
        <x:v>H</x:v>
      </x:c>
      <x:c r="D4645" t="str">
        <x:v>VVS2</x:v>
      </x:c>
      <x:c r="E4645" s="36" t="n">
        <x:v>174000</x:v>
      </x:c>
      <x:c r="F4645" s="36" t="n">
        <x:v>4046</x:v>
      </x:c>
      <x:c r="G4645" s="42" t="n">
        <x:v>0.8678678678678678</x:v>
      </x:c>
      <x:c r="H4645" s="36" t="n">
        <x:f>E4645*G4645</x:f>
        <x:v>151009.009009009</x:v>
      </x:c>
      <x:c r="I4645" s="36" t="n">
        <x:f>IFERROR(H4645/A4645,0)</x:f>
        <x:v>18876.126126126124</x:v>
      </x:c>
      <x:c r="J4645" s="67" t="str">
        <x:v>Modeled from live base + Sep-2026 quality ratio</x:v>
      </x:c>
      <x:c r="K4645" s="67" t="str">
        <x:v>https://www.stonealgo.com/diamond-prices/</x:v>
      </x:c>
      <x:c r="L4645" s="67" t="str">
        <x:v>https://www.pricescope.com/blog/natural-diamond-prices-september-2026</x:v>
      </x:c>
    </x:row>
    <x:row r="4646">
      <x:c r="A4646" t="n">
        <x:v>8</x:v>
      </x:c>
      <x:c r="B4646" t="str">
        <x:v>Princess</x:v>
      </x:c>
      <x:c r="C4646" t="str">
        <x:v>H</x:v>
      </x:c>
      <x:c r="D4646" t="str">
        <x:v>VS1</x:v>
      </x:c>
      <x:c r="E4646" s="36" t="n">
        <x:v>174000</x:v>
      </x:c>
      <x:c r="F4646" s="36" t="n">
        <x:v>3893</x:v>
      </x:c>
      <x:c r="G4646" s="42" t="n">
        <x:v>0.8350493350493351</x:v>
      </x:c>
      <x:c r="H4646" s="36" t="n">
        <x:f>E4646*G4646</x:f>
        <x:v>145298.58429858432</x:v>
      </x:c>
      <x:c r="I4646" s="36" t="n">
        <x:f>IFERROR(H4646/A4646,0)</x:f>
        <x:v>18162.32303732304</x:v>
      </x:c>
      <x:c r="J4646" s="67" t="str">
        <x:v>Modeled from live base + Sep-2026 quality ratio</x:v>
      </x:c>
      <x:c r="K4646" s="67" t="str">
        <x:v>https://www.stonealgo.com/diamond-prices/</x:v>
      </x:c>
      <x:c r="L4646" s="67" t="str">
        <x:v>https://www.pricescope.com/blog/natural-diamond-prices-september-2026</x:v>
      </x:c>
    </x:row>
    <x:row r="4647">
      <x:c r="A4647" t="n">
        <x:v>8</x:v>
      </x:c>
      <x:c r="B4647" t="str">
        <x:v>Princess</x:v>
      </x:c>
      <x:c r="C4647" t="str">
        <x:v>H</x:v>
      </x:c>
      <x:c r="D4647" t="str">
        <x:v>VS2</x:v>
      </x:c>
      <x:c r="E4647" s="36" t="n">
        <x:v>174000</x:v>
      </x:c>
      <x:c r="F4647" s="36" t="n">
        <x:v>3989</x:v>
      </x:c>
      <x:c r="G4647" s="42" t="n">
        <x:v>0.8556413556413557</x:v>
      </x:c>
      <x:c r="H4647" s="36" t="n">
        <x:f>E4647*G4647</x:f>
        <x:v>148881.5958815959</x:v>
      </x:c>
      <x:c r="I4647" s="36" t="n">
        <x:f>IFERROR(H4647/A4647,0)</x:f>
        <x:v>18610.199485199486</x:v>
      </x:c>
      <x:c r="J4647" s="67" t="str">
        <x:v>Modeled from live base + Sep-2026 quality ratio</x:v>
      </x:c>
      <x:c r="K4647" s="67" t="str">
        <x:v>https://www.stonealgo.com/diamond-prices/</x:v>
      </x:c>
      <x:c r="L4647" s="67" t="str">
        <x:v>https://www.pricescope.com/blog/natural-diamond-prices-september-2026</x:v>
      </x:c>
    </x:row>
    <x:row r="4648">
      <x:c r="A4648" t="n">
        <x:v>8</x:v>
      </x:c>
      <x:c r="B4648" t="str">
        <x:v>Princess</x:v>
      </x:c>
      <x:c r="C4648" t="str">
        <x:v>H</x:v>
      </x:c>
      <x:c r="D4648" t="str">
        <x:v>SI1</x:v>
      </x:c>
      <x:c r="E4648" s="36" t="n">
        <x:v>174000</x:v>
      </x:c>
      <x:c r="F4648" s="36" t="n">
        <x:v>2828</x:v>
      </x:c>
      <x:c r="G4648" s="42" t="n">
        <x:v>0.6066066066066066</x:v>
      </x:c>
      <x:c r="H4648" s="36" t="n">
        <x:f>E4648*G4648</x:f>
        <x:v>105549.54954954954</x:v>
      </x:c>
      <x:c r="I4648" s="36" t="n">
        <x:f>IFERROR(H4648/A4648,0)</x:f>
        <x:v>13193.693693693693</x:v>
      </x:c>
      <x:c r="J4648" s="67" t="str">
        <x:v>Modeled from live base + Sep-2026 quality ratio</x:v>
      </x:c>
      <x:c r="K4648" s="67" t="str">
        <x:v>https://www.stonealgo.com/diamond-prices/</x:v>
      </x:c>
      <x:c r="L4648" s="67" t="str">
        <x:v>https://www.pricescope.com/blog/natural-diamond-prices-september-2026</x:v>
      </x:c>
    </x:row>
    <x:row r="4649">
      <x:c r="A4649" t="n">
        <x:v>8</x:v>
      </x:c>
      <x:c r="B4649" t="str">
        <x:v>Princess</x:v>
      </x:c>
      <x:c r="C4649" t="str">
        <x:v>H</x:v>
      </x:c>
      <x:c r="D4649" t="str">
        <x:v>SI2</x:v>
      </x:c>
      <x:c r="E4649" s="36" t="n">
        <x:v>174000</x:v>
      </x:c>
      <x:c r="F4649" s="36" t="n">
        <x:v>2328</x:v>
      </x:c>
      <x:c r="G4649" s="42" t="n">
        <x:v>0.49935649935649934</x:v>
      </x:c>
      <x:c r="H4649" s="36" t="n">
        <x:f>E4649*G4649</x:f>
        <x:v>86888.03088803089</x:v>
      </x:c>
      <x:c r="I4649" s="36" t="n">
        <x:f>IFERROR(H4649/A4649,0)</x:f>
        <x:v>10861.003861003861</x:v>
      </x:c>
      <x:c r="J4649" s="67" t="str">
        <x:v>Modeled from live base + Sep-2026 quality ratio</x:v>
      </x:c>
      <x:c r="K4649" s="67" t="str">
        <x:v>https://www.stonealgo.com/diamond-prices/</x:v>
      </x:c>
      <x:c r="L4649" s="67" t="str">
        <x:v>https://www.pricescope.com/blog/natural-diamond-prices-september-2026</x:v>
      </x:c>
    </x:row>
    <x:row r="4650">
      <x:c r="A4650" t="n">
        <x:v>8</x:v>
      </x:c>
      <x:c r="B4650" t="str">
        <x:v>Princess</x:v>
      </x:c>
      <x:c r="C4650" t="str">
        <x:v>I</x:v>
      </x:c>
      <x:c r="D4650" t="str">
        <x:v>FL</x:v>
      </x:c>
      <x:c r="E4650" s="36" t="n">
        <x:v>174000</x:v>
      </x:c>
      <x:c r="F4650" s="36" t="n">
        <x:v>4623</x:v>
      </x:c>
      <x:c r="G4650" s="42" t="n">
        <x:v>0.9916344916344917</x:v>
      </x:c>
      <x:c r="H4650" s="36" t="n">
        <x:f>E4650*G4650</x:f>
        <x:v>172544.40154440157</x:v>
      </x:c>
      <x:c r="I4650" s="36" t="n">
        <x:f>IFERROR(H4650/A4650,0)</x:f>
        <x:v>21568.050193050196</x:v>
      </x:c>
      <x:c r="J4650" s="67" t="str">
        <x:v>Modeled from live base + Sep-2026 quality ratio</x:v>
      </x:c>
      <x:c r="K4650" s="67" t="str">
        <x:v>https://www.stonealgo.com/diamond-prices/</x:v>
      </x:c>
      <x:c r="L4650" s="67" t="str">
        <x:v>https://www.pricescope.com/blog/natural-diamond-prices-september-2026</x:v>
      </x:c>
    </x:row>
    <x:row r="4651">
      <x:c r="A4651" t="n">
        <x:v>8</x:v>
      </x:c>
      <x:c r="B4651" t="str">
        <x:v>Princess</x:v>
      </x:c>
      <x:c r="C4651" t="str">
        <x:v>I</x:v>
      </x:c>
      <x:c r="D4651" t="str">
        <x:v>IF</x:v>
      </x:c>
      <x:c r="E4651" s="36" t="n">
        <x:v>174000</x:v>
      </x:c>
      <x:c r="F4651" s="36" t="n">
        <x:v>4005</x:v>
      </x:c>
      <x:c r="G4651" s="42" t="n">
        <x:v>0.859073359073359</x:v>
      </x:c>
      <x:c r="H4651" s="36" t="n">
        <x:f>E4651*G4651</x:f>
        <x:v>149478.76447876447</x:v>
      </x:c>
      <x:c r="I4651" s="36" t="n">
        <x:f>IFERROR(H4651/A4651,0)</x:f>
        <x:v>18684.84555984556</x:v>
      </x:c>
      <x:c r="J4651" s="67" t="str">
        <x:v>Modeled from live base + Sep-2026 quality ratio</x:v>
      </x:c>
      <x:c r="K4651" s="67" t="str">
        <x:v>https://www.stonealgo.com/diamond-prices/</x:v>
      </x:c>
      <x:c r="L4651" s="67" t="str">
        <x:v>https://www.pricescope.com/blog/natural-diamond-prices-september-2026</x:v>
      </x:c>
    </x:row>
    <x:row r="4652">
      <x:c r="A4652" t="n">
        <x:v>8</x:v>
      </x:c>
      <x:c r="B4652" t="str">
        <x:v>Princess</x:v>
      </x:c>
      <x:c r="C4652" t="str">
        <x:v>I</x:v>
      </x:c>
      <x:c r="D4652" t="str">
        <x:v>VVS1</x:v>
      </x:c>
      <x:c r="E4652" s="36" t="n">
        <x:v>174000</x:v>
      </x:c>
      <x:c r="F4652" s="36" t="n">
        <x:v>3670</x:v>
      </x:c>
      <x:c r="G4652" s="42" t="n">
        <x:v>0.7872157872157872</x:v>
      </x:c>
      <x:c r="H4652" s="36" t="n">
        <x:f>E4652*G4652</x:f>
        <x:v>136975.54697554698</x:v>
      </x:c>
      <x:c r="I4652" s="36" t="n">
        <x:f>IFERROR(H4652/A4652,0)</x:f>
        <x:v>17121.943371943373</x:v>
      </x:c>
      <x:c r="J4652" s="67" t="str">
        <x:v>Modeled from live base + Sep-2026 quality ratio</x:v>
      </x:c>
      <x:c r="K4652" s="67" t="str">
        <x:v>https://www.stonealgo.com/diamond-prices/</x:v>
      </x:c>
      <x:c r="L4652" s="67" t="str">
        <x:v>https://www.pricescope.com/blog/natural-diamond-prices-september-2026</x:v>
      </x:c>
    </x:row>
    <x:row r="4653">
      <x:c r="A4653" t="n">
        <x:v>8</x:v>
      </x:c>
      <x:c r="B4653" t="str">
        <x:v>Princess</x:v>
      </x:c>
      <x:c r="C4653" t="str">
        <x:v>I</x:v>
      </x:c>
      <x:c r="D4653" t="str">
        <x:v>VVS2</x:v>
      </x:c>
      <x:c r="E4653" s="36" t="n">
        <x:v>174000</x:v>
      </x:c>
      <x:c r="F4653" s="36" t="n">
        <x:v>3447</x:v>
      </x:c>
      <x:c r="G4653" s="42" t="n">
        <x:v>0.7393822393822393</x:v>
      </x:c>
      <x:c r="H4653" s="36" t="n">
        <x:f>E4653*G4653</x:f>
        <x:v>128652.50965250965</x:v>
      </x:c>
      <x:c r="I4653" s="36" t="n">
        <x:f>IFERROR(H4653/A4653,0)</x:f>
        <x:v>16081.563706563706</x:v>
      </x:c>
      <x:c r="J4653" s="67" t="str">
        <x:v>Modeled from live base + Sep-2026 quality ratio</x:v>
      </x:c>
      <x:c r="K4653" s="67" t="str">
        <x:v>https://www.stonealgo.com/diamond-prices/</x:v>
      </x:c>
      <x:c r="L4653" s="67" t="str">
        <x:v>https://www.pricescope.com/blog/natural-diamond-prices-september-2026</x:v>
      </x:c>
    </x:row>
    <x:row r="4654">
      <x:c r="A4654" t="n">
        <x:v>8</x:v>
      </x:c>
      <x:c r="B4654" t="str">
        <x:v>Princess</x:v>
      </x:c>
      <x:c r="C4654" t="str">
        <x:v>I</x:v>
      </x:c>
      <x:c r="D4654" t="str">
        <x:v>VS1</x:v>
      </x:c>
      <x:c r="E4654" s="36" t="n">
        <x:v>174000</x:v>
      </x:c>
      <x:c r="F4654" s="36" t="n">
        <x:v>3313</x:v>
      </x:c>
      <x:c r="G4654" s="42" t="n">
        <x:v>0.7106392106392107</x:v>
      </x:c>
      <x:c r="H4654" s="36" t="n">
        <x:f>E4654*G4654</x:f>
        <x:v>123651.22265122265</x:v>
      </x:c>
      <x:c r="I4654" s="36" t="n">
        <x:f>IFERROR(H4654/A4654,0)</x:f>
        <x:v>15456.402831402831</x:v>
      </x:c>
      <x:c r="J4654" s="67" t="str">
        <x:v>Modeled from live base + Sep-2026 quality ratio</x:v>
      </x:c>
      <x:c r="K4654" s="67" t="str">
        <x:v>https://www.stonealgo.com/diamond-prices/</x:v>
      </x:c>
      <x:c r="L4654" s="67" t="str">
        <x:v>https://www.pricescope.com/blog/natural-diamond-prices-september-2026</x:v>
      </x:c>
    </x:row>
    <x:row r="4655">
      <x:c r="A4655" t="n">
        <x:v>8</x:v>
      </x:c>
      <x:c r="B4655" t="str">
        <x:v>Princess</x:v>
      </x:c>
      <x:c r="C4655" t="str">
        <x:v>I</x:v>
      </x:c>
      <x:c r="D4655" t="str">
        <x:v>VS2</x:v>
      </x:c>
      <x:c r="E4655" s="36" t="n">
        <x:v>174000</x:v>
      </x:c>
      <x:c r="F4655" s="36" t="n">
        <x:v>3240</x:v>
      </x:c>
      <x:c r="G4655" s="42" t="n">
        <x:v>0.694980694980695</x:v>
      </x:c>
      <x:c r="H4655" s="36" t="n">
        <x:f>E4655*G4655</x:f>
        <x:v>120926.64092664093</x:v>
      </x:c>
      <x:c r="I4655" s="36" t="n">
        <x:f>IFERROR(H4655/A4655,0)</x:f>
        <x:v>15115.830115830116</x:v>
      </x:c>
      <x:c r="J4655" s="67" t="str">
        <x:v>Modeled from live base + Sep-2026 quality ratio</x:v>
      </x:c>
      <x:c r="K4655" s="67" t="str">
        <x:v>https://www.stonealgo.com/diamond-prices/</x:v>
      </x:c>
      <x:c r="L4655" s="67" t="str">
        <x:v>https://www.pricescope.com/blog/natural-diamond-prices-september-2026</x:v>
      </x:c>
    </x:row>
    <x:row r="4656">
      <x:c r="A4656" t="n">
        <x:v>8</x:v>
      </x:c>
      <x:c r="B4656" t="str">
        <x:v>Princess</x:v>
      </x:c>
      <x:c r="C4656" t="str">
        <x:v>I</x:v>
      </x:c>
      <x:c r="D4656" t="str">
        <x:v>SI1</x:v>
      </x:c>
      <x:c r="E4656" s="36" t="n">
        <x:v>174000</x:v>
      </x:c>
      <x:c r="F4656" s="36" t="n">
        <x:v>3199</x:v>
      </x:c>
      <x:c r="G4656" s="42" t="n">
        <x:v>0.6861861861861862</x:v>
      </x:c>
      <x:c r="H4656" s="36" t="n">
        <x:f>E4656*G4656</x:f>
        <x:v>119396.3963963964</x:v>
      </x:c>
      <x:c r="I4656" s="36" t="n">
        <x:f>IFERROR(H4656/A4656,0)</x:f>
        <x:v>14924.54954954955</x:v>
      </x:c>
      <x:c r="J4656" s="67" t="str">
        <x:v>Modeled from live base + Sep-2026 quality ratio</x:v>
      </x:c>
      <x:c r="K4656" s="67" t="str">
        <x:v>https://www.stonealgo.com/diamond-prices/</x:v>
      </x:c>
      <x:c r="L4656" s="67" t="str">
        <x:v>https://www.pricescope.com/blog/natural-diamond-prices-september-2026</x:v>
      </x:c>
    </x:row>
    <x:row r="4657">
      <x:c r="A4657" t="n">
        <x:v>8</x:v>
      </x:c>
      <x:c r="B4657" t="str">
        <x:v>Princess</x:v>
      </x:c>
      <x:c r="C4657" t="str">
        <x:v>I</x:v>
      </x:c>
      <x:c r="D4657" t="str">
        <x:v>SI2</x:v>
      </x:c>
      <x:c r="E4657" s="36" t="n">
        <x:v>174000</x:v>
      </x:c>
      <x:c r="F4657" s="36" t="n">
        <x:v>2874</x:v>
      </x:c>
      <x:c r="G4657" s="42" t="n">
        <x:v>0.6164736164736164</x:v>
      </x:c>
      <x:c r="H4657" s="36" t="n">
        <x:f>E4657*G4657</x:f>
        <x:v>107266.40926640926</x:v>
      </x:c>
      <x:c r="I4657" s="36" t="n">
        <x:f>IFERROR(H4657/A4657,0)</x:f>
        <x:v>13408.301158301158</x:v>
      </x:c>
      <x:c r="J4657" s="67" t="str">
        <x:v>Modeled from live base + Sep-2026 quality ratio</x:v>
      </x:c>
      <x:c r="K4657" s="67" t="str">
        <x:v>https://www.stonealgo.com/diamond-prices/</x:v>
      </x:c>
      <x:c r="L4657" s="67" t="str">
        <x:v>https://www.pricescope.com/blog/natural-diamond-prices-september-2026</x:v>
      </x:c>
    </x:row>
    <x:row r="4658">
      <x:c r="A4658" t="n">
        <x:v>8</x:v>
      </x:c>
      <x:c r="B4658" t="str">
        <x:v>Princess</x:v>
      </x:c>
      <x:c r="C4658" t="str">
        <x:v>J</x:v>
      </x:c>
      <x:c r="D4658" t="str">
        <x:v>FL</x:v>
      </x:c>
      <x:c r="E4658" s="36" t="n">
        <x:v>174000</x:v>
      </x:c>
      <x:c r="F4658" s="36" t="n">
        <x:v>3646</x:v>
      </x:c>
      <x:c r="G4658" s="42" t="n">
        <x:v>0.782067782067782</x:v>
      </x:c>
      <x:c r="H4658" s="36" t="n">
        <x:f>E4658*G4658</x:f>
        <x:v>136079.79407979408</x:v>
      </x:c>
      <x:c r="I4658" s="36" t="n">
        <x:f>IFERROR(H4658/A4658,0)</x:f>
        <x:v>17009.97425997426</x:v>
      </x:c>
      <x:c r="J4658" s="67" t="str">
        <x:v>Modeled from live base + Sep-2026 quality ratio</x:v>
      </x:c>
      <x:c r="K4658" s="67" t="str">
        <x:v>https://www.stonealgo.com/diamond-prices/</x:v>
      </x:c>
      <x:c r="L4658" s="67" t="str">
        <x:v>https://www.pricescope.com/blog/natural-diamond-prices-september-2026</x:v>
      </x:c>
    </x:row>
    <x:row r="4659">
      <x:c r="A4659" t="n">
        <x:v>8</x:v>
      </x:c>
      <x:c r="B4659" t="str">
        <x:v>Princess</x:v>
      </x:c>
      <x:c r="C4659" t="str">
        <x:v>J</x:v>
      </x:c>
      <x:c r="D4659" t="str">
        <x:v>IF</x:v>
      </x:c>
      <x:c r="E4659" s="36" t="n">
        <x:v>174000</x:v>
      </x:c>
      <x:c r="F4659" s="36" t="n">
        <x:v>3368</x:v>
      </x:c>
      <x:c r="G4659" s="42" t="n">
        <x:v>0.7224367224367224</x:v>
      </x:c>
      <x:c r="H4659" s="36" t="n">
        <x:f>E4659*G4659</x:f>
        <x:v>125703.9897039897</x:v>
      </x:c>
      <x:c r="I4659" s="36" t="n">
        <x:f>IFERROR(H4659/A4659,0)</x:f>
        <x:v>15712.998712998713</x:v>
      </x:c>
      <x:c r="J4659" s="67" t="str">
        <x:v>Modeled from live base + Sep-2026 quality ratio</x:v>
      </x:c>
      <x:c r="K4659" s="67" t="str">
        <x:v>https://www.stonealgo.com/diamond-prices/</x:v>
      </x:c>
      <x:c r="L4659" s="67" t="str">
        <x:v>https://www.pricescope.com/blog/natural-diamond-prices-september-2026</x:v>
      </x:c>
    </x:row>
    <x:row r="4660">
      <x:c r="A4660" t="n">
        <x:v>8</x:v>
      </x:c>
      <x:c r="B4660" t="str">
        <x:v>Princess</x:v>
      </x:c>
      <x:c r="C4660" t="str">
        <x:v>J</x:v>
      </x:c>
      <x:c r="D4660" t="str">
        <x:v>VVS1</x:v>
      </x:c>
      <x:c r="E4660" s="36" t="n">
        <x:v>174000</x:v>
      </x:c>
      <x:c r="F4660" s="36" t="n">
        <x:v>2956</x:v>
      </x:c>
      <x:c r="G4660" s="42" t="n">
        <x:v>0.6340626340626341</x:v>
      </x:c>
      <x:c r="H4660" s="36" t="n">
        <x:f>E4660*G4660</x:f>
        <x:v>110326.89832689833</x:v>
      </x:c>
      <x:c r="I4660" s="36" t="n">
        <x:f>IFERROR(H4660/A4660,0)</x:f>
        <x:v>13790.862290862291</x:v>
      </x:c>
      <x:c r="J4660" s="67" t="str">
        <x:v>Modeled from live base + Sep-2026 quality ratio</x:v>
      </x:c>
      <x:c r="K4660" s="67" t="str">
        <x:v>https://www.stonealgo.com/diamond-prices/</x:v>
      </x:c>
      <x:c r="L4660" s="67" t="str">
        <x:v>https://www.pricescope.com/blog/natural-diamond-prices-september-2026</x:v>
      </x:c>
    </x:row>
    <x:row r="4661">
      <x:c r="A4661" t="n">
        <x:v>8</x:v>
      </x:c>
      <x:c r="B4661" t="str">
        <x:v>Princess</x:v>
      </x:c>
      <x:c r="C4661" t="str">
        <x:v>J</x:v>
      </x:c>
      <x:c r="D4661" t="str">
        <x:v>VVS2</x:v>
      </x:c>
      <x:c r="E4661" s="36" t="n">
        <x:v>174000</x:v>
      </x:c>
      <x:c r="F4661" s="36" t="n">
        <x:v>2612</x:v>
      </x:c>
      <x:c r="G4661" s="42" t="n">
        <x:v>0.5602745602745602</x:v>
      </x:c>
      <x:c r="H4661" s="36" t="n">
        <x:f>E4661*G4661</x:f>
        <x:v>97487.77348777348</x:v>
      </x:c>
      <x:c r="I4661" s="36" t="n">
        <x:f>IFERROR(H4661/A4661,0)</x:f>
        <x:v>12185.971685971685</x:v>
      </x:c>
      <x:c r="J4661" s="67" t="str">
        <x:v>Modeled from live base + Sep-2026 quality ratio</x:v>
      </x:c>
      <x:c r="K4661" s="67" t="str">
        <x:v>https://www.stonealgo.com/diamond-prices/</x:v>
      </x:c>
      <x:c r="L4661" s="67" t="str">
        <x:v>https://www.pricescope.com/blog/natural-diamond-prices-september-2026</x:v>
      </x:c>
    </x:row>
    <x:row r="4662">
      <x:c r="A4662" t="n">
        <x:v>8</x:v>
      </x:c>
      <x:c r="B4662" t="str">
        <x:v>Princess</x:v>
      </x:c>
      <x:c r="C4662" t="str">
        <x:v>J</x:v>
      </x:c>
      <x:c r="D4662" t="str">
        <x:v>VS1</x:v>
      </x:c>
      <x:c r="E4662" s="36" t="n">
        <x:v>174000</x:v>
      </x:c>
      <x:c r="F4662" s="36" t="n">
        <x:v>3002</x:v>
      </x:c>
      <x:c r="G4662" s="42" t="n">
        <x:v>0.6439296439296439</x:v>
      </x:c>
      <x:c r="H4662" s="36" t="n">
        <x:f>E4662*G4662</x:f>
        <x:v>112043.75804375805</x:v>
      </x:c>
      <x:c r="I4662" s="36" t="n">
        <x:f>IFERROR(H4662/A4662,0)</x:f>
        <x:v>14005.469755469756</x:v>
      </x:c>
      <x:c r="J4662" s="67" t="str">
        <x:v>Modeled from live base + Sep-2026 quality ratio</x:v>
      </x:c>
      <x:c r="K4662" s="67" t="str">
        <x:v>https://www.stonealgo.com/diamond-prices/</x:v>
      </x:c>
      <x:c r="L4662" s="67" t="str">
        <x:v>https://www.pricescope.com/blog/natural-diamond-prices-september-2026</x:v>
      </x:c>
    </x:row>
    <x:row r="4663">
      <x:c r="A4663" t="n">
        <x:v>8</x:v>
      </x:c>
      <x:c r="B4663" t="str">
        <x:v>Princess</x:v>
      </x:c>
      <x:c r="C4663" t="str">
        <x:v>J</x:v>
      </x:c>
      <x:c r="D4663" t="str">
        <x:v>VS2</x:v>
      </x:c>
      <x:c r="E4663" s="36" t="n">
        <x:v>174000</x:v>
      </x:c>
      <x:c r="F4663" s="36" t="n">
        <x:v>2559</x:v>
      </x:c>
      <x:c r="G4663" s="42" t="n">
        <x:v>0.5489060489060489</x:v>
      </x:c>
      <x:c r="H4663" s="36" t="n">
        <x:f>E4663*G4663</x:f>
        <x:v>95509.6525096525</x:v>
      </x:c>
      <x:c r="I4663" s="36" t="n">
        <x:f>IFERROR(H4663/A4663,0)</x:f>
        <x:v>11938.706563706563</x:v>
      </x:c>
      <x:c r="J4663" s="67" t="str">
        <x:v>Modeled from live base + Sep-2026 quality ratio</x:v>
      </x:c>
      <x:c r="K4663" s="67" t="str">
        <x:v>https://www.stonealgo.com/diamond-prices/</x:v>
      </x:c>
      <x:c r="L4663" s="67" t="str">
        <x:v>https://www.pricescope.com/blog/natural-diamond-prices-september-2026</x:v>
      </x:c>
    </x:row>
    <x:row r="4664">
      <x:c r="A4664" t="n">
        <x:v>8</x:v>
      </x:c>
      <x:c r="B4664" t="str">
        <x:v>Princess</x:v>
      </x:c>
      <x:c r="C4664" t="str">
        <x:v>J</x:v>
      </x:c>
      <x:c r="D4664" t="str">
        <x:v>SI1</x:v>
      </x:c>
      <x:c r="E4664" s="36" t="n">
        <x:v>174000</x:v>
      </x:c>
      <x:c r="F4664" s="36" t="n">
        <x:v>2195</x:v>
      </x:c>
      <x:c r="G4664" s="42" t="n">
        <x:v>0.47082797082797084</x:v>
      </x:c>
      <x:c r="H4664" s="36" t="n">
        <x:f>E4664*G4664</x:f>
        <x:v>81924.06692406692</x:v>
      </x:c>
      <x:c r="I4664" s="36" t="n">
        <x:f>IFERROR(H4664/A4664,0)</x:f>
        <x:v>10240.508365508365</x:v>
      </x:c>
      <x:c r="J4664" s="67" t="str">
        <x:v>Modeled from live base + Sep-2026 quality ratio</x:v>
      </x:c>
      <x:c r="K4664" s="67" t="str">
        <x:v>https://www.stonealgo.com/diamond-prices/</x:v>
      </x:c>
      <x:c r="L4664" s="67" t="str">
        <x:v>https://www.pricescope.com/blog/natural-diamond-prices-september-2026</x:v>
      </x:c>
    </x:row>
    <x:row r="4665">
      <x:c r="A4665" t="n">
        <x:v>8</x:v>
      </x:c>
      <x:c r="B4665" t="str">
        <x:v>Princess</x:v>
      </x:c>
      <x:c r="C4665" t="str">
        <x:v>J</x:v>
      </x:c>
      <x:c r="D4665" t="str">
        <x:v>SI2</x:v>
      </x:c>
      <x:c r="E4665" s="36" t="n">
        <x:v>174000</x:v>
      </x:c>
      <x:c r="F4665" s="36" t="n">
        <x:v>2079</x:v>
      </x:c>
      <x:c r="G4665" s="42" t="n">
        <x:v>0.44594594594594594</x:v>
      </x:c>
      <x:c r="H4665" s="36" t="n">
        <x:f>E4665*G4665</x:f>
        <x:v>77594.5945945946</x:v>
      </x:c>
      <x:c r="I4665" s="36" t="n">
        <x:f>IFERROR(H4665/A4665,0)</x:f>
        <x:v>9699.324324324325</x:v>
      </x:c>
      <x:c r="J4665" s="67" t="str">
        <x:v>Modeled from live base + Sep-2026 quality ratio</x:v>
      </x:c>
      <x:c r="K4665" s="67" t="str">
        <x:v>https://www.stonealgo.com/diamond-prices/</x:v>
      </x:c>
      <x:c r="L4665" s="67" t="str">
        <x:v>https://www.pricescope.com/blog/natural-diamond-prices-september-2026</x:v>
      </x:c>
    </x:row>
    <x:row r="4666">
      <x:c r="A4666" t="n">
        <x:v>8</x:v>
      </x:c>
      <x:c r="B4666" t="str">
        <x:v>Princess</x:v>
      </x:c>
      <x:c r="C4666" t="str">
        <x:v>K</x:v>
      </x:c>
      <x:c r="D4666" t="str">
        <x:v>FL</x:v>
      </x:c>
      <x:c r="E4666" s="36" t="n">
        <x:v>174000</x:v>
      </x:c>
      <x:c r="F4666" s="36" t="n">
        <x:v>2858</x:v>
      </x:c>
      <x:c r="G4666" s="42" t="n">
        <x:v>0.6130416130416131</x:v>
      </x:c>
      <x:c r="H4666" s="36" t="n">
        <x:f>E4666*G4666</x:f>
        <x:v>106669.24066924068</x:v>
      </x:c>
      <x:c r="I4666" s="36" t="n">
        <x:f>IFERROR(H4666/A4666,0)</x:f>
        <x:v>13333.655083655085</x:v>
      </x:c>
      <x:c r="J4666" s="67" t="str">
        <x:v>Modeled from live base + Sep-2026 quality ratio; K/FL quality cell modeled</x:v>
      </x:c>
      <x:c r="K4666" s="67" t="str">
        <x:v>https://www.stonealgo.com/diamond-prices/</x:v>
      </x:c>
      <x:c r="L4666" s="67" t="str">
        <x:v>https://www.pricescope.com/blog/natural-diamond-prices-september-2026</x:v>
      </x:c>
    </x:row>
    <x:row r="4667">
      <x:c r="A4667" t="n">
        <x:v>8</x:v>
      </x:c>
      <x:c r="B4667" t="str">
        <x:v>Princess</x:v>
      </x:c>
      <x:c r="C4667" t="str">
        <x:v>K</x:v>
      </x:c>
      <x:c r="D4667" t="str">
        <x:v>IF</x:v>
      </x:c>
      <x:c r="E4667" s="36" t="n">
        <x:v>174000</x:v>
      </x:c>
      <x:c r="F4667" s="36" t="n">
        <x:v>2743</x:v>
      </x:c>
      <x:c r="G4667" s="42" t="n">
        <x:v>0.5883740883740883</x:v>
      </x:c>
      <x:c r="H4667" s="36" t="n">
        <x:f>E4667*G4667</x:f>
        <x:v>102377.09137709138</x:v>
      </x:c>
      <x:c r="I4667" s="36" t="n">
        <x:f>IFERROR(H4667/A4667,0)</x:f>
        <x:v>12797.136422136422</x:v>
      </x:c>
      <x:c r="J4667" s="67" t="str">
        <x:v>Modeled from live base + Sep-2026 quality ratio</x:v>
      </x:c>
      <x:c r="K4667" s="67" t="str">
        <x:v>https://www.stonealgo.com/diamond-prices/</x:v>
      </x:c>
      <x:c r="L4667" s="67" t="str">
        <x:v>https://www.pricescope.com/blog/natural-diamond-prices-september-2026</x:v>
      </x:c>
    </x:row>
    <x:row r="4668">
      <x:c r="A4668" t="n">
        <x:v>8</x:v>
      </x:c>
      <x:c r="B4668" t="str">
        <x:v>Princess</x:v>
      </x:c>
      <x:c r="C4668" t="str">
        <x:v>K</x:v>
      </x:c>
      <x:c r="D4668" t="str">
        <x:v>VVS1</x:v>
      </x:c>
      <x:c r="E4668" s="36" t="n">
        <x:v>174000</x:v>
      </x:c>
      <x:c r="F4668" s="36" t="n">
        <x:v>2529</x:v>
      </x:c>
      <x:c r="G4668" s="42" t="n">
        <x:v>0.5424710424710425</x:v>
      </x:c>
      <x:c r="H4668" s="36" t="n">
        <x:f>E4668*G4668</x:f>
        <x:v>94389.96138996139</x:v>
      </x:c>
      <x:c r="I4668" s="36" t="n">
        <x:f>IFERROR(H4668/A4668,0)</x:f>
        <x:v>11798.745173745174</x:v>
      </x:c>
      <x:c r="J4668" s="67" t="str">
        <x:v>Modeled from live base + Sep-2026 quality ratio</x:v>
      </x:c>
      <x:c r="K4668" s="67" t="str">
        <x:v>https://www.stonealgo.com/diamond-prices/</x:v>
      </x:c>
      <x:c r="L4668" s="67" t="str">
        <x:v>https://www.pricescope.com/blog/natural-diamond-prices-september-2026</x:v>
      </x:c>
    </x:row>
    <x:row r="4669">
      <x:c r="A4669" t="n">
        <x:v>8</x:v>
      </x:c>
      <x:c r="B4669" t="str">
        <x:v>Princess</x:v>
      </x:c>
      <x:c r="C4669" t="str">
        <x:v>K</x:v>
      </x:c>
      <x:c r="D4669" t="str">
        <x:v>VVS2</x:v>
      </x:c>
      <x:c r="E4669" s="36" t="n">
        <x:v>174000</x:v>
      </x:c>
      <x:c r="F4669" s="36" t="n">
        <x:v>2374</x:v>
      </x:c>
      <x:c r="G4669" s="42" t="n">
        <x:v>0.5092235092235092</x:v>
      </x:c>
      <x:c r="H4669" s="36" t="n">
        <x:f>E4669*G4669</x:f>
        <x:v>88604.8906048906</x:v>
      </x:c>
      <x:c r="I4669" s="36" t="n">
        <x:f>IFERROR(H4669/A4669,0)</x:f>
        <x:v>11075.611325611326</x:v>
      </x:c>
      <x:c r="J4669" s="67" t="str">
        <x:v>Modeled from live base + Sep-2026 quality ratio</x:v>
      </x:c>
      <x:c r="K4669" s="67" t="str">
        <x:v>https://www.stonealgo.com/diamond-prices/</x:v>
      </x:c>
      <x:c r="L4669" s="67" t="str">
        <x:v>https://www.pricescope.com/blog/natural-diamond-prices-september-2026</x:v>
      </x:c>
    </x:row>
    <x:row r="4670">
      <x:c r="A4670" t="n">
        <x:v>8</x:v>
      </x:c>
      <x:c r="B4670" t="str">
        <x:v>Princess</x:v>
      </x:c>
      <x:c r="C4670" t="str">
        <x:v>K</x:v>
      </x:c>
      <x:c r="D4670" t="str">
        <x:v>VS1</x:v>
      </x:c>
      <x:c r="E4670" s="36" t="n">
        <x:v>174000</x:v>
      </x:c>
      <x:c r="F4670" s="36" t="n">
        <x:v>2223</x:v>
      </x:c>
      <x:c r="G4670" s="42" t="n">
        <x:v>0.4768339768339768</x:v>
      </x:c>
      <x:c r="H4670" s="36" t="n">
        <x:f>E4670*G4670</x:f>
        <x:v>82969.11196911197</x:v>
      </x:c>
      <x:c r="I4670" s="36" t="n">
        <x:f>IFERROR(H4670/A4670,0)</x:f>
        <x:v>10371.138996138996</x:v>
      </x:c>
      <x:c r="J4670" s="67" t="str">
        <x:v>Modeled from live base + Sep-2026 quality ratio</x:v>
      </x:c>
      <x:c r="K4670" s="67" t="str">
        <x:v>https://www.stonealgo.com/diamond-prices/</x:v>
      </x:c>
      <x:c r="L4670" s="67" t="str">
        <x:v>https://www.pricescope.com/blog/natural-diamond-prices-september-2026</x:v>
      </x:c>
    </x:row>
    <x:row r="4671">
      <x:c r="A4671" t="n">
        <x:v>8</x:v>
      </x:c>
      <x:c r="B4671" t="str">
        <x:v>Princess</x:v>
      </x:c>
      <x:c r="C4671" t="str">
        <x:v>K</x:v>
      </x:c>
      <x:c r="D4671" t="str">
        <x:v>VS2</x:v>
      </x:c>
      <x:c r="E4671" s="36" t="n">
        <x:v>174000</x:v>
      </x:c>
      <x:c r="F4671" s="36" t="n">
        <x:v>2098</x:v>
      </x:c>
      <x:c r="G4671" s="42" t="n">
        <x:v>0.45002145002145</x:v>
      </x:c>
      <x:c r="H4671" s="36" t="n">
        <x:f>E4671*G4671</x:f>
        <x:v>78303.7323037323</x:v>
      </x:c>
      <x:c r="I4671" s="36" t="n">
        <x:f>IFERROR(H4671/A4671,0)</x:f>
        <x:v>9787.966537966537</x:v>
      </x:c>
      <x:c r="J4671" s="67" t="str">
        <x:v>Modeled from live base + Sep-2026 quality ratio</x:v>
      </x:c>
      <x:c r="K4671" s="67" t="str">
        <x:v>https://www.stonealgo.com/diamond-prices/</x:v>
      </x:c>
      <x:c r="L4671" s="67" t="str">
        <x:v>https://www.pricescope.com/blog/natural-diamond-prices-september-2026</x:v>
      </x:c>
    </x:row>
    <x:row r="4672">
      <x:c r="A4672" t="n">
        <x:v>8</x:v>
      </x:c>
      <x:c r="B4672" t="str">
        <x:v>Princess</x:v>
      </x:c>
      <x:c r="C4672" t="str">
        <x:v>K</x:v>
      </x:c>
      <x:c r="D4672" t="str">
        <x:v>SI1</x:v>
      </x:c>
      <x:c r="E4672" s="36" t="n">
        <x:v>174000</x:v>
      </x:c>
      <x:c r="F4672" s="36" t="n">
        <x:v>1922</x:v>
      </x:c>
      <x:c r="G4672" s="42" t="n">
        <x:v>0.41226941226941227</x:v>
      </x:c>
      <x:c r="H4672" s="36" t="n">
        <x:f>E4672*G4672</x:f>
        <x:v>71734.87773487774</x:v>
      </x:c>
      <x:c r="I4672" s="36" t="n">
        <x:f>IFERROR(H4672/A4672,0)</x:f>
        <x:v>8966.859716859717</x:v>
      </x:c>
      <x:c r="J4672" s="67" t="str">
        <x:v>Modeled from live base + Sep-2026 quality ratio</x:v>
      </x:c>
      <x:c r="K4672" s="67" t="str">
        <x:v>https://www.stonealgo.com/diamond-prices/</x:v>
      </x:c>
      <x:c r="L4672" s="67" t="str">
        <x:v>https://www.pricescope.com/blog/natural-diamond-prices-september-2026</x:v>
      </x:c>
    </x:row>
    <x:row r="4673">
      <x:c r="A4673" t="n">
        <x:v>8</x:v>
      </x:c>
      <x:c r="B4673" t="str">
        <x:v>Princess</x:v>
      </x:c>
      <x:c r="C4673" t="str">
        <x:v>K</x:v>
      </x:c>
      <x:c r="D4673" t="str">
        <x:v>SI2</x:v>
      </x:c>
      <x:c r="E4673" s="36" t="n">
        <x:v>174000</x:v>
      </x:c>
      <x:c r="F4673" s="36" t="n">
        <x:v>1764</x:v>
      </x:c>
      <x:c r="G4673" s="42" t="n">
        <x:v>0.3783783783783784</x:v>
      </x:c>
      <x:c r="H4673" s="36" t="n">
        <x:f>E4673*G4673</x:f>
        <x:v>65837.83783783784</x:v>
      </x:c>
      <x:c r="I4673" s="36" t="n">
        <x:f>IFERROR(H4673/A4673,0)</x:f>
        <x:v>8229.72972972973</x:v>
      </x:c>
      <x:c r="J4673" s="67" t="str">
        <x:v>Modeled from live base + Sep-2026 quality ratio</x:v>
      </x:c>
      <x:c r="K4673" s="67" t="str">
        <x:v>https://www.stonealgo.com/diamond-prices/</x:v>
      </x:c>
      <x:c r="L4673" s="67" t="str">
        <x:v>https://www.pricescope.com/blog/natural-diamond-prices-september-2026</x:v>
      </x:c>
    </x:row>
    <x:row r="4674">
      <x:c r="A4674" t="n">
        <x:v>8</x:v>
      </x:c>
      <x:c r="B4674" t="str">
        <x:v>Emerald</x:v>
      </x:c>
      <x:c r="C4674" t="str">
        <x:v>D</x:v>
      </x:c>
      <x:c r="D4674" t="str">
        <x:v>FL</x:v>
      </x:c>
      <x:c r="E4674" s="36" t="n">
        <x:v>228000</x:v>
      </x:c>
      <x:c r="F4674" s="36" t="n">
        <x:v>12665</x:v>
      </x:c>
      <x:c r="G4674" s="42" t="n">
        <x:v>2.7166452166452166</x:v>
      </x:c>
      <x:c r="H4674" s="36" t="n">
        <x:f>E4674*G4674</x:f>
        <x:v>619395.1093951093</x:v>
      </x:c>
      <x:c r="I4674" s="36" t="n">
        <x:f>IFERROR(H4674/A4674,0)</x:f>
        <x:v>77424.38867438867</x:v>
      </x:c>
      <x:c r="J4674" s="67" t="str">
        <x:v>Modeled from live base + Sep-2026 quality ratio</x:v>
      </x:c>
      <x:c r="K4674" s="67" t="str">
        <x:v>https://www.stonealgo.com/diamond-prices/</x:v>
      </x:c>
      <x:c r="L4674" s="67" t="str">
        <x:v>https://www.pricescope.com/blog/natural-diamond-prices-september-2026</x:v>
      </x:c>
    </x:row>
    <x:row r="4675">
      <x:c r="A4675" t="n">
        <x:v>8</x:v>
      </x:c>
      <x:c r="B4675" t="str">
        <x:v>Emerald</x:v>
      </x:c>
      <x:c r="C4675" t="str">
        <x:v>D</x:v>
      </x:c>
      <x:c r="D4675" t="str">
        <x:v>IF</x:v>
      </x:c>
      <x:c r="E4675" s="36" t="n">
        <x:v>228000</x:v>
      </x:c>
      <x:c r="F4675" s="36" t="n">
        <x:v>13240</x:v>
      </x:c>
      <x:c r="G4675" s="42" t="n">
        <x:v>2.83998283998284</x:v>
      </x:c>
      <x:c r="H4675" s="36" t="n">
        <x:f>E4675*G4675</x:f>
        <x:v>647516.0875160876</x:v>
      </x:c>
      <x:c r="I4675" s="36" t="n">
        <x:f>IFERROR(H4675/A4675,0)</x:f>
        <x:v>80939.51093951095</x:v>
      </x:c>
      <x:c r="J4675" s="67" t="str">
        <x:v>Modeled from live base + Sep-2026 quality ratio</x:v>
      </x:c>
      <x:c r="K4675" s="67" t="str">
        <x:v>https://www.stonealgo.com/diamond-prices/</x:v>
      </x:c>
      <x:c r="L4675" s="67" t="str">
        <x:v>https://www.pricescope.com/blog/natural-diamond-prices-september-2026</x:v>
      </x:c>
    </x:row>
    <x:row r="4676">
      <x:c r="A4676" t="n">
        <x:v>8</x:v>
      </x:c>
      <x:c r="B4676" t="str">
        <x:v>Emerald</x:v>
      </x:c>
      <x:c r="C4676" t="str">
        <x:v>D</x:v>
      </x:c>
      <x:c r="D4676" t="str">
        <x:v>VVS1</x:v>
      </x:c>
      <x:c r="E4676" s="36" t="n">
        <x:v>228000</x:v>
      </x:c>
      <x:c r="F4676" s="36" t="n">
        <x:v>9555</x:v>
      </x:c>
      <x:c r="G4676" s="42" t="n">
        <x:v>2.0495495495495497</x:v>
      </x:c>
      <x:c r="H4676" s="36" t="n">
        <x:f>E4676*G4676</x:f>
        <x:v>467297.29729729734</x:v>
      </x:c>
      <x:c r="I4676" s="36" t="n">
        <x:f>IFERROR(H4676/A4676,0)</x:f>
        <x:v>58412.16216216217</x:v>
      </x:c>
      <x:c r="J4676" s="67" t="str">
        <x:v>Modeled from live base + Sep-2026 quality ratio</x:v>
      </x:c>
      <x:c r="K4676" s="67" t="str">
        <x:v>https://www.stonealgo.com/diamond-prices/</x:v>
      </x:c>
      <x:c r="L4676" s="67" t="str">
        <x:v>https://www.pricescope.com/blog/natural-diamond-prices-september-2026</x:v>
      </x:c>
    </x:row>
    <x:row r="4677">
      <x:c r="A4677" t="n">
        <x:v>8</x:v>
      </x:c>
      <x:c r="B4677" t="str">
        <x:v>Emerald</x:v>
      </x:c>
      <x:c r="C4677" t="str">
        <x:v>D</x:v>
      </x:c>
      <x:c r="D4677" t="str">
        <x:v>VVS2</x:v>
      </x:c>
      <x:c r="E4677" s="36" t="n">
        <x:v>228000</x:v>
      </x:c>
      <x:c r="F4677" s="36" t="n">
        <x:v>6660</x:v>
      </x:c>
      <x:c r="G4677" s="42" t="n">
        <x:v>1.4285714285714286</x:v>
      </x:c>
      <x:c r="H4677" s="36" t="n">
        <x:f>E4677*G4677</x:f>
        <x:v>325714.28571428574</x:v>
      </x:c>
      <x:c r="I4677" s="36" t="n">
        <x:f>IFERROR(H4677/A4677,0)</x:f>
        <x:v>40714.28571428572</x:v>
      </x:c>
      <x:c r="J4677" s="67" t="str">
        <x:v>Modeled from live base + Sep-2026 quality ratio</x:v>
      </x:c>
      <x:c r="K4677" s="67" t="str">
        <x:v>https://www.stonealgo.com/diamond-prices/</x:v>
      </x:c>
      <x:c r="L4677" s="67" t="str">
        <x:v>https://www.pricescope.com/blog/natural-diamond-prices-september-2026</x:v>
      </x:c>
    </x:row>
    <x:row r="4678">
      <x:c r="A4678" t="n">
        <x:v>8</x:v>
      </x:c>
      <x:c r="B4678" t="str">
        <x:v>Emerald</x:v>
      </x:c>
      <x:c r="C4678" t="str">
        <x:v>D</x:v>
      </x:c>
      <x:c r="D4678" t="str">
        <x:v>VS1</x:v>
      </x:c>
      <x:c r="E4678" s="36" t="n">
        <x:v>228000</x:v>
      </x:c>
      <x:c r="F4678" s="36" t="n">
        <x:v>6247</x:v>
      </x:c>
      <x:c r="G4678" s="42" t="n">
        <x:v>1.33998283998284</x:v>
      </x:c>
      <x:c r="H4678" s="36" t="n">
        <x:f>E4678*G4678</x:f>
        <x:v>305516.0875160875</x:v>
      </x:c>
      <x:c r="I4678" s="36" t="n">
        <x:f>IFERROR(H4678/A4678,0)</x:f>
        <x:v>38189.51093951094</x:v>
      </x:c>
      <x:c r="J4678" s="67" t="str">
        <x:v>Modeled from live base + Sep-2026 quality ratio</x:v>
      </x:c>
      <x:c r="K4678" s="67" t="str">
        <x:v>https://www.stonealgo.com/diamond-prices/</x:v>
      </x:c>
      <x:c r="L4678" s="67" t="str">
        <x:v>https://www.pricescope.com/blog/natural-diamond-prices-september-2026</x:v>
      </x:c>
    </x:row>
    <x:row r="4679">
      <x:c r="A4679" t="n">
        <x:v>8</x:v>
      </x:c>
      <x:c r="B4679" t="str">
        <x:v>Emerald</x:v>
      </x:c>
      <x:c r="C4679" t="str">
        <x:v>D</x:v>
      </x:c>
      <x:c r="D4679" t="str">
        <x:v>VS2</x:v>
      </x:c>
      <x:c r="E4679" s="36" t="n">
        <x:v>228000</x:v>
      </x:c>
      <x:c r="F4679" s="36" t="n">
        <x:v>5841</x:v>
      </x:c>
      <x:c r="G4679" s="42" t="n">
        <x:v>1.252895752895753</x:v>
      </x:c>
      <x:c r="H4679" s="36" t="n">
        <x:f>E4679*G4679</x:f>
        <x:v>285660.23166023166</x:v>
      </x:c>
      <x:c r="I4679" s="36" t="n">
        <x:f>IFERROR(H4679/A4679,0)</x:f>
        <x:v>35707.52895752896</x:v>
      </x:c>
      <x:c r="J4679" s="67" t="str">
        <x:v>Modeled from live base + Sep-2026 quality ratio</x:v>
      </x:c>
      <x:c r="K4679" s="67" t="str">
        <x:v>https://www.stonealgo.com/diamond-prices/</x:v>
      </x:c>
      <x:c r="L4679" s="67" t="str">
        <x:v>https://www.pricescope.com/blog/natural-diamond-prices-september-2026</x:v>
      </x:c>
    </x:row>
    <x:row r="4680">
      <x:c r="A4680" t="n">
        <x:v>8</x:v>
      </x:c>
      <x:c r="B4680" t="str">
        <x:v>Emerald</x:v>
      </x:c>
      <x:c r="C4680" t="str">
        <x:v>D</x:v>
      </x:c>
      <x:c r="D4680" t="str">
        <x:v>SI1</x:v>
      </x:c>
      <x:c r="E4680" s="36" t="n">
        <x:v>228000</x:v>
      </x:c>
      <x:c r="F4680" s="36" t="n">
        <x:v>3762</x:v>
      </x:c>
      <x:c r="G4680" s="42" t="n">
        <x:v>0.806949806949807</x:v>
      </x:c>
      <x:c r="H4680" s="36" t="n">
        <x:f>E4680*G4680</x:f>
        <x:v>183984.555984556</x:v>
      </x:c>
      <x:c r="I4680" s="36" t="n">
        <x:f>IFERROR(H4680/A4680,0)</x:f>
        <x:v>22998.0694980695</x:v>
      </x:c>
      <x:c r="J4680" s="67" t="str">
        <x:v>Modeled from live base + Sep-2026 quality ratio</x:v>
      </x:c>
      <x:c r="K4680" s="67" t="str">
        <x:v>https://www.stonealgo.com/diamond-prices/</x:v>
      </x:c>
      <x:c r="L4680" s="67" t="str">
        <x:v>https://www.pricescope.com/blog/natural-diamond-prices-september-2026</x:v>
      </x:c>
    </x:row>
    <x:row r="4681">
      <x:c r="A4681" t="n">
        <x:v>8</x:v>
      </x:c>
      <x:c r="B4681" t="str">
        <x:v>Emerald</x:v>
      </x:c>
      <x:c r="C4681" t="str">
        <x:v>D</x:v>
      </x:c>
      <x:c r="D4681" t="str">
        <x:v>SI2</x:v>
      </x:c>
      <x:c r="E4681" s="36" t="n">
        <x:v>228000</x:v>
      </x:c>
      <x:c r="F4681" s="36" t="n">
        <x:v>3026</x:v>
      </x:c>
      <x:c r="G4681" s="42" t="n">
        <x:v>0.6490776490776491</x:v>
      </x:c>
      <x:c r="H4681" s="36" t="n">
        <x:f>E4681*G4681</x:f>
        <x:v>147989.703989704</x:v>
      </x:c>
      <x:c r="I4681" s="36" t="n">
        <x:f>IFERROR(H4681/A4681,0)</x:f>
        <x:v>18498.712998713</x:v>
      </x:c>
      <x:c r="J4681" s="67" t="str">
        <x:v>Modeled from live base + Sep-2026 quality ratio</x:v>
      </x:c>
      <x:c r="K4681" s="67" t="str">
        <x:v>https://www.stonealgo.com/diamond-prices/</x:v>
      </x:c>
      <x:c r="L4681" s="67" t="str">
        <x:v>https://www.pricescope.com/blog/natural-diamond-prices-september-2026</x:v>
      </x:c>
    </x:row>
    <x:row r="4682">
      <x:c r="A4682" t="n">
        <x:v>8</x:v>
      </x:c>
      <x:c r="B4682" t="str">
        <x:v>Emerald</x:v>
      </x:c>
      <x:c r="C4682" t="str">
        <x:v>E</x:v>
      </x:c>
      <x:c r="D4682" t="str">
        <x:v>FL</x:v>
      </x:c>
      <x:c r="E4682" s="36" t="n">
        <x:v>228000</x:v>
      </x:c>
      <x:c r="F4682" s="36" t="n">
        <x:v>10072</x:v>
      </x:c>
      <x:c r="G4682" s="42" t="n">
        <x:v>2.1604461604461602</x:v>
      </x:c>
      <x:c r="H4682" s="36" t="n">
        <x:f>E4682*G4682</x:f>
        <x:v>492581.72458172456</x:v>
      </x:c>
      <x:c r="I4682" s="36" t="n">
        <x:f>IFERROR(H4682/A4682,0)</x:f>
        <x:v>61572.71557271557</x:v>
      </x:c>
      <x:c r="J4682" s="67" t="str">
        <x:v>Modeled from live base + Sep-2026 quality ratio</x:v>
      </x:c>
      <x:c r="K4682" s="67" t="str">
        <x:v>https://www.stonealgo.com/diamond-prices/</x:v>
      </x:c>
      <x:c r="L4682" s="67" t="str">
        <x:v>https://www.pricescope.com/blog/natural-diamond-prices-september-2026</x:v>
      </x:c>
    </x:row>
    <x:row r="4683">
      <x:c r="A4683" t="n">
        <x:v>8</x:v>
      </x:c>
      <x:c r="B4683" t="str">
        <x:v>Emerald</x:v>
      </x:c>
      <x:c r="C4683" t="str">
        <x:v>E</x:v>
      </x:c>
      <x:c r="D4683" t="str">
        <x:v>IF</x:v>
      </x:c>
      <x:c r="E4683" s="36" t="n">
        <x:v>228000</x:v>
      </x:c>
      <x:c r="F4683" s="36" t="n">
        <x:v>8672</x:v>
      </x:c>
      <x:c r="G4683" s="42" t="n">
        <x:v>1.8601458601458603</x:v>
      </x:c>
      <x:c r="H4683" s="36" t="n">
        <x:f>E4683*G4683</x:f>
        <x:v>424113.25611325615</x:v>
      </x:c>
      <x:c r="I4683" s="36" t="n">
        <x:f>IFERROR(H4683/A4683,0)</x:f>
        <x:v>53014.15701415702</x:v>
      </x:c>
      <x:c r="J4683" s="67" t="str">
        <x:v>Modeled from live base + Sep-2026 quality ratio</x:v>
      </x:c>
      <x:c r="K4683" s="67" t="str">
        <x:v>https://www.stonealgo.com/diamond-prices/</x:v>
      </x:c>
      <x:c r="L4683" s="67" t="str">
        <x:v>https://www.pricescope.com/blog/natural-diamond-prices-september-2026</x:v>
      </x:c>
    </x:row>
    <x:row r="4684">
      <x:c r="A4684" t="n">
        <x:v>8</x:v>
      </x:c>
      <x:c r="B4684" t="str">
        <x:v>Emerald</x:v>
      </x:c>
      <x:c r="C4684" t="str">
        <x:v>E</x:v>
      </x:c>
      <x:c r="D4684" t="str">
        <x:v>VVS1</x:v>
      </x:c>
      <x:c r="E4684" s="36" t="n">
        <x:v>228000</x:v>
      </x:c>
      <x:c r="F4684" s="36" t="n">
        <x:v>7842</x:v>
      </x:c>
      <x:c r="G4684" s="42" t="n">
        <x:v>1.6821106821106822</x:v>
      </x:c>
      <x:c r="H4684" s="36" t="n">
        <x:f>E4684*G4684</x:f>
        <x:v>383521.2355212355</x:v>
      </x:c>
      <x:c r="I4684" s="36" t="n">
        <x:f>IFERROR(H4684/A4684,0)</x:f>
        <x:v>47940.15444015444</x:v>
      </x:c>
      <x:c r="J4684" s="67" t="str">
        <x:v>Modeled from live base + Sep-2026 quality ratio</x:v>
      </x:c>
      <x:c r="K4684" s="67" t="str">
        <x:v>https://www.stonealgo.com/diamond-prices/</x:v>
      </x:c>
      <x:c r="L4684" s="67" t="str">
        <x:v>https://www.pricescope.com/blog/natural-diamond-prices-september-2026</x:v>
      </x:c>
    </x:row>
    <x:row r="4685">
      <x:c r="A4685" t="n">
        <x:v>8</x:v>
      </x:c>
      <x:c r="B4685" t="str">
        <x:v>Emerald</x:v>
      </x:c>
      <x:c r="C4685" t="str">
        <x:v>E</x:v>
      </x:c>
      <x:c r="D4685" t="str">
        <x:v>VVS2</x:v>
      </x:c>
      <x:c r="E4685" s="36" t="n">
        <x:v>228000</x:v>
      </x:c>
      <x:c r="F4685" s="36" t="n">
        <x:v>6880</x:v>
      </x:c>
      <x:c r="G4685" s="42" t="n">
        <x:v>1.4757614757614759</x:v>
      </x:c>
      <x:c r="H4685" s="36" t="n">
        <x:f>E4685*G4685</x:f>
        <x:v>336473.6164736165</x:v>
      </x:c>
      <x:c r="I4685" s="36" t="n">
        <x:f>IFERROR(H4685/A4685,0)</x:f>
        <x:v>42059.20205920206</x:v>
      </x:c>
      <x:c r="J4685" s="67" t="str">
        <x:v>Modeled from live base + Sep-2026 quality ratio</x:v>
      </x:c>
      <x:c r="K4685" s="67" t="str">
        <x:v>https://www.stonealgo.com/diamond-prices/</x:v>
      </x:c>
      <x:c r="L4685" s="67" t="str">
        <x:v>https://www.pricescope.com/blog/natural-diamond-prices-september-2026</x:v>
      </x:c>
    </x:row>
    <x:row r="4686">
      <x:c r="A4686" t="n">
        <x:v>8</x:v>
      </x:c>
      <x:c r="B4686" t="str">
        <x:v>Emerald</x:v>
      </x:c>
      <x:c r="C4686" t="str">
        <x:v>E</x:v>
      </x:c>
      <x:c r="D4686" t="str">
        <x:v>VS1</x:v>
      </x:c>
      <x:c r="E4686" s="36" t="n">
        <x:v>228000</x:v>
      </x:c>
      <x:c r="F4686" s="36" t="n">
        <x:v>6307</x:v>
      </x:c>
      <x:c r="G4686" s="42" t="n">
        <x:v>1.352852852852853</x:v>
      </x:c>
      <x:c r="H4686" s="36" t="n">
        <x:f>E4686*G4686</x:f>
        <x:v>308450.4504504505</x:v>
      </x:c>
      <x:c r="I4686" s="36" t="n">
        <x:f>IFERROR(H4686/A4686,0)</x:f>
        <x:v>38556.30630630631</x:v>
      </x:c>
      <x:c r="J4686" s="67" t="str">
        <x:v>Modeled from live base + Sep-2026 quality ratio</x:v>
      </x:c>
      <x:c r="K4686" s="67" t="str">
        <x:v>https://www.stonealgo.com/diamond-prices/</x:v>
      </x:c>
      <x:c r="L4686" s="67" t="str">
        <x:v>https://www.pricescope.com/blog/natural-diamond-prices-september-2026</x:v>
      </x:c>
    </x:row>
    <x:row r="4687">
      <x:c r="A4687" t="n">
        <x:v>8</x:v>
      </x:c>
      <x:c r="B4687" t="str">
        <x:v>Emerald</x:v>
      </x:c>
      <x:c r="C4687" t="str">
        <x:v>E</x:v>
      </x:c>
      <x:c r="D4687" t="str">
        <x:v>VS2</x:v>
      </x:c>
      <x:c r="E4687" s="36" t="n">
        <x:v>228000</x:v>
      </x:c>
      <x:c r="F4687" s="36" t="n">
        <x:v>5249</x:v>
      </x:c>
      <x:c r="G4687" s="42" t="n">
        <x:v>1.125911625911626</x:v>
      </x:c>
      <x:c r="H4687" s="36" t="n">
        <x:f>E4687*G4687</x:f>
        <x:v>256707.8507078507</x:v>
      </x:c>
      <x:c r="I4687" s="36" t="n">
        <x:f>IFERROR(H4687/A4687,0)</x:f>
        <x:v>32088.48133848134</x:v>
      </x:c>
      <x:c r="J4687" s="67" t="str">
        <x:v>Modeled from live base + Sep-2026 quality ratio</x:v>
      </x:c>
      <x:c r="K4687" s="67" t="str">
        <x:v>https://www.stonealgo.com/diamond-prices/</x:v>
      </x:c>
      <x:c r="L4687" s="67" t="str">
        <x:v>https://www.pricescope.com/blog/natural-diamond-prices-september-2026</x:v>
      </x:c>
    </x:row>
    <x:row r="4688">
      <x:c r="A4688" t="n">
        <x:v>8</x:v>
      </x:c>
      <x:c r="B4688" t="str">
        <x:v>Emerald</x:v>
      </x:c>
      <x:c r="C4688" t="str">
        <x:v>E</x:v>
      </x:c>
      <x:c r="D4688" t="str">
        <x:v>SI1</x:v>
      </x:c>
      <x:c r="E4688" s="36" t="n">
        <x:v>228000</x:v>
      </x:c>
      <x:c r="F4688" s="36" t="n">
        <x:v>3551</x:v>
      </x:c>
      <x:c r="G4688" s="42" t="n">
        <x:v>0.7616902616902617</x:v>
      </x:c>
      <x:c r="H4688" s="36" t="n">
        <x:f>E4688*G4688</x:f>
        <x:v>173665.37966537965</x:v>
      </x:c>
      <x:c r="I4688" s="36" t="n">
        <x:f>IFERROR(H4688/A4688,0)</x:f>
        <x:v>21708.172458172456</x:v>
      </x:c>
      <x:c r="J4688" s="67" t="str">
        <x:v>Modeled from live base + Sep-2026 quality ratio</x:v>
      </x:c>
      <x:c r="K4688" s="67" t="str">
        <x:v>https://www.stonealgo.com/diamond-prices/</x:v>
      </x:c>
      <x:c r="L4688" s="67" t="str">
        <x:v>https://www.pricescope.com/blog/natural-diamond-prices-september-2026</x:v>
      </x:c>
    </x:row>
    <x:row r="4689">
      <x:c r="A4689" t="n">
        <x:v>8</x:v>
      </x:c>
      <x:c r="B4689" t="str">
        <x:v>Emerald</x:v>
      </x:c>
      <x:c r="C4689" t="str">
        <x:v>E</x:v>
      </x:c>
      <x:c r="D4689" t="str">
        <x:v>SI2</x:v>
      </x:c>
      <x:c r="E4689" s="36" t="n">
        <x:v>228000</x:v>
      </x:c>
      <x:c r="F4689" s="36" t="n">
        <x:v>2993</x:v>
      </x:c>
      <x:c r="G4689" s="42" t="n">
        <x:v>0.641999141999142</x:v>
      </x:c>
      <x:c r="H4689" s="36" t="n">
        <x:f>E4689*G4689</x:f>
        <x:v>146375.80437580438</x:v>
      </x:c>
      <x:c r="I4689" s="36" t="n">
        <x:f>IFERROR(H4689/A4689,0)</x:f>
        <x:v>18296.975546975547</x:v>
      </x:c>
      <x:c r="J4689" s="67" t="str">
        <x:v>Modeled from live base + Sep-2026 quality ratio</x:v>
      </x:c>
      <x:c r="K4689" s="67" t="str">
        <x:v>https://www.stonealgo.com/diamond-prices/</x:v>
      </x:c>
      <x:c r="L4689" s="67" t="str">
        <x:v>https://www.pricescope.com/blog/natural-diamond-prices-september-2026</x:v>
      </x:c>
    </x:row>
    <x:row r="4690">
      <x:c r="A4690" t="n">
        <x:v>8</x:v>
      </x:c>
      <x:c r="B4690" t="str">
        <x:v>Emerald</x:v>
      </x:c>
      <x:c r="C4690" t="str">
        <x:v>F</x:v>
      </x:c>
      <x:c r="D4690" t="str">
        <x:v>FL</x:v>
      </x:c>
      <x:c r="E4690" s="36" t="n">
        <x:v>228000</x:v>
      </x:c>
      <x:c r="F4690" s="36" t="n">
        <x:v>6830</x:v>
      </x:c>
      <x:c r="G4690" s="42" t="n">
        <x:v>1.4650364650364651</x:v>
      </x:c>
      <x:c r="H4690" s="36" t="n">
        <x:f>E4690*G4690</x:f>
        <x:v>334028.314028314</x:v>
      </x:c>
      <x:c r="I4690" s="36" t="n">
        <x:f>IFERROR(H4690/A4690,0)</x:f>
        <x:v>41753.53925353925</x:v>
      </x:c>
      <x:c r="J4690" s="67" t="str">
        <x:v>Modeled from live base + Sep-2026 quality ratio</x:v>
      </x:c>
      <x:c r="K4690" s="67" t="str">
        <x:v>https://www.stonealgo.com/diamond-prices/</x:v>
      </x:c>
      <x:c r="L4690" s="67" t="str">
        <x:v>https://www.pricescope.com/blog/natural-diamond-prices-september-2026</x:v>
      </x:c>
    </x:row>
    <x:row r="4691">
      <x:c r="A4691" t="n">
        <x:v>8</x:v>
      </x:c>
      <x:c r="B4691" t="str">
        <x:v>Emerald</x:v>
      </x:c>
      <x:c r="C4691" t="str">
        <x:v>F</x:v>
      </x:c>
      <x:c r="D4691" t="str">
        <x:v>IF</x:v>
      </x:c>
      <x:c r="E4691" s="36" t="n">
        <x:v>228000</x:v>
      </x:c>
      <x:c r="F4691" s="36" t="n">
        <x:v>7302</x:v>
      </x:c>
      <x:c r="G4691" s="42" t="n">
        <x:v>1.5662805662805663</x:v>
      </x:c>
      <x:c r="H4691" s="36" t="n">
        <x:f>E4691*G4691</x:f>
        <x:v>357111.9691119691</x:v>
      </x:c>
      <x:c r="I4691" s="36" t="n">
        <x:f>IFERROR(H4691/A4691,0)</x:f>
        <x:v>44638.99613899614</x:v>
      </x:c>
      <x:c r="J4691" s="67" t="str">
        <x:v>Modeled from live base + Sep-2026 quality ratio</x:v>
      </x:c>
      <x:c r="K4691" s="67" t="str">
        <x:v>https://www.stonealgo.com/diamond-prices/</x:v>
      </x:c>
      <x:c r="L4691" s="67" t="str">
        <x:v>https://www.pricescope.com/blog/natural-diamond-prices-september-2026</x:v>
      </x:c>
    </x:row>
    <x:row r="4692">
      <x:c r="A4692" t="n">
        <x:v>8</x:v>
      </x:c>
      <x:c r="B4692" t="str">
        <x:v>Emerald</x:v>
      </x:c>
      <x:c r="C4692" t="str">
        <x:v>F</x:v>
      </x:c>
      <x:c r="D4692" t="str">
        <x:v>VVS1</x:v>
      </x:c>
      <x:c r="E4692" s="36" t="n">
        <x:v>228000</x:v>
      </x:c>
      <x:c r="F4692" s="36" t="n">
        <x:v>7542</x:v>
      </x:c>
      <x:c r="G4692" s="42" t="n">
        <x:v>1.6177606177606179</x:v>
      </x:c>
      <x:c r="H4692" s="36" t="n">
        <x:f>E4692*G4692</x:f>
        <x:v>368849.4208494209</x:v>
      </x:c>
      <x:c r="I4692" s="36" t="n">
        <x:f>IFERROR(H4692/A4692,0)</x:f>
        <x:v>46106.17760617761</x:v>
      </x:c>
      <x:c r="J4692" s="67" t="str">
        <x:v>Modeled from live base + Sep-2026 quality ratio</x:v>
      </x:c>
      <x:c r="K4692" s="67" t="str">
        <x:v>https://www.stonealgo.com/diamond-prices/</x:v>
      </x:c>
      <x:c r="L4692" s="67" t="str">
        <x:v>https://www.pricescope.com/blog/natural-diamond-prices-september-2026</x:v>
      </x:c>
    </x:row>
    <x:row r="4693">
      <x:c r="A4693" t="n">
        <x:v>8</x:v>
      </x:c>
      <x:c r="B4693" t="str">
        <x:v>Emerald</x:v>
      </x:c>
      <x:c r="C4693" t="str">
        <x:v>F</x:v>
      </x:c>
      <x:c r="D4693" t="str">
        <x:v>VVS2</x:v>
      </x:c>
      <x:c r="E4693" s="36" t="n">
        <x:v>228000</x:v>
      </x:c>
      <x:c r="F4693" s="36" t="n">
        <x:v>6352</x:v>
      </x:c>
      <x:c r="G4693" s="42" t="n">
        <x:v>1.3625053625053625</x:v>
      </x:c>
      <x:c r="H4693" s="36" t="n">
        <x:f>E4693*G4693</x:f>
        <x:v>310651.22265122266</x:v>
      </x:c>
      <x:c r="I4693" s="36" t="n">
        <x:f>IFERROR(H4693/A4693,0)</x:f>
        <x:v>38831.40283140283</x:v>
      </x:c>
      <x:c r="J4693" s="67" t="str">
        <x:v>Modeled from live base + Sep-2026 quality ratio</x:v>
      </x:c>
      <x:c r="K4693" s="67" t="str">
        <x:v>https://www.stonealgo.com/diamond-prices/</x:v>
      </x:c>
      <x:c r="L4693" s="67" t="str">
        <x:v>https://www.pricescope.com/blog/natural-diamond-prices-september-2026</x:v>
      </x:c>
    </x:row>
    <x:row r="4694">
      <x:c r="A4694" t="n">
        <x:v>8</x:v>
      </x:c>
      <x:c r="B4694" t="str">
        <x:v>Emerald</x:v>
      </x:c>
      <x:c r="C4694" t="str">
        <x:v>F</x:v>
      </x:c>
      <x:c r="D4694" t="str">
        <x:v>VS1</x:v>
      </x:c>
      <x:c r="E4694" s="36" t="n">
        <x:v>228000</x:v>
      </x:c>
      <x:c r="F4694" s="36" t="n">
        <x:v>5647</x:v>
      </x:c>
      <x:c r="G4694" s="42" t="n">
        <x:v>1.2112827112827114</x:v>
      </x:c>
      <x:c r="H4694" s="36" t="n">
        <x:f>E4694*G4694</x:f>
        <x:v>276172.45817245817</x:v>
      </x:c>
      <x:c r="I4694" s="36" t="n">
        <x:f>IFERROR(H4694/A4694,0)</x:f>
        <x:v>34521.55727155727</x:v>
      </x:c>
      <x:c r="J4694" s="67" t="str">
        <x:v>Modeled from live base + Sep-2026 quality ratio</x:v>
      </x:c>
      <x:c r="K4694" s="67" t="str">
        <x:v>https://www.stonealgo.com/diamond-prices/</x:v>
      </x:c>
      <x:c r="L4694" s="67" t="str">
        <x:v>https://www.pricescope.com/blog/natural-diamond-prices-september-2026</x:v>
      </x:c>
    </x:row>
    <x:row r="4695">
      <x:c r="A4695" t="n">
        <x:v>8</x:v>
      </x:c>
      <x:c r="B4695" t="str">
        <x:v>Emerald</x:v>
      </x:c>
      <x:c r="C4695" t="str">
        <x:v>F</x:v>
      </x:c>
      <x:c r="D4695" t="str">
        <x:v>VS2</x:v>
      </x:c>
      <x:c r="E4695" s="36" t="n">
        <x:v>228000</x:v>
      </x:c>
      <x:c r="F4695" s="36" t="n">
        <x:v>4730</x:v>
      </x:c>
      <x:c r="G4695" s="42" t="n">
        <x:v>1.0145860145860146</x:v>
      </x:c>
      <x:c r="H4695" s="36" t="n">
        <x:f>E4695*G4695</x:f>
        <x:v>231325.61132561133</x:v>
      </x:c>
      <x:c r="I4695" s="36" t="n">
        <x:f>IFERROR(H4695/A4695,0)</x:f>
        <x:v>28915.701415701416</x:v>
      </x:c>
      <x:c r="J4695" s="67" t="str">
        <x:v>Modeled from live base + Sep-2026 quality ratio</x:v>
      </x:c>
      <x:c r="K4695" s="67" t="str">
        <x:v>https://www.stonealgo.com/diamond-prices/</x:v>
      </x:c>
      <x:c r="L4695" s="67" t="str">
        <x:v>https://www.pricescope.com/blog/natural-diamond-prices-september-2026</x:v>
      </x:c>
    </x:row>
    <x:row r="4696">
      <x:c r="A4696" t="n">
        <x:v>8</x:v>
      </x:c>
      <x:c r="B4696" t="str">
        <x:v>Emerald</x:v>
      </x:c>
      <x:c r="C4696" t="str">
        <x:v>F</x:v>
      </x:c>
      <x:c r="D4696" t="str">
        <x:v>SI1</x:v>
      </x:c>
      <x:c r="E4696" s="36" t="n">
        <x:v>228000</x:v>
      </x:c>
      <x:c r="F4696" s="36" t="n">
        <x:v>3331</x:v>
      </x:c>
      <x:c r="G4696" s="42" t="n">
        <x:v>0.7145002145002145</x:v>
      </x:c>
      <x:c r="H4696" s="36" t="n">
        <x:f>E4696*G4696</x:f>
        <x:v>162906.0489060489</x:v>
      </x:c>
      <x:c r="I4696" s="36" t="n">
        <x:f>IFERROR(H4696/A4696,0)</x:f>
        <x:v>20363.256113256113</x:v>
      </x:c>
      <x:c r="J4696" s="67" t="str">
        <x:v>Modeled from live base + Sep-2026 quality ratio</x:v>
      </x:c>
      <x:c r="K4696" s="67" t="str">
        <x:v>https://www.stonealgo.com/diamond-prices/</x:v>
      </x:c>
      <x:c r="L4696" s="67" t="str">
        <x:v>https://www.pricescope.com/blog/natural-diamond-prices-september-2026</x:v>
      </x:c>
    </x:row>
    <x:row r="4697">
      <x:c r="A4697" t="n">
        <x:v>8</x:v>
      </x:c>
      <x:c r="B4697" t="str">
        <x:v>Emerald</x:v>
      </x:c>
      <x:c r="C4697" t="str">
        <x:v>F</x:v>
      </x:c>
      <x:c r="D4697" t="str">
        <x:v>SI2</x:v>
      </x:c>
      <x:c r="E4697" s="36" t="n">
        <x:v>228000</x:v>
      </x:c>
      <x:c r="F4697" s="36" t="n">
        <x:v>2733</x:v>
      </x:c>
      <x:c r="G4697" s="42" t="n">
        <x:v>0.5862290862290862</x:v>
      </x:c>
      <x:c r="H4697" s="36" t="n">
        <x:f>E4697*G4697</x:f>
        <x:v>133660.23166023166</x:v>
      </x:c>
      <x:c r="I4697" s="36" t="n">
        <x:f>IFERROR(H4697/A4697,0)</x:f>
        <x:v>16707.528957528957</x:v>
      </x:c>
      <x:c r="J4697" s="67" t="str">
        <x:v>Modeled from live base + Sep-2026 quality ratio</x:v>
      </x:c>
      <x:c r="K4697" s="67" t="str">
        <x:v>https://www.stonealgo.com/diamond-prices/</x:v>
      </x:c>
      <x:c r="L4697" s="67" t="str">
        <x:v>https://www.pricescope.com/blog/natural-diamond-prices-september-2026</x:v>
      </x:c>
    </x:row>
    <x:row r="4698">
      <x:c r="A4698" t="n">
        <x:v>8</x:v>
      </x:c>
      <x:c r="B4698" t="str">
        <x:v>Emerald</x:v>
      </x:c>
      <x:c r="C4698" t="str">
        <x:v>G</x:v>
      </x:c>
      <x:c r="D4698" t="str">
        <x:v>FL</x:v>
      </x:c>
      <x:c r="E4698" s="36" t="n">
        <x:v>228000</x:v>
      </x:c>
      <x:c r="F4698" s="36" t="n">
        <x:v>5905</x:v>
      </x:c>
      <x:c r="G4698" s="42" t="n">
        <x:v>1.2666237666237665</x:v>
      </x:c>
      <x:c r="H4698" s="36" t="n">
        <x:f>E4698*G4698</x:f>
        <x:v>288790.21879021876</x:v>
      </x:c>
      <x:c r="I4698" s="36" t="n">
        <x:f>IFERROR(H4698/A4698,0)</x:f>
        <x:v>36098.777348777345</x:v>
      </x:c>
      <x:c r="J4698" s="67" t="str">
        <x:v>Modeled from live base + Sep-2026 quality ratio</x:v>
      </x:c>
      <x:c r="K4698" s="67" t="str">
        <x:v>https://www.stonealgo.com/diamond-prices/</x:v>
      </x:c>
      <x:c r="L4698" s="67" t="str">
        <x:v>https://www.pricescope.com/blog/natural-diamond-prices-september-2026</x:v>
      </x:c>
    </x:row>
    <x:row r="4699">
      <x:c r="A4699" t="n">
        <x:v>8</x:v>
      </x:c>
      <x:c r="B4699" t="str">
        <x:v>Emerald</x:v>
      </x:c>
      <x:c r="C4699" t="str">
        <x:v>G</x:v>
      </x:c>
      <x:c r="D4699" t="str">
        <x:v>IF</x:v>
      </x:c>
      <x:c r="E4699" s="36" t="n">
        <x:v>228000</x:v>
      </x:c>
      <x:c r="F4699" s="36" t="n">
        <x:v>5601</x:v>
      </x:c>
      <x:c r="G4699" s="42" t="n">
        <x:v>1.2014157014157014</x:v>
      </x:c>
      <x:c r="H4699" s="36" t="n">
        <x:f>E4699*G4699</x:f>
        <x:v>273922.77992277994</x:v>
      </x:c>
      <x:c r="I4699" s="36" t="n">
        <x:f>IFERROR(H4699/A4699,0)</x:f>
        <x:v>34240.34749034749</x:v>
      </x:c>
      <x:c r="J4699" s="67" t="str">
        <x:v>Modeled from live base + Sep-2026 quality ratio</x:v>
      </x:c>
      <x:c r="K4699" s="67" t="str">
        <x:v>https://www.stonealgo.com/diamond-prices/</x:v>
      </x:c>
      <x:c r="L4699" s="67" t="str">
        <x:v>https://www.pricescope.com/blog/natural-diamond-prices-september-2026</x:v>
      </x:c>
    </x:row>
    <x:row r="4700">
      <x:c r="A4700" t="n">
        <x:v>8</x:v>
      </x:c>
      <x:c r="B4700" t="str">
        <x:v>Emerald</x:v>
      </x:c>
      <x:c r="C4700" t="str">
        <x:v>G</x:v>
      </x:c>
      <x:c r="D4700" t="str">
        <x:v>VVS1</x:v>
      </x:c>
      <x:c r="E4700" s="36" t="n">
        <x:v>228000</x:v>
      </x:c>
      <x:c r="F4700" s="36" t="n">
        <x:v>5124</x:v>
      </x:c>
      <x:c r="G4700" s="42" t="n">
        <x:v>1.0990990990990992</x:v>
      </x:c>
      <x:c r="H4700" s="36" t="n">
        <x:f>E4700*G4700</x:f>
        <x:v>250594.59459459462</x:v>
      </x:c>
      <x:c r="I4700" s="36" t="n">
        <x:f>IFERROR(H4700/A4700,0)</x:f>
        <x:v>31324.324324324327</x:v>
      </x:c>
      <x:c r="J4700" s="67" t="str">
        <x:v>Modeled from live base + Sep-2026 quality ratio</x:v>
      </x:c>
      <x:c r="K4700" s="67" t="str">
        <x:v>https://www.stonealgo.com/diamond-prices/</x:v>
      </x:c>
      <x:c r="L4700" s="67" t="str">
        <x:v>https://www.pricescope.com/blog/natural-diamond-prices-september-2026</x:v>
      </x:c>
    </x:row>
    <x:row r="4701">
      <x:c r="A4701" t="n">
        <x:v>8</x:v>
      </x:c>
      <x:c r="B4701" t="str">
        <x:v>Emerald</x:v>
      </x:c>
      <x:c r="C4701" t="str">
        <x:v>G</x:v>
      </x:c>
      <x:c r="D4701" t="str">
        <x:v>VVS2</x:v>
      </x:c>
      <x:c r="E4701" s="36" t="n">
        <x:v>228000</x:v>
      </x:c>
      <x:c r="F4701" s="36" t="n">
        <x:v>4962</x:v>
      </x:c>
      <x:c r="G4701" s="42" t="n">
        <x:v>1.0643500643500643</x:v>
      </x:c>
      <x:c r="H4701" s="36" t="n">
        <x:f>E4701*G4701</x:f>
        <x:v>242671.81467181465</x:v>
      </x:c>
      <x:c r="I4701" s="36" t="n">
        <x:f>IFERROR(H4701/A4701,0)</x:f>
        <x:v>30333.97683397683</x:v>
      </x:c>
      <x:c r="J4701" s="67" t="str">
        <x:v>Modeled from live base + Sep-2026 quality ratio</x:v>
      </x:c>
      <x:c r="K4701" s="67" t="str">
        <x:v>https://www.stonealgo.com/diamond-prices/</x:v>
      </x:c>
      <x:c r="L4701" s="67" t="str">
        <x:v>https://www.pricescope.com/blog/natural-diamond-prices-september-2026</x:v>
      </x:c>
    </x:row>
    <x:row r="4702">
      <x:c r="A4702" t="n">
        <x:v>8</x:v>
      </x:c>
      <x:c r="B4702" t="str">
        <x:v>Emerald</x:v>
      </x:c>
      <x:c r="C4702" t="str">
        <x:v>G</x:v>
      </x:c>
      <x:c r="D4702" t="str">
        <x:v>VS1</x:v>
      </x:c>
      <x:c r="E4702" s="36" t="n">
        <x:v>228000</x:v>
      </x:c>
      <x:c r="F4702" s="36" t="n">
        <x:v>4615</x:v>
      </x:c>
      <x:c r="G4702" s="42" t="n">
        <x:v>0.98991848991849</x:v>
      </x:c>
      <x:c r="H4702" s="36" t="n">
        <x:f>E4702*G4702</x:f>
        <x:v>225701.4157014157</x:v>
      </x:c>
      <x:c r="I4702" s="36" t="n">
        <x:f>IFERROR(H4702/A4702,0)</x:f>
        <x:v>28212.676962676964</x:v>
      </x:c>
      <x:c r="J4702" s="67" t="str">
        <x:v>Modeled from live base + Sep-2026 quality ratio</x:v>
      </x:c>
      <x:c r="K4702" s="67" t="str">
        <x:v>https://www.stonealgo.com/diamond-prices/</x:v>
      </x:c>
      <x:c r="L4702" s="67" t="str">
        <x:v>https://www.pricescope.com/blog/natural-diamond-prices-september-2026</x:v>
      </x:c>
    </x:row>
    <x:row r="4703">
      <x:c r="A4703" t="n">
        <x:v>8</x:v>
      </x:c>
      <x:c r="B4703" t="str">
        <x:v>Emerald</x:v>
      </x:c>
      <x:c r="C4703" t="str">
        <x:v>G</x:v>
      </x:c>
      <x:c r="D4703" t="str">
        <x:v>VS2</x:v>
      </x:c>
      <x:c r="E4703" s="36" t="n">
        <x:v>228000</x:v>
      </x:c>
      <x:c r="F4703" s="36" t="n">
        <x:v>4585</x:v>
      </x:c>
      <x:c r="G4703" s="42" t="n">
        <x:v>0.9834834834834835</x:v>
      </x:c>
      <x:c r="H4703" s="36" t="n">
        <x:f>E4703*G4703</x:f>
        <x:v>224234.23423423423</x:v>
      </x:c>
      <x:c r="I4703" s="36" t="n">
        <x:f>IFERROR(H4703/A4703,0)</x:f>
        <x:v>28029.27927927928</x:v>
      </x:c>
      <x:c r="J4703" s="67" t="str">
        <x:v>Modeled from live base + Sep-2026 quality ratio</x:v>
      </x:c>
      <x:c r="K4703" s="67" t="str">
        <x:v>https://www.stonealgo.com/diamond-prices/</x:v>
      </x:c>
      <x:c r="L4703" s="67" t="str">
        <x:v>https://www.pricescope.com/blog/natural-diamond-prices-september-2026</x:v>
      </x:c>
    </x:row>
    <x:row r="4704">
      <x:c r="A4704" t="n">
        <x:v>8</x:v>
      </x:c>
      <x:c r="B4704" t="str">
        <x:v>Emerald</x:v>
      </x:c>
      <x:c r="C4704" t="str">
        <x:v>G</x:v>
      </x:c>
      <x:c r="D4704" t="str">
        <x:v>SI1</x:v>
      </x:c>
      <x:c r="E4704" s="36" t="n">
        <x:v>228000</x:v>
      </x:c>
      <x:c r="F4704" s="36" t="n">
        <x:v>3664</x:v>
      </x:c>
      <x:c r="G4704" s="42" t="n">
        <x:v>0.7859287859287859</x:v>
      </x:c>
      <x:c r="H4704" s="36" t="n">
        <x:f>E4704*G4704</x:f>
        <x:v>179191.7631917632</x:v>
      </x:c>
      <x:c r="I4704" s="36" t="n">
        <x:f>IFERROR(H4704/A4704,0)</x:f>
        <x:v>22398.9703989704</x:v>
      </x:c>
      <x:c r="J4704" s="67" t="str">
        <x:v>Modeled from live base + Sep-2026 quality ratio</x:v>
      </x:c>
      <x:c r="K4704" s="67" t="str">
        <x:v>https://www.stonealgo.com/diamond-prices/</x:v>
      </x:c>
      <x:c r="L4704" s="67" t="str">
        <x:v>https://www.pricescope.com/blog/natural-diamond-prices-september-2026</x:v>
      </x:c>
    </x:row>
    <x:row r="4705">
      <x:c r="A4705" t="n">
        <x:v>8</x:v>
      </x:c>
      <x:c r="B4705" t="str">
        <x:v>Emerald</x:v>
      </x:c>
      <x:c r="C4705" t="str">
        <x:v>G</x:v>
      </x:c>
      <x:c r="D4705" t="str">
        <x:v>SI2</x:v>
      </x:c>
      <x:c r="E4705" s="36" t="n">
        <x:v>228000</x:v>
      </x:c>
      <x:c r="F4705" s="36" t="n">
        <x:v>2537</x:v>
      </x:c>
      <x:c r="G4705" s="42" t="n">
        <x:v>0.5441870441870442</x:v>
      </x:c>
      <x:c r="H4705" s="36" t="n">
        <x:f>E4705*G4705</x:f>
        <x:v>124074.64607464608</x:v>
      </x:c>
      <x:c r="I4705" s="36" t="n">
        <x:f>IFERROR(H4705/A4705,0)</x:f>
        <x:v>15509.33075933076</x:v>
      </x:c>
      <x:c r="J4705" s="67" t="str">
        <x:v>Modeled from live base + Sep-2026 quality ratio</x:v>
      </x:c>
      <x:c r="K4705" s="67" t="str">
        <x:v>https://www.stonealgo.com/diamond-prices/</x:v>
      </x:c>
      <x:c r="L4705" s="67" t="str">
        <x:v>https://www.pricescope.com/blog/natural-diamond-prices-september-2026</x:v>
      </x:c>
    </x:row>
    <x:row r="4706">
      <x:c r="A4706" t="n">
        <x:v>8</x:v>
      </x:c>
      <x:c r="B4706" t="str">
        <x:v>Emerald</x:v>
      </x:c>
      <x:c r="C4706" t="str">
        <x:v>H</x:v>
      </x:c>
      <x:c r="D4706" t="str">
        <x:v>FL</x:v>
      </x:c>
      <x:c r="E4706" s="36" t="n">
        <x:v>228000</x:v>
      </x:c>
      <x:c r="F4706" s="36" t="n">
        <x:v>4563</x:v>
      </x:c>
      <x:c r="G4706" s="42" t="n">
        <x:v>0.9787644787644788</x:v>
      </x:c>
      <x:c r="H4706" s="36" t="n">
        <x:f>E4706*G4706</x:f>
        <x:v>223158.30115830115</x:v>
      </x:c>
      <x:c r="I4706" s="36" t="n">
        <x:f>IFERROR(H4706/A4706,0)</x:f>
        <x:v>27894.787644787644</x:v>
      </x:c>
      <x:c r="J4706" s="67" t="str">
        <x:v>Modeled from live base + Sep-2026 quality ratio</x:v>
      </x:c>
      <x:c r="K4706" s="67" t="str">
        <x:v>https://www.stonealgo.com/diamond-prices/</x:v>
      </x:c>
      <x:c r="L4706" s="67" t="str">
        <x:v>https://www.pricescope.com/blog/natural-diamond-prices-september-2026</x:v>
      </x:c>
    </x:row>
    <x:row r="4707">
      <x:c r="A4707" t="n">
        <x:v>8</x:v>
      </x:c>
      <x:c r="B4707" t="str">
        <x:v>Emerald</x:v>
      </x:c>
      <x:c r="C4707" t="str">
        <x:v>H</x:v>
      </x:c>
      <x:c r="D4707" t="str">
        <x:v>IF</x:v>
      </x:c>
      <x:c r="E4707" s="36" t="n">
        <x:v>228000</x:v>
      </x:c>
      <x:c r="F4707" s="36" t="n">
        <x:v>4809</x:v>
      </x:c>
      <x:c r="G4707" s="42" t="n">
        <x:v>1.0315315315315314</x:v>
      </x:c>
      <x:c r="H4707" s="36" t="n">
        <x:f>E4707*G4707</x:f>
        <x:v>235189.18918918917</x:v>
      </x:c>
      <x:c r="I4707" s="36" t="n">
        <x:f>IFERROR(H4707/A4707,0)</x:f>
        <x:v>29398.648648648646</x:v>
      </x:c>
      <x:c r="J4707" s="67" t="str">
        <x:v>Modeled from live base + Sep-2026 quality ratio</x:v>
      </x:c>
      <x:c r="K4707" s="67" t="str">
        <x:v>https://www.stonealgo.com/diamond-prices/</x:v>
      </x:c>
      <x:c r="L4707" s="67" t="str">
        <x:v>https://www.pricescope.com/blog/natural-diamond-prices-september-2026</x:v>
      </x:c>
    </x:row>
    <x:row r="4708">
      <x:c r="A4708" t="n">
        <x:v>8</x:v>
      </x:c>
      <x:c r="B4708" t="str">
        <x:v>Emerald</x:v>
      </x:c>
      <x:c r="C4708" t="str">
        <x:v>H</x:v>
      </x:c>
      <x:c r="D4708" t="str">
        <x:v>VVS1</x:v>
      </x:c>
      <x:c r="E4708" s="36" t="n">
        <x:v>228000</x:v>
      </x:c>
      <x:c r="F4708" s="36" t="n">
        <x:v>4911</x:v>
      </x:c>
      <x:c r="G4708" s="42" t="n">
        <x:v>1.0534105534105533</x:v>
      </x:c>
      <x:c r="H4708" s="36" t="n">
        <x:f>E4708*G4708</x:f>
        <x:v>240177.60617760615</x:v>
      </x:c>
      <x:c r="I4708" s="36" t="n">
        <x:f>IFERROR(H4708/A4708,0)</x:f>
        <x:v>30022.20077220077</x:v>
      </x:c>
      <x:c r="J4708" s="67" t="str">
        <x:v>Modeled from live base + Sep-2026 quality ratio</x:v>
      </x:c>
      <x:c r="K4708" s="67" t="str">
        <x:v>https://www.stonealgo.com/diamond-prices/</x:v>
      </x:c>
      <x:c r="L4708" s="67" t="str">
        <x:v>https://www.pricescope.com/blog/natural-diamond-prices-september-2026</x:v>
      </x:c>
    </x:row>
    <x:row r="4709">
      <x:c r="A4709" t="n">
        <x:v>8</x:v>
      </x:c>
      <x:c r="B4709" t="str">
        <x:v>Emerald</x:v>
      </x:c>
      <x:c r="C4709" t="str">
        <x:v>H</x:v>
      </x:c>
      <x:c r="D4709" t="str">
        <x:v>VVS2</x:v>
      </x:c>
      <x:c r="E4709" s="36" t="n">
        <x:v>228000</x:v>
      </x:c>
      <x:c r="F4709" s="36" t="n">
        <x:v>4046</x:v>
      </x:c>
      <x:c r="G4709" s="42" t="n">
        <x:v>0.8678678678678678</x:v>
      </x:c>
      <x:c r="H4709" s="36" t="n">
        <x:f>E4709*G4709</x:f>
        <x:v>197873.87387387388</x:v>
      </x:c>
      <x:c r="I4709" s="36" t="n">
        <x:f>IFERROR(H4709/A4709,0)</x:f>
        <x:v>24734.234234234234</x:v>
      </x:c>
      <x:c r="J4709" s="67" t="str">
        <x:v>Modeled from live base + Sep-2026 quality ratio</x:v>
      </x:c>
      <x:c r="K4709" s="67" t="str">
        <x:v>https://www.stonealgo.com/diamond-prices/</x:v>
      </x:c>
      <x:c r="L4709" s="67" t="str">
        <x:v>https://www.pricescope.com/blog/natural-diamond-prices-september-2026</x:v>
      </x:c>
    </x:row>
    <x:row r="4710">
      <x:c r="A4710" t="n">
        <x:v>8</x:v>
      </x:c>
      <x:c r="B4710" t="str">
        <x:v>Emerald</x:v>
      </x:c>
      <x:c r="C4710" t="str">
        <x:v>H</x:v>
      </x:c>
      <x:c r="D4710" t="str">
        <x:v>VS1</x:v>
      </x:c>
      <x:c r="E4710" s="36" t="n">
        <x:v>228000</x:v>
      </x:c>
      <x:c r="F4710" s="36" t="n">
        <x:v>3893</x:v>
      </x:c>
      <x:c r="G4710" s="42" t="n">
        <x:v>0.8350493350493351</x:v>
      </x:c>
      <x:c r="H4710" s="36" t="n">
        <x:f>E4710*G4710</x:f>
        <x:v>190391.2483912484</x:v>
      </x:c>
      <x:c r="I4710" s="36" t="n">
        <x:f>IFERROR(H4710/A4710,0)</x:f>
        <x:v>23798.90604890605</x:v>
      </x:c>
      <x:c r="J4710" s="67" t="str">
        <x:v>Modeled from live base + Sep-2026 quality ratio</x:v>
      </x:c>
      <x:c r="K4710" s="67" t="str">
        <x:v>https://www.stonealgo.com/diamond-prices/</x:v>
      </x:c>
      <x:c r="L4710" s="67" t="str">
        <x:v>https://www.pricescope.com/blog/natural-diamond-prices-september-2026</x:v>
      </x:c>
    </x:row>
    <x:row r="4711">
      <x:c r="A4711" t="n">
        <x:v>8</x:v>
      </x:c>
      <x:c r="B4711" t="str">
        <x:v>Emerald</x:v>
      </x:c>
      <x:c r="C4711" t="str">
        <x:v>H</x:v>
      </x:c>
      <x:c r="D4711" t="str">
        <x:v>VS2</x:v>
      </x:c>
      <x:c r="E4711" s="36" t="n">
        <x:v>228000</x:v>
      </x:c>
      <x:c r="F4711" s="36" t="n">
        <x:v>3989</x:v>
      </x:c>
      <x:c r="G4711" s="42" t="n">
        <x:v>0.8556413556413557</x:v>
      </x:c>
      <x:c r="H4711" s="36" t="n">
        <x:f>E4711*G4711</x:f>
        <x:v>195086.22908622908</x:v>
      </x:c>
      <x:c r="I4711" s="36" t="n">
        <x:f>IFERROR(H4711/A4711,0)</x:f>
        <x:v>24385.778635778635</x:v>
      </x:c>
      <x:c r="J4711" s="67" t="str">
        <x:v>Modeled from live base + Sep-2026 quality ratio</x:v>
      </x:c>
      <x:c r="K4711" s="67" t="str">
        <x:v>https://www.stonealgo.com/diamond-prices/</x:v>
      </x:c>
      <x:c r="L4711" s="67" t="str">
        <x:v>https://www.pricescope.com/blog/natural-diamond-prices-september-2026</x:v>
      </x:c>
    </x:row>
    <x:row r="4712">
      <x:c r="A4712" t="n">
        <x:v>8</x:v>
      </x:c>
      <x:c r="B4712" t="str">
        <x:v>Emerald</x:v>
      </x:c>
      <x:c r="C4712" t="str">
        <x:v>H</x:v>
      </x:c>
      <x:c r="D4712" t="str">
        <x:v>SI1</x:v>
      </x:c>
      <x:c r="E4712" s="36" t="n">
        <x:v>228000</x:v>
      </x:c>
      <x:c r="F4712" s="36" t="n">
        <x:v>2828</x:v>
      </x:c>
      <x:c r="G4712" s="42" t="n">
        <x:v>0.6066066066066066</x:v>
      </x:c>
      <x:c r="H4712" s="36" t="n">
        <x:f>E4712*G4712</x:f>
        <x:v>138306.3063063063</x:v>
      </x:c>
      <x:c r="I4712" s="36" t="n">
        <x:f>IFERROR(H4712/A4712,0)</x:f>
        <x:v>17288.288288288288</x:v>
      </x:c>
      <x:c r="J4712" s="67" t="str">
        <x:v>Modeled from live base + Sep-2026 quality ratio</x:v>
      </x:c>
      <x:c r="K4712" s="67" t="str">
        <x:v>https://www.stonealgo.com/diamond-prices/</x:v>
      </x:c>
      <x:c r="L4712" s="67" t="str">
        <x:v>https://www.pricescope.com/blog/natural-diamond-prices-september-2026</x:v>
      </x:c>
    </x:row>
    <x:row r="4713">
      <x:c r="A4713" t="n">
        <x:v>8</x:v>
      </x:c>
      <x:c r="B4713" t="str">
        <x:v>Emerald</x:v>
      </x:c>
      <x:c r="C4713" t="str">
        <x:v>H</x:v>
      </x:c>
      <x:c r="D4713" t="str">
        <x:v>SI2</x:v>
      </x:c>
      <x:c r="E4713" s="36" t="n">
        <x:v>228000</x:v>
      </x:c>
      <x:c r="F4713" s="36" t="n">
        <x:v>2328</x:v>
      </x:c>
      <x:c r="G4713" s="42" t="n">
        <x:v>0.49935649935649934</x:v>
      </x:c>
      <x:c r="H4713" s="36" t="n">
        <x:f>E4713*G4713</x:f>
        <x:v>113853.28185328185</x:v>
      </x:c>
      <x:c r="I4713" s="36" t="n">
        <x:f>IFERROR(H4713/A4713,0)</x:f>
        <x:v>14231.660231660231</x:v>
      </x:c>
      <x:c r="J4713" s="67" t="str">
        <x:v>Modeled from live base + Sep-2026 quality ratio</x:v>
      </x:c>
      <x:c r="K4713" s="67" t="str">
        <x:v>https://www.stonealgo.com/diamond-prices/</x:v>
      </x:c>
      <x:c r="L4713" s="67" t="str">
        <x:v>https://www.pricescope.com/blog/natural-diamond-prices-september-2026</x:v>
      </x:c>
    </x:row>
    <x:row r="4714">
      <x:c r="A4714" t="n">
        <x:v>8</x:v>
      </x:c>
      <x:c r="B4714" t="str">
        <x:v>Emerald</x:v>
      </x:c>
      <x:c r="C4714" t="str">
        <x:v>I</x:v>
      </x:c>
      <x:c r="D4714" t="str">
        <x:v>FL</x:v>
      </x:c>
      <x:c r="E4714" s="36" t="n">
        <x:v>228000</x:v>
      </x:c>
      <x:c r="F4714" s="36" t="n">
        <x:v>4623</x:v>
      </x:c>
      <x:c r="G4714" s="42" t="n">
        <x:v>0.9916344916344917</x:v>
      </x:c>
      <x:c r="H4714" s="36" t="n">
        <x:f>E4714*G4714</x:f>
        <x:v>226092.6640926641</x:v>
      </x:c>
      <x:c r="I4714" s="36" t="n">
        <x:f>IFERROR(H4714/A4714,0)</x:f>
        <x:v>28261.583011583014</x:v>
      </x:c>
      <x:c r="J4714" s="67" t="str">
        <x:v>Modeled from live base + Sep-2026 quality ratio</x:v>
      </x:c>
      <x:c r="K4714" s="67" t="str">
        <x:v>https://www.stonealgo.com/diamond-prices/</x:v>
      </x:c>
      <x:c r="L4714" s="67" t="str">
        <x:v>https://www.pricescope.com/blog/natural-diamond-prices-september-2026</x:v>
      </x:c>
    </x:row>
    <x:row r="4715">
      <x:c r="A4715" t="n">
        <x:v>8</x:v>
      </x:c>
      <x:c r="B4715" t="str">
        <x:v>Emerald</x:v>
      </x:c>
      <x:c r="C4715" t="str">
        <x:v>I</x:v>
      </x:c>
      <x:c r="D4715" t="str">
        <x:v>IF</x:v>
      </x:c>
      <x:c r="E4715" s="36" t="n">
        <x:v>228000</x:v>
      </x:c>
      <x:c r="F4715" s="36" t="n">
        <x:v>4005</x:v>
      </x:c>
      <x:c r="G4715" s="42" t="n">
        <x:v>0.859073359073359</x:v>
      </x:c>
      <x:c r="H4715" s="36" t="n">
        <x:f>E4715*G4715</x:f>
        <x:v>195868.72586872586</x:v>
      </x:c>
      <x:c r="I4715" s="36" t="n">
        <x:f>IFERROR(H4715/A4715,0)</x:f>
        <x:v>24483.590733590732</x:v>
      </x:c>
      <x:c r="J4715" s="67" t="str">
        <x:v>Modeled from live base + Sep-2026 quality ratio</x:v>
      </x:c>
      <x:c r="K4715" s="67" t="str">
        <x:v>https://www.stonealgo.com/diamond-prices/</x:v>
      </x:c>
      <x:c r="L4715" s="67" t="str">
        <x:v>https://www.pricescope.com/blog/natural-diamond-prices-september-2026</x:v>
      </x:c>
    </x:row>
    <x:row r="4716">
      <x:c r="A4716" t="n">
        <x:v>8</x:v>
      </x:c>
      <x:c r="B4716" t="str">
        <x:v>Emerald</x:v>
      </x:c>
      <x:c r="C4716" t="str">
        <x:v>I</x:v>
      </x:c>
      <x:c r="D4716" t="str">
        <x:v>VVS1</x:v>
      </x:c>
      <x:c r="E4716" s="36" t="n">
        <x:v>228000</x:v>
      </x:c>
      <x:c r="F4716" s="36" t="n">
        <x:v>3670</x:v>
      </x:c>
      <x:c r="G4716" s="42" t="n">
        <x:v>0.7872157872157872</x:v>
      </x:c>
      <x:c r="H4716" s="36" t="n">
        <x:f>E4716*G4716</x:f>
        <x:v>179485.1994851995</x:v>
      </x:c>
      <x:c r="I4716" s="36" t="n">
        <x:f>IFERROR(H4716/A4716,0)</x:f>
        <x:v>22435.649935649937</x:v>
      </x:c>
      <x:c r="J4716" s="67" t="str">
        <x:v>Modeled from live base + Sep-2026 quality ratio</x:v>
      </x:c>
      <x:c r="K4716" s="67" t="str">
        <x:v>https://www.stonealgo.com/diamond-prices/</x:v>
      </x:c>
      <x:c r="L4716" s="67" t="str">
        <x:v>https://www.pricescope.com/blog/natural-diamond-prices-september-2026</x:v>
      </x:c>
    </x:row>
    <x:row r="4717">
      <x:c r="A4717" t="n">
        <x:v>8</x:v>
      </x:c>
      <x:c r="B4717" t="str">
        <x:v>Emerald</x:v>
      </x:c>
      <x:c r="C4717" t="str">
        <x:v>I</x:v>
      </x:c>
      <x:c r="D4717" t="str">
        <x:v>VVS2</x:v>
      </x:c>
      <x:c r="E4717" s="36" t="n">
        <x:v>228000</x:v>
      </x:c>
      <x:c r="F4717" s="36" t="n">
        <x:v>3447</x:v>
      </x:c>
      <x:c r="G4717" s="42" t="n">
        <x:v>0.7393822393822393</x:v>
      </x:c>
      <x:c r="H4717" s="36" t="n">
        <x:f>E4717*G4717</x:f>
        <x:v>168579.15057915056</x:v>
      </x:c>
      <x:c r="I4717" s="36" t="n">
        <x:f>IFERROR(H4717/A4717,0)</x:f>
        <x:v>21072.39382239382</x:v>
      </x:c>
      <x:c r="J4717" s="67" t="str">
        <x:v>Modeled from live base + Sep-2026 quality ratio</x:v>
      </x:c>
      <x:c r="K4717" s="67" t="str">
        <x:v>https://www.stonealgo.com/diamond-prices/</x:v>
      </x:c>
      <x:c r="L4717" s="67" t="str">
        <x:v>https://www.pricescope.com/blog/natural-diamond-prices-september-2026</x:v>
      </x:c>
    </x:row>
    <x:row r="4718">
      <x:c r="A4718" t="n">
        <x:v>8</x:v>
      </x:c>
      <x:c r="B4718" t="str">
        <x:v>Emerald</x:v>
      </x:c>
      <x:c r="C4718" t="str">
        <x:v>I</x:v>
      </x:c>
      <x:c r="D4718" t="str">
        <x:v>VS1</x:v>
      </x:c>
      <x:c r="E4718" s="36" t="n">
        <x:v>228000</x:v>
      </x:c>
      <x:c r="F4718" s="36" t="n">
        <x:v>3313</x:v>
      </x:c>
      <x:c r="G4718" s="42" t="n">
        <x:v>0.7106392106392107</x:v>
      </x:c>
      <x:c r="H4718" s="36" t="n">
        <x:f>E4718*G4718</x:f>
        <x:v>162025.74002574003</x:v>
      </x:c>
      <x:c r="I4718" s="36" t="n">
        <x:f>IFERROR(H4718/A4718,0)</x:f>
        <x:v>20253.217503217504</x:v>
      </x:c>
      <x:c r="J4718" s="67" t="str">
        <x:v>Modeled from live base + Sep-2026 quality ratio</x:v>
      </x:c>
      <x:c r="K4718" s="67" t="str">
        <x:v>https://www.stonealgo.com/diamond-prices/</x:v>
      </x:c>
      <x:c r="L4718" s="67" t="str">
        <x:v>https://www.pricescope.com/blog/natural-diamond-prices-september-2026</x:v>
      </x:c>
    </x:row>
    <x:row r="4719">
      <x:c r="A4719" t="n">
        <x:v>8</x:v>
      </x:c>
      <x:c r="B4719" t="str">
        <x:v>Emerald</x:v>
      </x:c>
      <x:c r="C4719" t="str">
        <x:v>I</x:v>
      </x:c>
      <x:c r="D4719" t="str">
        <x:v>VS2</x:v>
      </x:c>
      <x:c r="E4719" s="36" t="n">
        <x:v>228000</x:v>
      </x:c>
      <x:c r="F4719" s="36" t="n">
        <x:v>3240</x:v>
      </x:c>
      <x:c r="G4719" s="42" t="n">
        <x:v>0.694980694980695</x:v>
      </x:c>
      <x:c r="H4719" s="36" t="n">
        <x:f>E4719*G4719</x:f>
        <x:v>158455.59845559846</x:v>
      </x:c>
      <x:c r="I4719" s="36" t="n">
        <x:f>IFERROR(H4719/A4719,0)</x:f>
        <x:v>19806.949806949808</x:v>
      </x:c>
      <x:c r="J4719" s="67" t="str">
        <x:v>Modeled from live base + Sep-2026 quality ratio</x:v>
      </x:c>
      <x:c r="K4719" s="67" t="str">
        <x:v>https://www.stonealgo.com/diamond-prices/</x:v>
      </x:c>
      <x:c r="L4719" s="67" t="str">
        <x:v>https://www.pricescope.com/blog/natural-diamond-prices-september-2026</x:v>
      </x:c>
    </x:row>
    <x:row r="4720">
      <x:c r="A4720" t="n">
        <x:v>8</x:v>
      </x:c>
      <x:c r="B4720" t="str">
        <x:v>Emerald</x:v>
      </x:c>
      <x:c r="C4720" t="str">
        <x:v>I</x:v>
      </x:c>
      <x:c r="D4720" t="str">
        <x:v>SI1</x:v>
      </x:c>
      <x:c r="E4720" s="36" t="n">
        <x:v>228000</x:v>
      </x:c>
      <x:c r="F4720" s="36" t="n">
        <x:v>3199</x:v>
      </x:c>
      <x:c r="G4720" s="42" t="n">
        <x:v>0.6861861861861862</x:v>
      </x:c>
      <x:c r="H4720" s="36" t="n">
        <x:f>E4720*G4720</x:f>
        <x:v>156450.45045045044</x:v>
      </x:c>
      <x:c r="I4720" s="36" t="n">
        <x:f>IFERROR(H4720/A4720,0)</x:f>
        <x:v>19556.306306306305</x:v>
      </x:c>
      <x:c r="J4720" s="67" t="str">
        <x:v>Modeled from live base + Sep-2026 quality ratio</x:v>
      </x:c>
      <x:c r="K4720" s="67" t="str">
        <x:v>https://www.stonealgo.com/diamond-prices/</x:v>
      </x:c>
      <x:c r="L4720" s="67" t="str">
        <x:v>https://www.pricescope.com/blog/natural-diamond-prices-september-2026</x:v>
      </x:c>
    </x:row>
    <x:row r="4721">
      <x:c r="A4721" t="n">
        <x:v>8</x:v>
      </x:c>
      <x:c r="B4721" t="str">
        <x:v>Emerald</x:v>
      </x:c>
      <x:c r="C4721" t="str">
        <x:v>I</x:v>
      </x:c>
      <x:c r="D4721" t="str">
        <x:v>SI2</x:v>
      </x:c>
      <x:c r="E4721" s="36" t="n">
        <x:v>228000</x:v>
      </x:c>
      <x:c r="F4721" s="36" t="n">
        <x:v>2874</x:v>
      </x:c>
      <x:c r="G4721" s="42" t="n">
        <x:v>0.6164736164736164</x:v>
      </x:c>
      <x:c r="H4721" s="36" t="n">
        <x:f>E4721*G4721</x:f>
        <x:v>140555.98455598456</x:v>
      </x:c>
      <x:c r="I4721" s="36" t="n">
        <x:f>IFERROR(H4721/A4721,0)</x:f>
        <x:v>17569.49806949807</x:v>
      </x:c>
      <x:c r="J4721" s="67" t="str">
        <x:v>Modeled from live base + Sep-2026 quality ratio</x:v>
      </x:c>
      <x:c r="K4721" s="67" t="str">
        <x:v>https://www.stonealgo.com/diamond-prices/</x:v>
      </x:c>
      <x:c r="L4721" s="67" t="str">
        <x:v>https://www.pricescope.com/blog/natural-diamond-prices-september-2026</x:v>
      </x:c>
    </x:row>
    <x:row r="4722">
      <x:c r="A4722" t="n">
        <x:v>8</x:v>
      </x:c>
      <x:c r="B4722" t="str">
        <x:v>Emerald</x:v>
      </x:c>
      <x:c r="C4722" t="str">
        <x:v>J</x:v>
      </x:c>
      <x:c r="D4722" t="str">
        <x:v>FL</x:v>
      </x:c>
      <x:c r="E4722" s="36" t="n">
        <x:v>228000</x:v>
      </x:c>
      <x:c r="F4722" s="36" t="n">
        <x:v>3646</x:v>
      </x:c>
      <x:c r="G4722" s="42" t="n">
        <x:v>0.782067782067782</x:v>
      </x:c>
      <x:c r="H4722" s="36" t="n">
        <x:f>E4722*G4722</x:f>
        <x:v>178311.45431145432</x:v>
      </x:c>
      <x:c r="I4722" s="36" t="n">
        <x:f>IFERROR(H4722/A4722,0)</x:f>
        <x:v>22288.93178893179</x:v>
      </x:c>
      <x:c r="J4722" s="67" t="str">
        <x:v>Modeled from live base + Sep-2026 quality ratio</x:v>
      </x:c>
      <x:c r="K4722" s="67" t="str">
        <x:v>https://www.stonealgo.com/diamond-prices/</x:v>
      </x:c>
      <x:c r="L4722" s="67" t="str">
        <x:v>https://www.pricescope.com/blog/natural-diamond-prices-september-2026</x:v>
      </x:c>
    </x:row>
    <x:row r="4723">
      <x:c r="A4723" t="n">
        <x:v>8</x:v>
      </x:c>
      <x:c r="B4723" t="str">
        <x:v>Emerald</x:v>
      </x:c>
      <x:c r="C4723" t="str">
        <x:v>J</x:v>
      </x:c>
      <x:c r="D4723" t="str">
        <x:v>IF</x:v>
      </x:c>
      <x:c r="E4723" s="36" t="n">
        <x:v>228000</x:v>
      </x:c>
      <x:c r="F4723" s="36" t="n">
        <x:v>3368</x:v>
      </x:c>
      <x:c r="G4723" s="42" t="n">
        <x:v>0.7224367224367224</x:v>
      </x:c>
      <x:c r="H4723" s="36" t="n">
        <x:f>E4723*G4723</x:f>
        <x:v>164715.57271557272</x:v>
      </x:c>
      <x:c r="I4723" s="36" t="n">
        <x:f>IFERROR(H4723/A4723,0)</x:f>
        <x:v>20589.44658944659</x:v>
      </x:c>
      <x:c r="J4723" s="67" t="str">
        <x:v>Modeled from live base + Sep-2026 quality ratio</x:v>
      </x:c>
      <x:c r="K4723" s="67" t="str">
        <x:v>https://www.stonealgo.com/diamond-prices/</x:v>
      </x:c>
      <x:c r="L4723" s="67" t="str">
        <x:v>https://www.pricescope.com/blog/natural-diamond-prices-september-2026</x:v>
      </x:c>
    </x:row>
    <x:row r="4724">
      <x:c r="A4724" t="n">
        <x:v>8</x:v>
      </x:c>
      <x:c r="B4724" t="str">
        <x:v>Emerald</x:v>
      </x:c>
      <x:c r="C4724" t="str">
        <x:v>J</x:v>
      </x:c>
      <x:c r="D4724" t="str">
        <x:v>VVS1</x:v>
      </x:c>
      <x:c r="E4724" s="36" t="n">
        <x:v>228000</x:v>
      </x:c>
      <x:c r="F4724" s="36" t="n">
        <x:v>2956</x:v>
      </x:c>
      <x:c r="G4724" s="42" t="n">
        <x:v>0.6340626340626341</x:v>
      </x:c>
      <x:c r="H4724" s="36" t="n">
        <x:f>E4724*G4724</x:f>
        <x:v>144566.28056628056</x:v>
      </x:c>
      <x:c r="I4724" s="36" t="n">
        <x:f>IFERROR(H4724/A4724,0)</x:f>
        <x:v>18070.78507078507</x:v>
      </x:c>
      <x:c r="J4724" s="67" t="str">
        <x:v>Modeled from live base + Sep-2026 quality ratio</x:v>
      </x:c>
      <x:c r="K4724" s="67" t="str">
        <x:v>https://www.stonealgo.com/diamond-prices/</x:v>
      </x:c>
      <x:c r="L4724" s="67" t="str">
        <x:v>https://www.pricescope.com/blog/natural-diamond-prices-september-2026</x:v>
      </x:c>
    </x:row>
    <x:row r="4725">
      <x:c r="A4725" t="n">
        <x:v>8</x:v>
      </x:c>
      <x:c r="B4725" t="str">
        <x:v>Emerald</x:v>
      </x:c>
      <x:c r="C4725" t="str">
        <x:v>J</x:v>
      </x:c>
      <x:c r="D4725" t="str">
        <x:v>VVS2</x:v>
      </x:c>
      <x:c r="E4725" s="36" t="n">
        <x:v>228000</x:v>
      </x:c>
      <x:c r="F4725" s="36" t="n">
        <x:v>2612</x:v>
      </x:c>
      <x:c r="G4725" s="42" t="n">
        <x:v>0.5602745602745602</x:v>
      </x:c>
      <x:c r="H4725" s="36" t="n">
        <x:f>E4725*G4725</x:f>
        <x:v>127742.59974259973</x:v>
      </x:c>
      <x:c r="I4725" s="36" t="n">
        <x:f>IFERROR(H4725/A4725,0)</x:f>
        <x:v>15967.824967824967</x:v>
      </x:c>
      <x:c r="J4725" s="67" t="str">
        <x:v>Modeled from live base + Sep-2026 quality ratio</x:v>
      </x:c>
      <x:c r="K4725" s="67" t="str">
        <x:v>https://www.stonealgo.com/diamond-prices/</x:v>
      </x:c>
      <x:c r="L4725" s="67" t="str">
        <x:v>https://www.pricescope.com/blog/natural-diamond-prices-september-2026</x:v>
      </x:c>
    </x:row>
    <x:row r="4726">
      <x:c r="A4726" t="n">
        <x:v>8</x:v>
      </x:c>
      <x:c r="B4726" t="str">
        <x:v>Emerald</x:v>
      </x:c>
      <x:c r="C4726" t="str">
        <x:v>J</x:v>
      </x:c>
      <x:c r="D4726" t="str">
        <x:v>VS1</x:v>
      </x:c>
      <x:c r="E4726" s="36" t="n">
        <x:v>228000</x:v>
      </x:c>
      <x:c r="F4726" s="36" t="n">
        <x:v>3002</x:v>
      </x:c>
      <x:c r="G4726" s="42" t="n">
        <x:v>0.6439296439296439</x:v>
      </x:c>
      <x:c r="H4726" s="36" t="n">
        <x:f>E4726*G4726</x:f>
        <x:v>146815.95881595882</x:v>
      </x:c>
      <x:c r="I4726" s="36" t="n">
        <x:f>IFERROR(H4726/A4726,0)</x:f>
        <x:v>18351.994851994852</x:v>
      </x:c>
      <x:c r="J4726" s="67" t="str">
        <x:v>Modeled from live base + Sep-2026 quality ratio</x:v>
      </x:c>
      <x:c r="K4726" s="67" t="str">
        <x:v>https://www.stonealgo.com/diamond-prices/</x:v>
      </x:c>
      <x:c r="L4726" s="67" t="str">
        <x:v>https://www.pricescope.com/blog/natural-diamond-prices-september-2026</x:v>
      </x:c>
    </x:row>
    <x:row r="4727">
      <x:c r="A4727" t="n">
        <x:v>8</x:v>
      </x:c>
      <x:c r="B4727" t="str">
        <x:v>Emerald</x:v>
      </x:c>
      <x:c r="C4727" t="str">
        <x:v>J</x:v>
      </x:c>
      <x:c r="D4727" t="str">
        <x:v>VS2</x:v>
      </x:c>
      <x:c r="E4727" s="36" t="n">
        <x:v>228000</x:v>
      </x:c>
      <x:c r="F4727" s="36" t="n">
        <x:v>2559</x:v>
      </x:c>
      <x:c r="G4727" s="42" t="n">
        <x:v>0.5489060489060489</x:v>
      </x:c>
      <x:c r="H4727" s="36" t="n">
        <x:f>E4727*G4727</x:f>
        <x:v>125150.57915057914</x:v>
      </x:c>
      <x:c r="I4727" s="36" t="n">
        <x:f>IFERROR(H4727/A4727,0)</x:f>
        <x:v>15643.822393822393</x:v>
      </x:c>
      <x:c r="J4727" s="67" t="str">
        <x:v>Modeled from live base + Sep-2026 quality ratio</x:v>
      </x:c>
      <x:c r="K4727" s="67" t="str">
        <x:v>https://www.stonealgo.com/diamond-prices/</x:v>
      </x:c>
      <x:c r="L4727" s="67" t="str">
        <x:v>https://www.pricescope.com/blog/natural-diamond-prices-september-2026</x:v>
      </x:c>
    </x:row>
    <x:row r="4728">
      <x:c r="A4728" t="n">
        <x:v>8</x:v>
      </x:c>
      <x:c r="B4728" t="str">
        <x:v>Emerald</x:v>
      </x:c>
      <x:c r="C4728" t="str">
        <x:v>J</x:v>
      </x:c>
      <x:c r="D4728" t="str">
        <x:v>SI1</x:v>
      </x:c>
      <x:c r="E4728" s="36" t="n">
        <x:v>228000</x:v>
      </x:c>
      <x:c r="F4728" s="36" t="n">
        <x:v>2195</x:v>
      </x:c>
      <x:c r="G4728" s="42" t="n">
        <x:v>0.47082797082797084</x:v>
      </x:c>
      <x:c r="H4728" s="36" t="n">
        <x:f>E4728*G4728</x:f>
        <x:v>107348.77734877735</x:v>
      </x:c>
      <x:c r="I4728" s="36" t="n">
        <x:f>IFERROR(H4728/A4728,0)</x:f>
        <x:v>13418.597168597169</x:v>
      </x:c>
      <x:c r="J4728" s="67" t="str">
        <x:v>Modeled from live base + Sep-2026 quality ratio</x:v>
      </x:c>
      <x:c r="K4728" s="67" t="str">
        <x:v>https://www.stonealgo.com/diamond-prices/</x:v>
      </x:c>
      <x:c r="L4728" s="67" t="str">
        <x:v>https://www.pricescope.com/blog/natural-diamond-prices-september-2026</x:v>
      </x:c>
    </x:row>
    <x:row r="4729">
      <x:c r="A4729" t="n">
        <x:v>8</x:v>
      </x:c>
      <x:c r="B4729" t="str">
        <x:v>Emerald</x:v>
      </x:c>
      <x:c r="C4729" t="str">
        <x:v>J</x:v>
      </x:c>
      <x:c r="D4729" t="str">
        <x:v>SI2</x:v>
      </x:c>
      <x:c r="E4729" s="36" t="n">
        <x:v>228000</x:v>
      </x:c>
      <x:c r="F4729" s="36" t="n">
        <x:v>2079</x:v>
      </x:c>
      <x:c r="G4729" s="42" t="n">
        <x:v>0.44594594594594594</x:v>
      </x:c>
      <x:c r="H4729" s="36" t="n">
        <x:f>E4729*G4729</x:f>
        <x:v>101675.67567567568</x:v>
      </x:c>
      <x:c r="I4729" s="36" t="n">
        <x:f>IFERROR(H4729/A4729,0)</x:f>
        <x:v>12709.45945945946</x:v>
      </x:c>
      <x:c r="J4729" s="67" t="str">
        <x:v>Modeled from live base + Sep-2026 quality ratio</x:v>
      </x:c>
      <x:c r="K4729" s="67" t="str">
        <x:v>https://www.stonealgo.com/diamond-prices/</x:v>
      </x:c>
      <x:c r="L4729" s="67" t="str">
        <x:v>https://www.pricescope.com/blog/natural-diamond-prices-september-2026</x:v>
      </x:c>
    </x:row>
    <x:row r="4730">
      <x:c r="A4730" t="n">
        <x:v>8</x:v>
      </x:c>
      <x:c r="B4730" t="str">
        <x:v>Emerald</x:v>
      </x:c>
      <x:c r="C4730" t="str">
        <x:v>K</x:v>
      </x:c>
      <x:c r="D4730" t="str">
        <x:v>FL</x:v>
      </x:c>
      <x:c r="E4730" s="36" t="n">
        <x:v>228000</x:v>
      </x:c>
      <x:c r="F4730" s="36" t="n">
        <x:v>2858</x:v>
      </x:c>
      <x:c r="G4730" s="42" t="n">
        <x:v>0.6130416130416131</x:v>
      </x:c>
      <x:c r="H4730" s="36" t="n">
        <x:f>E4730*G4730</x:f>
        <x:v>139773.48777348778</x:v>
      </x:c>
      <x:c r="I4730" s="36" t="n">
        <x:f>IFERROR(H4730/A4730,0)</x:f>
        <x:v>17471.685971685973</x:v>
      </x:c>
      <x:c r="J4730" s="67" t="str">
        <x:v>Modeled from live base + Sep-2026 quality ratio; K/FL quality cell modeled</x:v>
      </x:c>
      <x:c r="K4730" s="67" t="str">
        <x:v>https://www.stonealgo.com/diamond-prices/</x:v>
      </x:c>
      <x:c r="L4730" s="67" t="str">
        <x:v>https://www.pricescope.com/blog/natural-diamond-prices-september-2026</x:v>
      </x:c>
    </x:row>
    <x:row r="4731">
      <x:c r="A4731" t="n">
        <x:v>8</x:v>
      </x:c>
      <x:c r="B4731" t="str">
        <x:v>Emerald</x:v>
      </x:c>
      <x:c r="C4731" t="str">
        <x:v>K</x:v>
      </x:c>
      <x:c r="D4731" t="str">
        <x:v>IF</x:v>
      </x:c>
      <x:c r="E4731" s="36" t="n">
        <x:v>228000</x:v>
      </x:c>
      <x:c r="F4731" s="36" t="n">
        <x:v>2743</x:v>
      </x:c>
      <x:c r="G4731" s="42" t="n">
        <x:v>0.5883740883740883</x:v>
      </x:c>
      <x:c r="H4731" s="36" t="n">
        <x:f>E4731*G4731</x:f>
        <x:v>134149.29214929213</x:v>
      </x:c>
      <x:c r="I4731" s="36" t="n">
        <x:f>IFERROR(H4731/A4731,0)</x:f>
        <x:v>16768.661518661516</x:v>
      </x:c>
      <x:c r="J4731" s="67" t="str">
        <x:v>Modeled from live base + Sep-2026 quality ratio</x:v>
      </x:c>
      <x:c r="K4731" s="67" t="str">
        <x:v>https://www.stonealgo.com/diamond-prices/</x:v>
      </x:c>
      <x:c r="L4731" s="67" t="str">
        <x:v>https://www.pricescope.com/blog/natural-diamond-prices-september-2026</x:v>
      </x:c>
    </x:row>
    <x:row r="4732">
      <x:c r="A4732" t="n">
        <x:v>8</x:v>
      </x:c>
      <x:c r="B4732" t="str">
        <x:v>Emerald</x:v>
      </x:c>
      <x:c r="C4732" t="str">
        <x:v>K</x:v>
      </x:c>
      <x:c r="D4732" t="str">
        <x:v>VVS1</x:v>
      </x:c>
      <x:c r="E4732" s="36" t="n">
        <x:v>228000</x:v>
      </x:c>
      <x:c r="F4732" s="36" t="n">
        <x:v>2529</x:v>
      </x:c>
      <x:c r="G4732" s="42" t="n">
        <x:v>0.5424710424710425</x:v>
      </x:c>
      <x:c r="H4732" s="36" t="n">
        <x:f>E4732*G4732</x:f>
        <x:v>123683.39768339769</x:v>
      </x:c>
      <x:c r="I4732" s="36" t="n">
        <x:f>IFERROR(H4732/A4732,0)</x:f>
        <x:v>15460.424710424712</x:v>
      </x:c>
      <x:c r="J4732" s="67" t="str">
        <x:v>Modeled from live base + Sep-2026 quality ratio</x:v>
      </x:c>
      <x:c r="K4732" s="67" t="str">
        <x:v>https://www.stonealgo.com/diamond-prices/</x:v>
      </x:c>
      <x:c r="L4732" s="67" t="str">
        <x:v>https://www.pricescope.com/blog/natural-diamond-prices-september-2026</x:v>
      </x:c>
    </x:row>
    <x:row r="4733">
      <x:c r="A4733" t="n">
        <x:v>8</x:v>
      </x:c>
      <x:c r="B4733" t="str">
        <x:v>Emerald</x:v>
      </x:c>
      <x:c r="C4733" t="str">
        <x:v>K</x:v>
      </x:c>
      <x:c r="D4733" t="str">
        <x:v>VVS2</x:v>
      </x:c>
      <x:c r="E4733" s="36" t="n">
        <x:v>228000</x:v>
      </x:c>
      <x:c r="F4733" s="36" t="n">
        <x:v>2374</x:v>
      </x:c>
      <x:c r="G4733" s="42" t="n">
        <x:v>0.5092235092235092</x:v>
      </x:c>
      <x:c r="H4733" s="36" t="n">
        <x:f>E4733*G4733</x:f>
        <x:v>116102.9601029601</x:v>
      </x:c>
      <x:c r="I4733" s="36" t="n">
        <x:f>IFERROR(H4733/A4733,0)</x:f>
        <x:v>14512.870012870013</x:v>
      </x:c>
      <x:c r="J4733" s="67" t="str">
        <x:v>Modeled from live base + Sep-2026 quality ratio</x:v>
      </x:c>
      <x:c r="K4733" s="67" t="str">
        <x:v>https://www.stonealgo.com/diamond-prices/</x:v>
      </x:c>
      <x:c r="L4733" s="67" t="str">
        <x:v>https://www.pricescope.com/blog/natural-diamond-prices-september-2026</x:v>
      </x:c>
    </x:row>
    <x:row r="4734">
      <x:c r="A4734" t="n">
        <x:v>8</x:v>
      </x:c>
      <x:c r="B4734" t="str">
        <x:v>Emerald</x:v>
      </x:c>
      <x:c r="C4734" t="str">
        <x:v>K</x:v>
      </x:c>
      <x:c r="D4734" t="str">
        <x:v>VS1</x:v>
      </x:c>
      <x:c r="E4734" s="36" t="n">
        <x:v>228000</x:v>
      </x:c>
      <x:c r="F4734" s="36" t="n">
        <x:v>2223</x:v>
      </x:c>
      <x:c r="G4734" s="42" t="n">
        <x:v>0.4768339768339768</x:v>
      </x:c>
      <x:c r="H4734" s="36" t="n">
        <x:f>E4734*G4734</x:f>
        <x:v>108718.14671814672</x:v>
      </x:c>
      <x:c r="I4734" s="36" t="n">
        <x:f>IFERROR(H4734/A4734,0)</x:f>
        <x:v>13589.76833976834</x:v>
      </x:c>
      <x:c r="J4734" s="67" t="str">
        <x:v>Modeled from live base + Sep-2026 quality ratio</x:v>
      </x:c>
      <x:c r="K4734" s="67" t="str">
        <x:v>https://www.stonealgo.com/diamond-prices/</x:v>
      </x:c>
      <x:c r="L4734" s="67" t="str">
        <x:v>https://www.pricescope.com/blog/natural-diamond-prices-september-2026</x:v>
      </x:c>
    </x:row>
    <x:row r="4735">
      <x:c r="A4735" t="n">
        <x:v>8</x:v>
      </x:c>
      <x:c r="B4735" t="str">
        <x:v>Emerald</x:v>
      </x:c>
      <x:c r="C4735" t="str">
        <x:v>K</x:v>
      </x:c>
      <x:c r="D4735" t="str">
        <x:v>VS2</x:v>
      </x:c>
      <x:c r="E4735" s="36" t="n">
        <x:v>228000</x:v>
      </x:c>
      <x:c r="F4735" s="36" t="n">
        <x:v>2098</x:v>
      </x:c>
      <x:c r="G4735" s="42" t="n">
        <x:v>0.45002145002145</x:v>
      </x:c>
      <x:c r="H4735" s="36" t="n">
        <x:f>E4735*G4735</x:f>
        <x:v>102604.8906048906</x:v>
      </x:c>
      <x:c r="I4735" s="36" t="n">
        <x:f>IFERROR(H4735/A4735,0)</x:f>
        <x:v>12825.611325611326</x:v>
      </x:c>
      <x:c r="J4735" s="67" t="str">
        <x:v>Modeled from live base + Sep-2026 quality ratio</x:v>
      </x:c>
      <x:c r="K4735" s="67" t="str">
        <x:v>https://www.stonealgo.com/diamond-prices/</x:v>
      </x:c>
      <x:c r="L4735" s="67" t="str">
        <x:v>https://www.pricescope.com/blog/natural-diamond-prices-september-2026</x:v>
      </x:c>
    </x:row>
    <x:row r="4736">
      <x:c r="A4736" t="n">
        <x:v>8</x:v>
      </x:c>
      <x:c r="B4736" t="str">
        <x:v>Emerald</x:v>
      </x:c>
      <x:c r="C4736" t="str">
        <x:v>K</x:v>
      </x:c>
      <x:c r="D4736" t="str">
        <x:v>SI1</x:v>
      </x:c>
      <x:c r="E4736" s="36" t="n">
        <x:v>228000</x:v>
      </x:c>
      <x:c r="F4736" s="36" t="n">
        <x:v>1922</x:v>
      </x:c>
      <x:c r="G4736" s="42" t="n">
        <x:v>0.41226941226941227</x:v>
      </x:c>
      <x:c r="H4736" s="36" t="n">
        <x:f>E4736*G4736</x:f>
        <x:v>93997.42599742599</x:v>
      </x:c>
      <x:c r="I4736" s="36" t="n">
        <x:f>IFERROR(H4736/A4736,0)</x:f>
        <x:v>11749.678249678249</x:v>
      </x:c>
      <x:c r="J4736" s="67" t="str">
        <x:v>Modeled from live base + Sep-2026 quality ratio</x:v>
      </x:c>
      <x:c r="K4736" s="67" t="str">
        <x:v>https://www.stonealgo.com/diamond-prices/</x:v>
      </x:c>
      <x:c r="L4736" s="67" t="str">
        <x:v>https://www.pricescope.com/blog/natural-diamond-prices-september-2026</x:v>
      </x:c>
    </x:row>
    <x:row r="4737">
      <x:c r="A4737" t="n">
        <x:v>8</x:v>
      </x:c>
      <x:c r="B4737" t="str">
        <x:v>Emerald</x:v>
      </x:c>
      <x:c r="C4737" t="str">
        <x:v>K</x:v>
      </x:c>
      <x:c r="D4737" t="str">
        <x:v>SI2</x:v>
      </x:c>
      <x:c r="E4737" s="36" t="n">
        <x:v>228000</x:v>
      </x:c>
      <x:c r="F4737" s="36" t="n">
        <x:v>1764</x:v>
      </x:c>
      <x:c r="G4737" s="42" t="n">
        <x:v>0.3783783783783784</x:v>
      </x:c>
      <x:c r="H4737" s="36" t="n">
        <x:f>E4737*G4737</x:f>
        <x:v>86270.27027027028</x:v>
      </x:c>
      <x:c r="I4737" s="36" t="n">
        <x:f>IFERROR(H4737/A4737,0)</x:f>
        <x:v>10783.783783783785</x:v>
      </x:c>
      <x:c r="J4737" s="67" t="str">
        <x:v>Modeled from live base + Sep-2026 quality ratio</x:v>
      </x:c>
      <x:c r="K4737" s="67" t="str">
        <x:v>https://www.stonealgo.com/diamond-prices/</x:v>
      </x:c>
      <x:c r="L4737" s="67" t="str">
        <x:v>https://www.pricescope.com/blog/natural-diamond-prices-september-2026</x:v>
      </x:c>
    </x:row>
    <x:row r="4738">
      <x:c r="A4738" t="n">
        <x:v>8</x:v>
      </x:c>
      <x:c r="B4738" t="str">
        <x:v>Cushion</x:v>
      </x:c>
      <x:c r="C4738" t="str">
        <x:v>D</x:v>
      </x:c>
      <x:c r="D4738" t="str">
        <x:v>FL</x:v>
      </x:c>
      <x:c r="E4738" s="36" t="n">
        <x:v>263000</x:v>
      </x:c>
      <x:c r="F4738" s="36" t="n">
        <x:v>12665</x:v>
      </x:c>
      <x:c r="G4738" s="42" t="n">
        <x:v>2.7166452166452166</x:v>
      </x:c>
      <x:c r="H4738" s="36" t="n">
        <x:f>E4738*G4738</x:f>
        <x:v>714477.691977692</x:v>
      </x:c>
      <x:c r="I4738" s="36" t="n">
        <x:f>IFERROR(H4738/A4738,0)</x:f>
        <x:v>89309.7114972115</x:v>
      </x:c>
      <x:c r="J4738" s="67" t="str">
        <x:v>Modeled from live base + Sep-2026 quality ratio</x:v>
      </x:c>
      <x:c r="K4738" s="67" t="str">
        <x:v>https://www.stonealgo.com/diamond-prices/</x:v>
      </x:c>
      <x:c r="L4738" s="67" t="str">
        <x:v>https://www.pricescope.com/blog/natural-diamond-prices-september-2026</x:v>
      </x:c>
    </x:row>
    <x:row r="4739">
      <x:c r="A4739" t="n">
        <x:v>8</x:v>
      </x:c>
      <x:c r="B4739" t="str">
        <x:v>Cushion</x:v>
      </x:c>
      <x:c r="C4739" t="str">
        <x:v>D</x:v>
      </x:c>
      <x:c r="D4739" t="str">
        <x:v>IF</x:v>
      </x:c>
      <x:c r="E4739" s="36" t="n">
        <x:v>263000</x:v>
      </x:c>
      <x:c r="F4739" s="36" t="n">
        <x:v>13240</x:v>
      </x:c>
      <x:c r="G4739" s="42" t="n">
        <x:v>2.83998283998284</x:v>
      </x:c>
      <x:c r="H4739" s="36" t="n">
        <x:f>E4739*G4739</x:f>
        <x:v>746915.486915487</x:v>
      </x:c>
      <x:c r="I4739" s="36" t="n">
        <x:f>IFERROR(H4739/A4739,0)</x:f>
        <x:v>93364.43586443587</x:v>
      </x:c>
      <x:c r="J4739" s="67" t="str">
        <x:v>Modeled from live base + Sep-2026 quality ratio</x:v>
      </x:c>
      <x:c r="K4739" s="67" t="str">
        <x:v>https://www.stonealgo.com/diamond-prices/</x:v>
      </x:c>
      <x:c r="L4739" s="67" t="str">
        <x:v>https://www.pricescope.com/blog/natural-diamond-prices-september-2026</x:v>
      </x:c>
    </x:row>
    <x:row r="4740">
      <x:c r="A4740" t="n">
        <x:v>8</x:v>
      </x:c>
      <x:c r="B4740" t="str">
        <x:v>Cushion</x:v>
      </x:c>
      <x:c r="C4740" t="str">
        <x:v>D</x:v>
      </x:c>
      <x:c r="D4740" t="str">
        <x:v>VVS1</x:v>
      </x:c>
      <x:c r="E4740" s="36" t="n">
        <x:v>263000</x:v>
      </x:c>
      <x:c r="F4740" s="36" t="n">
        <x:v>9555</x:v>
      </x:c>
      <x:c r="G4740" s="42" t="n">
        <x:v>2.0495495495495497</x:v>
      </x:c>
      <x:c r="H4740" s="36" t="n">
        <x:f>E4740*G4740</x:f>
        <x:v>539031.5315315316</x:v>
      </x:c>
      <x:c r="I4740" s="36" t="n">
        <x:f>IFERROR(H4740/A4740,0)</x:f>
        <x:v>67378.94144144145</x:v>
      </x:c>
      <x:c r="J4740" s="67" t="str">
        <x:v>Modeled from live base + Sep-2026 quality ratio</x:v>
      </x:c>
      <x:c r="K4740" s="67" t="str">
        <x:v>https://www.stonealgo.com/diamond-prices/</x:v>
      </x:c>
      <x:c r="L4740" s="67" t="str">
        <x:v>https://www.pricescope.com/blog/natural-diamond-prices-september-2026</x:v>
      </x:c>
    </x:row>
    <x:row r="4741">
      <x:c r="A4741" t="n">
        <x:v>8</x:v>
      </x:c>
      <x:c r="B4741" t="str">
        <x:v>Cushion</x:v>
      </x:c>
      <x:c r="C4741" t="str">
        <x:v>D</x:v>
      </x:c>
      <x:c r="D4741" t="str">
        <x:v>VVS2</x:v>
      </x:c>
      <x:c r="E4741" s="36" t="n">
        <x:v>263000</x:v>
      </x:c>
      <x:c r="F4741" s="36" t="n">
        <x:v>6660</x:v>
      </x:c>
      <x:c r="G4741" s="42" t="n">
        <x:v>1.4285714285714286</x:v>
      </x:c>
      <x:c r="H4741" s="36" t="n">
        <x:f>E4741*G4741</x:f>
        <x:v>375714.28571428574</x:v>
      </x:c>
      <x:c r="I4741" s="36" t="n">
        <x:f>IFERROR(H4741/A4741,0)</x:f>
        <x:v>46964.28571428572</x:v>
      </x:c>
      <x:c r="J4741" s="67" t="str">
        <x:v>Modeled from live base + Sep-2026 quality ratio</x:v>
      </x:c>
      <x:c r="K4741" s="67" t="str">
        <x:v>https://www.stonealgo.com/diamond-prices/</x:v>
      </x:c>
      <x:c r="L4741" s="67" t="str">
        <x:v>https://www.pricescope.com/blog/natural-diamond-prices-september-2026</x:v>
      </x:c>
    </x:row>
    <x:row r="4742">
      <x:c r="A4742" t="n">
        <x:v>8</x:v>
      </x:c>
      <x:c r="B4742" t="str">
        <x:v>Cushion</x:v>
      </x:c>
      <x:c r="C4742" t="str">
        <x:v>D</x:v>
      </x:c>
      <x:c r="D4742" t="str">
        <x:v>VS1</x:v>
      </x:c>
      <x:c r="E4742" s="36" t="n">
        <x:v>263000</x:v>
      </x:c>
      <x:c r="F4742" s="36" t="n">
        <x:v>6247</x:v>
      </x:c>
      <x:c r="G4742" s="42" t="n">
        <x:v>1.33998283998284</x:v>
      </x:c>
      <x:c r="H4742" s="36" t="n">
        <x:f>E4742*G4742</x:f>
        <x:v>352415.4869154869</x:v>
      </x:c>
      <x:c r="I4742" s="36" t="n">
        <x:f>IFERROR(H4742/A4742,0)</x:f>
        <x:v>44051.935864435865</x:v>
      </x:c>
      <x:c r="J4742" s="67" t="str">
        <x:v>Modeled from live base + Sep-2026 quality ratio</x:v>
      </x:c>
      <x:c r="K4742" s="67" t="str">
        <x:v>https://www.stonealgo.com/diamond-prices/</x:v>
      </x:c>
      <x:c r="L4742" s="67" t="str">
        <x:v>https://www.pricescope.com/blog/natural-diamond-prices-september-2026</x:v>
      </x:c>
    </x:row>
    <x:row r="4743">
      <x:c r="A4743" t="n">
        <x:v>8</x:v>
      </x:c>
      <x:c r="B4743" t="str">
        <x:v>Cushion</x:v>
      </x:c>
      <x:c r="C4743" t="str">
        <x:v>D</x:v>
      </x:c>
      <x:c r="D4743" t="str">
        <x:v>VS2</x:v>
      </x:c>
      <x:c r="E4743" s="36" t="n">
        <x:v>263000</x:v>
      </x:c>
      <x:c r="F4743" s="36" t="n">
        <x:v>5841</x:v>
      </x:c>
      <x:c r="G4743" s="42" t="n">
        <x:v>1.252895752895753</x:v>
      </x:c>
      <x:c r="H4743" s="36" t="n">
        <x:f>E4743*G4743</x:f>
        <x:v>329511.583011583</x:v>
      </x:c>
      <x:c r="I4743" s="36" t="n">
        <x:f>IFERROR(H4743/A4743,0)</x:f>
        <x:v>41188.94787644788</x:v>
      </x:c>
      <x:c r="J4743" s="67" t="str">
        <x:v>Modeled from live base + Sep-2026 quality ratio</x:v>
      </x:c>
      <x:c r="K4743" s="67" t="str">
        <x:v>https://www.stonealgo.com/diamond-prices/</x:v>
      </x:c>
      <x:c r="L4743" s="67" t="str">
        <x:v>https://www.pricescope.com/blog/natural-diamond-prices-september-2026</x:v>
      </x:c>
    </x:row>
    <x:row r="4744">
      <x:c r="A4744" t="n">
        <x:v>8</x:v>
      </x:c>
      <x:c r="B4744" t="str">
        <x:v>Cushion</x:v>
      </x:c>
      <x:c r="C4744" t="str">
        <x:v>D</x:v>
      </x:c>
      <x:c r="D4744" t="str">
        <x:v>SI1</x:v>
      </x:c>
      <x:c r="E4744" s="36" t="n">
        <x:v>263000</x:v>
      </x:c>
      <x:c r="F4744" s="36" t="n">
        <x:v>3762</x:v>
      </x:c>
      <x:c r="G4744" s="42" t="n">
        <x:v>0.806949806949807</x:v>
      </x:c>
      <x:c r="H4744" s="36" t="n">
        <x:f>E4744*G4744</x:f>
        <x:v>212227.79922779923</x:v>
      </x:c>
      <x:c r="I4744" s="36" t="n">
        <x:f>IFERROR(H4744/A4744,0)</x:f>
        <x:v>26528.474903474904</x:v>
      </x:c>
      <x:c r="J4744" s="67" t="str">
        <x:v>Modeled from live base + Sep-2026 quality ratio</x:v>
      </x:c>
      <x:c r="K4744" s="67" t="str">
        <x:v>https://www.stonealgo.com/diamond-prices/</x:v>
      </x:c>
      <x:c r="L4744" s="67" t="str">
        <x:v>https://www.pricescope.com/blog/natural-diamond-prices-september-2026</x:v>
      </x:c>
    </x:row>
    <x:row r="4745">
      <x:c r="A4745" t="n">
        <x:v>8</x:v>
      </x:c>
      <x:c r="B4745" t="str">
        <x:v>Cushion</x:v>
      </x:c>
      <x:c r="C4745" t="str">
        <x:v>D</x:v>
      </x:c>
      <x:c r="D4745" t="str">
        <x:v>SI2</x:v>
      </x:c>
      <x:c r="E4745" s="36" t="n">
        <x:v>263000</x:v>
      </x:c>
      <x:c r="F4745" s="36" t="n">
        <x:v>3026</x:v>
      </x:c>
      <x:c r="G4745" s="42" t="n">
        <x:v>0.6490776490776491</x:v>
      </x:c>
      <x:c r="H4745" s="36" t="n">
        <x:f>E4745*G4745</x:f>
        <x:v>170707.42170742172</x:v>
      </x:c>
      <x:c r="I4745" s="36" t="n">
        <x:f>IFERROR(H4745/A4745,0)</x:f>
        <x:v>21338.427713427714</x:v>
      </x:c>
      <x:c r="J4745" s="67" t="str">
        <x:v>Modeled from live base + Sep-2026 quality ratio</x:v>
      </x:c>
      <x:c r="K4745" s="67" t="str">
        <x:v>https://www.stonealgo.com/diamond-prices/</x:v>
      </x:c>
      <x:c r="L4745" s="67" t="str">
        <x:v>https://www.pricescope.com/blog/natural-diamond-prices-september-2026</x:v>
      </x:c>
    </x:row>
    <x:row r="4746">
      <x:c r="A4746" t="n">
        <x:v>8</x:v>
      </x:c>
      <x:c r="B4746" t="str">
        <x:v>Cushion</x:v>
      </x:c>
      <x:c r="C4746" t="str">
        <x:v>E</x:v>
      </x:c>
      <x:c r="D4746" t="str">
        <x:v>FL</x:v>
      </x:c>
      <x:c r="E4746" s="36" t="n">
        <x:v>263000</x:v>
      </x:c>
      <x:c r="F4746" s="36" t="n">
        <x:v>10072</x:v>
      </x:c>
      <x:c r="G4746" s="42" t="n">
        <x:v>2.1604461604461602</x:v>
      </x:c>
      <x:c r="H4746" s="36" t="n">
        <x:f>E4746*G4746</x:f>
        <x:v>568197.3401973401</x:v>
      </x:c>
      <x:c r="I4746" s="36" t="n">
        <x:f>IFERROR(H4746/A4746,0)</x:f>
        <x:v>71024.66752466751</x:v>
      </x:c>
      <x:c r="J4746" s="67" t="str">
        <x:v>Modeled from live base + Sep-2026 quality ratio</x:v>
      </x:c>
      <x:c r="K4746" s="67" t="str">
        <x:v>https://www.stonealgo.com/diamond-prices/</x:v>
      </x:c>
      <x:c r="L4746" s="67" t="str">
        <x:v>https://www.pricescope.com/blog/natural-diamond-prices-september-2026</x:v>
      </x:c>
    </x:row>
    <x:row r="4747">
      <x:c r="A4747" t="n">
        <x:v>8</x:v>
      </x:c>
      <x:c r="B4747" t="str">
        <x:v>Cushion</x:v>
      </x:c>
      <x:c r="C4747" t="str">
        <x:v>E</x:v>
      </x:c>
      <x:c r="D4747" t="str">
        <x:v>IF</x:v>
      </x:c>
      <x:c r="E4747" s="36" t="n">
        <x:v>263000</x:v>
      </x:c>
      <x:c r="F4747" s="36" t="n">
        <x:v>8672</x:v>
      </x:c>
      <x:c r="G4747" s="42" t="n">
        <x:v>1.8601458601458603</x:v>
      </x:c>
      <x:c r="H4747" s="36" t="n">
        <x:f>E4747*G4747</x:f>
        <x:v>489218.36121836124</x:v>
      </x:c>
      <x:c r="I4747" s="36" t="n">
        <x:f>IFERROR(H4747/A4747,0)</x:f>
        <x:v>61152.295152295155</x:v>
      </x:c>
      <x:c r="J4747" s="67" t="str">
        <x:v>Modeled from live base + Sep-2026 quality ratio</x:v>
      </x:c>
      <x:c r="K4747" s="67" t="str">
        <x:v>https://www.stonealgo.com/diamond-prices/</x:v>
      </x:c>
      <x:c r="L4747" s="67" t="str">
        <x:v>https://www.pricescope.com/blog/natural-diamond-prices-september-2026</x:v>
      </x:c>
    </x:row>
    <x:row r="4748">
      <x:c r="A4748" t="n">
        <x:v>8</x:v>
      </x:c>
      <x:c r="B4748" t="str">
        <x:v>Cushion</x:v>
      </x:c>
      <x:c r="C4748" t="str">
        <x:v>E</x:v>
      </x:c>
      <x:c r="D4748" t="str">
        <x:v>VVS1</x:v>
      </x:c>
      <x:c r="E4748" s="36" t="n">
        <x:v>263000</x:v>
      </x:c>
      <x:c r="F4748" s="36" t="n">
        <x:v>7842</x:v>
      </x:c>
      <x:c r="G4748" s="42" t="n">
        <x:v>1.6821106821106822</x:v>
      </x:c>
      <x:c r="H4748" s="36" t="n">
        <x:f>E4748*G4748</x:f>
        <x:v>442395.1093951094</x:v>
      </x:c>
      <x:c r="I4748" s="36" t="n">
        <x:f>IFERROR(H4748/A4748,0)</x:f>
        <x:v>55299.388674388676</x:v>
      </x:c>
      <x:c r="J4748" s="67" t="str">
        <x:v>Modeled from live base + Sep-2026 quality ratio</x:v>
      </x:c>
      <x:c r="K4748" s="67" t="str">
        <x:v>https://www.stonealgo.com/diamond-prices/</x:v>
      </x:c>
      <x:c r="L4748" s="67" t="str">
        <x:v>https://www.pricescope.com/blog/natural-diamond-prices-september-2026</x:v>
      </x:c>
    </x:row>
    <x:row r="4749">
      <x:c r="A4749" t="n">
        <x:v>8</x:v>
      </x:c>
      <x:c r="B4749" t="str">
        <x:v>Cushion</x:v>
      </x:c>
      <x:c r="C4749" t="str">
        <x:v>E</x:v>
      </x:c>
      <x:c r="D4749" t="str">
        <x:v>VVS2</x:v>
      </x:c>
      <x:c r="E4749" s="36" t="n">
        <x:v>263000</x:v>
      </x:c>
      <x:c r="F4749" s="36" t="n">
        <x:v>6880</x:v>
      </x:c>
      <x:c r="G4749" s="42" t="n">
        <x:v>1.4757614757614759</x:v>
      </x:c>
      <x:c r="H4749" s="36" t="n">
        <x:f>E4749*G4749</x:f>
        <x:v>388125.26812526817</x:v>
      </x:c>
      <x:c r="I4749" s="36" t="n">
        <x:f>IFERROR(H4749/A4749,0)</x:f>
        <x:v>48515.65851565852</x:v>
      </x:c>
      <x:c r="J4749" s="67" t="str">
        <x:v>Modeled from live base + Sep-2026 quality ratio</x:v>
      </x:c>
      <x:c r="K4749" s="67" t="str">
        <x:v>https://www.stonealgo.com/diamond-prices/</x:v>
      </x:c>
      <x:c r="L4749" s="67" t="str">
        <x:v>https://www.pricescope.com/blog/natural-diamond-prices-september-2026</x:v>
      </x:c>
    </x:row>
    <x:row r="4750">
      <x:c r="A4750" t="n">
        <x:v>8</x:v>
      </x:c>
      <x:c r="B4750" t="str">
        <x:v>Cushion</x:v>
      </x:c>
      <x:c r="C4750" t="str">
        <x:v>E</x:v>
      </x:c>
      <x:c r="D4750" t="str">
        <x:v>VS1</x:v>
      </x:c>
      <x:c r="E4750" s="36" t="n">
        <x:v>263000</x:v>
      </x:c>
      <x:c r="F4750" s="36" t="n">
        <x:v>6307</x:v>
      </x:c>
      <x:c r="G4750" s="42" t="n">
        <x:v>1.352852852852853</x:v>
      </x:c>
      <x:c r="H4750" s="36" t="n">
        <x:f>E4750*G4750</x:f>
        <x:v>355800.30030030035</x:v>
      </x:c>
      <x:c r="I4750" s="36" t="n">
        <x:f>IFERROR(H4750/A4750,0)</x:f>
        <x:v>44475.037537537544</x:v>
      </x:c>
      <x:c r="J4750" s="67" t="str">
        <x:v>Modeled from live base + Sep-2026 quality ratio</x:v>
      </x:c>
      <x:c r="K4750" s="67" t="str">
        <x:v>https://www.stonealgo.com/diamond-prices/</x:v>
      </x:c>
      <x:c r="L4750" s="67" t="str">
        <x:v>https://www.pricescope.com/blog/natural-diamond-prices-september-2026</x:v>
      </x:c>
    </x:row>
    <x:row r="4751">
      <x:c r="A4751" t="n">
        <x:v>8</x:v>
      </x:c>
      <x:c r="B4751" t="str">
        <x:v>Cushion</x:v>
      </x:c>
      <x:c r="C4751" t="str">
        <x:v>E</x:v>
      </x:c>
      <x:c r="D4751" t="str">
        <x:v>VS2</x:v>
      </x:c>
      <x:c r="E4751" s="36" t="n">
        <x:v>263000</x:v>
      </x:c>
      <x:c r="F4751" s="36" t="n">
        <x:v>5249</x:v>
      </x:c>
      <x:c r="G4751" s="42" t="n">
        <x:v>1.125911625911626</x:v>
      </x:c>
      <x:c r="H4751" s="36" t="n">
        <x:f>E4751*G4751</x:f>
        <x:v>296114.75761475763</x:v>
      </x:c>
      <x:c r="I4751" s="36" t="n">
        <x:f>IFERROR(H4751/A4751,0)</x:f>
        <x:v>37014.344701844704</x:v>
      </x:c>
      <x:c r="J4751" s="67" t="str">
        <x:v>Modeled from live base + Sep-2026 quality ratio</x:v>
      </x:c>
      <x:c r="K4751" s="67" t="str">
        <x:v>https://www.stonealgo.com/diamond-prices/</x:v>
      </x:c>
      <x:c r="L4751" s="67" t="str">
        <x:v>https://www.pricescope.com/blog/natural-diamond-prices-september-2026</x:v>
      </x:c>
    </x:row>
    <x:row r="4752">
      <x:c r="A4752" t="n">
        <x:v>8</x:v>
      </x:c>
      <x:c r="B4752" t="str">
        <x:v>Cushion</x:v>
      </x:c>
      <x:c r="C4752" t="str">
        <x:v>E</x:v>
      </x:c>
      <x:c r="D4752" t="str">
        <x:v>SI1</x:v>
      </x:c>
      <x:c r="E4752" s="36" t="n">
        <x:v>263000</x:v>
      </x:c>
      <x:c r="F4752" s="36" t="n">
        <x:v>3551</x:v>
      </x:c>
      <x:c r="G4752" s="42" t="n">
        <x:v>0.7616902616902617</x:v>
      </x:c>
      <x:c r="H4752" s="36" t="n">
        <x:f>E4752*G4752</x:f>
        <x:v>200324.53882453882</x:v>
      </x:c>
      <x:c r="I4752" s="36" t="n">
        <x:f>IFERROR(H4752/A4752,0)</x:f>
        <x:v>25040.567353067352</x:v>
      </x:c>
      <x:c r="J4752" s="67" t="str">
        <x:v>Modeled from live base + Sep-2026 quality ratio</x:v>
      </x:c>
      <x:c r="K4752" s="67" t="str">
        <x:v>https://www.stonealgo.com/diamond-prices/</x:v>
      </x:c>
      <x:c r="L4752" s="67" t="str">
        <x:v>https://www.pricescope.com/blog/natural-diamond-prices-september-2026</x:v>
      </x:c>
    </x:row>
    <x:row r="4753">
      <x:c r="A4753" t="n">
        <x:v>8</x:v>
      </x:c>
      <x:c r="B4753" t="str">
        <x:v>Cushion</x:v>
      </x:c>
      <x:c r="C4753" t="str">
        <x:v>E</x:v>
      </x:c>
      <x:c r="D4753" t="str">
        <x:v>SI2</x:v>
      </x:c>
      <x:c r="E4753" s="36" t="n">
        <x:v>263000</x:v>
      </x:c>
      <x:c r="F4753" s="36" t="n">
        <x:v>2993</x:v>
      </x:c>
      <x:c r="G4753" s="42" t="n">
        <x:v>0.641999141999142</x:v>
      </x:c>
      <x:c r="H4753" s="36" t="n">
        <x:f>E4753*G4753</x:f>
        <x:v>168845.77434577435</x:v>
      </x:c>
      <x:c r="I4753" s="36" t="n">
        <x:f>IFERROR(H4753/A4753,0)</x:f>
        <x:v>21105.721793221794</x:v>
      </x:c>
      <x:c r="J4753" s="67" t="str">
        <x:v>Modeled from live base + Sep-2026 quality ratio</x:v>
      </x:c>
      <x:c r="K4753" s="67" t="str">
        <x:v>https://www.stonealgo.com/diamond-prices/</x:v>
      </x:c>
      <x:c r="L4753" s="67" t="str">
        <x:v>https://www.pricescope.com/blog/natural-diamond-prices-september-2026</x:v>
      </x:c>
    </x:row>
    <x:row r="4754">
      <x:c r="A4754" t="n">
        <x:v>8</x:v>
      </x:c>
      <x:c r="B4754" t="str">
        <x:v>Cushion</x:v>
      </x:c>
      <x:c r="C4754" t="str">
        <x:v>F</x:v>
      </x:c>
      <x:c r="D4754" t="str">
        <x:v>FL</x:v>
      </x:c>
      <x:c r="E4754" s="36" t="n">
        <x:v>263000</x:v>
      </x:c>
      <x:c r="F4754" s="36" t="n">
        <x:v>6830</x:v>
      </x:c>
      <x:c r="G4754" s="42" t="n">
        <x:v>1.4650364650364651</x:v>
      </x:c>
      <x:c r="H4754" s="36" t="n">
        <x:f>E4754*G4754</x:f>
        <x:v>385304.59030459035</x:v>
      </x:c>
      <x:c r="I4754" s="36" t="n">
        <x:f>IFERROR(H4754/A4754,0)</x:f>
        <x:v>48163.073788073794</x:v>
      </x:c>
      <x:c r="J4754" s="67" t="str">
        <x:v>Modeled from live base + Sep-2026 quality ratio</x:v>
      </x:c>
      <x:c r="K4754" s="67" t="str">
        <x:v>https://www.stonealgo.com/diamond-prices/</x:v>
      </x:c>
      <x:c r="L4754" s="67" t="str">
        <x:v>https://www.pricescope.com/blog/natural-diamond-prices-september-2026</x:v>
      </x:c>
    </x:row>
    <x:row r="4755">
      <x:c r="A4755" t="n">
        <x:v>8</x:v>
      </x:c>
      <x:c r="B4755" t="str">
        <x:v>Cushion</x:v>
      </x:c>
      <x:c r="C4755" t="str">
        <x:v>F</x:v>
      </x:c>
      <x:c r="D4755" t="str">
        <x:v>IF</x:v>
      </x:c>
      <x:c r="E4755" s="36" t="n">
        <x:v>263000</x:v>
      </x:c>
      <x:c r="F4755" s="36" t="n">
        <x:v>7302</x:v>
      </x:c>
      <x:c r="G4755" s="42" t="n">
        <x:v>1.5662805662805663</x:v>
      </x:c>
      <x:c r="H4755" s="36" t="n">
        <x:f>E4755*G4755</x:f>
        <x:v>411931.78893178893</x:v>
      </x:c>
      <x:c r="I4755" s="36" t="n">
        <x:f>IFERROR(H4755/A4755,0)</x:f>
        <x:v>51491.47361647362</x:v>
      </x:c>
      <x:c r="J4755" s="67" t="str">
        <x:v>Modeled from live base + Sep-2026 quality ratio</x:v>
      </x:c>
      <x:c r="K4755" s="67" t="str">
        <x:v>https://www.stonealgo.com/diamond-prices/</x:v>
      </x:c>
      <x:c r="L4755" s="67" t="str">
        <x:v>https://www.pricescope.com/blog/natural-diamond-prices-september-2026</x:v>
      </x:c>
    </x:row>
    <x:row r="4756">
      <x:c r="A4756" t="n">
        <x:v>8</x:v>
      </x:c>
      <x:c r="B4756" t="str">
        <x:v>Cushion</x:v>
      </x:c>
      <x:c r="C4756" t="str">
        <x:v>F</x:v>
      </x:c>
      <x:c r="D4756" t="str">
        <x:v>VVS1</x:v>
      </x:c>
      <x:c r="E4756" s="36" t="n">
        <x:v>263000</x:v>
      </x:c>
      <x:c r="F4756" s="36" t="n">
        <x:v>7542</x:v>
      </x:c>
      <x:c r="G4756" s="42" t="n">
        <x:v>1.6177606177606179</x:v>
      </x:c>
      <x:c r="H4756" s="36" t="n">
        <x:f>E4756*G4756</x:f>
        <x:v>425471.0424710425</x:v>
      </x:c>
      <x:c r="I4756" s="36" t="n">
        <x:f>IFERROR(H4756/A4756,0)</x:f>
        <x:v>53183.88030888031</x:v>
      </x:c>
      <x:c r="J4756" s="67" t="str">
        <x:v>Modeled from live base + Sep-2026 quality ratio</x:v>
      </x:c>
      <x:c r="K4756" s="67" t="str">
        <x:v>https://www.stonealgo.com/diamond-prices/</x:v>
      </x:c>
      <x:c r="L4756" s="67" t="str">
        <x:v>https://www.pricescope.com/blog/natural-diamond-prices-september-2026</x:v>
      </x:c>
    </x:row>
    <x:row r="4757">
      <x:c r="A4757" t="n">
        <x:v>8</x:v>
      </x:c>
      <x:c r="B4757" t="str">
        <x:v>Cushion</x:v>
      </x:c>
      <x:c r="C4757" t="str">
        <x:v>F</x:v>
      </x:c>
      <x:c r="D4757" t="str">
        <x:v>VVS2</x:v>
      </x:c>
      <x:c r="E4757" s="36" t="n">
        <x:v>263000</x:v>
      </x:c>
      <x:c r="F4757" s="36" t="n">
        <x:v>6352</x:v>
      </x:c>
      <x:c r="G4757" s="42" t="n">
        <x:v>1.3625053625053625</x:v>
      </x:c>
      <x:c r="H4757" s="36" t="n">
        <x:f>E4757*G4757</x:f>
        <x:v>358338.91033891035</x:v>
      </x:c>
      <x:c r="I4757" s="36" t="n">
        <x:f>IFERROR(H4757/A4757,0)</x:f>
        <x:v>44792.363792363794</x:v>
      </x:c>
      <x:c r="J4757" s="67" t="str">
        <x:v>Modeled from live base + Sep-2026 quality ratio</x:v>
      </x:c>
      <x:c r="K4757" s="67" t="str">
        <x:v>https://www.stonealgo.com/diamond-prices/</x:v>
      </x:c>
      <x:c r="L4757" s="67" t="str">
        <x:v>https://www.pricescope.com/blog/natural-diamond-prices-september-2026</x:v>
      </x:c>
    </x:row>
    <x:row r="4758">
      <x:c r="A4758" t="n">
        <x:v>8</x:v>
      </x:c>
      <x:c r="B4758" t="str">
        <x:v>Cushion</x:v>
      </x:c>
      <x:c r="C4758" t="str">
        <x:v>F</x:v>
      </x:c>
      <x:c r="D4758" t="str">
        <x:v>VS1</x:v>
      </x:c>
      <x:c r="E4758" s="36" t="n">
        <x:v>263000</x:v>
      </x:c>
      <x:c r="F4758" s="36" t="n">
        <x:v>5647</x:v>
      </x:c>
      <x:c r="G4758" s="42" t="n">
        <x:v>1.2112827112827114</x:v>
      </x:c>
      <x:c r="H4758" s="36" t="n">
        <x:f>E4758*G4758</x:f>
        <x:v>318567.3530673531</x:v>
      </x:c>
      <x:c r="I4758" s="36" t="n">
        <x:f>IFERROR(H4758/A4758,0)</x:f>
        <x:v>39820.919133419135</x:v>
      </x:c>
      <x:c r="J4758" s="67" t="str">
        <x:v>Modeled from live base + Sep-2026 quality ratio</x:v>
      </x:c>
      <x:c r="K4758" s="67" t="str">
        <x:v>https://www.stonealgo.com/diamond-prices/</x:v>
      </x:c>
      <x:c r="L4758" s="67" t="str">
        <x:v>https://www.pricescope.com/blog/natural-diamond-prices-september-2026</x:v>
      </x:c>
    </x:row>
    <x:row r="4759">
      <x:c r="A4759" t="n">
        <x:v>8</x:v>
      </x:c>
      <x:c r="B4759" t="str">
        <x:v>Cushion</x:v>
      </x:c>
      <x:c r="C4759" t="str">
        <x:v>F</x:v>
      </x:c>
      <x:c r="D4759" t="str">
        <x:v>VS2</x:v>
      </x:c>
      <x:c r="E4759" s="36" t="n">
        <x:v>263000</x:v>
      </x:c>
      <x:c r="F4759" s="36" t="n">
        <x:v>4730</x:v>
      </x:c>
      <x:c r="G4759" s="42" t="n">
        <x:v>1.0145860145860146</x:v>
      </x:c>
      <x:c r="H4759" s="36" t="n">
        <x:f>E4759*G4759</x:f>
        <x:v>266836.12183612183</x:v>
      </x:c>
      <x:c r="I4759" s="36" t="n">
        <x:f>IFERROR(H4759/A4759,0)</x:f>
        <x:v>33354.51522951523</x:v>
      </x:c>
      <x:c r="J4759" s="67" t="str">
        <x:v>Modeled from live base + Sep-2026 quality ratio</x:v>
      </x:c>
      <x:c r="K4759" s="67" t="str">
        <x:v>https://www.stonealgo.com/diamond-prices/</x:v>
      </x:c>
      <x:c r="L4759" s="67" t="str">
        <x:v>https://www.pricescope.com/blog/natural-diamond-prices-september-2026</x:v>
      </x:c>
    </x:row>
    <x:row r="4760">
      <x:c r="A4760" t="n">
        <x:v>8</x:v>
      </x:c>
      <x:c r="B4760" t="str">
        <x:v>Cushion</x:v>
      </x:c>
      <x:c r="C4760" t="str">
        <x:v>F</x:v>
      </x:c>
      <x:c r="D4760" t="str">
        <x:v>SI1</x:v>
      </x:c>
      <x:c r="E4760" s="36" t="n">
        <x:v>263000</x:v>
      </x:c>
      <x:c r="F4760" s="36" t="n">
        <x:v>3331</x:v>
      </x:c>
      <x:c r="G4760" s="42" t="n">
        <x:v>0.7145002145002145</x:v>
      </x:c>
      <x:c r="H4760" s="36" t="n">
        <x:f>E4760*G4760</x:f>
        <x:v>187913.55641355642</x:v>
      </x:c>
      <x:c r="I4760" s="36" t="n">
        <x:f>IFERROR(H4760/A4760,0)</x:f>
        <x:v>23489.194551694553</x:v>
      </x:c>
      <x:c r="J4760" s="67" t="str">
        <x:v>Modeled from live base + Sep-2026 quality ratio</x:v>
      </x:c>
      <x:c r="K4760" s="67" t="str">
        <x:v>https://www.stonealgo.com/diamond-prices/</x:v>
      </x:c>
      <x:c r="L4760" s="67" t="str">
        <x:v>https://www.pricescope.com/blog/natural-diamond-prices-september-2026</x:v>
      </x:c>
    </x:row>
    <x:row r="4761">
      <x:c r="A4761" t="n">
        <x:v>8</x:v>
      </x:c>
      <x:c r="B4761" t="str">
        <x:v>Cushion</x:v>
      </x:c>
      <x:c r="C4761" t="str">
        <x:v>F</x:v>
      </x:c>
      <x:c r="D4761" t="str">
        <x:v>SI2</x:v>
      </x:c>
      <x:c r="E4761" s="36" t="n">
        <x:v>263000</x:v>
      </x:c>
      <x:c r="F4761" s="36" t="n">
        <x:v>2733</x:v>
      </x:c>
      <x:c r="G4761" s="42" t="n">
        <x:v>0.5862290862290862</x:v>
      </x:c>
      <x:c r="H4761" s="36" t="n">
        <x:f>E4761*G4761</x:f>
        <x:v>154178.24967824967</x:v>
      </x:c>
      <x:c r="I4761" s="36" t="n">
        <x:f>IFERROR(H4761/A4761,0)</x:f>
        <x:v>19272.28120978121</x:v>
      </x:c>
      <x:c r="J4761" s="67" t="str">
        <x:v>Modeled from live base + Sep-2026 quality ratio</x:v>
      </x:c>
      <x:c r="K4761" s="67" t="str">
        <x:v>https://www.stonealgo.com/diamond-prices/</x:v>
      </x:c>
      <x:c r="L4761" s="67" t="str">
        <x:v>https://www.pricescope.com/blog/natural-diamond-prices-september-2026</x:v>
      </x:c>
    </x:row>
    <x:row r="4762">
      <x:c r="A4762" t="n">
        <x:v>8</x:v>
      </x:c>
      <x:c r="B4762" t="str">
        <x:v>Cushion</x:v>
      </x:c>
      <x:c r="C4762" t="str">
        <x:v>G</x:v>
      </x:c>
      <x:c r="D4762" t="str">
        <x:v>FL</x:v>
      </x:c>
      <x:c r="E4762" s="36" t="n">
        <x:v>263000</x:v>
      </x:c>
      <x:c r="F4762" s="36" t="n">
        <x:v>5905</x:v>
      </x:c>
      <x:c r="G4762" s="42" t="n">
        <x:v>1.2666237666237665</x:v>
      </x:c>
      <x:c r="H4762" s="36" t="n">
        <x:f>E4762*G4762</x:f>
        <x:v>333122.0506220506</x:v>
      </x:c>
      <x:c r="I4762" s="36" t="n">
        <x:f>IFERROR(H4762/A4762,0)</x:f>
        <x:v>41640.256327756324</x:v>
      </x:c>
      <x:c r="J4762" s="67" t="str">
        <x:v>Modeled from live base + Sep-2026 quality ratio</x:v>
      </x:c>
      <x:c r="K4762" s="67" t="str">
        <x:v>https://www.stonealgo.com/diamond-prices/</x:v>
      </x:c>
      <x:c r="L4762" s="67" t="str">
        <x:v>https://www.pricescope.com/blog/natural-diamond-prices-september-2026</x:v>
      </x:c>
    </x:row>
    <x:row r="4763">
      <x:c r="A4763" t="n">
        <x:v>8</x:v>
      </x:c>
      <x:c r="B4763" t="str">
        <x:v>Cushion</x:v>
      </x:c>
      <x:c r="C4763" t="str">
        <x:v>G</x:v>
      </x:c>
      <x:c r="D4763" t="str">
        <x:v>IF</x:v>
      </x:c>
      <x:c r="E4763" s="36" t="n">
        <x:v>263000</x:v>
      </x:c>
      <x:c r="F4763" s="36" t="n">
        <x:v>5601</x:v>
      </x:c>
      <x:c r="G4763" s="42" t="n">
        <x:v>1.2014157014157014</x:v>
      </x:c>
      <x:c r="H4763" s="36" t="n">
        <x:f>E4763*G4763</x:f>
        <x:v>315972.32947232947</x:v>
      </x:c>
      <x:c r="I4763" s="36" t="n">
        <x:f>IFERROR(H4763/A4763,0)</x:f>
        <x:v>39496.54118404118</x:v>
      </x:c>
      <x:c r="J4763" s="67" t="str">
        <x:v>Modeled from live base + Sep-2026 quality ratio</x:v>
      </x:c>
      <x:c r="K4763" s="67" t="str">
        <x:v>https://www.stonealgo.com/diamond-prices/</x:v>
      </x:c>
      <x:c r="L4763" s="67" t="str">
        <x:v>https://www.pricescope.com/blog/natural-diamond-prices-september-2026</x:v>
      </x:c>
    </x:row>
    <x:row r="4764">
      <x:c r="A4764" t="n">
        <x:v>8</x:v>
      </x:c>
      <x:c r="B4764" t="str">
        <x:v>Cushion</x:v>
      </x:c>
      <x:c r="C4764" t="str">
        <x:v>G</x:v>
      </x:c>
      <x:c r="D4764" t="str">
        <x:v>VVS1</x:v>
      </x:c>
      <x:c r="E4764" s="36" t="n">
        <x:v>263000</x:v>
      </x:c>
      <x:c r="F4764" s="36" t="n">
        <x:v>5124</x:v>
      </x:c>
      <x:c r="G4764" s="42" t="n">
        <x:v>1.0990990990990992</x:v>
      </x:c>
      <x:c r="H4764" s="36" t="n">
        <x:f>E4764*G4764</x:f>
        <x:v>289063.0630630631</x:v>
      </x:c>
      <x:c r="I4764" s="36" t="n">
        <x:f>IFERROR(H4764/A4764,0)</x:f>
        <x:v>36132.882882882885</x:v>
      </x:c>
      <x:c r="J4764" s="67" t="str">
        <x:v>Modeled from live base + Sep-2026 quality ratio</x:v>
      </x:c>
      <x:c r="K4764" s="67" t="str">
        <x:v>https://www.stonealgo.com/diamond-prices/</x:v>
      </x:c>
      <x:c r="L4764" s="67" t="str">
        <x:v>https://www.pricescope.com/blog/natural-diamond-prices-september-2026</x:v>
      </x:c>
    </x:row>
    <x:row r="4765">
      <x:c r="A4765" t="n">
        <x:v>8</x:v>
      </x:c>
      <x:c r="B4765" t="str">
        <x:v>Cushion</x:v>
      </x:c>
      <x:c r="C4765" t="str">
        <x:v>G</x:v>
      </x:c>
      <x:c r="D4765" t="str">
        <x:v>VVS2</x:v>
      </x:c>
      <x:c r="E4765" s="36" t="n">
        <x:v>263000</x:v>
      </x:c>
      <x:c r="F4765" s="36" t="n">
        <x:v>4962</x:v>
      </x:c>
      <x:c r="G4765" s="42" t="n">
        <x:v>1.0643500643500643</x:v>
      </x:c>
      <x:c r="H4765" s="36" t="n">
        <x:f>E4765*G4765</x:f>
        <x:v>279924.0669240669</x:v>
      </x:c>
      <x:c r="I4765" s="36" t="n">
        <x:f>IFERROR(H4765/A4765,0)</x:f>
        <x:v>34990.508365508365</x:v>
      </x:c>
      <x:c r="J4765" s="67" t="str">
        <x:v>Modeled from live base + Sep-2026 quality ratio</x:v>
      </x:c>
      <x:c r="K4765" s="67" t="str">
        <x:v>https://www.stonealgo.com/diamond-prices/</x:v>
      </x:c>
      <x:c r="L4765" s="67" t="str">
        <x:v>https://www.pricescope.com/blog/natural-diamond-prices-september-2026</x:v>
      </x:c>
    </x:row>
    <x:row r="4766">
      <x:c r="A4766" t="n">
        <x:v>8</x:v>
      </x:c>
      <x:c r="B4766" t="str">
        <x:v>Cushion</x:v>
      </x:c>
      <x:c r="C4766" t="str">
        <x:v>G</x:v>
      </x:c>
      <x:c r="D4766" t="str">
        <x:v>VS1</x:v>
      </x:c>
      <x:c r="E4766" s="36" t="n">
        <x:v>263000</x:v>
      </x:c>
      <x:c r="F4766" s="36" t="n">
        <x:v>4615</x:v>
      </x:c>
      <x:c r="G4766" s="42" t="n">
        <x:v>0.98991848991849</x:v>
      </x:c>
      <x:c r="H4766" s="36" t="n">
        <x:f>E4766*G4766</x:f>
        <x:v>260348.56284856287</x:v>
      </x:c>
      <x:c r="I4766" s="36" t="n">
        <x:f>IFERROR(H4766/A4766,0)</x:f>
        <x:v>32543.57035607036</x:v>
      </x:c>
      <x:c r="J4766" s="67" t="str">
        <x:v>Modeled from live base + Sep-2026 quality ratio</x:v>
      </x:c>
      <x:c r="K4766" s="67" t="str">
        <x:v>https://www.stonealgo.com/diamond-prices/</x:v>
      </x:c>
      <x:c r="L4766" s="67" t="str">
        <x:v>https://www.pricescope.com/blog/natural-diamond-prices-september-2026</x:v>
      </x:c>
    </x:row>
    <x:row r="4767">
      <x:c r="A4767" t="n">
        <x:v>8</x:v>
      </x:c>
      <x:c r="B4767" t="str">
        <x:v>Cushion</x:v>
      </x:c>
      <x:c r="C4767" t="str">
        <x:v>G</x:v>
      </x:c>
      <x:c r="D4767" t="str">
        <x:v>VS2</x:v>
      </x:c>
      <x:c r="E4767" s="36" t="n">
        <x:v>263000</x:v>
      </x:c>
      <x:c r="F4767" s="36" t="n">
        <x:v>4585</x:v>
      </x:c>
      <x:c r="G4767" s="42" t="n">
        <x:v>0.9834834834834835</x:v>
      </x:c>
      <x:c r="H4767" s="36" t="n">
        <x:f>E4767*G4767</x:f>
        <x:v>258656.15615615615</x:v>
      </x:c>
      <x:c r="I4767" s="36" t="n">
        <x:f>IFERROR(H4767/A4767,0)</x:f>
        <x:v>32332.01951951952</x:v>
      </x:c>
      <x:c r="J4767" s="67" t="str">
        <x:v>Modeled from live base + Sep-2026 quality ratio</x:v>
      </x:c>
      <x:c r="K4767" s="67" t="str">
        <x:v>https://www.stonealgo.com/diamond-prices/</x:v>
      </x:c>
      <x:c r="L4767" s="67" t="str">
        <x:v>https://www.pricescope.com/blog/natural-diamond-prices-september-2026</x:v>
      </x:c>
    </x:row>
    <x:row r="4768">
      <x:c r="A4768" t="n">
        <x:v>8</x:v>
      </x:c>
      <x:c r="B4768" t="str">
        <x:v>Cushion</x:v>
      </x:c>
      <x:c r="C4768" t="str">
        <x:v>G</x:v>
      </x:c>
      <x:c r="D4768" t="str">
        <x:v>SI1</x:v>
      </x:c>
      <x:c r="E4768" s="36" t="n">
        <x:v>263000</x:v>
      </x:c>
      <x:c r="F4768" s="36" t="n">
        <x:v>3664</x:v>
      </x:c>
      <x:c r="G4768" s="42" t="n">
        <x:v>0.7859287859287859</x:v>
      </x:c>
      <x:c r="H4768" s="36" t="n">
        <x:f>E4768*G4768</x:f>
        <x:v>206699.27069927068</x:v>
      </x:c>
      <x:c r="I4768" s="36" t="n">
        <x:f>IFERROR(H4768/A4768,0)</x:f>
        <x:v>25837.408837408835</x:v>
      </x:c>
      <x:c r="J4768" s="67" t="str">
        <x:v>Modeled from live base + Sep-2026 quality ratio</x:v>
      </x:c>
      <x:c r="K4768" s="67" t="str">
        <x:v>https://www.stonealgo.com/diamond-prices/</x:v>
      </x:c>
      <x:c r="L4768" s="67" t="str">
        <x:v>https://www.pricescope.com/blog/natural-diamond-prices-september-2026</x:v>
      </x:c>
    </x:row>
    <x:row r="4769">
      <x:c r="A4769" t="n">
        <x:v>8</x:v>
      </x:c>
      <x:c r="B4769" t="str">
        <x:v>Cushion</x:v>
      </x:c>
      <x:c r="C4769" t="str">
        <x:v>G</x:v>
      </x:c>
      <x:c r="D4769" t="str">
        <x:v>SI2</x:v>
      </x:c>
      <x:c r="E4769" s="36" t="n">
        <x:v>263000</x:v>
      </x:c>
      <x:c r="F4769" s="36" t="n">
        <x:v>2537</x:v>
      </x:c>
      <x:c r="G4769" s="42" t="n">
        <x:v>0.5441870441870442</x:v>
      </x:c>
      <x:c r="H4769" s="36" t="n">
        <x:f>E4769*G4769</x:f>
        <x:v>143121.19262119263</x:v>
      </x:c>
      <x:c r="I4769" s="36" t="n">
        <x:f>IFERROR(H4769/A4769,0)</x:f>
        <x:v>17890.14907764908</x:v>
      </x:c>
      <x:c r="J4769" s="67" t="str">
        <x:v>Modeled from live base + Sep-2026 quality ratio</x:v>
      </x:c>
      <x:c r="K4769" s="67" t="str">
        <x:v>https://www.stonealgo.com/diamond-prices/</x:v>
      </x:c>
      <x:c r="L4769" s="67" t="str">
        <x:v>https://www.pricescope.com/blog/natural-diamond-prices-september-2026</x:v>
      </x:c>
    </x:row>
    <x:row r="4770">
      <x:c r="A4770" t="n">
        <x:v>8</x:v>
      </x:c>
      <x:c r="B4770" t="str">
        <x:v>Cushion</x:v>
      </x:c>
      <x:c r="C4770" t="str">
        <x:v>H</x:v>
      </x:c>
      <x:c r="D4770" t="str">
        <x:v>FL</x:v>
      </x:c>
      <x:c r="E4770" s="36" t="n">
        <x:v>263000</x:v>
      </x:c>
      <x:c r="F4770" s="36" t="n">
        <x:v>4563</x:v>
      </x:c>
      <x:c r="G4770" s="42" t="n">
        <x:v>0.9787644787644788</x:v>
      </x:c>
      <x:c r="H4770" s="36" t="n">
        <x:f>E4770*G4770</x:f>
        <x:v>257415.05791505793</x:v>
      </x:c>
      <x:c r="I4770" s="36" t="n">
        <x:f>IFERROR(H4770/A4770,0)</x:f>
        <x:v>32176.88223938224</x:v>
      </x:c>
      <x:c r="J4770" s="67" t="str">
        <x:v>Modeled from live base + Sep-2026 quality ratio</x:v>
      </x:c>
      <x:c r="K4770" s="67" t="str">
        <x:v>https://www.stonealgo.com/diamond-prices/</x:v>
      </x:c>
      <x:c r="L4770" s="67" t="str">
        <x:v>https://www.pricescope.com/blog/natural-diamond-prices-september-2026</x:v>
      </x:c>
    </x:row>
    <x:row r="4771">
      <x:c r="A4771" t="n">
        <x:v>8</x:v>
      </x:c>
      <x:c r="B4771" t="str">
        <x:v>Cushion</x:v>
      </x:c>
      <x:c r="C4771" t="str">
        <x:v>H</x:v>
      </x:c>
      <x:c r="D4771" t="str">
        <x:v>IF</x:v>
      </x:c>
      <x:c r="E4771" s="36" t="n">
        <x:v>263000</x:v>
      </x:c>
      <x:c r="F4771" s="36" t="n">
        <x:v>4809</x:v>
      </x:c>
      <x:c r="G4771" s="42" t="n">
        <x:v>1.0315315315315314</x:v>
      </x:c>
      <x:c r="H4771" s="36" t="n">
        <x:f>E4771*G4771</x:f>
        <x:v>271292.7927927928</x:v>
      </x:c>
      <x:c r="I4771" s="36" t="n">
        <x:f>IFERROR(H4771/A4771,0)</x:f>
        <x:v>33911.5990990991</x:v>
      </x:c>
      <x:c r="J4771" s="67" t="str">
        <x:v>Modeled from live base + Sep-2026 quality ratio</x:v>
      </x:c>
      <x:c r="K4771" s="67" t="str">
        <x:v>https://www.stonealgo.com/diamond-prices/</x:v>
      </x:c>
      <x:c r="L4771" s="67" t="str">
        <x:v>https://www.pricescope.com/blog/natural-diamond-prices-september-2026</x:v>
      </x:c>
    </x:row>
    <x:row r="4772">
      <x:c r="A4772" t="n">
        <x:v>8</x:v>
      </x:c>
      <x:c r="B4772" t="str">
        <x:v>Cushion</x:v>
      </x:c>
      <x:c r="C4772" t="str">
        <x:v>H</x:v>
      </x:c>
      <x:c r="D4772" t="str">
        <x:v>VVS1</x:v>
      </x:c>
      <x:c r="E4772" s="36" t="n">
        <x:v>263000</x:v>
      </x:c>
      <x:c r="F4772" s="36" t="n">
        <x:v>4911</x:v>
      </x:c>
      <x:c r="G4772" s="42" t="n">
        <x:v>1.0534105534105533</x:v>
      </x:c>
      <x:c r="H4772" s="36" t="n">
        <x:f>E4772*G4772</x:f>
        <x:v>277046.9755469755</x:v>
      </x:c>
      <x:c r="I4772" s="36" t="n">
        <x:f>IFERROR(H4772/A4772,0)</x:f>
        <x:v>34630.87194337194</x:v>
      </x:c>
      <x:c r="J4772" s="67" t="str">
        <x:v>Modeled from live base + Sep-2026 quality ratio</x:v>
      </x:c>
      <x:c r="K4772" s="67" t="str">
        <x:v>https://www.stonealgo.com/diamond-prices/</x:v>
      </x:c>
      <x:c r="L4772" s="67" t="str">
        <x:v>https://www.pricescope.com/blog/natural-diamond-prices-september-2026</x:v>
      </x:c>
    </x:row>
    <x:row r="4773">
      <x:c r="A4773" t="n">
        <x:v>8</x:v>
      </x:c>
      <x:c r="B4773" t="str">
        <x:v>Cushion</x:v>
      </x:c>
      <x:c r="C4773" t="str">
        <x:v>H</x:v>
      </x:c>
      <x:c r="D4773" t="str">
        <x:v>VVS2</x:v>
      </x:c>
      <x:c r="E4773" s="36" t="n">
        <x:v>263000</x:v>
      </x:c>
      <x:c r="F4773" s="36" t="n">
        <x:v>4046</x:v>
      </x:c>
      <x:c r="G4773" s="42" t="n">
        <x:v>0.8678678678678678</x:v>
      </x:c>
      <x:c r="H4773" s="36" t="n">
        <x:f>E4773*G4773</x:f>
        <x:v>228249.24924924923</x:v>
      </x:c>
      <x:c r="I4773" s="36" t="n">
        <x:f>IFERROR(H4773/A4773,0)</x:f>
        <x:v>28531.156156156154</x:v>
      </x:c>
      <x:c r="J4773" s="67" t="str">
        <x:v>Modeled from live base + Sep-2026 quality ratio</x:v>
      </x:c>
      <x:c r="K4773" s="67" t="str">
        <x:v>https://www.stonealgo.com/diamond-prices/</x:v>
      </x:c>
      <x:c r="L4773" s="67" t="str">
        <x:v>https://www.pricescope.com/blog/natural-diamond-prices-september-2026</x:v>
      </x:c>
    </x:row>
    <x:row r="4774">
      <x:c r="A4774" t="n">
        <x:v>8</x:v>
      </x:c>
      <x:c r="B4774" t="str">
        <x:v>Cushion</x:v>
      </x:c>
      <x:c r="C4774" t="str">
        <x:v>H</x:v>
      </x:c>
      <x:c r="D4774" t="str">
        <x:v>VS1</x:v>
      </x:c>
      <x:c r="E4774" s="36" t="n">
        <x:v>263000</x:v>
      </x:c>
      <x:c r="F4774" s="36" t="n">
        <x:v>3893</x:v>
      </x:c>
      <x:c r="G4774" s="42" t="n">
        <x:v>0.8350493350493351</x:v>
      </x:c>
      <x:c r="H4774" s="36" t="n">
        <x:f>E4774*G4774</x:f>
        <x:v>219617.97511797512</x:v>
      </x:c>
      <x:c r="I4774" s="36" t="n">
        <x:f>IFERROR(H4774/A4774,0)</x:f>
        <x:v>27452.24688974689</x:v>
      </x:c>
      <x:c r="J4774" s="67" t="str">
        <x:v>Modeled from live base + Sep-2026 quality ratio</x:v>
      </x:c>
      <x:c r="K4774" s="67" t="str">
        <x:v>https://www.stonealgo.com/diamond-prices/</x:v>
      </x:c>
      <x:c r="L4774" s="67" t="str">
        <x:v>https://www.pricescope.com/blog/natural-diamond-prices-september-2026</x:v>
      </x:c>
    </x:row>
    <x:row r="4775">
      <x:c r="A4775" t="n">
        <x:v>8</x:v>
      </x:c>
      <x:c r="B4775" t="str">
        <x:v>Cushion</x:v>
      </x:c>
      <x:c r="C4775" t="str">
        <x:v>H</x:v>
      </x:c>
      <x:c r="D4775" t="str">
        <x:v>VS2</x:v>
      </x:c>
      <x:c r="E4775" s="36" t="n">
        <x:v>263000</x:v>
      </x:c>
      <x:c r="F4775" s="36" t="n">
        <x:v>3989</x:v>
      </x:c>
      <x:c r="G4775" s="42" t="n">
        <x:v>0.8556413556413557</x:v>
      </x:c>
      <x:c r="H4775" s="36" t="n">
        <x:f>E4775*G4775</x:f>
        <x:v>225033.67653367654</x:v>
      </x:c>
      <x:c r="I4775" s="36" t="n">
        <x:f>IFERROR(H4775/A4775,0)</x:f>
        <x:v>28129.209566709567</x:v>
      </x:c>
      <x:c r="J4775" s="67" t="str">
        <x:v>Modeled from live base + Sep-2026 quality ratio</x:v>
      </x:c>
      <x:c r="K4775" s="67" t="str">
        <x:v>https://www.stonealgo.com/diamond-prices/</x:v>
      </x:c>
      <x:c r="L4775" s="67" t="str">
        <x:v>https://www.pricescope.com/blog/natural-diamond-prices-september-2026</x:v>
      </x:c>
    </x:row>
    <x:row r="4776">
      <x:c r="A4776" t="n">
        <x:v>8</x:v>
      </x:c>
      <x:c r="B4776" t="str">
        <x:v>Cushion</x:v>
      </x:c>
      <x:c r="C4776" t="str">
        <x:v>H</x:v>
      </x:c>
      <x:c r="D4776" t="str">
        <x:v>SI1</x:v>
      </x:c>
      <x:c r="E4776" s="36" t="n">
        <x:v>263000</x:v>
      </x:c>
      <x:c r="F4776" s="36" t="n">
        <x:v>2828</x:v>
      </x:c>
      <x:c r="G4776" s="42" t="n">
        <x:v>0.6066066066066066</x:v>
      </x:c>
      <x:c r="H4776" s="36" t="n">
        <x:f>E4776*G4776</x:f>
        <x:v>159537.53753753754</x:v>
      </x:c>
      <x:c r="I4776" s="36" t="n">
        <x:f>IFERROR(H4776/A4776,0)</x:f>
        <x:v>19942.192192192193</x:v>
      </x:c>
      <x:c r="J4776" s="67" t="str">
        <x:v>Modeled from live base + Sep-2026 quality ratio</x:v>
      </x:c>
      <x:c r="K4776" s="67" t="str">
        <x:v>https://www.stonealgo.com/diamond-prices/</x:v>
      </x:c>
      <x:c r="L4776" s="67" t="str">
        <x:v>https://www.pricescope.com/blog/natural-diamond-prices-september-2026</x:v>
      </x:c>
    </x:row>
    <x:row r="4777">
      <x:c r="A4777" t="n">
        <x:v>8</x:v>
      </x:c>
      <x:c r="B4777" t="str">
        <x:v>Cushion</x:v>
      </x:c>
      <x:c r="C4777" t="str">
        <x:v>H</x:v>
      </x:c>
      <x:c r="D4777" t="str">
        <x:v>SI2</x:v>
      </x:c>
      <x:c r="E4777" s="36" t="n">
        <x:v>263000</x:v>
      </x:c>
      <x:c r="F4777" s="36" t="n">
        <x:v>2328</x:v>
      </x:c>
      <x:c r="G4777" s="42" t="n">
        <x:v>0.49935649935649934</x:v>
      </x:c>
      <x:c r="H4777" s="36" t="n">
        <x:f>E4777*G4777</x:f>
        <x:v>131330.75933075932</x:v>
      </x:c>
      <x:c r="I4777" s="36" t="n">
        <x:f>IFERROR(H4777/A4777,0)</x:f>
        <x:v>16416.344916344915</x:v>
      </x:c>
      <x:c r="J4777" s="67" t="str">
        <x:v>Modeled from live base + Sep-2026 quality ratio</x:v>
      </x:c>
      <x:c r="K4777" s="67" t="str">
        <x:v>https://www.stonealgo.com/diamond-prices/</x:v>
      </x:c>
      <x:c r="L4777" s="67" t="str">
        <x:v>https://www.pricescope.com/blog/natural-diamond-prices-september-2026</x:v>
      </x:c>
    </x:row>
    <x:row r="4778">
      <x:c r="A4778" t="n">
        <x:v>8</x:v>
      </x:c>
      <x:c r="B4778" t="str">
        <x:v>Cushion</x:v>
      </x:c>
      <x:c r="C4778" t="str">
        <x:v>I</x:v>
      </x:c>
      <x:c r="D4778" t="str">
        <x:v>FL</x:v>
      </x:c>
      <x:c r="E4778" s="36" t="n">
        <x:v>263000</x:v>
      </x:c>
      <x:c r="F4778" s="36" t="n">
        <x:v>4623</x:v>
      </x:c>
      <x:c r="G4778" s="42" t="n">
        <x:v>0.9916344916344917</x:v>
      </x:c>
      <x:c r="H4778" s="36" t="n">
        <x:f>E4778*G4778</x:f>
        <x:v>260799.8712998713</x:v>
      </x:c>
      <x:c r="I4778" s="36" t="n">
        <x:f>IFERROR(H4778/A4778,0)</x:f>
        <x:v>32599.983912483913</x:v>
      </x:c>
      <x:c r="J4778" s="67" t="str">
        <x:v>Modeled from live base + Sep-2026 quality ratio</x:v>
      </x:c>
      <x:c r="K4778" s="67" t="str">
        <x:v>https://www.stonealgo.com/diamond-prices/</x:v>
      </x:c>
      <x:c r="L4778" s="67" t="str">
        <x:v>https://www.pricescope.com/blog/natural-diamond-prices-september-2026</x:v>
      </x:c>
    </x:row>
    <x:row r="4779">
      <x:c r="A4779" t="n">
        <x:v>8</x:v>
      </x:c>
      <x:c r="B4779" t="str">
        <x:v>Cushion</x:v>
      </x:c>
      <x:c r="C4779" t="str">
        <x:v>I</x:v>
      </x:c>
      <x:c r="D4779" t="str">
        <x:v>IF</x:v>
      </x:c>
      <x:c r="E4779" s="36" t="n">
        <x:v>263000</x:v>
      </x:c>
      <x:c r="F4779" s="36" t="n">
        <x:v>4005</x:v>
      </x:c>
      <x:c r="G4779" s="42" t="n">
        <x:v>0.859073359073359</x:v>
      </x:c>
      <x:c r="H4779" s="36" t="n">
        <x:f>E4779*G4779</x:f>
        <x:v>225936.29343629343</x:v>
      </x:c>
      <x:c r="I4779" s="36" t="n">
        <x:f>IFERROR(H4779/A4779,0)</x:f>
        <x:v>28242.03667953668</x:v>
      </x:c>
      <x:c r="J4779" s="67" t="str">
        <x:v>Modeled from live base + Sep-2026 quality ratio</x:v>
      </x:c>
      <x:c r="K4779" s="67" t="str">
        <x:v>https://www.stonealgo.com/diamond-prices/</x:v>
      </x:c>
      <x:c r="L4779" s="67" t="str">
        <x:v>https://www.pricescope.com/blog/natural-diamond-prices-september-2026</x:v>
      </x:c>
    </x:row>
    <x:row r="4780">
      <x:c r="A4780" t="n">
        <x:v>8</x:v>
      </x:c>
      <x:c r="B4780" t="str">
        <x:v>Cushion</x:v>
      </x:c>
      <x:c r="C4780" t="str">
        <x:v>I</x:v>
      </x:c>
      <x:c r="D4780" t="str">
        <x:v>VVS1</x:v>
      </x:c>
      <x:c r="E4780" s="36" t="n">
        <x:v>263000</x:v>
      </x:c>
      <x:c r="F4780" s="36" t="n">
        <x:v>3670</x:v>
      </x:c>
      <x:c r="G4780" s="42" t="n">
        <x:v>0.7872157872157872</x:v>
      </x:c>
      <x:c r="H4780" s="36" t="n">
        <x:f>E4780*G4780</x:f>
        <x:v>207037.75203775204</x:v>
      </x:c>
      <x:c r="I4780" s="36" t="n">
        <x:f>IFERROR(H4780/A4780,0)</x:f>
        <x:v>25879.719004719005</x:v>
      </x:c>
      <x:c r="J4780" s="67" t="str">
        <x:v>Modeled from live base + Sep-2026 quality ratio</x:v>
      </x:c>
      <x:c r="K4780" s="67" t="str">
        <x:v>https://www.stonealgo.com/diamond-prices/</x:v>
      </x:c>
      <x:c r="L4780" s="67" t="str">
        <x:v>https://www.pricescope.com/blog/natural-diamond-prices-september-2026</x:v>
      </x:c>
    </x:row>
    <x:row r="4781">
      <x:c r="A4781" t="n">
        <x:v>8</x:v>
      </x:c>
      <x:c r="B4781" t="str">
        <x:v>Cushion</x:v>
      </x:c>
      <x:c r="C4781" t="str">
        <x:v>I</x:v>
      </x:c>
      <x:c r="D4781" t="str">
        <x:v>VVS2</x:v>
      </x:c>
      <x:c r="E4781" s="36" t="n">
        <x:v>263000</x:v>
      </x:c>
      <x:c r="F4781" s="36" t="n">
        <x:v>3447</x:v>
      </x:c>
      <x:c r="G4781" s="42" t="n">
        <x:v>0.7393822393822393</x:v>
      </x:c>
      <x:c r="H4781" s="36" t="n">
        <x:f>E4781*G4781</x:f>
        <x:v>194457.52895752894</x:v>
      </x:c>
      <x:c r="I4781" s="36" t="n">
        <x:f>IFERROR(H4781/A4781,0)</x:f>
        <x:v>24307.191119691117</x:v>
      </x:c>
      <x:c r="J4781" s="67" t="str">
        <x:v>Modeled from live base + Sep-2026 quality ratio</x:v>
      </x:c>
      <x:c r="K4781" s="67" t="str">
        <x:v>https://www.stonealgo.com/diamond-prices/</x:v>
      </x:c>
      <x:c r="L4781" s="67" t="str">
        <x:v>https://www.pricescope.com/blog/natural-diamond-prices-september-2026</x:v>
      </x:c>
    </x:row>
    <x:row r="4782">
      <x:c r="A4782" t="n">
        <x:v>8</x:v>
      </x:c>
      <x:c r="B4782" t="str">
        <x:v>Cushion</x:v>
      </x:c>
      <x:c r="C4782" t="str">
        <x:v>I</x:v>
      </x:c>
      <x:c r="D4782" t="str">
        <x:v>VS1</x:v>
      </x:c>
      <x:c r="E4782" s="36" t="n">
        <x:v>263000</x:v>
      </x:c>
      <x:c r="F4782" s="36" t="n">
        <x:v>3313</x:v>
      </x:c>
      <x:c r="G4782" s="42" t="n">
        <x:v>0.7106392106392107</x:v>
      </x:c>
      <x:c r="H4782" s="36" t="n">
        <x:f>E4782*G4782</x:f>
        <x:v>186898.1123981124</x:v>
      </x:c>
      <x:c r="I4782" s="36" t="n">
        <x:f>IFERROR(H4782/A4782,0)</x:f>
        <x:v>23362.26404976405</x:v>
      </x:c>
      <x:c r="J4782" s="67" t="str">
        <x:v>Modeled from live base + Sep-2026 quality ratio</x:v>
      </x:c>
      <x:c r="K4782" s="67" t="str">
        <x:v>https://www.stonealgo.com/diamond-prices/</x:v>
      </x:c>
      <x:c r="L4782" s="67" t="str">
        <x:v>https://www.pricescope.com/blog/natural-diamond-prices-september-2026</x:v>
      </x:c>
    </x:row>
    <x:row r="4783">
      <x:c r="A4783" t="n">
        <x:v>8</x:v>
      </x:c>
      <x:c r="B4783" t="str">
        <x:v>Cushion</x:v>
      </x:c>
      <x:c r="C4783" t="str">
        <x:v>I</x:v>
      </x:c>
      <x:c r="D4783" t="str">
        <x:v>VS2</x:v>
      </x:c>
      <x:c r="E4783" s="36" t="n">
        <x:v>263000</x:v>
      </x:c>
      <x:c r="F4783" s="36" t="n">
        <x:v>3240</x:v>
      </x:c>
      <x:c r="G4783" s="42" t="n">
        <x:v>0.694980694980695</x:v>
      </x:c>
      <x:c r="H4783" s="36" t="n">
        <x:f>E4783*G4783</x:f>
        <x:v>182779.92277992278</x:v>
      </x:c>
      <x:c r="I4783" s="36" t="n">
        <x:f>IFERROR(H4783/A4783,0)</x:f>
        <x:v>22847.490347490348</x:v>
      </x:c>
      <x:c r="J4783" s="67" t="str">
        <x:v>Modeled from live base + Sep-2026 quality ratio</x:v>
      </x:c>
      <x:c r="K4783" s="67" t="str">
        <x:v>https://www.stonealgo.com/diamond-prices/</x:v>
      </x:c>
      <x:c r="L4783" s="67" t="str">
        <x:v>https://www.pricescope.com/blog/natural-diamond-prices-september-2026</x:v>
      </x:c>
    </x:row>
    <x:row r="4784">
      <x:c r="A4784" t="n">
        <x:v>8</x:v>
      </x:c>
      <x:c r="B4784" t="str">
        <x:v>Cushion</x:v>
      </x:c>
      <x:c r="C4784" t="str">
        <x:v>I</x:v>
      </x:c>
      <x:c r="D4784" t="str">
        <x:v>SI1</x:v>
      </x:c>
      <x:c r="E4784" s="36" t="n">
        <x:v>263000</x:v>
      </x:c>
      <x:c r="F4784" s="36" t="n">
        <x:v>3199</x:v>
      </x:c>
      <x:c r="G4784" s="42" t="n">
        <x:v>0.6861861861861862</x:v>
      </x:c>
      <x:c r="H4784" s="36" t="n">
        <x:f>E4784*G4784</x:f>
        <x:v>180466.96696696698</x:v>
      </x:c>
      <x:c r="I4784" s="36" t="n">
        <x:f>IFERROR(H4784/A4784,0)</x:f>
        <x:v>22558.370870870873</x:v>
      </x:c>
      <x:c r="J4784" s="67" t="str">
        <x:v>Modeled from live base + Sep-2026 quality ratio</x:v>
      </x:c>
      <x:c r="K4784" s="67" t="str">
        <x:v>https://www.stonealgo.com/diamond-prices/</x:v>
      </x:c>
      <x:c r="L4784" s="67" t="str">
        <x:v>https://www.pricescope.com/blog/natural-diamond-prices-september-2026</x:v>
      </x:c>
    </x:row>
    <x:row r="4785">
      <x:c r="A4785" t="n">
        <x:v>8</x:v>
      </x:c>
      <x:c r="B4785" t="str">
        <x:v>Cushion</x:v>
      </x:c>
      <x:c r="C4785" t="str">
        <x:v>I</x:v>
      </x:c>
      <x:c r="D4785" t="str">
        <x:v>SI2</x:v>
      </x:c>
      <x:c r="E4785" s="36" t="n">
        <x:v>263000</x:v>
      </x:c>
      <x:c r="F4785" s="36" t="n">
        <x:v>2874</x:v>
      </x:c>
      <x:c r="G4785" s="42" t="n">
        <x:v>0.6164736164736164</x:v>
      </x:c>
      <x:c r="H4785" s="36" t="n">
        <x:f>E4785*G4785</x:f>
        <x:v>162132.56113256112</x:v>
      </x:c>
      <x:c r="I4785" s="36" t="n">
        <x:f>IFERROR(H4785/A4785,0)</x:f>
        <x:v>20266.57014157014</x:v>
      </x:c>
      <x:c r="J4785" s="67" t="str">
        <x:v>Modeled from live base + Sep-2026 quality ratio</x:v>
      </x:c>
      <x:c r="K4785" s="67" t="str">
        <x:v>https://www.stonealgo.com/diamond-prices/</x:v>
      </x:c>
      <x:c r="L4785" s="67" t="str">
        <x:v>https://www.pricescope.com/blog/natural-diamond-prices-september-2026</x:v>
      </x:c>
    </x:row>
    <x:row r="4786">
      <x:c r="A4786" t="n">
        <x:v>8</x:v>
      </x:c>
      <x:c r="B4786" t="str">
        <x:v>Cushion</x:v>
      </x:c>
      <x:c r="C4786" t="str">
        <x:v>J</x:v>
      </x:c>
      <x:c r="D4786" t="str">
        <x:v>FL</x:v>
      </x:c>
      <x:c r="E4786" s="36" t="n">
        <x:v>263000</x:v>
      </x:c>
      <x:c r="F4786" s="36" t="n">
        <x:v>3646</x:v>
      </x:c>
      <x:c r="G4786" s="42" t="n">
        <x:v>0.782067782067782</x:v>
      </x:c>
      <x:c r="H4786" s="36" t="n">
        <x:f>E4786*G4786</x:f>
        <x:v>205683.8266838267</x:v>
      </x:c>
      <x:c r="I4786" s="36" t="n">
        <x:f>IFERROR(H4786/A4786,0)</x:f>
        <x:v>25710.478335478336</x:v>
      </x:c>
      <x:c r="J4786" s="67" t="str">
        <x:v>Modeled from live base + Sep-2026 quality ratio</x:v>
      </x:c>
      <x:c r="K4786" s="67" t="str">
        <x:v>https://www.stonealgo.com/diamond-prices/</x:v>
      </x:c>
      <x:c r="L4786" s="67" t="str">
        <x:v>https://www.pricescope.com/blog/natural-diamond-prices-september-2026</x:v>
      </x:c>
    </x:row>
    <x:row r="4787">
      <x:c r="A4787" t="n">
        <x:v>8</x:v>
      </x:c>
      <x:c r="B4787" t="str">
        <x:v>Cushion</x:v>
      </x:c>
      <x:c r="C4787" t="str">
        <x:v>J</x:v>
      </x:c>
      <x:c r="D4787" t="str">
        <x:v>IF</x:v>
      </x:c>
      <x:c r="E4787" s="36" t="n">
        <x:v>263000</x:v>
      </x:c>
      <x:c r="F4787" s="36" t="n">
        <x:v>3368</x:v>
      </x:c>
      <x:c r="G4787" s="42" t="n">
        <x:v>0.7224367224367224</x:v>
      </x:c>
      <x:c r="H4787" s="36" t="n">
        <x:f>E4787*G4787</x:f>
        <x:v>190000.858000858</x:v>
      </x:c>
      <x:c r="I4787" s="36" t="n">
        <x:f>IFERROR(H4787/A4787,0)</x:f>
        <x:v>23750.10725010725</x:v>
      </x:c>
      <x:c r="J4787" s="67" t="str">
        <x:v>Modeled from live base + Sep-2026 quality ratio</x:v>
      </x:c>
      <x:c r="K4787" s="67" t="str">
        <x:v>https://www.stonealgo.com/diamond-prices/</x:v>
      </x:c>
      <x:c r="L4787" s="67" t="str">
        <x:v>https://www.pricescope.com/blog/natural-diamond-prices-september-2026</x:v>
      </x:c>
    </x:row>
    <x:row r="4788">
      <x:c r="A4788" t="n">
        <x:v>8</x:v>
      </x:c>
      <x:c r="B4788" t="str">
        <x:v>Cushion</x:v>
      </x:c>
      <x:c r="C4788" t="str">
        <x:v>J</x:v>
      </x:c>
      <x:c r="D4788" t="str">
        <x:v>VVS1</x:v>
      </x:c>
      <x:c r="E4788" s="36" t="n">
        <x:v>263000</x:v>
      </x:c>
      <x:c r="F4788" s="36" t="n">
        <x:v>2956</x:v>
      </x:c>
      <x:c r="G4788" s="42" t="n">
        <x:v>0.6340626340626341</x:v>
      </x:c>
      <x:c r="H4788" s="36" t="n">
        <x:f>E4788*G4788</x:f>
        <x:v>166758.47275847275</x:v>
      </x:c>
      <x:c r="I4788" s="36" t="n">
        <x:f>IFERROR(H4788/A4788,0)</x:f>
        <x:v>20844.809094809094</x:v>
      </x:c>
      <x:c r="J4788" s="67" t="str">
        <x:v>Modeled from live base + Sep-2026 quality ratio</x:v>
      </x:c>
      <x:c r="K4788" s="67" t="str">
        <x:v>https://www.stonealgo.com/diamond-prices/</x:v>
      </x:c>
      <x:c r="L4788" s="67" t="str">
        <x:v>https://www.pricescope.com/blog/natural-diamond-prices-september-2026</x:v>
      </x:c>
    </x:row>
    <x:row r="4789">
      <x:c r="A4789" t="n">
        <x:v>8</x:v>
      </x:c>
      <x:c r="B4789" t="str">
        <x:v>Cushion</x:v>
      </x:c>
      <x:c r="C4789" t="str">
        <x:v>J</x:v>
      </x:c>
      <x:c r="D4789" t="str">
        <x:v>VVS2</x:v>
      </x:c>
      <x:c r="E4789" s="36" t="n">
        <x:v>263000</x:v>
      </x:c>
      <x:c r="F4789" s="36" t="n">
        <x:v>2612</x:v>
      </x:c>
      <x:c r="G4789" s="42" t="n">
        <x:v>0.5602745602745602</x:v>
      </x:c>
      <x:c r="H4789" s="36" t="n">
        <x:f>E4789*G4789</x:f>
        <x:v>147352.20935220935</x:v>
      </x:c>
      <x:c r="I4789" s="36" t="n">
        <x:f>IFERROR(H4789/A4789,0)</x:f>
        <x:v>18419.02616902617</x:v>
      </x:c>
      <x:c r="J4789" s="67" t="str">
        <x:v>Modeled from live base + Sep-2026 quality ratio</x:v>
      </x:c>
      <x:c r="K4789" s="67" t="str">
        <x:v>https://www.stonealgo.com/diamond-prices/</x:v>
      </x:c>
      <x:c r="L4789" s="67" t="str">
        <x:v>https://www.pricescope.com/blog/natural-diamond-prices-september-2026</x:v>
      </x:c>
    </x:row>
    <x:row r="4790">
      <x:c r="A4790" t="n">
        <x:v>8</x:v>
      </x:c>
      <x:c r="B4790" t="str">
        <x:v>Cushion</x:v>
      </x:c>
      <x:c r="C4790" t="str">
        <x:v>J</x:v>
      </x:c>
      <x:c r="D4790" t="str">
        <x:v>VS1</x:v>
      </x:c>
      <x:c r="E4790" s="36" t="n">
        <x:v>263000</x:v>
      </x:c>
      <x:c r="F4790" s="36" t="n">
        <x:v>3002</x:v>
      </x:c>
      <x:c r="G4790" s="42" t="n">
        <x:v>0.6439296439296439</x:v>
      </x:c>
      <x:c r="H4790" s="36" t="n">
        <x:f>E4790*G4790</x:f>
        <x:v>169353.49635349636</x:v>
      </x:c>
      <x:c r="I4790" s="36" t="n">
        <x:f>IFERROR(H4790/A4790,0)</x:f>
        <x:v>21169.187044187045</x:v>
      </x:c>
      <x:c r="J4790" s="67" t="str">
        <x:v>Modeled from live base + Sep-2026 quality ratio</x:v>
      </x:c>
      <x:c r="K4790" s="67" t="str">
        <x:v>https://www.stonealgo.com/diamond-prices/</x:v>
      </x:c>
      <x:c r="L4790" s="67" t="str">
        <x:v>https://www.pricescope.com/blog/natural-diamond-prices-september-2026</x:v>
      </x:c>
    </x:row>
    <x:row r="4791">
      <x:c r="A4791" t="n">
        <x:v>8</x:v>
      </x:c>
      <x:c r="B4791" t="str">
        <x:v>Cushion</x:v>
      </x:c>
      <x:c r="C4791" t="str">
        <x:v>J</x:v>
      </x:c>
      <x:c r="D4791" t="str">
        <x:v>VS2</x:v>
      </x:c>
      <x:c r="E4791" s="36" t="n">
        <x:v>263000</x:v>
      </x:c>
      <x:c r="F4791" s="36" t="n">
        <x:v>2559</x:v>
      </x:c>
      <x:c r="G4791" s="42" t="n">
        <x:v>0.5489060489060489</x:v>
      </x:c>
      <x:c r="H4791" s="36" t="n">
        <x:f>E4791*G4791</x:f>
        <x:v>144362.29086229086</x:v>
      </x:c>
      <x:c r="I4791" s="36" t="n">
        <x:f>IFERROR(H4791/A4791,0)</x:f>
        <x:v>18045.286357786357</x:v>
      </x:c>
      <x:c r="J4791" s="67" t="str">
        <x:v>Modeled from live base + Sep-2026 quality ratio</x:v>
      </x:c>
      <x:c r="K4791" s="67" t="str">
        <x:v>https://www.stonealgo.com/diamond-prices/</x:v>
      </x:c>
      <x:c r="L4791" s="67" t="str">
        <x:v>https://www.pricescope.com/blog/natural-diamond-prices-september-2026</x:v>
      </x:c>
    </x:row>
    <x:row r="4792">
      <x:c r="A4792" t="n">
        <x:v>8</x:v>
      </x:c>
      <x:c r="B4792" t="str">
        <x:v>Cushion</x:v>
      </x:c>
      <x:c r="C4792" t="str">
        <x:v>J</x:v>
      </x:c>
      <x:c r="D4792" t="str">
        <x:v>SI1</x:v>
      </x:c>
      <x:c r="E4792" s="36" t="n">
        <x:v>263000</x:v>
      </x:c>
      <x:c r="F4792" s="36" t="n">
        <x:v>2195</x:v>
      </x:c>
      <x:c r="G4792" s="42" t="n">
        <x:v>0.47082797082797084</x:v>
      </x:c>
      <x:c r="H4792" s="36" t="n">
        <x:f>E4792*G4792</x:f>
        <x:v>123827.75632775633</x:v>
      </x:c>
      <x:c r="I4792" s="36" t="n">
        <x:f>IFERROR(H4792/A4792,0)</x:f>
        <x:v>15478.469540969541</x:v>
      </x:c>
      <x:c r="J4792" s="67" t="str">
        <x:v>Modeled from live base + Sep-2026 quality ratio</x:v>
      </x:c>
      <x:c r="K4792" s="67" t="str">
        <x:v>https://www.stonealgo.com/diamond-prices/</x:v>
      </x:c>
      <x:c r="L4792" s="67" t="str">
        <x:v>https://www.pricescope.com/blog/natural-diamond-prices-september-2026</x:v>
      </x:c>
    </x:row>
    <x:row r="4793">
      <x:c r="A4793" t="n">
        <x:v>8</x:v>
      </x:c>
      <x:c r="B4793" t="str">
        <x:v>Cushion</x:v>
      </x:c>
      <x:c r="C4793" t="str">
        <x:v>J</x:v>
      </x:c>
      <x:c r="D4793" t="str">
        <x:v>SI2</x:v>
      </x:c>
      <x:c r="E4793" s="36" t="n">
        <x:v>263000</x:v>
      </x:c>
      <x:c r="F4793" s="36" t="n">
        <x:v>2079</x:v>
      </x:c>
      <x:c r="G4793" s="42" t="n">
        <x:v>0.44594594594594594</x:v>
      </x:c>
      <x:c r="H4793" s="36" t="n">
        <x:f>E4793*G4793</x:f>
        <x:v>117283.78378378379</x:v>
      </x:c>
      <x:c r="I4793" s="36" t="n">
        <x:f>IFERROR(H4793/A4793,0)</x:f>
        <x:v>14660.472972972973</x:v>
      </x:c>
      <x:c r="J4793" s="67" t="str">
        <x:v>Modeled from live base + Sep-2026 quality ratio</x:v>
      </x:c>
      <x:c r="K4793" s="67" t="str">
        <x:v>https://www.stonealgo.com/diamond-prices/</x:v>
      </x:c>
      <x:c r="L4793" s="67" t="str">
        <x:v>https://www.pricescope.com/blog/natural-diamond-prices-september-2026</x:v>
      </x:c>
    </x:row>
    <x:row r="4794">
      <x:c r="A4794" t="n">
        <x:v>8</x:v>
      </x:c>
      <x:c r="B4794" t="str">
        <x:v>Cushion</x:v>
      </x:c>
      <x:c r="C4794" t="str">
        <x:v>K</x:v>
      </x:c>
      <x:c r="D4794" t="str">
        <x:v>FL</x:v>
      </x:c>
      <x:c r="E4794" s="36" t="n">
        <x:v>263000</x:v>
      </x:c>
      <x:c r="F4794" s="36" t="n">
        <x:v>2858</x:v>
      </x:c>
      <x:c r="G4794" s="42" t="n">
        <x:v>0.6130416130416131</x:v>
      </x:c>
      <x:c r="H4794" s="36" t="n">
        <x:f>E4794*G4794</x:f>
        <x:v>161229.94422994423</x:v>
      </x:c>
      <x:c r="I4794" s="36" t="n">
        <x:f>IFERROR(H4794/A4794,0)</x:f>
        <x:v>20153.74302874303</x:v>
      </x:c>
      <x:c r="J4794" s="67" t="str">
        <x:v>Modeled from live base + Sep-2026 quality ratio; K/FL quality cell modeled</x:v>
      </x:c>
      <x:c r="K4794" s="67" t="str">
        <x:v>https://www.stonealgo.com/diamond-prices/</x:v>
      </x:c>
      <x:c r="L4794" s="67" t="str">
        <x:v>https://www.pricescope.com/blog/natural-diamond-prices-september-2026</x:v>
      </x:c>
    </x:row>
    <x:row r="4795">
      <x:c r="A4795" t="n">
        <x:v>8</x:v>
      </x:c>
      <x:c r="B4795" t="str">
        <x:v>Cushion</x:v>
      </x:c>
      <x:c r="C4795" t="str">
        <x:v>K</x:v>
      </x:c>
      <x:c r="D4795" t="str">
        <x:v>IF</x:v>
      </x:c>
      <x:c r="E4795" s="36" t="n">
        <x:v>263000</x:v>
      </x:c>
      <x:c r="F4795" s="36" t="n">
        <x:v>2743</x:v>
      </x:c>
      <x:c r="G4795" s="42" t="n">
        <x:v>0.5883740883740883</x:v>
      </x:c>
      <x:c r="H4795" s="36" t="n">
        <x:f>E4795*G4795</x:f>
        <x:v>154742.38524238524</x:v>
      </x:c>
      <x:c r="I4795" s="36" t="n">
        <x:f>IFERROR(H4795/A4795,0)</x:f>
        <x:v>19342.798155298155</x:v>
      </x:c>
      <x:c r="J4795" s="67" t="str">
        <x:v>Modeled from live base + Sep-2026 quality ratio</x:v>
      </x:c>
      <x:c r="K4795" s="67" t="str">
        <x:v>https://www.stonealgo.com/diamond-prices/</x:v>
      </x:c>
      <x:c r="L4795" s="67" t="str">
        <x:v>https://www.pricescope.com/blog/natural-diamond-prices-september-2026</x:v>
      </x:c>
    </x:row>
    <x:row r="4796">
      <x:c r="A4796" t="n">
        <x:v>8</x:v>
      </x:c>
      <x:c r="B4796" t="str">
        <x:v>Cushion</x:v>
      </x:c>
      <x:c r="C4796" t="str">
        <x:v>K</x:v>
      </x:c>
      <x:c r="D4796" t="str">
        <x:v>VVS1</x:v>
      </x:c>
      <x:c r="E4796" s="36" t="n">
        <x:v>263000</x:v>
      </x:c>
      <x:c r="F4796" s="36" t="n">
        <x:v>2529</x:v>
      </x:c>
      <x:c r="G4796" s="42" t="n">
        <x:v>0.5424710424710425</x:v>
      </x:c>
      <x:c r="H4796" s="36" t="n">
        <x:f>E4796*G4796</x:f>
        <x:v>142669.88416988417</x:v>
      </x:c>
      <x:c r="I4796" s="36" t="n">
        <x:f>IFERROR(H4796/A4796,0)</x:f>
        <x:v>17833.73552123552</x:v>
      </x:c>
      <x:c r="J4796" s="67" t="str">
        <x:v>Modeled from live base + Sep-2026 quality ratio</x:v>
      </x:c>
      <x:c r="K4796" s="67" t="str">
        <x:v>https://www.stonealgo.com/diamond-prices/</x:v>
      </x:c>
      <x:c r="L4796" s="67" t="str">
        <x:v>https://www.pricescope.com/blog/natural-diamond-prices-september-2026</x:v>
      </x:c>
    </x:row>
    <x:row r="4797">
      <x:c r="A4797" t="n">
        <x:v>8</x:v>
      </x:c>
      <x:c r="B4797" t="str">
        <x:v>Cushion</x:v>
      </x:c>
      <x:c r="C4797" t="str">
        <x:v>K</x:v>
      </x:c>
      <x:c r="D4797" t="str">
        <x:v>VVS2</x:v>
      </x:c>
      <x:c r="E4797" s="36" t="n">
        <x:v>263000</x:v>
      </x:c>
      <x:c r="F4797" s="36" t="n">
        <x:v>2374</x:v>
      </x:c>
      <x:c r="G4797" s="42" t="n">
        <x:v>0.5092235092235092</x:v>
      </x:c>
      <x:c r="H4797" s="36" t="n">
        <x:f>E4797*G4797</x:f>
        <x:v>133925.78292578293</x:v>
      </x:c>
      <x:c r="I4797" s="36" t="n">
        <x:f>IFERROR(H4797/A4797,0)</x:f>
        <x:v>16740.722865722866</x:v>
      </x:c>
      <x:c r="J4797" s="67" t="str">
        <x:v>Modeled from live base + Sep-2026 quality ratio</x:v>
      </x:c>
      <x:c r="K4797" s="67" t="str">
        <x:v>https://www.stonealgo.com/diamond-prices/</x:v>
      </x:c>
      <x:c r="L4797" s="67" t="str">
        <x:v>https://www.pricescope.com/blog/natural-diamond-prices-september-2026</x:v>
      </x:c>
    </x:row>
    <x:row r="4798">
      <x:c r="A4798" t="n">
        <x:v>8</x:v>
      </x:c>
      <x:c r="B4798" t="str">
        <x:v>Cushion</x:v>
      </x:c>
      <x:c r="C4798" t="str">
        <x:v>K</x:v>
      </x:c>
      <x:c r="D4798" t="str">
        <x:v>VS1</x:v>
      </x:c>
      <x:c r="E4798" s="36" t="n">
        <x:v>263000</x:v>
      </x:c>
      <x:c r="F4798" s="36" t="n">
        <x:v>2223</x:v>
      </x:c>
      <x:c r="G4798" s="42" t="n">
        <x:v>0.4768339768339768</x:v>
      </x:c>
      <x:c r="H4798" s="36" t="n">
        <x:f>E4798*G4798</x:f>
        <x:v>125407.3359073359</x:v>
      </x:c>
      <x:c r="I4798" s="36" t="n">
        <x:f>IFERROR(H4798/A4798,0)</x:f>
        <x:v>15675.916988416988</x:v>
      </x:c>
      <x:c r="J4798" s="67" t="str">
        <x:v>Modeled from live base + Sep-2026 quality ratio</x:v>
      </x:c>
      <x:c r="K4798" s="67" t="str">
        <x:v>https://www.stonealgo.com/diamond-prices/</x:v>
      </x:c>
      <x:c r="L4798" s="67" t="str">
        <x:v>https://www.pricescope.com/blog/natural-diamond-prices-september-2026</x:v>
      </x:c>
    </x:row>
    <x:row r="4799">
      <x:c r="A4799" t="n">
        <x:v>8</x:v>
      </x:c>
      <x:c r="B4799" t="str">
        <x:v>Cushion</x:v>
      </x:c>
      <x:c r="C4799" t="str">
        <x:v>K</x:v>
      </x:c>
      <x:c r="D4799" t="str">
        <x:v>VS2</x:v>
      </x:c>
      <x:c r="E4799" s="36" t="n">
        <x:v>263000</x:v>
      </x:c>
      <x:c r="F4799" s="36" t="n">
        <x:v>2098</x:v>
      </x:c>
      <x:c r="G4799" s="42" t="n">
        <x:v>0.45002145002145</x:v>
      </x:c>
      <x:c r="H4799" s="36" t="n">
        <x:f>E4799*G4799</x:f>
        <x:v>118355.64135564135</x:v>
      </x:c>
      <x:c r="I4799" s="36" t="n">
        <x:f>IFERROR(H4799/A4799,0)</x:f>
        <x:v>14794.455169455168</x:v>
      </x:c>
      <x:c r="J4799" s="67" t="str">
        <x:v>Modeled from live base + Sep-2026 quality ratio</x:v>
      </x:c>
      <x:c r="K4799" s="67" t="str">
        <x:v>https://www.stonealgo.com/diamond-prices/</x:v>
      </x:c>
      <x:c r="L4799" s="67" t="str">
        <x:v>https://www.pricescope.com/blog/natural-diamond-prices-september-2026</x:v>
      </x:c>
    </x:row>
    <x:row r="4800">
      <x:c r="A4800" t="n">
        <x:v>8</x:v>
      </x:c>
      <x:c r="B4800" t="str">
        <x:v>Cushion</x:v>
      </x:c>
      <x:c r="C4800" t="str">
        <x:v>K</x:v>
      </x:c>
      <x:c r="D4800" t="str">
        <x:v>SI1</x:v>
      </x:c>
      <x:c r="E4800" s="36" t="n">
        <x:v>263000</x:v>
      </x:c>
      <x:c r="F4800" s="36" t="n">
        <x:v>1922</x:v>
      </x:c>
      <x:c r="G4800" s="42" t="n">
        <x:v>0.41226941226941227</x:v>
      </x:c>
      <x:c r="H4800" s="36" t="n">
        <x:f>E4800*G4800</x:f>
        <x:v>108426.85542685543</x:v>
      </x:c>
      <x:c r="I4800" s="36" t="n">
        <x:f>IFERROR(H4800/A4800,0)</x:f>
        <x:v>13553.356928356929</x:v>
      </x:c>
      <x:c r="J4800" s="67" t="str">
        <x:v>Modeled from live base + Sep-2026 quality ratio</x:v>
      </x:c>
      <x:c r="K4800" s="67" t="str">
        <x:v>https://www.stonealgo.com/diamond-prices/</x:v>
      </x:c>
      <x:c r="L4800" s="67" t="str">
        <x:v>https://www.pricescope.com/blog/natural-diamond-prices-september-2026</x:v>
      </x:c>
    </x:row>
    <x:row r="4801">
      <x:c r="A4801" t="n">
        <x:v>8</x:v>
      </x:c>
      <x:c r="B4801" t="str">
        <x:v>Cushion</x:v>
      </x:c>
      <x:c r="C4801" t="str">
        <x:v>K</x:v>
      </x:c>
      <x:c r="D4801" t="str">
        <x:v>SI2</x:v>
      </x:c>
      <x:c r="E4801" s="36" t="n">
        <x:v>263000</x:v>
      </x:c>
      <x:c r="F4801" s="36" t="n">
        <x:v>1764</x:v>
      </x:c>
      <x:c r="G4801" s="42" t="n">
        <x:v>0.3783783783783784</x:v>
      </x:c>
      <x:c r="H4801" s="36" t="n">
        <x:f>E4801*G4801</x:f>
        <x:v>99513.51351351352</x:v>
      </x:c>
      <x:c r="I4801" s="36" t="n">
        <x:f>IFERROR(H4801/A4801,0)</x:f>
        <x:v>12439.18918918919</x:v>
      </x:c>
      <x:c r="J4801" s="67" t="str">
        <x:v>Modeled from live base + Sep-2026 quality ratio</x:v>
      </x:c>
      <x:c r="K4801" s="67" t="str">
        <x:v>https://www.stonealgo.com/diamond-prices/</x:v>
      </x:c>
      <x:c r="L4801" s="67" t="str">
        <x:v>https://www.pricescope.com/blog/natural-diamond-prices-september-2026</x:v>
      </x:c>
    </x:row>
    <x:row r="4802">
      <x:c r="A4802" t="n">
        <x:v>8</x:v>
      </x:c>
      <x:c r="B4802" t="str">
        <x:v>Radiant</x:v>
      </x:c>
      <x:c r="C4802" t="str">
        <x:v>D</x:v>
      </x:c>
      <x:c r="D4802" t="str">
        <x:v>FL</x:v>
      </x:c>
      <x:c r="E4802" s="36" t="n">
        <x:v>168000</x:v>
      </x:c>
      <x:c r="F4802" s="36" t="n">
        <x:v>12665</x:v>
      </x:c>
      <x:c r="G4802" s="42" t="n">
        <x:v>2.7166452166452166</x:v>
      </x:c>
      <x:c r="H4802" s="36" t="n">
        <x:f>E4802*G4802</x:f>
        <x:v>456396.3963963964</x:v>
      </x:c>
      <x:c r="I4802" s="36" t="n">
        <x:f>IFERROR(H4802/A4802,0)</x:f>
        <x:v>57049.54954954955</x:v>
      </x:c>
      <x:c r="J4802" s="67" t="str">
        <x:v>Modeled from live base + Sep-2026 quality ratio</x:v>
      </x:c>
      <x:c r="K4802" s="67" t="str">
        <x:v>https://www.stonealgo.com/diamond-prices/</x:v>
      </x:c>
      <x:c r="L4802" s="67" t="str">
        <x:v>https://www.pricescope.com/blog/natural-diamond-prices-september-2026</x:v>
      </x:c>
    </x:row>
    <x:row r="4803">
      <x:c r="A4803" t="n">
        <x:v>8</x:v>
      </x:c>
      <x:c r="B4803" t="str">
        <x:v>Radiant</x:v>
      </x:c>
      <x:c r="C4803" t="str">
        <x:v>D</x:v>
      </x:c>
      <x:c r="D4803" t="str">
        <x:v>IF</x:v>
      </x:c>
      <x:c r="E4803" s="36" t="n">
        <x:v>168000</x:v>
      </x:c>
      <x:c r="F4803" s="36" t="n">
        <x:v>13240</x:v>
      </x:c>
      <x:c r="G4803" s="42" t="n">
        <x:v>2.83998283998284</x:v>
      </x:c>
      <x:c r="H4803" s="36" t="n">
        <x:f>E4803*G4803</x:f>
        <x:v>477117.11711711716</x:v>
      </x:c>
      <x:c r="I4803" s="36" t="n">
        <x:f>IFERROR(H4803/A4803,0)</x:f>
        <x:v>59639.639639639645</x:v>
      </x:c>
      <x:c r="J4803" s="67" t="str">
        <x:v>Modeled from live base + Sep-2026 quality ratio</x:v>
      </x:c>
      <x:c r="K4803" s="67" t="str">
        <x:v>https://www.stonealgo.com/diamond-prices/</x:v>
      </x:c>
      <x:c r="L4803" s="67" t="str">
        <x:v>https://www.pricescope.com/blog/natural-diamond-prices-september-2026</x:v>
      </x:c>
    </x:row>
    <x:row r="4804">
      <x:c r="A4804" t="n">
        <x:v>8</x:v>
      </x:c>
      <x:c r="B4804" t="str">
        <x:v>Radiant</x:v>
      </x:c>
      <x:c r="C4804" t="str">
        <x:v>D</x:v>
      </x:c>
      <x:c r="D4804" t="str">
        <x:v>VVS1</x:v>
      </x:c>
      <x:c r="E4804" s="36" t="n">
        <x:v>168000</x:v>
      </x:c>
      <x:c r="F4804" s="36" t="n">
        <x:v>9555</x:v>
      </x:c>
      <x:c r="G4804" s="42" t="n">
        <x:v>2.0495495495495497</x:v>
      </x:c>
      <x:c r="H4804" s="36" t="n">
        <x:f>E4804*G4804</x:f>
        <x:v>344324.3243243244</x:v>
      </x:c>
      <x:c r="I4804" s="36" t="n">
        <x:f>IFERROR(H4804/A4804,0)</x:f>
        <x:v>43040.54054054055</x:v>
      </x:c>
      <x:c r="J4804" s="67" t="str">
        <x:v>Modeled from live base + Sep-2026 quality ratio</x:v>
      </x:c>
      <x:c r="K4804" s="67" t="str">
        <x:v>https://www.stonealgo.com/diamond-prices/</x:v>
      </x:c>
      <x:c r="L4804" s="67" t="str">
        <x:v>https://www.pricescope.com/blog/natural-diamond-prices-september-2026</x:v>
      </x:c>
    </x:row>
    <x:row r="4805">
      <x:c r="A4805" t="n">
        <x:v>8</x:v>
      </x:c>
      <x:c r="B4805" t="str">
        <x:v>Radiant</x:v>
      </x:c>
      <x:c r="C4805" t="str">
        <x:v>D</x:v>
      </x:c>
      <x:c r="D4805" t="str">
        <x:v>VVS2</x:v>
      </x:c>
      <x:c r="E4805" s="36" t="n">
        <x:v>168000</x:v>
      </x:c>
      <x:c r="F4805" s="36" t="n">
        <x:v>6660</x:v>
      </x:c>
      <x:c r="G4805" s="42" t="n">
        <x:v>1.4285714285714286</x:v>
      </x:c>
      <x:c r="H4805" s="36" t="n">
        <x:f>E4805*G4805</x:f>
        <x:v>240000</x:v>
      </x:c>
      <x:c r="I4805" s="36" t="n">
        <x:f>IFERROR(H4805/A4805,0)</x:f>
        <x:v>30000</x:v>
      </x:c>
      <x:c r="J4805" s="67" t="str">
        <x:v>Modeled from live base + Sep-2026 quality ratio</x:v>
      </x:c>
      <x:c r="K4805" s="67" t="str">
        <x:v>https://www.stonealgo.com/diamond-prices/</x:v>
      </x:c>
      <x:c r="L4805" s="67" t="str">
        <x:v>https://www.pricescope.com/blog/natural-diamond-prices-september-2026</x:v>
      </x:c>
    </x:row>
    <x:row r="4806">
      <x:c r="A4806" t="n">
        <x:v>8</x:v>
      </x:c>
      <x:c r="B4806" t="str">
        <x:v>Radiant</x:v>
      </x:c>
      <x:c r="C4806" t="str">
        <x:v>D</x:v>
      </x:c>
      <x:c r="D4806" t="str">
        <x:v>VS1</x:v>
      </x:c>
      <x:c r="E4806" s="36" t="n">
        <x:v>168000</x:v>
      </x:c>
      <x:c r="F4806" s="36" t="n">
        <x:v>6247</x:v>
      </x:c>
      <x:c r="G4806" s="42" t="n">
        <x:v>1.33998283998284</x:v>
      </x:c>
      <x:c r="H4806" s="36" t="n">
        <x:f>E4806*G4806</x:f>
        <x:v>225117.1171171171</x:v>
      </x:c>
      <x:c r="I4806" s="36" t="n">
        <x:f>IFERROR(H4806/A4806,0)</x:f>
        <x:v>28139.639639639638</x:v>
      </x:c>
      <x:c r="J4806" s="67" t="str">
        <x:v>Modeled from live base + Sep-2026 quality ratio</x:v>
      </x:c>
      <x:c r="K4806" s="67" t="str">
        <x:v>https://www.stonealgo.com/diamond-prices/</x:v>
      </x:c>
      <x:c r="L4806" s="67" t="str">
        <x:v>https://www.pricescope.com/blog/natural-diamond-prices-september-2026</x:v>
      </x:c>
    </x:row>
    <x:row r="4807">
      <x:c r="A4807" t="n">
        <x:v>8</x:v>
      </x:c>
      <x:c r="B4807" t="str">
        <x:v>Radiant</x:v>
      </x:c>
      <x:c r="C4807" t="str">
        <x:v>D</x:v>
      </x:c>
      <x:c r="D4807" t="str">
        <x:v>VS2</x:v>
      </x:c>
      <x:c r="E4807" s="36" t="n">
        <x:v>168000</x:v>
      </x:c>
      <x:c r="F4807" s="36" t="n">
        <x:v>5841</x:v>
      </x:c>
      <x:c r="G4807" s="42" t="n">
        <x:v>1.252895752895753</x:v>
      </x:c>
      <x:c r="H4807" s="36" t="n">
        <x:f>E4807*G4807</x:f>
        <x:v>210486.4864864865</x:v>
      </x:c>
      <x:c r="I4807" s="36" t="n">
        <x:f>IFERROR(H4807/A4807,0)</x:f>
        <x:v>26310.810810810814</x:v>
      </x:c>
      <x:c r="J4807" s="67" t="str">
        <x:v>Modeled from live base + Sep-2026 quality ratio</x:v>
      </x:c>
      <x:c r="K4807" s="67" t="str">
        <x:v>https://www.stonealgo.com/diamond-prices/</x:v>
      </x:c>
      <x:c r="L4807" s="67" t="str">
        <x:v>https://www.pricescope.com/blog/natural-diamond-prices-september-2026</x:v>
      </x:c>
    </x:row>
    <x:row r="4808">
      <x:c r="A4808" t="n">
        <x:v>8</x:v>
      </x:c>
      <x:c r="B4808" t="str">
        <x:v>Radiant</x:v>
      </x:c>
      <x:c r="C4808" t="str">
        <x:v>D</x:v>
      </x:c>
      <x:c r="D4808" t="str">
        <x:v>SI1</x:v>
      </x:c>
      <x:c r="E4808" s="36" t="n">
        <x:v>168000</x:v>
      </x:c>
      <x:c r="F4808" s="36" t="n">
        <x:v>3762</x:v>
      </x:c>
      <x:c r="G4808" s="42" t="n">
        <x:v>0.806949806949807</x:v>
      </x:c>
      <x:c r="H4808" s="36" t="n">
        <x:f>E4808*G4808</x:f>
        <x:v>135567.56756756757</x:v>
      </x:c>
      <x:c r="I4808" s="36" t="n">
        <x:f>IFERROR(H4808/A4808,0)</x:f>
        <x:v>16945.945945945947</x:v>
      </x:c>
      <x:c r="J4808" s="67" t="str">
        <x:v>Modeled from live base + Sep-2026 quality ratio</x:v>
      </x:c>
      <x:c r="K4808" s="67" t="str">
        <x:v>https://www.stonealgo.com/diamond-prices/</x:v>
      </x:c>
      <x:c r="L4808" s="67" t="str">
        <x:v>https://www.pricescope.com/blog/natural-diamond-prices-september-2026</x:v>
      </x:c>
    </x:row>
    <x:row r="4809">
      <x:c r="A4809" t="n">
        <x:v>8</x:v>
      </x:c>
      <x:c r="B4809" t="str">
        <x:v>Radiant</x:v>
      </x:c>
      <x:c r="C4809" t="str">
        <x:v>D</x:v>
      </x:c>
      <x:c r="D4809" t="str">
        <x:v>SI2</x:v>
      </x:c>
      <x:c r="E4809" s="36" t="n">
        <x:v>168000</x:v>
      </x:c>
      <x:c r="F4809" s="36" t="n">
        <x:v>3026</x:v>
      </x:c>
      <x:c r="G4809" s="42" t="n">
        <x:v>0.6490776490776491</x:v>
      </x:c>
      <x:c r="H4809" s="36" t="n">
        <x:f>E4809*G4809</x:f>
        <x:v>109045.04504504504</x:v>
      </x:c>
      <x:c r="I4809" s="36" t="n">
        <x:f>IFERROR(H4809/A4809,0)</x:f>
        <x:v>13630.63063063063</x:v>
      </x:c>
      <x:c r="J4809" s="67" t="str">
        <x:v>Modeled from live base + Sep-2026 quality ratio</x:v>
      </x:c>
      <x:c r="K4809" s="67" t="str">
        <x:v>https://www.stonealgo.com/diamond-prices/</x:v>
      </x:c>
      <x:c r="L4809" s="67" t="str">
        <x:v>https://www.pricescope.com/blog/natural-diamond-prices-september-2026</x:v>
      </x:c>
    </x:row>
    <x:row r="4810">
      <x:c r="A4810" t="n">
        <x:v>8</x:v>
      </x:c>
      <x:c r="B4810" t="str">
        <x:v>Radiant</x:v>
      </x:c>
      <x:c r="C4810" t="str">
        <x:v>E</x:v>
      </x:c>
      <x:c r="D4810" t="str">
        <x:v>FL</x:v>
      </x:c>
      <x:c r="E4810" s="36" t="n">
        <x:v>168000</x:v>
      </x:c>
      <x:c r="F4810" s="36" t="n">
        <x:v>10072</x:v>
      </x:c>
      <x:c r="G4810" s="42" t="n">
        <x:v>2.1604461604461602</x:v>
      </x:c>
      <x:c r="H4810" s="36" t="n">
        <x:f>E4810*G4810</x:f>
        <x:v>362954.9549549549</x:v>
      </x:c>
      <x:c r="I4810" s="36" t="n">
        <x:f>IFERROR(H4810/A4810,0)</x:f>
        <x:v>45369.369369369364</x:v>
      </x:c>
      <x:c r="J4810" s="67" t="str">
        <x:v>Modeled from live base + Sep-2026 quality ratio</x:v>
      </x:c>
      <x:c r="K4810" s="67" t="str">
        <x:v>https://www.stonealgo.com/diamond-prices/</x:v>
      </x:c>
      <x:c r="L4810" s="67" t="str">
        <x:v>https://www.pricescope.com/blog/natural-diamond-prices-september-2026</x:v>
      </x:c>
    </x:row>
    <x:row r="4811">
      <x:c r="A4811" t="n">
        <x:v>8</x:v>
      </x:c>
      <x:c r="B4811" t="str">
        <x:v>Radiant</x:v>
      </x:c>
      <x:c r="C4811" t="str">
        <x:v>E</x:v>
      </x:c>
      <x:c r="D4811" t="str">
        <x:v>IF</x:v>
      </x:c>
      <x:c r="E4811" s="36" t="n">
        <x:v>168000</x:v>
      </x:c>
      <x:c r="F4811" s="36" t="n">
        <x:v>8672</x:v>
      </x:c>
      <x:c r="G4811" s="42" t="n">
        <x:v>1.8601458601458603</x:v>
      </x:c>
      <x:c r="H4811" s="36" t="n">
        <x:f>E4811*G4811</x:f>
        <x:v>312504.5045045045</x:v>
      </x:c>
      <x:c r="I4811" s="36" t="n">
        <x:f>IFERROR(H4811/A4811,0)</x:f>
        <x:v>39063.06306306306</x:v>
      </x:c>
      <x:c r="J4811" s="67" t="str">
        <x:v>Modeled from live base + Sep-2026 quality ratio</x:v>
      </x:c>
      <x:c r="K4811" s="67" t="str">
        <x:v>https://www.stonealgo.com/diamond-prices/</x:v>
      </x:c>
      <x:c r="L4811" s="67" t="str">
        <x:v>https://www.pricescope.com/blog/natural-diamond-prices-september-2026</x:v>
      </x:c>
    </x:row>
    <x:row r="4812">
      <x:c r="A4812" t="n">
        <x:v>8</x:v>
      </x:c>
      <x:c r="B4812" t="str">
        <x:v>Radiant</x:v>
      </x:c>
      <x:c r="C4812" t="str">
        <x:v>E</x:v>
      </x:c>
      <x:c r="D4812" t="str">
        <x:v>VVS1</x:v>
      </x:c>
      <x:c r="E4812" s="36" t="n">
        <x:v>168000</x:v>
      </x:c>
      <x:c r="F4812" s="36" t="n">
        <x:v>7842</x:v>
      </x:c>
      <x:c r="G4812" s="42" t="n">
        <x:v>1.6821106821106822</x:v>
      </x:c>
      <x:c r="H4812" s="36" t="n">
        <x:f>E4812*G4812</x:f>
        <x:v>282594.5945945946</x:v>
      </x:c>
      <x:c r="I4812" s="36" t="n">
        <x:f>IFERROR(H4812/A4812,0)</x:f>
        <x:v>35324.32432432433</x:v>
      </x:c>
      <x:c r="J4812" s="67" t="str">
        <x:v>Modeled from live base + Sep-2026 quality ratio</x:v>
      </x:c>
      <x:c r="K4812" s="67" t="str">
        <x:v>https://www.stonealgo.com/diamond-prices/</x:v>
      </x:c>
      <x:c r="L4812" s="67" t="str">
        <x:v>https://www.pricescope.com/blog/natural-diamond-prices-september-2026</x:v>
      </x:c>
    </x:row>
    <x:row r="4813">
      <x:c r="A4813" t="n">
        <x:v>8</x:v>
      </x:c>
      <x:c r="B4813" t="str">
        <x:v>Radiant</x:v>
      </x:c>
      <x:c r="C4813" t="str">
        <x:v>E</x:v>
      </x:c>
      <x:c r="D4813" t="str">
        <x:v>VVS2</x:v>
      </x:c>
      <x:c r="E4813" s="36" t="n">
        <x:v>168000</x:v>
      </x:c>
      <x:c r="F4813" s="36" t="n">
        <x:v>6880</x:v>
      </x:c>
      <x:c r="G4813" s="42" t="n">
        <x:v>1.4757614757614759</x:v>
      </x:c>
      <x:c r="H4813" s="36" t="n">
        <x:f>E4813*G4813</x:f>
        <x:v>247927.92792792796</x:v>
      </x:c>
      <x:c r="I4813" s="36" t="n">
        <x:f>IFERROR(H4813/A4813,0)</x:f>
        <x:v>30990.990990990995</x:v>
      </x:c>
      <x:c r="J4813" s="67" t="str">
        <x:v>Modeled from live base + Sep-2026 quality ratio</x:v>
      </x:c>
      <x:c r="K4813" s="67" t="str">
        <x:v>https://www.stonealgo.com/diamond-prices/</x:v>
      </x:c>
      <x:c r="L4813" s="67" t="str">
        <x:v>https://www.pricescope.com/blog/natural-diamond-prices-september-2026</x:v>
      </x:c>
    </x:row>
    <x:row r="4814">
      <x:c r="A4814" t="n">
        <x:v>8</x:v>
      </x:c>
      <x:c r="B4814" t="str">
        <x:v>Radiant</x:v>
      </x:c>
      <x:c r="C4814" t="str">
        <x:v>E</x:v>
      </x:c>
      <x:c r="D4814" t="str">
        <x:v>VS1</x:v>
      </x:c>
      <x:c r="E4814" s="36" t="n">
        <x:v>168000</x:v>
      </x:c>
      <x:c r="F4814" s="36" t="n">
        <x:v>6307</x:v>
      </x:c>
      <x:c r="G4814" s="42" t="n">
        <x:v>1.352852852852853</x:v>
      </x:c>
      <x:c r="H4814" s="36" t="n">
        <x:f>E4814*G4814</x:f>
        <x:v>227279.2792792793</x:v>
      </x:c>
      <x:c r="I4814" s="36" t="n">
        <x:f>IFERROR(H4814/A4814,0)</x:f>
        <x:v>28409.90990990991</x:v>
      </x:c>
      <x:c r="J4814" s="67" t="str">
        <x:v>Modeled from live base + Sep-2026 quality ratio</x:v>
      </x:c>
      <x:c r="K4814" s="67" t="str">
        <x:v>https://www.stonealgo.com/diamond-prices/</x:v>
      </x:c>
      <x:c r="L4814" s="67" t="str">
        <x:v>https://www.pricescope.com/blog/natural-diamond-prices-september-2026</x:v>
      </x:c>
    </x:row>
    <x:row r="4815">
      <x:c r="A4815" t="n">
        <x:v>8</x:v>
      </x:c>
      <x:c r="B4815" t="str">
        <x:v>Radiant</x:v>
      </x:c>
      <x:c r="C4815" t="str">
        <x:v>E</x:v>
      </x:c>
      <x:c r="D4815" t="str">
        <x:v>VS2</x:v>
      </x:c>
      <x:c r="E4815" s="36" t="n">
        <x:v>168000</x:v>
      </x:c>
      <x:c r="F4815" s="36" t="n">
        <x:v>5249</x:v>
      </x:c>
      <x:c r="G4815" s="42" t="n">
        <x:v>1.125911625911626</x:v>
      </x:c>
      <x:c r="H4815" s="36" t="n">
        <x:f>E4815*G4815</x:f>
        <x:v>189153.15315315317</x:v>
      </x:c>
      <x:c r="I4815" s="36" t="n">
        <x:f>IFERROR(H4815/A4815,0)</x:f>
        <x:v>23644.144144144146</x:v>
      </x:c>
      <x:c r="J4815" s="67" t="str">
        <x:v>Modeled from live base + Sep-2026 quality ratio</x:v>
      </x:c>
      <x:c r="K4815" s="67" t="str">
        <x:v>https://www.stonealgo.com/diamond-prices/</x:v>
      </x:c>
      <x:c r="L4815" s="67" t="str">
        <x:v>https://www.pricescope.com/blog/natural-diamond-prices-september-2026</x:v>
      </x:c>
    </x:row>
    <x:row r="4816">
      <x:c r="A4816" t="n">
        <x:v>8</x:v>
      </x:c>
      <x:c r="B4816" t="str">
        <x:v>Radiant</x:v>
      </x:c>
      <x:c r="C4816" t="str">
        <x:v>E</x:v>
      </x:c>
      <x:c r="D4816" t="str">
        <x:v>SI1</x:v>
      </x:c>
      <x:c r="E4816" s="36" t="n">
        <x:v>168000</x:v>
      </x:c>
      <x:c r="F4816" s="36" t="n">
        <x:v>3551</x:v>
      </x:c>
      <x:c r="G4816" s="42" t="n">
        <x:v>0.7616902616902617</x:v>
      </x:c>
      <x:c r="H4816" s="36" t="n">
        <x:f>E4816*G4816</x:f>
        <x:v>127963.96396396396</x:v>
      </x:c>
      <x:c r="I4816" s="36" t="n">
        <x:f>IFERROR(H4816/A4816,0)</x:f>
        <x:v>15995.495495495496</x:v>
      </x:c>
      <x:c r="J4816" s="67" t="str">
        <x:v>Modeled from live base + Sep-2026 quality ratio</x:v>
      </x:c>
      <x:c r="K4816" s="67" t="str">
        <x:v>https://www.stonealgo.com/diamond-prices/</x:v>
      </x:c>
      <x:c r="L4816" s="67" t="str">
        <x:v>https://www.pricescope.com/blog/natural-diamond-prices-september-2026</x:v>
      </x:c>
    </x:row>
    <x:row r="4817">
      <x:c r="A4817" t="n">
        <x:v>8</x:v>
      </x:c>
      <x:c r="B4817" t="str">
        <x:v>Radiant</x:v>
      </x:c>
      <x:c r="C4817" t="str">
        <x:v>E</x:v>
      </x:c>
      <x:c r="D4817" t="str">
        <x:v>SI2</x:v>
      </x:c>
      <x:c r="E4817" s="36" t="n">
        <x:v>168000</x:v>
      </x:c>
      <x:c r="F4817" s="36" t="n">
        <x:v>2993</x:v>
      </x:c>
      <x:c r="G4817" s="42" t="n">
        <x:v>0.641999141999142</x:v>
      </x:c>
      <x:c r="H4817" s="36" t="n">
        <x:f>E4817*G4817</x:f>
        <x:v>107855.85585585586</x:v>
      </x:c>
      <x:c r="I4817" s="36" t="n">
        <x:f>IFERROR(H4817/A4817,0)</x:f>
        <x:v>13481.981981981982</x:v>
      </x:c>
      <x:c r="J4817" s="67" t="str">
        <x:v>Modeled from live base + Sep-2026 quality ratio</x:v>
      </x:c>
      <x:c r="K4817" s="67" t="str">
        <x:v>https://www.stonealgo.com/diamond-prices/</x:v>
      </x:c>
      <x:c r="L4817" s="67" t="str">
        <x:v>https://www.pricescope.com/blog/natural-diamond-prices-september-2026</x:v>
      </x:c>
    </x:row>
    <x:row r="4818">
      <x:c r="A4818" t="n">
        <x:v>8</x:v>
      </x:c>
      <x:c r="B4818" t="str">
        <x:v>Radiant</x:v>
      </x:c>
      <x:c r="C4818" t="str">
        <x:v>F</x:v>
      </x:c>
      <x:c r="D4818" t="str">
        <x:v>FL</x:v>
      </x:c>
      <x:c r="E4818" s="36" t="n">
        <x:v>168000</x:v>
      </x:c>
      <x:c r="F4818" s="36" t="n">
        <x:v>6830</x:v>
      </x:c>
      <x:c r="G4818" s="42" t="n">
        <x:v>1.4650364650364651</x:v>
      </x:c>
      <x:c r="H4818" s="36" t="n">
        <x:f>E4818*G4818</x:f>
        <x:v>246126.12612612615</x:v>
      </x:c>
      <x:c r="I4818" s="36" t="n">
        <x:f>IFERROR(H4818/A4818,0)</x:f>
        <x:v>30765.76576576577</x:v>
      </x:c>
      <x:c r="J4818" s="67" t="str">
        <x:v>Modeled from live base + Sep-2026 quality ratio</x:v>
      </x:c>
      <x:c r="K4818" s="67" t="str">
        <x:v>https://www.stonealgo.com/diamond-prices/</x:v>
      </x:c>
      <x:c r="L4818" s="67" t="str">
        <x:v>https://www.pricescope.com/blog/natural-diamond-prices-september-2026</x:v>
      </x:c>
    </x:row>
    <x:row r="4819">
      <x:c r="A4819" t="n">
        <x:v>8</x:v>
      </x:c>
      <x:c r="B4819" t="str">
        <x:v>Radiant</x:v>
      </x:c>
      <x:c r="C4819" t="str">
        <x:v>F</x:v>
      </x:c>
      <x:c r="D4819" t="str">
        <x:v>IF</x:v>
      </x:c>
      <x:c r="E4819" s="36" t="n">
        <x:v>168000</x:v>
      </x:c>
      <x:c r="F4819" s="36" t="n">
        <x:v>7302</x:v>
      </x:c>
      <x:c r="G4819" s="42" t="n">
        <x:v>1.5662805662805663</x:v>
      </x:c>
      <x:c r="H4819" s="36" t="n">
        <x:f>E4819*G4819</x:f>
        <x:v>263135.13513513515</x:v>
      </x:c>
      <x:c r="I4819" s="36" t="n">
        <x:f>IFERROR(H4819/A4819,0)</x:f>
        <x:v>32891.89189189189</x:v>
      </x:c>
      <x:c r="J4819" s="67" t="str">
        <x:v>Modeled from live base + Sep-2026 quality ratio</x:v>
      </x:c>
      <x:c r="K4819" s="67" t="str">
        <x:v>https://www.stonealgo.com/diamond-prices/</x:v>
      </x:c>
      <x:c r="L4819" s="67" t="str">
        <x:v>https://www.pricescope.com/blog/natural-diamond-prices-september-2026</x:v>
      </x:c>
    </x:row>
    <x:row r="4820">
      <x:c r="A4820" t="n">
        <x:v>8</x:v>
      </x:c>
      <x:c r="B4820" t="str">
        <x:v>Radiant</x:v>
      </x:c>
      <x:c r="C4820" t="str">
        <x:v>F</x:v>
      </x:c>
      <x:c r="D4820" t="str">
        <x:v>VVS1</x:v>
      </x:c>
      <x:c r="E4820" s="36" t="n">
        <x:v>168000</x:v>
      </x:c>
      <x:c r="F4820" s="36" t="n">
        <x:v>7542</x:v>
      </x:c>
      <x:c r="G4820" s="42" t="n">
        <x:v>1.6177606177606179</x:v>
      </x:c>
      <x:c r="H4820" s="36" t="n">
        <x:f>E4820*G4820</x:f>
        <x:v>271783.7837837838</x:v>
      </x:c>
      <x:c r="I4820" s="36" t="n">
        <x:f>IFERROR(H4820/A4820,0)</x:f>
        <x:v>33972.97297297297</x:v>
      </x:c>
      <x:c r="J4820" s="67" t="str">
        <x:v>Modeled from live base + Sep-2026 quality ratio</x:v>
      </x:c>
      <x:c r="K4820" s="67" t="str">
        <x:v>https://www.stonealgo.com/diamond-prices/</x:v>
      </x:c>
      <x:c r="L4820" s="67" t="str">
        <x:v>https://www.pricescope.com/blog/natural-diamond-prices-september-2026</x:v>
      </x:c>
    </x:row>
    <x:row r="4821">
      <x:c r="A4821" t="n">
        <x:v>8</x:v>
      </x:c>
      <x:c r="B4821" t="str">
        <x:v>Radiant</x:v>
      </x:c>
      <x:c r="C4821" t="str">
        <x:v>F</x:v>
      </x:c>
      <x:c r="D4821" t="str">
        <x:v>VVS2</x:v>
      </x:c>
      <x:c r="E4821" s="36" t="n">
        <x:v>168000</x:v>
      </x:c>
      <x:c r="F4821" s="36" t="n">
        <x:v>6352</x:v>
      </x:c>
      <x:c r="G4821" s="42" t="n">
        <x:v>1.3625053625053625</x:v>
      </x:c>
      <x:c r="H4821" s="36" t="n">
        <x:f>E4821*G4821</x:f>
        <x:v>228900.9009009009</x:v>
      </x:c>
      <x:c r="I4821" s="36" t="n">
        <x:f>IFERROR(H4821/A4821,0)</x:f>
        <x:v>28612.61261261261</x:v>
      </x:c>
      <x:c r="J4821" s="67" t="str">
        <x:v>Modeled from live base + Sep-2026 quality ratio</x:v>
      </x:c>
      <x:c r="K4821" s="67" t="str">
        <x:v>https://www.stonealgo.com/diamond-prices/</x:v>
      </x:c>
      <x:c r="L4821" s="67" t="str">
        <x:v>https://www.pricescope.com/blog/natural-diamond-prices-september-2026</x:v>
      </x:c>
    </x:row>
    <x:row r="4822">
      <x:c r="A4822" t="n">
        <x:v>8</x:v>
      </x:c>
      <x:c r="B4822" t="str">
        <x:v>Radiant</x:v>
      </x:c>
      <x:c r="C4822" t="str">
        <x:v>F</x:v>
      </x:c>
      <x:c r="D4822" t="str">
        <x:v>VS1</x:v>
      </x:c>
      <x:c r="E4822" s="36" t="n">
        <x:v>168000</x:v>
      </x:c>
      <x:c r="F4822" s="36" t="n">
        <x:v>5647</x:v>
      </x:c>
      <x:c r="G4822" s="42" t="n">
        <x:v>1.2112827112827114</x:v>
      </x:c>
      <x:c r="H4822" s="36" t="n">
        <x:f>E4822*G4822</x:f>
        <x:v>203495.4954954955</x:v>
      </x:c>
      <x:c r="I4822" s="36" t="n">
        <x:f>IFERROR(H4822/A4822,0)</x:f>
        <x:v>25436.936936936938</x:v>
      </x:c>
      <x:c r="J4822" s="67" t="str">
        <x:v>Modeled from live base + Sep-2026 quality ratio</x:v>
      </x:c>
      <x:c r="K4822" s="67" t="str">
        <x:v>https://www.stonealgo.com/diamond-prices/</x:v>
      </x:c>
      <x:c r="L4822" s="67" t="str">
        <x:v>https://www.pricescope.com/blog/natural-diamond-prices-september-2026</x:v>
      </x:c>
    </x:row>
    <x:row r="4823">
      <x:c r="A4823" t="n">
        <x:v>8</x:v>
      </x:c>
      <x:c r="B4823" t="str">
        <x:v>Radiant</x:v>
      </x:c>
      <x:c r="C4823" t="str">
        <x:v>F</x:v>
      </x:c>
      <x:c r="D4823" t="str">
        <x:v>VS2</x:v>
      </x:c>
      <x:c r="E4823" s="36" t="n">
        <x:v>168000</x:v>
      </x:c>
      <x:c r="F4823" s="36" t="n">
        <x:v>4730</x:v>
      </x:c>
      <x:c r="G4823" s="42" t="n">
        <x:v>1.0145860145860146</x:v>
      </x:c>
      <x:c r="H4823" s="36" t="n">
        <x:f>E4823*G4823</x:f>
        <x:v>170450.45045045044</x:v>
      </x:c>
      <x:c r="I4823" s="36" t="n">
        <x:f>IFERROR(H4823/A4823,0)</x:f>
        <x:v>21306.306306306305</x:v>
      </x:c>
      <x:c r="J4823" s="67" t="str">
        <x:v>Modeled from live base + Sep-2026 quality ratio</x:v>
      </x:c>
      <x:c r="K4823" s="67" t="str">
        <x:v>https://www.stonealgo.com/diamond-prices/</x:v>
      </x:c>
      <x:c r="L4823" s="67" t="str">
        <x:v>https://www.pricescope.com/blog/natural-diamond-prices-september-2026</x:v>
      </x:c>
    </x:row>
    <x:row r="4824">
      <x:c r="A4824" t="n">
        <x:v>8</x:v>
      </x:c>
      <x:c r="B4824" t="str">
        <x:v>Radiant</x:v>
      </x:c>
      <x:c r="C4824" t="str">
        <x:v>F</x:v>
      </x:c>
      <x:c r="D4824" t="str">
        <x:v>SI1</x:v>
      </x:c>
      <x:c r="E4824" s="36" t="n">
        <x:v>168000</x:v>
      </x:c>
      <x:c r="F4824" s="36" t="n">
        <x:v>3331</x:v>
      </x:c>
      <x:c r="G4824" s="42" t="n">
        <x:v>0.7145002145002145</x:v>
      </x:c>
      <x:c r="H4824" s="36" t="n">
        <x:f>E4824*G4824</x:f>
        <x:v>120036.03603603604</x:v>
      </x:c>
      <x:c r="I4824" s="36" t="n">
        <x:f>IFERROR(H4824/A4824,0)</x:f>
        <x:v>15004.504504504504</x:v>
      </x:c>
      <x:c r="J4824" s="67" t="str">
        <x:v>Modeled from live base + Sep-2026 quality ratio</x:v>
      </x:c>
      <x:c r="K4824" s="67" t="str">
        <x:v>https://www.stonealgo.com/diamond-prices/</x:v>
      </x:c>
      <x:c r="L4824" s="67" t="str">
        <x:v>https://www.pricescope.com/blog/natural-diamond-prices-september-2026</x:v>
      </x:c>
    </x:row>
    <x:row r="4825">
      <x:c r="A4825" t="n">
        <x:v>8</x:v>
      </x:c>
      <x:c r="B4825" t="str">
        <x:v>Radiant</x:v>
      </x:c>
      <x:c r="C4825" t="str">
        <x:v>F</x:v>
      </x:c>
      <x:c r="D4825" t="str">
        <x:v>SI2</x:v>
      </x:c>
      <x:c r="E4825" s="36" t="n">
        <x:v>168000</x:v>
      </x:c>
      <x:c r="F4825" s="36" t="n">
        <x:v>2733</x:v>
      </x:c>
      <x:c r="G4825" s="42" t="n">
        <x:v>0.5862290862290862</x:v>
      </x:c>
      <x:c r="H4825" s="36" t="n">
        <x:f>E4825*G4825</x:f>
        <x:v>98486.48648648648</x:v>
      </x:c>
      <x:c r="I4825" s="36" t="n">
        <x:f>IFERROR(H4825/A4825,0)</x:f>
        <x:v>12310.81081081081</x:v>
      </x:c>
      <x:c r="J4825" s="67" t="str">
        <x:v>Modeled from live base + Sep-2026 quality ratio</x:v>
      </x:c>
      <x:c r="K4825" s="67" t="str">
        <x:v>https://www.stonealgo.com/diamond-prices/</x:v>
      </x:c>
      <x:c r="L4825" s="67" t="str">
        <x:v>https://www.pricescope.com/blog/natural-diamond-prices-september-2026</x:v>
      </x:c>
    </x:row>
    <x:row r="4826">
      <x:c r="A4826" t="n">
        <x:v>8</x:v>
      </x:c>
      <x:c r="B4826" t="str">
        <x:v>Radiant</x:v>
      </x:c>
      <x:c r="C4826" t="str">
        <x:v>G</x:v>
      </x:c>
      <x:c r="D4826" t="str">
        <x:v>FL</x:v>
      </x:c>
      <x:c r="E4826" s="36" t="n">
        <x:v>168000</x:v>
      </x:c>
      <x:c r="F4826" s="36" t="n">
        <x:v>5905</x:v>
      </x:c>
      <x:c r="G4826" s="42" t="n">
        <x:v>1.2666237666237665</x:v>
      </x:c>
      <x:c r="H4826" s="36" t="n">
        <x:f>E4826*G4826</x:f>
        <x:v>212792.79279279278</x:v>
      </x:c>
      <x:c r="I4826" s="36" t="n">
        <x:f>IFERROR(H4826/A4826,0)</x:f>
        <x:v>26599.099099099098</x:v>
      </x:c>
      <x:c r="J4826" s="67" t="str">
        <x:v>Modeled from live base + Sep-2026 quality ratio</x:v>
      </x:c>
      <x:c r="K4826" s="67" t="str">
        <x:v>https://www.stonealgo.com/diamond-prices/</x:v>
      </x:c>
      <x:c r="L4826" s="67" t="str">
        <x:v>https://www.pricescope.com/blog/natural-diamond-prices-september-2026</x:v>
      </x:c>
    </x:row>
    <x:row r="4827">
      <x:c r="A4827" t="n">
        <x:v>8</x:v>
      </x:c>
      <x:c r="B4827" t="str">
        <x:v>Radiant</x:v>
      </x:c>
      <x:c r="C4827" t="str">
        <x:v>G</x:v>
      </x:c>
      <x:c r="D4827" t="str">
        <x:v>IF</x:v>
      </x:c>
      <x:c r="E4827" s="36" t="n">
        <x:v>168000</x:v>
      </x:c>
      <x:c r="F4827" s="36" t="n">
        <x:v>5601</x:v>
      </x:c>
      <x:c r="G4827" s="42" t="n">
        <x:v>1.2014157014157014</x:v>
      </x:c>
      <x:c r="H4827" s="36" t="n">
        <x:f>E4827*G4827</x:f>
        <x:v>201837.83783783784</x:v>
      </x:c>
      <x:c r="I4827" s="36" t="n">
        <x:f>IFERROR(H4827/A4827,0)</x:f>
        <x:v>25229.72972972973</x:v>
      </x:c>
      <x:c r="J4827" s="67" t="str">
        <x:v>Modeled from live base + Sep-2026 quality ratio</x:v>
      </x:c>
      <x:c r="K4827" s="67" t="str">
        <x:v>https://www.stonealgo.com/diamond-prices/</x:v>
      </x:c>
      <x:c r="L4827" s="67" t="str">
        <x:v>https://www.pricescope.com/blog/natural-diamond-prices-september-2026</x:v>
      </x:c>
    </x:row>
    <x:row r="4828">
      <x:c r="A4828" t="n">
        <x:v>8</x:v>
      </x:c>
      <x:c r="B4828" t="str">
        <x:v>Radiant</x:v>
      </x:c>
      <x:c r="C4828" t="str">
        <x:v>G</x:v>
      </x:c>
      <x:c r="D4828" t="str">
        <x:v>VVS1</x:v>
      </x:c>
      <x:c r="E4828" s="36" t="n">
        <x:v>168000</x:v>
      </x:c>
      <x:c r="F4828" s="36" t="n">
        <x:v>5124</x:v>
      </x:c>
      <x:c r="G4828" s="42" t="n">
        <x:v>1.0990990990990992</x:v>
      </x:c>
      <x:c r="H4828" s="36" t="n">
        <x:f>E4828*G4828</x:f>
        <x:v>184648.64864864867</x:v>
      </x:c>
      <x:c r="I4828" s="36" t="n">
        <x:f>IFERROR(H4828/A4828,0)</x:f>
        <x:v>23081.081081081084</x:v>
      </x:c>
      <x:c r="J4828" s="67" t="str">
        <x:v>Modeled from live base + Sep-2026 quality ratio</x:v>
      </x:c>
      <x:c r="K4828" s="67" t="str">
        <x:v>https://www.stonealgo.com/diamond-prices/</x:v>
      </x:c>
      <x:c r="L4828" s="67" t="str">
        <x:v>https://www.pricescope.com/blog/natural-diamond-prices-september-2026</x:v>
      </x:c>
    </x:row>
    <x:row r="4829">
      <x:c r="A4829" t="n">
        <x:v>8</x:v>
      </x:c>
      <x:c r="B4829" t="str">
        <x:v>Radiant</x:v>
      </x:c>
      <x:c r="C4829" t="str">
        <x:v>G</x:v>
      </x:c>
      <x:c r="D4829" t="str">
        <x:v>VVS2</x:v>
      </x:c>
      <x:c r="E4829" s="36" t="n">
        <x:v>168000</x:v>
      </x:c>
      <x:c r="F4829" s="36" t="n">
        <x:v>4962</x:v>
      </x:c>
      <x:c r="G4829" s="42" t="n">
        <x:v>1.0643500643500643</x:v>
      </x:c>
      <x:c r="H4829" s="36" t="n">
        <x:f>E4829*G4829</x:f>
        <x:v>178810.8108108108</x:v>
      </x:c>
      <x:c r="I4829" s="36" t="n">
        <x:f>IFERROR(H4829/A4829,0)</x:f>
        <x:v>22351.35135135135</x:v>
      </x:c>
      <x:c r="J4829" s="67" t="str">
        <x:v>Modeled from live base + Sep-2026 quality ratio</x:v>
      </x:c>
      <x:c r="K4829" s="67" t="str">
        <x:v>https://www.stonealgo.com/diamond-prices/</x:v>
      </x:c>
      <x:c r="L4829" s="67" t="str">
        <x:v>https://www.pricescope.com/blog/natural-diamond-prices-september-2026</x:v>
      </x:c>
    </x:row>
    <x:row r="4830">
      <x:c r="A4830" t="n">
        <x:v>8</x:v>
      </x:c>
      <x:c r="B4830" t="str">
        <x:v>Radiant</x:v>
      </x:c>
      <x:c r="C4830" t="str">
        <x:v>G</x:v>
      </x:c>
      <x:c r="D4830" t="str">
        <x:v>VS1</x:v>
      </x:c>
      <x:c r="E4830" s="36" t="n">
        <x:v>168000</x:v>
      </x:c>
      <x:c r="F4830" s="36" t="n">
        <x:v>4615</x:v>
      </x:c>
      <x:c r="G4830" s="42" t="n">
        <x:v>0.98991848991849</x:v>
      </x:c>
      <x:c r="H4830" s="36" t="n">
        <x:f>E4830*G4830</x:f>
        <x:v>166306.3063063063</x:v>
      </x:c>
      <x:c r="I4830" s="36" t="n">
        <x:f>IFERROR(H4830/A4830,0)</x:f>
        <x:v>20788.288288288288</x:v>
      </x:c>
      <x:c r="J4830" s="67" t="str">
        <x:v>Modeled from live base + Sep-2026 quality ratio</x:v>
      </x:c>
      <x:c r="K4830" s="67" t="str">
        <x:v>https://www.stonealgo.com/diamond-prices/</x:v>
      </x:c>
      <x:c r="L4830" s="67" t="str">
        <x:v>https://www.pricescope.com/blog/natural-diamond-prices-september-2026</x:v>
      </x:c>
    </x:row>
    <x:row r="4831">
      <x:c r="A4831" t="n">
        <x:v>8</x:v>
      </x:c>
      <x:c r="B4831" t="str">
        <x:v>Radiant</x:v>
      </x:c>
      <x:c r="C4831" t="str">
        <x:v>G</x:v>
      </x:c>
      <x:c r="D4831" t="str">
        <x:v>VS2</x:v>
      </x:c>
      <x:c r="E4831" s="36" t="n">
        <x:v>168000</x:v>
      </x:c>
      <x:c r="F4831" s="36" t="n">
        <x:v>4585</x:v>
      </x:c>
      <x:c r="G4831" s="42" t="n">
        <x:v>0.9834834834834835</x:v>
      </x:c>
      <x:c r="H4831" s="36" t="n">
        <x:f>E4831*G4831</x:f>
        <x:v>165225.22522522524</x:v>
      </x:c>
      <x:c r="I4831" s="36" t="n">
        <x:f>IFERROR(H4831/A4831,0)</x:f>
        <x:v>20653.153153153155</x:v>
      </x:c>
      <x:c r="J4831" s="67" t="str">
        <x:v>Modeled from live base + Sep-2026 quality ratio</x:v>
      </x:c>
      <x:c r="K4831" s="67" t="str">
        <x:v>https://www.stonealgo.com/diamond-prices/</x:v>
      </x:c>
      <x:c r="L4831" s="67" t="str">
        <x:v>https://www.pricescope.com/blog/natural-diamond-prices-september-2026</x:v>
      </x:c>
    </x:row>
    <x:row r="4832">
      <x:c r="A4832" t="n">
        <x:v>8</x:v>
      </x:c>
      <x:c r="B4832" t="str">
        <x:v>Radiant</x:v>
      </x:c>
      <x:c r="C4832" t="str">
        <x:v>G</x:v>
      </x:c>
      <x:c r="D4832" t="str">
        <x:v>SI1</x:v>
      </x:c>
      <x:c r="E4832" s="36" t="n">
        <x:v>168000</x:v>
      </x:c>
      <x:c r="F4832" s="36" t="n">
        <x:v>3664</x:v>
      </x:c>
      <x:c r="G4832" s="42" t="n">
        <x:v>0.7859287859287859</x:v>
      </x:c>
      <x:c r="H4832" s="36" t="n">
        <x:f>E4832*G4832</x:f>
        <x:v>132036.03603603604</x:v>
      </x:c>
      <x:c r="I4832" s="36" t="n">
        <x:f>IFERROR(H4832/A4832,0)</x:f>
        <x:v>16504.504504504504</x:v>
      </x:c>
      <x:c r="J4832" s="67" t="str">
        <x:v>Modeled from live base + Sep-2026 quality ratio</x:v>
      </x:c>
      <x:c r="K4832" s="67" t="str">
        <x:v>https://www.stonealgo.com/diamond-prices/</x:v>
      </x:c>
      <x:c r="L4832" s="67" t="str">
        <x:v>https://www.pricescope.com/blog/natural-diamond-prices-september-2026</x:v>
      </x:c>
    </x:row>
    <x:row r="4833">
      <x:c r="A4833" t="n">
        <x:v>8</x:v>
      </x:c>
      <x:c r="B4833" t="str">
        <x:v>Radiant</x:v>
      </x:c>
      <x:c r="C4833" t="str">
        <x:v>G</x:v>
      </x:c>
      <x:c r="D4833" t="str">
        <x:v>SI2</x:v>
      </x:c>
      <x:c r="E4833" s="36" t="n">
        <x:v>168000</x:v>
      </x:c>
      <x:c r="F4833" s="36" t="n">
        <x:v>2537</x:v>
      </x:c>
      <x:c r="G4833" s="42" t="n">
        <x:v>0.5441870441870442</x:v>
      </x:c>
      <x:c r="H4833" s="36" t="n">
        <x:f>E4833*G4833</x:f>
        <x:v>91423.42342342343</x:v>
      </x:c>
      <x:c r="I4833" s="36" t="n">
        <x:f>IFERROR(H4833/A4833,0)</x:f>
        <x:v>11427.927927927929</x:v>
      </x:c>
      <x:c r="J4833" s="67" t="str">
        <x:v>Modeled from live base + Sep-2026 quality ratio</x:v>
      </x:c>
      <x:c r="K4833" s="67" t="str">
        <x:v>https://www.stonealgo.com/diamond-prices/</x:v>
      </x:c>
      <x:c r="L4833" s="67" t="str">
        <x:v>https://www.pricescope.com/blog/natural-diamond-prices-september-2026</x:v>
      </x:c>
    </x:row>
    <x:row r="4834">
      <x:c r="A4834" t="n">
        <x:v>8</x:v>
      </x:c>
      <x:c r="B4834" t="str">
        <x:v>Radiant</x:v>
      </x:c>
      <x:c r="C4834" t="str">
        <x:v>H</x:v>
      </x:c>
      <x:c r="D4834" t="str">
        <x:v>FL</x:v>
      </x:c>
      <x:c r="E4834" s="36" t="n">
        <x:v>168000</x:v>
      </x:c>
      <x:c r="F4834" s="36" t="n">
        <x:v>4563</x:v>
      </x:c>
      <x:c r="G4834" s="42" t="n">
        <x:v>0.9787644787644788</x:v>
      </x:c>
      <x:c r="H4834" s="36" t="n">
        <x:f>E4834*G4834</x:f>
        <x:v>164432.43243243243</x:v>
      </x:c>
      <x:c r="I4834" s="36" t="n">
        <x:f>IFERROR(H4834/A4834,0)</x:f>
        <x:v>20554.054054054053</x:v>
      </x:c>
      <x:c r="J4834" s="67" t="str">
        <x:v>Modeled from live base + Sep-2026 quality ratio</x:v>
      </x:c>
      <x:c r="K4834" s="67" t="str">
        <x:v>https://www.stonealgo.com/diamond-prices/</x:v>
      </x:c>
      <x:c r="L4834" s="67" t="str">
        <x:v>https://www.pricescope.com/blog/natural-diamond-prices-september-2026</x:v>
      </x:c>
    </x:row>
    <x:row r="4835">
      <x:c r="A4835" t="n">
        <x:v>8</x:v>
      </x:c>
      <x:c r="B4835" t="str">
        <x:v>Radiant</x:v>
      </x:c>
      <x:c r="C4835" t="str">
        <x:v>H</x:v>
      </x:c>
      <x:c r="D4835" t="str">
        <x:v>IF</x:v>
      </x:c>
      <x:c r="E4835" s="36" t="n">
        <x:v>168000</x:v>
      </x:c>
      <x:c r="F4835" s="36" t="n">
        <x:v>4809</x:v>
      </x:c>
      <x:c r="G4835" s="42" t="n">
        <x:v>1.0315315315315314</x:v>
      </x:c>
      <x:c r="H4835" s="36" t="n">
        <x:f>E4835*G4835</x:f>
        <x:v>173297.29729729728</x:v>
      </x:c>
      <x:c r="I4835" s="36" t="n">
        <x:f>IFERROR(H4835/A4835,0)</x:f>
        <x:v>21662.16216216216</x:v>
      </x:c>
      <x:c r="J4835" s="67" t="str">
        <x:v>Modeled from live base + Sep-2026 quality ratio</x:v>
      </x:c>
      <x:c r="K4835" s="67" t="str">
        <x:v>https://www.stonealgo.com/diamond-prices/</x:v>
      </x:c>
      <x:c r="L4835" s="67" t="str">
        <x:v>https://www.pricescope.com/blog/natural-diamond-prices-september-2026</x:v>
      </x:c>
    </x:row>
    <x:row r="4836">
      <x:c r="A4836" t="n">
        <x:v>8</x:v>
      </x:c>
      <x:c r="B4836" t="str">
        <x:v>Radiant</x:v>
      </x:c>
      <x:c r="C4836" t="str">
        <x:v>H</x:v>
      </x:c>
      <x:c r="D4836" t="str">
        <x:v>VVS1</x:v>
      </x:c>
      <x:c r="E4836" s="36" t="n">
        <x:v>168000</x:v>
      </x:c>
      <x:c r="F4836" s="36" t="n">
        <x:v>4911</x:v>
      </x:c>
      <x:c r="G4836" s="42" t="n">
        <x:v>1.0534105534105533</x:v>
      </x:c>
      <x:c r="H4836" s="36" t="n">
        <x:f>E4836*G4836</x:f>
        <x:v>176972.97297297296</x:v>
      </x:c>
      <x:c r="I4836" s="36" t="n">
        <x:f>IFERROR(H4836/A4836,0)</x:f>
        <x:v>22121.62162162162</x:v>
      </x:c>
      <x:c r="J4836" s="67" t="str">
        <x:v>Modeled from live base + Sep-2026 quality ratio</x:v>
      </x:c>
      <x:c r="K4836" s="67" t="str">
        <x:v>https://www.stonealgo.com/diamond-prices/</x:v>
      </x:c>
      <x:c r="L4836" s="67" t="str">
        <x:v>https://www.pricescope.com/blog/natural-diamond-prices-september-2026</x:v>
      </x:c>
    </x:row>
    <x:row r="4837">
      <x:c r="A4837" t="n">
        <x:v>8</x:v>
      </x:c>
      <x:c r="B4837" t="str">
        <x:v>Radiant</x:v>
      </x:c>
      <x:c r="C4837" t="str">
        <x:v>H</x:v>
      </x:c>
      <x:c r="D4837" t="str">
        <x:v>VVS2</x:v>
      </x:c>
      <x:c r="E4837" s="36" t="n">
        <x:v>168000</x:v>
      </x:c>
      <x:c r="F4837" s="36" t="n">
        <x:v>4046</x:v>
      </x:c>
      <x:c r="G4837" s="42" t="n">
        <x:v>0.8678678678678678</x:v>
      </x:c>
      <x:c r="H4837" s="36" t="n">
        <x:f>E4837*G4837</x:f>
        <x:v>145801.8018018018</x:v>
      </x:c>
      <x:c r="I4837" s="36" t="n">
        <x:f>IFERROR(H4837/A4837,0)</x:f>
        <x:v>18225.225225225226</x:v>
      </x:c>
      <x:c r="J4837" s="67" t="str">
        <x:v>Modeled from live base + Sep-2026 quality ratio</x:v>
      </x:c>
      <x:c r="K4837" s="67" t="str">
        <x:v>https://www.stonealgo.com/diamond-prices/</x:v>
      </x:c>
      <x:c r="L4837" s="67" t="str">
        <x:v>https://www.pricescope.com/blog/natural-diamond-prices-september-2026</x:v>
      </x:c>
    </x:row>
    <x:row r="4838">
      <x:c r="A4838" t="n">
        <x:v>8</x:v>
      </x:c>
      <x:c r="B4838" t="str">
        <x:v>Radiant</x:v>
      </x:c>
      <x:c r="C4838" t="str">
        <x:v>H</x:v>
      </x:c>
      <x:c r="D4838" t="str">
        <x:v>VS1</x:v>
      </x:c>
      <x:c r="E4838" s="36" t="n">
        <x:v>168000</x:v>
      </x:c>
      <x:c r="F4838" s="36" t="n">
        <x:v>3893</x:v>
      </x:c>
      <x:c r="G4838" s="42" t="n">
        <x:v>0.8350493350493351</x:v>
      </x:c>
      <x:c r="H4838" s="36" t="n">
        <x:f>E4838*G4838</x:f>
        <x:v>140288.28828828828</x:v>
      </x:c>
      <x:c r="I4838" s="36" t="n">
        <x:f>IFERROR(H4838/A4838,0)</x:f>
        <x:v>17536.036036036036</x:v>
      </x:c>
      <x:c r="J4838" s="67" t="str">
        <x:v>Modeled from live base + Sep-2026 quality ratio</x:v>
      </x:c>
      <x:c r="K4838" s="67" t="str">
        <x:v>https://www.stonealgo.com/diamond-prices/</x:v>
      </x:c>
      <x:c r="L4838" s="67" t="str">
        <x:v>https://www.pricescope.com/blog/natural-diamond-prices-september-2026</x:v>
      </x:c>
    </x:row>
    <x:row r="4839">
      <x:c r="A4839" t="n">
        <x:v>8</x:v>
      </x:c>
      <x:c r="B4839" t="str">
        <x:v>Radiant</x:v>
      </x:c>
      <x:c r="C4839" t="str">
        <x:v>H</x:v>
      </x:c>
      <x:c r="D4839" t="str">
        <x:v>VS2</x:v>
      </x:c>
      <x:c r="E4839" s="36" t="n">
        <x:v>168000</x:v>
      </x:c>
      <x:c r="F4839" s="36" t="n">
        <x:v>3989</x:v>
      </x:c>
      <x:c r="G4839" s="42" t="n">
        <x:v>0.8556413556413557</x:v>
      </x:c>
      <x:c r="H4839" s="36" t="n">
        <x:f>E4839*G4839</x:f>
        <x:v>143747.74774774775</x:v>
      </x:c>
      <x:c r="I4839" s="36" t="n">
        <x:f>IFERROR(H4839/A4839,0)</x:f>
        <x:v>17968.46846846847</x:v>
      </x:c>
      <x:c r="J4839" s="67" t="str">
        <x:v>Modeled from live base + Sep-2026 quality ratio</x:v>
      </x:c>
      <x:c r="K4839" s="67" t="str">
        <x:v>https://www.stonealgo.com/diamond-prices/</x:v>
      </x:c>
      <x:c r="L4839" s="67" t="str">
        <x:v>https://www.pricescope.com/blog/natural-diamond-prices-september-2026</x:v>
      </x:c>
    </x:row>
    <x:row r="4840">
      <x:c r="A4840" t="n">
        <x:v>8</x:v>
      </x:c>
      <x:c r="B4840" t="str">
        <x:v>Radiant</x:v>
      </x:c>
      <x:c r="C4840" t="str">
        <x:v>H</x:v>
      </x:c>
      <x:c r="D4840" t="str">
        <x:v>SI1</x:v>
      </x:c>
      <x:c r="E4840" s="36" t="n">
        <x:v>168000</x:v>
      </x:c>
      <x:c r="F4840" s="36" t="n">
        <x:v>2828</x:v>
      </x:c>
      <x:c r="G4840" s="42" t="n">
        <x:v>0.6066066066066066</x:v>
      </x:c>
      <x:c r="H4840" s="36" t="n">
        <x:f>E4840*G4840</x:f>
        <x:v>101909.90990990991</x:v>
      </x:c>
      <x:c r="I4840" s="36" t="n">
        <x:f>IFERROR(H4840/A4840,0)</x:f>
        <x:v>12738.738738738739</x:v>
      </x:c>
      <x:c r="J4840" s="67" t="str">
        <x:v>Modeled from live base + Sep-2026 quality ratio</x:v>
      </x:c>
      <x:c r="K4840" s="67" t="str">
        <x:v>https://www.stonealgo.com/diamond-prices/</x:v>
      </x:c>
      <x:c r="L4840" s="67" t="str">
        <x:v>https://www.pricescope.com/blog/natural-diamond-prices-september-2026</x:v>
      </x:c>
    </x:row>
    <x:row r="4841">
      <x:c r="A4841" t="n">
        <x:v>8</x:v>
      </x:c>
      <x:c r="B4841" t="str">
        <x:v>Radiant</x:v>
      </x:c>
      <x:c r="C4841" t="str">
        <x:v>H</x:v>
      </x:c>
      <x:c r="D4841" t="str">
        <x:v>SI2</x:v>
      </x:c>
      <x:c r="E4841" s="36" t="n">
        <x:v>168000</x:v>
      </x:c>
      <x:c r="F4841" s="36" t="n">
        <x:v>2328</x:v>
      </x:c>
      <x:c r="G4841" s="42" t="n">
        <x:v>0.49935649935649934</x:v>
      </x:c>
      <x:c r="H4841" s="36" t="n">
        <x:f>E4841*G4841</x:f>
        <x:v>83891.8918918919</x:v>
      </x:c>
      <x:c r="I4841" s="36" t="n">
        <x:f>IFERROR(H4841/A4841,0)</x:f>
        <x:v>10486.486486486487</x:v>
      </x:c>
      <x:c r="J4841" s="67" t="str">
        <x:v>Modeled from live base + Sep-2026 quality ratio</x:v>
      </x:c>
      <x:c r="K4841" s="67" t="str">
        <x:v>https://www.stonealgo.com/diamond-prices/</x:v>
      </x:c>
      <x:c r="L4841" s="67" t="str">
        <x:v>https://www.pricescope.com/blog/natural-diamond-prices-september-2026</x:v>
      </x:c>
    </x:row>
    <x:row r="4842">
      <x:c r="A4842" t="n">
        <x:v>8</x:v>
      </x:c>
      <x:c r="B4842" t="str">
        <x:v>Radiant</x:v>
      </x:c>
      <x:c r="C4842" t="str">
        <x:v>I</x:v>
      </x:c>
      <x:c r="D4842" t="str">
        <x:v>FL</x:v>
      </x:c>
      <x:c r="E4842" s="36" t="n">
        <x:v>168000</x:v>
      </x:c>
      <x:c r="F4842" s="36" t="n">
        <x:v>4623</x:v>
      </x:c>
      <x:c r="G4842" s="42" t="n">
        <x:v>0.9916344916344917</x:v>
      </x:c>
      <x:c r="H4842" s="36" t="n">
        <x:f>E4842*G4842</x:f>
        <x:v>166594.59459459462</x:v>
      </x:c>
      <x:c r="I4842" s="36" t="n">
        <x:f>IFERROR(H4842/A4842,0)</x:f>
        <x:v>20824.324324324327</x:v>
      </x:c>
      <x:c r="J4842" s="67" t="str">
        <x:v>Modeled from live base + Sep-2026 quality ratio</x:v>
      </x:c>
      <x:c r="K4842" s="67" t="str">
        <x:v>https://www.stonealgo.com/diamond-prices/</x:v>
      </x:c>
      <x:c r="L4842" s="67" t="str">
        <x:v>https://www.pricescope.com/blog/natural-diamond-prices-september-2026</x:v>
      </x:c>
    </x:row>
    <x:row r="4843">
      <x:c r="A4843" t="n">
        <x:v>8</x:v>
      </x:c>
      <x:c r="B4843" t="str">
        <x:v>Radiant</x:v>
      </x:c>
      <x:c r="C4843" t="str">
        <x:v>I</x:v>
      </x:c>
      <x:c r="D4843" t="str">
        <x:v>IF</x:v>
      </x:c>
      <x:c r="E4843" s="36" t="n">
        <x:v>168000</x:v>
      </x:c>
      <x:c r="F4843" s="36" t="n">
        <x:v>4005</x:v>
      </x:c>
      <x:c r="G4843" s="42" t="n">
        <x:v>0.859073359073359</x:v>
      </x:c>
      <x:c r="H4843" s="36" t="n">
        <x:f>E4843*G4843</x:f>
        <x:v>144324.32432432432</x:v>
      </x:c>
      <x:c r="I4843" s="36" t="n">
        <x:f>IFERROR(H4843/A4843,0)</x:f>
        <x:v>18040.54054054054</x:v>
      </x:c>
      <x:c r="J4843" s="67" t="str">
        <x:v>Modeled from live base + Sep-2026 quality ratio</x:v>
      </x:c>
      <x:c r="K4843" s="67" t="str">
        <x:v>https://www.stonealgo.com/diamond-prices/</x:v>
      </x:c>
      <x:c r="L4843" s="67" t="str">
        <x:v>https://www.pricescope.com/blog/natural-diamond-prices-september-2026</x:v>
      </x:c>
    </x:row>
    <x:row r="4844">
      <x:c r="A4844" t="n">
        <x:v>8</x:v>
      </x:c>
      <x:c r="B4844" t="str">
        <x:v>Radiant</x:v>
      </x:c>
      <x:c r="C4844" t="str">
        <x:v>I</x:v>
      </x:c>
      <x:c r="D4844" t="str">
        <x:v>VVS1</x:v>
      </x:c>
      <x:c r="E4844" s="36" t="n">
        <x:v>168000</x:v>
      </x:c>
      <x:c r="F4844" s="36" t="n">
        <x:v>3670</x:v>
      </x:c>
      <x:c r="G4844" s="42" t="n">
        <x:v>0.7872157872157872</x:v>
      </x:c>
      <x:c r="H4844" s="36" t="n">
        <x:f>E4844*G4844</x:f>
        <x:v>132252.25225225225</x:v>
      </x:c>
      <x:c r="I4844" s="36" t="n">
        <x:f>IFERROR(H4844/A4844,0)</x:f>
        <x:v>16531.53153153153</x:v>
      </x:c>
      <x:c r="J4844" s="67" t="str">
        <x:v>Modeled from live base + Sep-2026 quality ratio</x:v>
      </x:c>
      <x:c r="K4844" s="67" t="str">
        <x:v>https://www.stonealgo.com/diamond-prices/</x:v>
      </x:c>
      <x:c r="L4844" s="67" t="str">
        <x:v>https://www.pricescope.com/blog/natural-diamond-prices-september-2026</x:v>
      </x:c>
    </x:row>
    <x:row r="4845">
      <x:c r="A4845" t="n">
        <x:v>8</x:v>
      </x:c>
      <x:c r="B4845" t="str">
        <x:v>Radiant</x:v>
      </x:c>
      <x:c r="C4845" t="str">
        <x:v>I</x:v>
      </x:c>
      <x:c r="D4845" t="str">
        <x:v>VVS2</x:v>
      </x:c>
      <x:c r="E4845" s="36" t="n">
        <x:v>168000</x:v>
      </x:c>
      <x:c r="F4845" s="36" t="n">
        <x:v>3447</x:v>
      </x:c>
      <x:c r="G4845" s="42" t="n">
        <x:v>0.7393822393822393</x:v>
      </x:c>
      <x:c r="H4845" s="36" t="n">
        <x:f>E4845*G4845</x:f>
        <x:v>124216.21621621621</x:v>
      </x:c>
      <x:c r="I4845" s="36" t="n">
        <x:f>IFERROR(H4845/A4845,0)</x:f>
        <x:v>15527.027027027027</x:v>
      </x:c>
      <x:c r="J4845" s="67" t="str">
        <x:v>Modeled from live base + Sep-2026 quality ratio</x:v>
      </x:c>
      <x:c r="K4845" s="67" t="str">
        <x:v>https://www.stonealgo.com/diamond-prices/</x:v>
      </x:c>
      <x:c r="L4845" s="67" t="str">
        <x:v>https://www.pricescope.com/blog/natural-diamond-prices-september-2026</x:v>
      </x:c>
    </x:row>
    <x:row r="4846">
      <x:c r="A4846" t="n">
        <x:v>8</x:v>
      </x:c>
      <x:c r="B4846" t="str">
        <x:v>Radiant</x:v>
      </x:c>
      <x:c r="C4846" t="str">
        <x:v>I</x:v>
      </x:c>
      <x:c r="D4846" t="str">
        <x:v>VS1</x:v>
      </x:c>
      <x:c r="E4846" s="36" t="n">
        <x:v>168000</x:v>
      </x:c>
      <x:c r="F4846" s="36" t="n">
        <x:v>3313</x:v>
      </x:c>
      <x:c r="G4846" s="42" t="n">
        <x:v>0.7106392106392107</x:v>
      </x:c>
      <x:c r="H4846" s="36" t="n">
        <x:f>E4846*G4846</x:f>
        <x:v>119387.3873873874</x:v>
      </x:c>
      <x:c r="I4846" s="36" t="n">
        <x:f>IFERROR(H4846/A4846,0)</x:f>
        <x:v>14923.423423423425</x:v>
      </x:c>
      <x:c r="J4846" s="67" t="str">
        <x:v>Modeled from live base + Sep-2026 quality ratio</x:v>
      </x:c>
      <x:c r="K4846" s="67" t="str">
        <x:v>https://www.stonealgo.com/diamond-prices/</x:v>
      </x:c>
      <x:c r="L4846" s="67" t="str">
        <x:v>https://www.pricescope.com/blog/natural-diamond-prices-september-2026</x:v>
      </x:c>
    </x:row>
    <x:row r="4847">
      <x:c r="A4847" t="n">
        <x:v>8</x:v>
      </x:c>
      <x:c r="B4847" t="str">
        <x:v>Radiant</x:v>
      </x:c>
      <x:c r="C4847" t="str">
        <x:v>I</x:v>
      </x:c>
      <x:c r="D4847" t="str">
        <x:v>VS2</x:v>
      </x:c>
      <x:c r="E4847" s="36" t="n">
        <x:v>168000</x:v>
      </x:c>
      <x:c r="F4847" s="36" t="n">
        <x:v>3240</x:v>
      </x:c>
      <x:c r="G4847" s="42" t="n">
        <x:v>0.694980694980695</x:v>
      </x:c>
      <x:c r="H4847" s="36" t="n">
        <x:f>E4847*G4847</x:f>
        <x:v>116756.75675675676</x:v>
      </x:c>
      <x:c r="I4847" s="36" t="n">
        <x:f>IFERROR(H4847/A4847,0)</x:f>
        <x:v>14594.594594594595</x:v>
      </x:c>
      <x:c r="J4847" s="67" t="str">
        <x:v>Modeled from live base + Sep-2026 quality ratio</x:v>
      </x:c>
      <x:c r="K4847" s="67" t="str">
        <x:v>https://www.stonealgo.com/diamond-prices/</x:v>
      </x:c>
      <x:c r="L4847" s="67" t="str">
        <x:v>https://www.pricescope.com/blog/natural-diamond-prices-september-2026</x:v>
      </x:c>
    </x:row>
    <x:row r="4848">
      <x:c r="A4848" t="n">
        <x:v>8</x:v>
      </x:c>
      <x:c r="B4848" t="str">
        <x:v>Radiant</x:v>
      </x:c>
      <x:c r="C4848" t="str">
        <x:v>I</x:v>
      </x:c>
      <x:c r="D4848" t="str">
        <x:v>SI1</x:v>
      </x:c>
      <x:c r="E4848" s="36" t="n">
        <x:v>168000</x:v>
      </x:c>
      <x:c r="F4848" s="36" t="n">
        <x:v>3199</x:v>
      </x:c>
      <x:c r="G4848" s="42" t="n">
        <x:v>0.6861861861861862</x:v>
      </x:c>
      <x:c r="H4848" s="36" t="n">
        <x:f>E4848*G4848</x:f>
        <x:v>115279.27927927929</x:v>
      </x:c>
      <x:c r="I4848" s="36" t="n">
        <x:f>IFERROR(H4848/A4848,0)</x:f>
        <x:v>14409.909909909911</x:v>
      </x:c>
      <x:c r="J4848" s="67" t="str">
        <x:v>Modeled from live base + Sep-2026 quality ratio</x:v>
      </x:c>
      <x:c r="K4848" s="67" t="str">
        <x:v>https://www.stonealgo.com/diamond-prices/</x:v>
      </x:c>
      <x:c r="L4848" s="67" t="str">
        <x:v>https://www.pricescope.com/blog/natural-diamond-prices-september-2026</x:v>
      </x:c>
    </x:row>
    <x:row r="4849">
      <x:c r="A4849" t="n">
        <x:v>8</x:v>
      </x:c>
      <x:c r="B4849" t="str">
        <x:v>Radiant</x:v>
      </x:c>
      <x:c r="C4849" t="str">
        <x:v>I</x:v>
      </x:c>
      <x:c r="D4849" t="str">
        <x:v>SI2</x:v>
      </x:c>
      <x:c r="E4849" s="36" t="n">
        <x:v>168000</x:v>
      </x:c>
      <x:c r="F4849" s="36" t="n">
        <x:v>2874</x:v>
      </x:c>
      <x:c r="G4849" s="42" t="n">
        <x:v>0.6164736164736164</x:v>
      </x:c>
      <x:c r="H4849" s="36" t="n">
        <x:f>E4849*G4849</x:f>
        <x:v>103567.56756756756</x:v>
      </x:c>
      <x:c r="I4849" s="36" t="n">
        <x:f>IFERROR(H4849/A4849,0)</x:f>
        <x:v>12945.945945945945</x:v>
      </x:c>
      <x:c r="J4849" s="67" t="str">
        <x:v>Modeled from live base + Sep-2026 quality ratio</x:v>
      </x:c>
      <x:c r="K4849" s="67" t="str">
        <x:v>https://www.stonealgo.com/diamond-prices/</x:v>
      </x:c>
      <x:c r="L4849" s="67" t="str">
        <x:v>https://www.pricescope.com/blog/natural-diamond-prices-september-2026</x:v>
      </x:c>
    </x:row>
    <x:row r="4850">
      <x:c r="A4850" t="n">
        <x:v>8</x:v>
      </x:c>
      <x:c r="B4850" t="str">
        <x:v>Radiant</x:v>
      </x:c>
      <x:c r="C4850" t="str">
        <x:v>J</x:v>
      </x:c>
      <x:c r="D4850" t="str">
        <x:v>FL</x:v>
      </x:c>
      <x:c r="E4850" s="36" t="n">
        <x:v>168000</x:v>
      </x:c>
      <x:c r="F4850" s="36" t="n">
        <x:v>3646</x:v>
      </x:c>
      <x:c r="G4850" s="42" t="n">
        <x:v>0.782067782067782</x:v>
      </x:c>
      <x:c r="H4850" s="36" t="n">
        <x:f>E4850*G4850</x:f>
        <x:v>131387.3873873874</x:v>
      </x:c>
      <x:c r="I4850" s="36" t="n">
        <x:f>IFERROR(H4850/A4850,0)</x:f>
        <x:v>16423.423423423425</x:v>
      </x:c>
      <x:c r="J4850" s="67" t="str">
        <x:v>Modeled from live base + Sep-2026 quality ratio</x:v>
      </x:c>
      <x:c r="K4850" s="67" t="str">
        <x:v>https://www.stonealgo.com/diamond-prices/</x:v>
      </x:c>
      <x:c r="L4850" s="67" t="str">
        <x:v>https://www.pricescope.com/blog/natural-diamond-prices-september-2026</x:v>
      </x:c>
    </x:row>
    <x:row r="4851">
      <x:c r="A4851" t="n">
        <x:v>8</x:v>
      </x:c>
      <x:c r="B4851" t="str">
        <x:v>Radiant</x:v>
      </x:c>
      <x:c r="C4851" t="str">
        <x:v>J</x:v>
      </x:c>
      <x:c r="D4851" t="str">
        <x:v>IF</x:v>
      </x:c>
      <x:c r="E4851" s="36" t="n">
        <x:v>168000</x:v>
      </x:c>
      <x:c r="F4851" s="36" t="n">
        <x:v>3368</x:v>
      </x:c>
      <x:c r="G4851" s="42" t="n">
        <x:v>0.7224367224367224</x:v>
      </x:c>
      <x:c r="H4851" s="36" t="n">
        <x:f>E4851*G4851</x:f>
        <x:v>121369.36936936936</x:v>
      </x:c>
      <x:c r="I4851" s="36" t="n">
        <x:f>IFERROR(H4851/A4851,0)</x:f>
        <x:v>15171.17117117117</x:v>
      </x:c>
      <x:c r="J4851" s="67" t="str">
        <x:v>Modeled from live base + Sep-2026 quality ratio</x:v>
      </x:c>
      <x:c r="K4851" s="67" t="str">
        <x:v>https://www.stonealgo.com/diamond-prices/</x:v>
      </x:c>
      <x:c r="L4851" s="67" t="str">
        <x:v>https://www.pricescope.com/blog/natural-diamond-prices-september-2026</x:v>
      </x:c>
    </x:row>
    <x:row r="4852">
      <x:c r="A4852" t="n">
        <x:v>8</x:v>
      </x:c>
      <x:c r="B4852" t="str">
        <x:v>Radiant</x:v>
      </x:c>
      <x:c r="C4852" t="str">
        <x:v>J</x:v>
      </x:c>
      <x:c r="D4852" t="str">
        <x:v>VVS1</x:v>
      </x:c>
      <x:c r="E4852" s="36" t="n">
        <x:v>168000</x:v>
      </x:c>
      <x:c r="F4852" s="36" t="n">
        <x:v>2956</x:v>
      </x:c>
      <x:c r="G4852" s="42" t="n">
        <x:v>0.6340626340626341</x:v>
      </x:c>
      <x:c r="H4852" s="36" t="n">
        <x:f>E4852*G4852</x:f>
        <x:v>106522.52252252253</x:v>
      </x:c>
      <x:c r="I4852" s="36" t="n">
        <x:f>IFERROR(H4852/A4852,0)</x:f>
        <x:v>13315.315315315316</x:v>
      </x:c>
      <x:c r="J4852" s="67" t="str">
        <x:v>Modeled from live base + Sep-2026 quality ratio</x:v>
      </x:c>
      <x:c r="K4852" s="67" t="str">
        <x:v>https://www.stonealgo.com/diamond-prices/</x:v>
      </x:c>
      <x:c r="L4852" s="67" t="str">
        <x:v>https://www.pricescope.com/blog/natural-diamond-prices-september-2026</x:v>
      </x:c>
    </x:row>
    <x:row r="4853">
      <x:c r="A4853" t="n">
        <x:v>8</x:v>
      </x:c>
      <x:c r="B4853" t="str">
        <x:v>Radiant</x:v>
      </x:c>
      <x:c r="C4853" t="str">
        <x:v>J</x:v>
      </x:c>
      <x:c r="D4853" t="str">
        <x:v>VVS2</x:v>
      </x:c>
      <x:c r="E4853" s="36" t="n">
        <x:v>168000</x:v>
      </x:c>
      <x:c r="F4853" s="36" t="n">
        <x:v>2612</x:v>
      </x:c>
      <x:c r="G4853" s="42" t="n">
        <x:v>0.5602745602745602</x:v>
      </x:c>
      <x:c r="H4853" s="36" t="n">
        <x:f>E4853*G4853</x:f>
        <x:v>94126.12612612612</x:v>
      </x:c>
      <x:c r="I4853" s="36" t="n">
        <x:f>IFERROR(H4853/A4853,0)</x:f>
        <x:v>11765.765765765766</x:v>
      </x:c>
      <x:c r="J4853" s="67" t="str">
        <x:v>Modeled from live base + Sep-2026 quality ratio</x:v>
      </x:c>
      <x:c r="K4853" s="67" t="str">
        <x:v>https://www.stonealgo.com/diamond-prices/</x:v>
      </x:c>
      <x:c r="L4853" s="67" t="str">
        <x:v>https://www.pricescope.com/blog/natural-diamond-prices-september-2026</x:v>
      </x:c>
    </x:row>
    <x:row r="4854">
      <x:c r="A4854" t="n">
        <x:v>8</x:v>
      </x:c>
      <x:c r="B4854" t="str">
        <x:v>Radiant</x:v>
      </x:c>
      <x:c r="C4854" t="str">
        <x:v>J</x:v>
      </x:c>
      <x:c r="D4854" t="str">
        <x:v>VS1</x:v>
      </x:c>
      <x:c r="E4854" s="36" t="n">
        <x:v>168000</x:v>
      </x:c>
      <x:c r="F4854" s="36" t="n">
        <x:v>3002</x:v>
      </x:c>
      <x:c r="G4854" s="42" t="n">
        <x:v>0.6439296439296439</x:v>
      </x:c>
      <x:c r="H4854" s="36" t="n">
        <x:f>E4854*G4854</x:f>
        <x:v>108180.18018018018</x:v>
      </x:c>
      <x:c r="I4854" s="36" t="n">
        <x:f>IFERROR(H4854/A4854,0)</x:f>
        <x:v>13522.522522522522</x:v>
      </x:c>
      <x:c r="J4854" s="67" t="str">
        <x:v>Modeled from live base + Sep-2026 quality ratio</x:v>
      </x:c>
      <x:c r="K4854" s="67" t="str">
        <x:v>https://www.stonealgo.com/diamond-prices/</x:v>
      </x:c>
      <x:c r="L4854" s="67" t="str">
        <x:v>https://www.pricescope.com/blog/natural-diamond-prices-september-2026</x:v>
      </x:c>
    </x:row>
    <x:row r="4855">
      <x:c r="A4855" t="n">
        <x:v>8</x:v>
      </x:c>
      <x:c r="B4855" t="str">
        <x:v>Radiant</x:v>
      </x:c>
      <x:c r="C4855" t="str">
        <x:v>J</x:v>
      </x:c>
      <x:c r="D4855" t="str">
        <x:v>VS2</x:v>
      </x:c>
      <x:c r="E4855" s="36" t="n">
        <x:v>168000</x:v>
      </x:c>
      <x:c r="F4855" s="36" t="n">
        <x:v>2559</x:v>
      </x:c>
      <x:c r="G4855" s="42" t="n">
        <x:v>0.5489060489060489</x:v>
      </x:c>
      <x:c r="H4855" s="36" t="n">
        <x:f>E4855*G4855</x:f>
        <x:v>92216.21621621621</x:v>
      </x:c>
      <x:c r="I4855" s="36" t="n">
        <x:f>IFERROR(H4855/A4855,0)</x:f>
        <x:v>11527.027027027027</x:v>
      </x:c>
      <x:c r="J4855" s="67" t="str">
        <x:v>Modeled from live base + Sep-2026 quality ratio</x:v>
      </x:c>
      <x:c r="K4855" s="67" t="str">
        <x:v>https://www.stonealgo.com/diamond-prices/</x:v>
      </x:c>
      <x:c r="L4855" s="67" t="str">
        <x:v>https://www.pricescope.com/blog/natural-diamond-prices-september-2026</x:v>
      </x:c>
    </x:row>
    <x:row r="4856">
      <x:c r="A4856" t="n">
        <x:v>8</x:v>
      </x:c>
      <x:c r="B4856" t="str">
        <x:v>Radiant</x:v>
      </x:c>
      <x:c r="C4856" t="str">
        <x:v>J</x:v>
      </x:c>
      <x:c r="D4856" t="str">
        <x:v>SI1</x:v>
      </x:c>
      <x:c r="E4856" s="36" t="n">
        <x:v>168000</x:v>
      </x:c>
      <x:c r="F4856" s="36" t="n">
        <x:v>2195</x:v>
      </x:c>
      <x:c r="G4856" s="42" t="n">
        <x:v>0.47082797082797084</x:v>
      </x:c>
      <x:c r="H4856" s="36" t="n">
        <x:f>E4856*G4856</x:f>
        <x:v>79099.0990990991</x:v>
      </x:c>
      <x:c r="I4856" s="36" t="n">
        <x:f>IFERROR(H4856/A4856,0)</x:f>
        <x:v>9887.387387387387</x:v>
      </x:c>
      <x:c r="J4856" s="67" t="str">
        <x:v>Modeled from live base + Sep-2026 quality ratio</x:v>
      </x:c>
      <x:c r="K4856" s="67" t="str">
        <x:v>https://www.stonealgo.com/diamond-prices/</x:v>
      </x:c>
      <x:c r="L4856" s="67" t="str">
        <x:v>https://www.pricescope.com/blog/natural-diamond-prices-september-2026</x:v>
      </x:c>
    </x:row>
    <x:row r="4857">
      <x:c r="A4857" t="n">
        <x:v>8</x:v>
      </x:c>
      <x:c r="B4857" t="str">
        <x:v>Radiant</x:v>
      </x:c>
      <x:c r="C4857" t="str">
        <x:v>J</x:v>
      </x:c>
      <x:c r="D4857" t="str">
        <x:v>SI2</x:v>
      </x:c>
      <x:c r="E4857" s="36" t="n">
        <x:v>168000</x:v>
      </x:c>
      <x:c r="F4857" s="36" t="n">
        <x:v>2079</x:v>
      </x:c>
      <x:c r="G4857" s="42" t="n">
        <x:v>0.44594594594594594</x:v>
      </x:c>
      <x:c r="H4857" s="36" t="n">
        <x:f>E4857*G4857</x:f>
        <x:v>74918.91891891892</x:v>
      </x:c>
      <x:c r="I4857" s="36" t="n">
        <x:f>IFERROR(H4857/A4857,0)</x:f>
        <x:v>9364.864864864865</x:v>
      </x:c>
      <x:c r="J4857" s="67" t="str">
        <x:v>Modeled from live base + Sep-2026 quality ratio</x:v>
      </x:c>
      <x:c r="K4857" s="67" t="str">
        <x:v>https://www.stonealgo.com/diamond-prices/</x:v>
      </x:c>
      <x:c r="L4857" s="67" t="str">
        <x:v>https://www.pricescope.com/blog/natural-diamond-prices-september-2026</x:v>
      </x:c>
    </x:row>
    <x:row r="4858">
      <x:c r="A4858" t="n">
        <x:v>8</x:v>
      </x:c>
      <x:c r="B4858" t="str">
        <x:v>Radiant</x:v>
      </x:c>
      <x:c r="C4858" t="str">
        <x:v>K</x:v>
      </x:c>
      <x:c r="D4858" t="str">
        <x:v>FL</x:v>
      </x:c>
      <x:c r="E4858" s="36" t="n">
        <x:v>168000</x:v>
      </x:c>
      <x:c r="F4858" s="36" t="n">
        <x:v>2858</x:v>
      </x:c>
      <x:c r="G4858" s="42" t="n">
        <x:v>0.6130416130416131</x:v>
      </x:c>
      <x:c r="H4858" s="36" t="n">
        <x:f>E4858*G4858</x:f>
        <x:v>102990.990990991</x:v>
      </x:c>
      <x:c r="I4858" s="36" t="n">
        <x:f>IFERROR(H4858/A4858,0)</x:f>
        <x:v>12873.873873873876</x:v>
      </x:c>
      <x:c r="J4858" s="67" t="str">
        <x:v>Modeled from live base + Sep-2026 quality ratio; K/FL quality cell modeled</x:v>
      </x:c>
      <x:c r="K4858" s="67" t="str">
        <x:v>https://www.stonealgo.com/diamond-prices/</x:v>
      </x:c>
      <x:c r="L4858" s="67" t="str">
        <x:v>https://www.pricescope.com/blog/natural-diamond-prices-september-2026</x:v>
      </x:c>
    </x:row>
    <x:row r="4859">
      <x:c r="A4859" t="n">
        <x:v>8</x:v>
      </x:c>
      <x:c r="B4859" t="str">
        <x:v>Radiant</x:v>
      </x:c>
      <x:c r="C4859" t="str">
        <x:v>K</x:v>
      </x:c>
      <x:c r="D4859" t="str">
        <x:v>IF</x:v>
      </x:c>
      <x:c r="E4859" s="36" t="n">
        <x:v>168000</x:v>
      </x:c>
      <x:c r="F4859" s="36" t="n">
        <x:v>2743</x:v>
      </x:c>
      <x:c r="G4859" s="42" t="n">
        <x:v>0.5883740883740883</x:v>
      </x:c>
      <x:c r="H4859" s="36" t="n">
        <x:f>E4859*G4859</x:f>
        <x:v>98846.84684684683</x:v>
      </x:c>
      <x:c r="I4859" s="36" t="n">
        <x:f>IFERROR(H4859/A4859,0)</x:f>
        <x:v>12355.855855855854</x:v>
      </x:c>
      <x:c r="J4859" s="67" t="str">
        <x:v>Modeled from live base + Sep-2026 quality ratio</x:v>
      </x:c>
      <x:c r="K4859" s="67" t="str">
        <x:v>https://www.stonealgo.com/diamond-prices/</x:v>
      </x:c>
      <x:c r="L4859" s="67" t="str">
        <x:v>https://www.pricescope.com/blog/natural-diamond-prices-september-2026</x:v>
      </x:c>
    </x:row>
    <x:row r="4860">
      <x:c r="A4860" t="n">
        <x:v>8</x:v>
      </x:c>
      <x:c r="B4860" t="str">
        <x:v>Radiant</x:v>
      </x:c>
      <x:c r="C4860" t="str">
        <x:v>K</x:v>
      </x:c>
      <x:c r="D4860" t="str">
        <x:v>VVS1</x:v>
      </x:c>
      <x:c r="E4860" s="36" t="n">
        <x:v>168000</x:v>
      </x:c>
      <x:c r="F4860" s="36" t="n">
        <x:v>2529</x:v>
      </x:c>
      <x:c r="G4860" s="42" t="n">
        <x:v>0.5424710424710425</x:v>
      </x:c>
      <x:c r="H4860" s="36" t="n">
        <x:f>E4860*G4860</x:f>
        <x:v>91135.13513513513</x:v>
      </x:c>
      <x:c r="I4860" s="36" t="n">
        <x:f>IFERROR(H4860/A4860,0)</x:f>
        <x:v>11391.891891891892</x:v>
      </x:c>
      <x:c r="J4860" s="67" t="str">
        <x:v>Modeled from live base + Sep-2026 quality ratio</x:v>
      </x:c>
      <x:c r="K4860" s="67" t="str">
        <x:v>https://www.stonealgo.com/diamond-prices/</x:v>
      </x:c>
      <x:c r="L4860" s="67" t="str">
        <x:v>https://www.pricescope.com/blog/natural-diamond-prices-september-2026</x:v>
      </x:c>
    </x:row>
    <x:row r="4861">
      <x:c r="A4861" t="n">
        <x:v>8</x:v>
      </x:c>
      <x:c r="B4861" t="str">
        <x:v>Radiant</x:v>
      </x:c>
      <x:c r="C4861" t="str">
        <x:v>K</x:v>
      </x:c>
      <x:c r="D4861" t="str">
        <x:v>VVS2</x:v>
      </x:c>
      <x:c r="E4861" s="36" t="n">
        <x:v>168000</x:v>
      </x:c>
      <x:c r="F4861" s="36" t="n">
        <x:v>2374</x:v>
      </x:c>
      <x:c r="G4861" s="42" t="n">
        <x:v>0.5092235092235092</x:v>
      </x:c>
      <x:c r="H4861" s="36" t="n">
        <x:f>E4861*G4861</x:f>
        <x:v>85549.54954954956</x:v>
      </x:c>
      <x:c r="I4861" s="36" t="n">
        <x:f>IFERROR(H4861/A4861,0)</x:f>
        <x:v>10693.693693693695</x:v>
      </x:c>
      <x:c r="J4861" s="67" t="str">
        <x:v>Modeled from live base + Sep-2026 quality ratio</x:v>
      </x:c>
      <x:c r="K4861" s="67" t="str">
        <x:v>https://www.stonealgo.com/diamond-prices/</x:v>
      </x:c>
      <x:c r="L4861" s="67" t="str">
        <x:v>https://www.pricescope.com/blog/natural-diamond-prices-september-2026</x:v>
      </x:c>
    </x:row>
    <x:row r="4862">
      <x:c r="A4862" t="n">
        <x:v>8</x:v>
      </x:c>
      <x:c r="B4862" t="str">
        <x:v>Radiant</x:v>
      </x:c>
      <x:c r="C4862" t="str">
        <x:v>K</x:v>
      </x:c>
      <x:c r="D4862" t="str">
        <x:v>VS1</x:v>
      </x:c>
      <x:c r="E4862" s="36" t="n">
        <x:v>168000</x:v>
      </x:c>
      <x:c r="F4862" s="36" t="n">
        <x:v>2223</x:v>
      </x:c>
      <x:c r="G4862" s="42" t="n">
        <x:v>0.4768339768339768</x:v>
      </x:c>
      <x:c r="H4862" s="36" t="n">
        <x:f>E4862*G4862</x:f>
        <x:v>80108.1081081081</x:v>
      </x:c>
      <x:c r="I4862" s="36" t="n">
        <x:f>IFERROR(H4862/A4862,0)</x:f>
        <x:v>10013.513513513513</x:v>
      </x:c>
      <x:c r="J4862" s="67" t="str">
        <x:v>Modeled from live base + Sep-2026 quality ratio</x:v>
      </x:c>
      <x:c r="K4862" s="67" t="str">
        <x:v>https://www.stonealgo.com/diamond-prices/</x:v>
      </x:c>
      <x:c r="L4862" s="67" t="str">
        <x:v>https://www.pricescope.com/blog/natural-diamond-prices-september-2026</x:v>
      </x:c>
    </x:row>
    <x:row r="4863">
      <x:c r="A4863" t="n">
        <x:v>8</x:v>
      </x:c>
      <x:c r="B4863" t="str">
        <x:v>Radiant</x:v>
      </x:c>
      <x:c r="C4863" t="str">
        <x:v>K</x:v>
      </x:c>
      <x:c r="D4863" t="str">
        <x:v>VS2</x:v>
      </x:c>
      <x:c r="E4863" s="36" t="n">
        <x:v>168000</x:v>
      </x:c>
      <x:c r="F4863" s="36" t="n">
        <x:v>2098</x:v>
      </x:c>
      <x:c r="G4863" s="42" t="n">
        <x:v>0.45002145002145</x:v>
      </x:c>
      <x:c r="H4863" s="36" t="n">
        <x:f>E4863*G4863</x:f>
        <x:v>75603.6036036036</x:v>
      </x:c>
      <x:c r="I4863" s="36" t="n">
        <x:f>IFERROR(H4863/A4863,0)</x:f>
        <x:v>9450.45045045045</x:v>
      </x:c>
      <x:c r="J4863" s="67" t="str">
        <x:v>Modeled from live base + Sep-2026 quality ratio</x:v>
      </x:c>
      <x:c r="K4863" s="67" t="str">
        <x:v>https://www.stonealgo.com/diamond-prices/</x:v>
      </x:c>
      <x:c r="L4863" s="67" t="str">
        <x:v>https://www.pricescope.com/blog/natural-diamond-prices-september-2026</x:v>
      </x:c>
    </x:row>
    <x:row r="4864">
      <x:c r="A4864" t="n">
        <x:v>8</x:v>
      </x:c>
      <x:c r="B4864" t="str">
        <x:v>Radiant</x:v>
      </x:c>
      <x:c r="C4864" t="str">
        <x:v>K</x:v>
      </x:c>
      <x:c r="D4864" t="str">
        <x:v>SI1</x:v>
      </x:c>
      <x:c r="E4864" s="36" t="n">
        <x:v>168000</x:v>
      </x:c>
      <x:c r="F4864" s="36" t="n">
        <x:v>1922</x:v>
      </x:c>
      <x:c r="G4864" s="42" t="n">
        <x:v>0.41226941226941227</x:v>
      </x:c>
      <x:c r="H4864" s="36" t="n">
        <x:f>E4864*G4864</x:f>
        <x:v>69261.26126126126</x:v>
      </x:c>
      <x:c r="I4864" s="36" t="n">
        <x:f>IFERROR(H4864/A4864,0)</x:f>
        <x:v>8657.657657657657</x:v>
      </x:c>
      <x:c r="J4864" s="67" t="str">
        <x:v>Modeled from live base + Sep-2026 quality ratio</x:v>
      </x:c>
      <x:c r="K4864" s="67" t="str">
        <x:v>https://www.stonealgo.com/diamond-prices/</x:v>
      </x:c>
      <x:c r="L4864" s="67" t="str">
        <x:v>https://www.pricescope.com/blog/natural-diamond-prices-september-2026</x:v>
      </x:c>
    </x:row>
    <x:row r="4865">
      <x:c r="A4865" t="n">
        <x:v>8</x:v>
      </x:c>
      <x:c r="B4865" t="str">
        <x:v>Radiant</x:v>
      </x:c>
      <x:c r="C4865" t="str">
        <x:v>K</x:v>
      </x:c>
      <x:c r="D4865" t="str">
        <x:v>SI2</x:v>
      </x:c>
      <x:c r="E4865" s="36" t="n">
        <x:v>168000</x:v>
      </x:c>
      <x:c r="F4865" s="36" t="n">
        <x:v>1764</x:v>
      </x:c>
      <x:c r="G4865" s="42" t="n">
        <x:v>0.3783783783783784</x:v>
      </x:c>
      <x:c r="H4865" s="36" t="n">
        <x:f>E4865*G4865</x:f>
        <x:v>63567.567567567574</x:v>
      </x:c>
      <x:c r="I4865" s="36" t="n">
        <x:f>IFERROR(H4865/A4865,0)</x:f>
        <x:v>7945.945945945947</x:v>
      </x:c>
      <x:c r="J4865" s="67" t="str">
        <x:v>Modeled from live base + Sep-2026 quality ratio</x:v>
      </x:c>
      <x:c r="K4865" s="67" t="str">
        <x:v>https://www.stonealgo.com/diamond-prices/</x:v>
      </x:c>
      <x:c r="L4865" s="67" t="str">
        <x:v>https://www.pricescope.com/blog/natural-diamond-prices-september-2026</x:v>
      </x:c>
    </x:row>
    <x:row r="4866">
      <x:c r="A4866" t="n">
        <x:v>8</x:v>
      </x:c>
      <x:c r="B4866" t="str">
        <x:v>Pear</x:v>
      </x:c>
      <x:c r="C4866" t="str">
        <x:v>D</x:v>
      </x:c>
      <x:c r="D4866" t="str">
        <x:v>FL</x:v>
      </x:c>
      <x:c r="E4866" s="36" t="n">
        <x:v>335717</x:v>
      </x:c>
      <x:c r="F4866" s="36" t="n">
        <x:v>12665</x:v>
      </x:c>
      <x:c r="G4866" s="42" t="n">
        <x:v>2.7166452166452166</x:v>
      </x:c>
      <x:c r="H4866" s="36" t="n">
        <x:f>E4866*G4866</x:f>
        <x:v>912023.9821964822</x:v>
      </x:c>
      <x:c r="I4866" s="36" t="n">
        <x:f>IFERROR(H4866/A4866,0)</x:f>
        <x:v>114002.99777456028</x:v>
      </x:c>
      <x:c r="J4866" s="67" t="str">
        <x:v>Modeled from live base + Sep-2026 quality ratio</x:v>
      </x:c>
      <x:c r="K4866" s="67" t="str">
        <x:v>https://www.stonealgo.com/diamond-prices/</x:v>
      </x:c>
      <x:c r="L4866" s="67" t="str">
        <x:v>https://www.pricescope.com/blog/natural-diamond-prices-september-2026</x:v>
      </x:c>
    </x:row>
    <x:row r="4867">
      <x:c r="A4867" t="n">
        <x:v>8</x:v>
      </x:c>
      <x:c r="B4867" t="str">
        <x:v>Pear</x:v>
      </x:c>
      <x:c r="C4867" t="str">
        <x:v>D</x:v>
      </x:c>
      <x:c r="D4867" t="str">
        <x:v>IF</x:v>
      </x:c>
      <x:c r="E4867" s="36" t="n">
        <x:v>335717</x:v>
      </x:c>
      <x:c r="F4867" s="36" t="n">
        <x:v>13240</x:v>
      </x:c>
      <x:c r="G4867" s="42" t="n">
        <x:v>2.83998283998284</x:v>
      </x:c>
      <x:c r="H4867" s="36" t="n">
        <x:f>E4867*G4867</x:f>
        <x:v>953430.5190905192</x:v>
      </x:c>
      <x:c r="I4867" s="36" t="n">
        <x:f>IFERROR(H4867/A4867,0)</x:f>
        <x:v>119178.8148863149</x:v>
      </x:c>
      <x:c r="J4867" s="67" t="str">
        <x:v>Modeled from live base + Sep-2026 quality ratio</x:v>
      </x:c>
      <x:c r="K4867" s="67" t="str">
        <x:v>https://www.stonealgo.com/diamond-prices/</x:v>
      </x:c>
      <x:c r="L4867" s="67" t="str">
        <x:v>https://www.pricescope.com/blog/natural-diamond-prices-september-2026</x:v>
      </x:c>
    </x:row>
    <x:row r="4868">
      <x:c r="A4868" t="n">
        <x:v>8</x:v>
      </x:c>
      <x:c r="B4868" t="str">
        <x:v>Pear</x:v>
      </x:c>
      <x:c r="C4868" t="str">
        <x:v>D</x:v>
      </x:c>
      <x:c r="D4868" t="str">
        <x:v>VVS1</x:v>
      </x:c>
      <x:c r="E4868" s="36" t="n">
        <x:v>335717</x:v>
      </x:c>
      <x:c r="F4868" s="36" t="n">
        <x:v>9555</x:v>
      </x:c>
      <x:c r="G4868" s="42" t="n">
        <x:v>2.0495495495495497</x:v>
      </x:c>
      <x:c r="H4868" s="36" t="n">
        <x:f>E4868*G4868</x:f>
        <x:v>688068.6261261262</x:v>
      </x:c>
      <x:c r="I4868" s="36" t="n">
        <x:f>IFERROR(H4868/A4868,0)</x:f>
        <x:v>86008.57826576577</x:v>
      </x:c>
      <x:c r="J4868" s="67" t="str">
        <x:v>Modeled from live base + Sep-2026 quality ratio</x:v>
      </x:c>
      <x:c r="K4868" s="67" t="str">
        <x:v>https://www.stonealgo.com/diamond-prices/</x:v>
      </x:c>
      <x:c r="L4868" s="67" t="str">
        <x:v>https://www.pricescope.com/blog/natural-diamond-prices-september-2026</x:v>
      </x:c>
    </x:row>
    <x:row r="4869">
      <x:c r="A4869" t="n">
        <x:v>8</x:v>
      </x:c>
      <x:c r="B4869" t="str">
        <x:v>Pear</x:v>
      </x:c>
      <x:c r="C4869" t="str">
        <x:v>D</x:v>
      </x:c>
      <x:c r="D4869" t="str">
        <x:v>VVS2</x:v>
      </x:c>
      <x:c r="E4869" s="36" t="n">
        <x:v>335717</x:v>
      </x:c>
      <x:c r="F4869" s="36" t="n">
        <x:v>6660</x:v>
      </x:c>
      <x:c r="G4869" s="42" t="n">
        <x:v>1.4285714285714286</x:v>
      </x:c>
      <x:c r="H4869" s="36" t="n">
        <x:f>E4869*G4869</x:f>
        <x:v>479595.7142857143</x:v>
      </x:c>
      <x:c r="I4869" s="36" t="n">
        <x:f>IFERROR(H4869/A4869,0)</x:f>
        <x:v>59949.46428571429</x:v>
      </x:c>
      <x:c r="J4869" s="67" t="str">
        <x:v>Modeled from live base + Sep-2026 quality ratio</x:v>
      </x:c>
      <x:c r="K4869" s="67" t="str">
        <x:v>https://www.stonealgo.com/diamond-prices/</x:v>
      </x:c>
      <x:c r="L4869" s="67" t="str">
        <x:v>https://www.pricescope.com/blog/natural-diamond-prices-september-2026</x:v>
      </x:c>
    </x:row>
    <x:row r="4870">
      <x:c r="A4870" t="n">
        <x:v>8</x:v>
      </x:c>
      <x:c r="B4870" t="str">
        <x:v>Pear</x:v>
      </x:c>
      <x:c r="C4870" t="str">
        <x:v>D</x:v>
      </x:c>
      <x:c r="D4870" t="str">
        <x:v>VS1</x:v>
      </x:c>
      <x:c r="E4870" s="36" t="n">
        <x:v>335717</x:v>
      </x:c>
      <x:c r="F4870" s="36" t="n">
        <x:v>6247</x:v>
      </x:c>
      <x:c r="G4870" s="42" t="n">
        <x:v>1.33998283998284</x:v>
      </x:c>
      <x:c r="H4870" s="36" t="n">
        <x:f>E4870*G4870</x:f>
        <x:v>449855.01909051905</x:v>
      </x:c>
      <x:c r="I4870" s="36" t="n">
        <x:f>IFERROR(H4870/A4870,0)</x:f>
        <x:v>56231.87738631488</x:v>
      </x:c>
      <x:c r="J4870" s="67" t="str">
        <x:v>Modeled from live base + Sep-2026 quality ratio</x:v>
      </x:c>
      <x:c r="K4870" s="67" t="str">
        <x:v>https://www.stonealgo.com/diamond-prices/</x:v>
      </x:c>
      <x:c r="L4870" s="67" t="str">
        <x:v>https://www.pricescope.com/blog/natural-diamond-prices-september-2026</x:v>
      </x:c>
    </x:row>
    <x:row r="4871">
      <x:c r="A4871" t="n">
        <x:v>8</x:v>
      </x:c>
      <x:c r="B4871" t="str">
        <x:v>Pear</x:v>
      </x:c>
      <x:c r="C4871" t="str">
        <x:v>D</x:v>
      </x:c>
      <x:c r="D4871" t="str">
        <x:v>VS2</x:v>
      </x:c>
      <x:c r="E4871" s="36" t="n">
        <x:v>335717</x:v>
      </x:c>
      <x:c r="F4871" s="36" t="n">
        <x:v>5841</x:v>
      </x:c>
      <x:c r="G4871" s="42" t="n">
        <x:v>1.252895752895753</x:v>
      </x:c>
      <x:c r="H4871" s="36" t="n">
        <x:f>E4871*G4871</x:f>
        <x:v>420618.4034749035</x:v>
      </x:c>
      <x:c r="I4871" s="36" t="n">
        <x:f>IFERROR(H4871/A4871,0)</x:f>
        <x:v>52577.300434362936</x:v>
      </x:c>
      <x:c r="J4871" s="67" t="str">
        <x:v>Modeled from live base + Sep-2026 quality ratio</x:v>
      </x:c>
      <x:c r="K4871" s="67" t="str">
        <x:v>https://www.stonealgo.com/diamond-prices/</x:v>
      </x:c>
      <x:c r="L4871" s="67" t="str">
        <x:v>https://www.pricescope.com/blog/natural-diamond-prices-september-2026</x:v>
      </x:c>
    </x:row>
    <x:row r="4872">
      <x:c r="A4872" t="n">
        <x:v>8</x:v>
      </x:c>
      <x:c r="B4872" t="str">
        <x:v>Pear</x:v>
      </x:c>
      <x:c r="C4872" t="str">
        <x:v>D</x:v>
      </x:c>
      <x:c r="D4872" t="str">
        <x:v>SI1</x:v>
      </x:c>
      <x:c r="E4872" s="36" t="n">
        <x:v>335717</x:v>
      </x:c>
      <x:c r="F4872" s="36" t="n">
        <x:v>3762</x:v>
      </x:c>
      <x:c r="G4872" s="42" t="n">
        <x:v>0.806949806949807</x:v>
      </x:c>
      <x:c r="H4872" s="36" t="n">
        <x:f>E4872*G4872</x:f>
        <x:v>270906.76833976834</x:v>
      </x:c>
      <x:c r="I4872" s="36" t="n">
        <x:f>IFERROR(H4872/A4872,0)</x:f>
        <x:v>33863.34604247104</x:v>
      </x:c>
      <x:c r="J4872" s="67" t="str">
        <x:v>Modeled from live base + Sep-2026 quality ratio</x:v>
      </x:c>
      <x:c r="K4872" s="67" t="str">
        <x:v>https://www.stonealgo.com/diamond-prices/</x:v>
      </x:c>
      <x:c r="L4872" s="67" t="str">
        <x:v>https://www.pricescope.com/blog/natural-diamond-prices-september-2026</x:v>
      </x:c>
    </x:row>
    <x:row r="4873">
      <x:c r="A4873" t="n">
        <x:v>8</x:v>
      </x:c>
      <x:c r="B4873" t="str">
        <x:v>Pear</x:v>
      </x:c>
      <x:c r="C4873" t="str">
        <x:v>D</x:v>
      </x:c>
      <x:c r="D4873" t="str">
        <x:v>SI2</x:v>
      </x:c>
      <x:c r="E4873" s="36" t="n">
        <x:v>335717</x:v>
      </x:c>
      <x:c r="F4873" s="36" t="n">
        <x:v>3026</x:v>
      </x:c>
      <x:c r="G4873" s="42" t="n">
        <x:v>0.6490776490776491</x:v>
      </x:c>
      <x:c r="H4873" s="36" t="n">
        <x:f>E4873*G4873</x:f>
        <x:v>217906.40111540112</x:v>
      </x:c>
      <x:c r="I4873" s="36" t="n">
        <x:f>IFERROR(H4873/A4873,0)</x:f>
        <x:v>27238.30013942514</x:v>
      </x:c>
      <x:c r="J4873" s="67" t="str">
        <x:v>Modeled from live base + Sep-2026 quality ratio</x:v>
      </x:c>
      <x:c r="K4873" s="67" t="str">
        <x:v>https://www.stonealgo.com/diamond-prices/</x:v>
      </x:c>
      <x:c r="L4873" s="67" t="str">
        <x:v>https://www.pricescope.com/blog/natural-diamond-prices-september-2026</x:v>
      </x:c>
    </x:row>
    <x:row r="4874">
      <x:c r="A4874" t="n">
        <x:v>8</x:v>
      </x:c>
      <x:c r="B4874" t="str">
        <x:v>Pear</x:v>
      </x:c>
      <x:c r="C4874" t="str">
        <x:v>E</x:v>
      </x:c>
      <x:c r="D4874" t="str">
        <x:v>FL</x:v>
      </x:c>
      <x:c r="E4874" s="36" t="n">
        <x:v>335717</x:v>
      </x:c>
      <x:c r="F4874" s="36" t="n">
        <x:v>10072</x:v>
      </x:c>
      <x:c r="G4874" s="42" t="n">
        <x:v>2.1604461604461602</x:v>
      </x:c>
      <x:c r="H4874" s="36" t="n">
        <x:f>E4874*G4874</x:f>
        <x:v>725298.5036465036</x:v>
      </x:c>
      <x:c r="I4874" s="36" t="n">
        <x:f>IFERROR(H4874/A4874,0)</x:f>
        <x:v>90662.31295581294</x:v>
      </x:c>
      <x:c r="J4874" s="67" t="str">
        <x:v>Modeled from live base + Sep-2026 quality ratio</x:v>
      </x:c>
      <x:c r="K4874" s="67" t="str">
        <x:v>https://www.stonealgo.com/diamond-prices/</x:v>
      </x:c>
      <x:c r="L4874" s="67" t="str">
        <x:v>https://www.pricescope.com/blog/natural-diamond-prices-september-2026</x:v>
      </x:c>
    </x:row>
    <x:row r="4875">
      <x:c r="A4875" t="n">
        <x:v>8</x:v>
      </x:c>
      <x:c r="B4875" t="str">
        <x:v>Pear</x:v>
      </x:c>
      <x:c r="C4875" t="str">
        <x:v>E</x:v>
      </x:c>
      <x:c r="D4875" t="str">
        <x:v>IF</x:v>
      </x:c>
      <x:c r="E4875" s="36" t="n">
        <x:v>335717</x:v>
      </x:c>
      <x:c r="F4875" s="36" t="n">
        <x:v>8672</x:v>
      </x:c>
      <x:c r="G4875" s="42" t="n">
        <x:v>1.8601458601458603</x:v>
      </x:c>
      <x:c r="H4875" s="36" t="n">
        <x:f>E4875*G4875</x:f>
        <x:v>624482.5877305878</x:v>
      </x:c>
      <x:c r="I4875" s="36" t="n">
        <x:f>IFERROR(H4875/A4875,0)</x:f>
        <x:v>78060.32346632348</x:v>
      </x:c>
      <x:c r="J4875" s="67" t="str">
        <x:v>Modeled from live base + Sep-2026 quality ratio</x:v>
      </x:c>
      <x:c r="K4875" s="67" t="str">
        <x:v>https://www.stonealgo.com/diamond-prices/</x:v>
      </x:c>
      <x:c r="L4875" s="67" t="str">
        <x:v>https://www.pricescope.com/blog/natural-diamond-prices-september-2026</x:v>
      </x:c>
    </x:row>
    <x:row r="4876">
      <x:c r="A4876" t="n">
        <x:v>8</x:v>
      </x:c>
      <x:c r="B4876" t="str">
        <x:v>Pear</x:v>
      </x:c>
      <x:c r="C4876" t="str">
        <x:v>E</x:v>
      </x:c>
      <x:c r="D4876" t="str">
        <x:v>VVS1</x:v>
      </x:c>
      <x:c r="E4876" s="36" t="n">
        <x:v>335717</x:v>
      </x:c>
      <x:c r="F4876" s="36" t="n">
        <x:v>7842</x:v>
      </x:c>
      <x:c r="G4876" s="42" t="n">
        <x:v>1.6821106821106822</x:v>
      </x:c>
      <x:c r="H4876" s="36" t="n">
        <x:f>E4876*G4876</x:f>
        <x:v>564713.1518661518</x:v>
      </x:c>
      <x:c r="I4876" s="36" t="n">
        <x:f>IFERROR(H4876/A4876,0)</x:f>
        <x:v>70589.14398326898</x:v>
      </x:c>
      <x:c r="J4876" s="67" t="str">
        <x:v>Modeled from live base + Sep-2026 quality ratio</x:v>
      </x:c>
      <x:c r="K4876" s="67" t="str">
        <x:v>https://www.stonealgo.com/diamond-prices/</x:v>
      </x:c>
      <x:c r="L4876" s="67" t="str">
        <x:v>https://www.pricescope.com/blog/natural-diamond-prices-september-2026</x:v>
      </x:c>
    </x:row>
    <x:row r="4877">
      <x:c r="A4877" t="n">
        <x:v>8</x:v>
      </x:c>
      <x:c r="B4877" t="str">
        <x:v>Pear</x:v>
      </x:c>
      <x:c r="C4877" t="str">
        <x:v>E</x:v>
      </x:c>
      <x:c r="D4877" t="str">
        <x:v>VVS2</x:v>
      </x:c>
      <x:c r="E4877" s="36" t="n">
        <x:v>335717</x:v>
      </x:c>
      <x:c r="F4877" s="36" t="n">
        <x:v>6880</x:v>
      </x:c>
      <x:c r="G4877" s="42" t="n">
        <x:v>1.4757614757614759</x:v>
      </x:c>
      <x:c r="H4877" s="36" t="n">
        <x:f>E4877*G4877</x:f>
        <x:v>495438.2153582154</x:v>
      </x:c>
      <x:c r="I4877" s="36" t="n">
        <x:f>IFERROR(H4877/A4877,0)</x:f>
        <x:v>61929.77691977692</x:v>
      </x:c>
      <x:c r="J4877" s="67" t="str">
        <x:v>Modeled from live base + Sep-2026 quality ratio</x:v>
      </x:c>
      <x:c r="K4877" s="67" t="str">
        <x:v>https://www.stonealgo.com/diamond-prices/</x:v>
      </x:c>
      <x:c r="L4877" s="67" t="str">
        <x:v>https://www.pricescope.com/blog/natural-diamond-prices-september-2026</x:v>
      </x:c>
    </x:row>
    <x:row r="4878">
      <x:c r="A4878" t="n">
        <x:v>8</x:v>
      </x:c>
      <x:c r="B4878" t="str">
        <x:v>Pear</x:v>
      </x:c>
      <x:c r="C4878" t="str">
        <x:v>E</x:v>
      </x:c>
      <x:c r="D4878" t="str">
        <x:v>VS1</x:v>
      </x:c>
      <x:c r="E4878" s="36" t="n">
        <x:v>335717</x:v>
      </x:c>
      <x:c r="F4878" s="36" t="n">
        <x:v>6307</x:v>
      </x:c>
      <x:c r="G4878" s="42" t="n">
        <x:v>1.352852852852853</x:v>
      </x:c>
      <x:c r="H4878" s="36" t="n">
        <x:f>E4878*G4878</x:f>
        <x:v>454175.70120120124</x:v>
      </x:c>
      <x:c r="I4878" s="36" t="n">
        <x:f>IFERROR(H4878/A4878,0)</x:f>
        <x:v>56771.962650150155</x:v>
      </x:c>
      <x:c r="J4878" s="67" t="str">
        <x:v>Modeled from live base + Sep-2026 quality ratio</x:v>
      </x:c>
      <x:c r="K4878" s="67" t="str">
        <x:v>https://www.stonealgo.com/diamond-prices/</x:v>
      </x:c>
      <x:c r="L4878" s="67" t="str">
        <x:v>https://www.pricescope.com/blog/natural-diamond-prices-september-2026</x:v>
      </x:c>
    </x:row>
    <x:row r="4879">
      <x:c r="A4879" t="n">
        <x:v>8</x:v>
      </x:c>
      <x:c r="B4879" t="str">
        <x:v>Pear</x:v>
      </x:c>
      <x:c r="C4879" t="str">
        <x:v>E</x:v>
      </x:c>
      <x:c r="D4879" t="str">
        <x:v>VS2</x:v>
      </x:c>
      <x:c r="E4879" s="36" t="n">
        <x:v>335717</x:v>
      </x:c>
      <x:c r="F4879" s="36" t="n">
        <x:v>5249</x:v>
      </x:c>
      <x:c r="G4879" s="42" t="n">
        <x:v>1.125911625911626</x:v>
      </x:c>
      <x:c r="H4879" s="36" t="n">
        <x:f>E4879*G4879</x:f>
        <x:v>377987.6733161733</x:v>
      </x:c>
      <x:c r="I4879" s="36" t="n">
        <x:f>IFERROR(H4879/A4879,0)</x:f>
        <x:v>47248.459164521664</x:v>
      </x:c>
      <x:c r="J4879" s="67" t="str">
        <x:v>Modeled from live base + Sep-2026 quality ratio</x:v>
      </x:c>
      <x:c r="K4879" s="67" t="str">
        <x:v>https://www.stonealgo.com/diamond-prices/</x:v>
      </x:c>
      <x:c r="L4879" s="67" t="str">
        <x:v>https://www.pricescope.com/blog/natural-diamond-prices-september-2026</x:v>
      </x:c>
    </x:row>
    <x:row r="4880">
      <x:c r="A4880" t="n">
        <x:v>8</x:v>
      </x:c>
      <x:c r="B4880" t="str">
        <x:v>Pear</x:v>
      </x:c>
      <x:c r="C4880" t="str">
        <x:v>E</x:v>
      </x:c>
      <x:c r="D4880" t="str">
        <x:v>SI1</x:v>
      </x:c>
      <x:c r="E4880" s="36" t="n">
        <x:v>335717</x:v>
      </x:c>
      <x:c r="F4880" s="36" t="n">
        <x:v>3551</x:v>
      </x:c>
      <x:c r="G4880" s="42" t="n">
        <x:v>0.7616902616902617</x:v>
      </x:c>
      <x:c r="H4880" s="36" t="n">
        <x:f>E4880*G4880</x:f>
        <x:v>255712.3695838696</x:v>
      </x:c>
      <x:c r="I4880" s="36" t="n">
        <x:f>IFERROR(H4880/A4880,0)</x:f>
        <x:v>31964.0461979837</x:v>
      </x:c>
      <x:c r="J4880" s="67" t="str">
        <x:v>Modeled from live base + Sep-2026 quality ratio</x:v>
      </x:c>
      <x:c r="K4880" s="67" t="str">
        <x:v>https://www.stonealgo.com/diamond-prices/</x:v>
      </x:c>
      <x:c r="L4880" s="67" t="str">
        <x:v>https://www.pricescope.com/blog/natural-diamond-prices-september-2026</x:v>
      </x:c>
    </x:row>
    <x:row r="4881">
      <x:c r="A4881" t="n">
        <x:v>8</x:v>
      </x:c>
      <x:c r="B4881" t="str">
        <x:v>Pear</x:v>
      </x:c>
      <x:c r="C4881" t="str">
        <x:v>E</x:v>
      </x:c>
      <x:c r="D4881" t="str">
        <x:v>SI2</x:v>
      </x:c>
      <x:c r="E4881" s="36" t="n">
        <x:v>335717</x:v>
      </x:c>
      <x:c r="F4881" s="36" t="n">
        <x:v>2993</x:v>
      </x:c>
      <x:c r="G4881" s="42" t="n">
        <x:v>0.641999141999142</x:v>
      </x:c>
      <x:c r="H4881" s="36" t="n">
        <x:f>E4881*G4881</x:f>
        <x:v>215530.02595452595</x:v>
      </x:c>
      <x:c r="I4881" s="36" t="n">
        <x:f>IFERROR(H4881/A4881,0)</x:f>
        <x:v>26941.253244315743</x:v>
      </x:c>
      <x:c r="J4881" s="67" t="str">
        <x:v>Modeled from live base + Sep-2026 quality ratio</x:v>
      </x:c>
      <x:c r="K4881" s="67" t="str">
        <x:v>https://www.stonealgo.com/diamond-prices/</x:v>
      </x:c>
      <x:c r="L4881" s="67" t="str">
        <x:v>https://www.pricescope.com/blog/natural-diamond-prices-september-2026</x:v>
      </x:c>
    </x:row>
    <x:row r="4882">
      <x:c r="A4882" t="n">
        <x:v>8</x:v>
      </x:c>
      <x:c r="B4882" t="str">
        <x:v>Pear</x:v>
      </x:c>
      <x:c r="C4882" t="str">
        <x:v>F</x:v>
      </x:c>
      <x:c r="D4882" t="str">
        <x:v>FL</x:v>
      </x:c>
      <x:c r="E4882" s="36" t="n">
        <x:v>335717</x:v>
      </x:c>
      <x:c r="F4882" s="36" t="n">
        <x:v>6830</x:v>
      </x:c>
      <x:c r="G4882" s="42" t="n">
        <x:v>1.4650364650364651</x:v>
      </x:c>
      <x:c r="H4882" s="36" t="n">
        <x:f>E4882*G4882</x:f>
        <x:v>491837.646932647</x:v>
      </x:c>
      <x:c r="I4882" s="36" t="n">
        <x:f>IFERROR(H4882/A4882,0)</x:f>
        <x:v>61479.70586658087</x:v>
      </x:c>
      <x:c r="J4882" s="67" t="str">
        <x:v>Modeled from live base + Sep-2026 quality ratio</x:v>
      </x:c>
      <x:c r="K4882" s="67" t="str">
        <x:v>https://www.stonealgo.com/diamond-prices/</x:v>
      </x:c>
      <x:c r="L4882" s="67" t="str">
        <x:v>https://www.pricescope.com/blog/natural-diamond-prices-september-2026</x:v>
      </x:c>
    </x:row>
    <x:row r="4883">
      <x:c r="A4883" t="n">
        <x:v>8</x:v>
      </x:c>
      <x:c r="B4883" t="str">
        <x:v>Pear</x:v>
      </x:c>
      <x:c r="C4883" t="str">
        <x:v>F</x:v>
      </x:c>
      <x:c r="D4883" t="str">
        <x:v>IF</x:v>
      </x:c>
      <x:c r="E4883" s="36" t="n">
        <x:v>335717</x:v>
      </x:c>
      <x:c r="F4883" s="36" t="n">
        <x:v>7302</x:v>
      </x:c>
      <x:c r="G4883" s="42" t="n">
        <x:v>1.5662805662805663</x:v>
      </x:c>
      <x:c r="H4883" s="36" t="n">
        <x:f>E4883*G4883</x:f>
        <x:v>525827.0128700129</x:v>
      </x:c>
      <x:c r="I4883" s="36" t="n">
        <x:f>IFERROR(H4883/A4883,0)</x:f>
        <x:v>65728.37660875161</x:v>
      </x:c>
      <x:c r="J4883" s="67" t="str">
        <x:v>Modeled from live base + Sep-2026 quality ratio</x:v>
      </x:c>
      <x:c r="K4883" s="67" t="str">
        <x:v>https://www.stonealgo.com/diamond-prices/</x:v>
      </x:c>
      <x:c r="L4883" s="67" t="str">
        <x:v>https://www.pricescope.com/blog/natural-diamond-prices-september-2026</x:v>
      </x:c>
    </x:row>
    <x:row r="4884">
      <x:c r="A4884" t="n">
        <x:v>8</x:v>
      </x:c>
      <x:c r="B4884" t="str">
        <x:v>Pear</x:v>
      </x:c>
      <x:c r="C4884" t="str">
        <x:v>F</x:v>
      </x:c>
      <x:c r="D4884" t="str">
        <x:v>VVS1</x:v>
      </x:c>
      <x:c r="E4884" s="36" t="n">
        <x:v>335717</x:v>
      </x:c>
      <x:c r="F4884" s="36" t="n">
        <x:v>7542</x:v>
      </x:c>
      <x:c r="G4884" s="42" t="n">
        <x:v>1.6177606177606179</x:v>
      </x:c>
      <x:c r="H4884" s="36" t="n">
        <x:f>E4884*G4884</x:f>
        <x:v>543109.7413127413</x:v>
      </x:c>
      <x:c r="I4884" s="36" t="n">
        <x:f>IFERROR(H4884/A4884,0)</x:f>
        <x:v>67888.71766409266</x:v>
      </x:c>
      <x:c r="J4884" s="67" t="str">
        <x:v>Modeled from live base + Sep-2026 quality ratio</x:v>
      </x:c>
      <x:c r="K4884" s="67" t="str">
        <x:v>https://www.stonealgo.com/diamond-prices/</x:v>
      </x:c>
      <x:c r="L4884" s="67" t="str">
        <x:v>https://www.pricescope.com/blog/natural-diamond-prices-september-2026</x:v>
      </x:c>
    </x:row>
    <x:row r="4885">
      <x:c r="A4885" t="n">
        <x:v>8</x:v>
      </x:c>
      <x:c r="B4885" t="str">
        <x:v>Pear</x:v>
      </x:c>
      <x:c r="C4885" t="str">
        <x:v>F</x:v>
      </x:c>
      <x:c r="D4885" t="str">
        <x:v>VVS2</x:v>
      </x:c>
      <x:c r="E4885" s="36" t="n">
        <x:v>335717</x:v>
      </x:c>
      <x:c r="F4885" s="36" t="n">
        <x:v>6352</x:v>
      </x:c>
      <x:c r="G4885" s="42" t="n">
        <x:v>1.3625053625053625</x:v>
      </x:c>
      <x:c r="H4885" s="36" t="n">
        <x:f>E4885*G4885</x:f>
        <x:v>457416.2127842128</x:v>
      </x:c>
      <x:c r="I4885" s="36" t="n">
        <x:f>IFERROR(H4885/A4885,0)</x:f>
        <x:v>57177.0265980266</x:v>
      </x:c>
      <x:c r="J4885" s="67" t="str">
        <x:v>Modeled from live base + Sep-2026 quality ratio</x:v>
      </x:c>
      <x:c r="K4885" s="67" t="str">
        <x:v>https://www.stonealgo.com/diamond-prices/</x:v>
      </x:c>
      <x:c r="L4885" s="67" t="str">
        <x:v>https://www.pricescope.com/blog/natural-diamond-prices-september-2026</x:v>
      </x:c>
    </x:row>
    <x:row r="4886">
      <x:c r="A4886" t="n">
        <x:v>8</x:v>
      </x:c>
      <x:c r="B4886" t="str">
        <x:v>Pear</x:v>
      </x:c>
      <x:c r="C4886" t="str">
        <x:v>F</x:v>
      </x:c>
      <x:c r="D4886" t="str">
        <x:v>VS1</x:v>
      </x:c>
      <x:c r="E4886" s="36" t="n">
        <x:v>335717</x:v>
      </x:c>
      <x:c r="F4886" s="36" t="n">
        <x:v>5647</x:v>
      </x:c>
      <x:c r="G4886" s="42" t="n">
        <x:v>1.2112827112827114</x:v>
      </x:c>
      <x:c r="H4886" s="36" t="n">
        <x:f>E4886*G4886</x:f>
        <x:v>406648.197983698</x:v>
      </x:c>
      <x:c r="I4886" s="36" t="n">
        <x:f>IFERROR(H4886/A4886,0)</x:f>
        <x:v>50831.02474796225</x:v>
      </x:c>
      <x:c r="J4886" s="67" t="str">
        <x:v>Modeled from live base + Sep-2026 quality ratio</x:v>
      </x:c>
      <x:c r="K4886" s="67" t="str">
        <x:v>https://www.stonealgo.com/diamond-prices/</x:v>
      </x:c>
      <x:c r="L4886" s="67" t="str">
        <x:v>https://www.pricescope.com/blog/natural-diamond-prices-september-2026</x:v>
      </x:c>
    </x:row>
    <x:row r="4887">
      <x:c r="A4887" t="n">
        <x:v>8</x:v>
      </x:c>
      <x:c r="B4887" t="str">
        <x:v>Pear</x:v>
      </x:c>
      <x:c r="C4887" t="str">
        <x:v>F</x:v>
      </x:c>
      <x:c r="D4887" t="str">
        <x:v>VS2</x:v>
      </x:c>
      <x:c r="E4887" s="36" t="n">
        <x:v>335717</x:v>
      </x:c>
      <x:c r="F4887" s="36" t="n">
        <x:v>4730</x:v>
      </x:c>
      <x:c r="G4887" s="42" t="n">
        <x:v>1.0145860145860146</x:v>
      </x:c>
      <x:c r="H4887" s="36" t="n">
        <x:f>E4887*G4887</x:f>
        <x:v>340613.7730587731</x:v>
      </x:c>
      <x:c r="I4887" s="36" t="n">
        <x:f>IFERROR(H4887/A4887,0)</x:f>
        <x:v>42576.721632346635</x:v>
      </x:c>
      <x:c r="J4887" s="67" t="str">
        <x:v>Modeled from live base + Sep-2026 quality ratio</x:v>
      </x:c>
      <x:c r="K4887" s="67" t="str">
        <x:v>https://www.stonealgo.com/diamond-prices/</x:v>
      </x:c>
      <x:c r="L4887" s="67" t="str">
        <x:v>https://www.pricescope.com/blog/natural-diamond-prices-september-2026</x:v>
      </x:c>
    </x:row>
    <x:row r="4888">
      <x:c r="A4888" t="n">
        <x:v>8</x:v>
      </x:c>
      <x:c r="B4888" t="str">
        <x:v>Pear</x:v>
      </x:c>
      <x:c r="C4888" t="str">
        <x:v>F</x:v>
      </x:c>
      <x:c r="D4888" t="str">
        <x:v>SI1</x:v>
      </x:c>
      <x:c r="E4888" s="36" t="n">
        <x:v>335717</x:v>
      </x:c>
      <x:c r="F4888" s="36" t="n">
        <x:v>3331</x:v>
      </x:c>
      <x:c r="G4888" s="42" t="n">
        <x:v>0.7145002145002145</x:v>
      </x:c>
      <x:c r="H4888" s="36" t="n">
        <x:f>E4888*G4888</x:f>
        <x:v>239869.86851136852</x:v>
      </x:c>
      <x:c r="I4888" s="36" t="n">
        <x:f>IFERROR(H4888/A4888,0)</x:f>
        <x:v>29983.733563921065</x:v>
      </x:c>
      <x:c r="J4888" s="67" t="str">
        <x:v>Modeled from live base + Sep-2026 quality ratio</x:v>
      </x:c>
      <x:c r="K4888" s="67" t="str">
        <x:v>https://www.stonealgo.com/diamond-prices/</x:v>
      </x:c>
      <x:c r="L4888" s="67" t="str">
        <x:v>https://www.pricescope.com/blog/natural-diamond-prices-september-2026</x:v>
      </x:c>
    </x:row>
    <x:row r="4889">
      <x:c r="A4889" t="n">
        <x:v>8</x:v>
      </x:c>
      <x:c r="B4889" t="str">
        <x:v>Pear</x:v>
      </x:c>
      <x:c r="C4889" t="str">
        <x:v>F</x:v>
      </x:c>
      <x:c r="D4889" t="str">
        <x:v>SI2</x:v>
      </x:c>
      <x:c r="E4889" s="36" t="n">
        <x:v>335717</x:v>
      </x:c>
      <x:c r="F4889" s="36" t="n">
        <x:v>2733</x:v>
      </x:c>
      <x:c r="G4889" s="42" t="n">
        <x:v>0.5862290862290862</x:v>
      </x:c>
      <x:c r="H4889" s="36" t="n">
        <x:f>E4889*G4889</x:f>
        <x:v>196807.07014157015</x:v>
      </x:c>
      <x:c r="I4889" s="36" t="n">
        <x:f>IFERROR(H4889/A4889,0)</x:f>
        <x:v>24600.88376769627</x:v>
      </x:c>
      <x:c r="J4889" s="67" t="str">
        <x:v>Modeled from live base + Sep-2026 quality ratio</x:v>
      </x:c>
      <x:c r="K4889" s="67" t="str">
        <x:v>https://www.stonealgo.com/diamond-prices/</x:v>
      </x:c>
      <x:c r="L4889" s="67" t="str">
        <x:v>https://www.pricescope.com/blog/natural-diamond-prices-september-2026</x:v>
      </x:c>
    </x:row>
    <x:row r="4890">
      <x:c r="A4890" t="n">
        <x:v>8</x:v>
      </x:c>
      <x:c r="B4890" t="str">
        <x:v>Pear</x:v>
      </x:c>
      <x:c r="C4890" t="str">
        <x:v>G</x:v>
      </x:c>
      <x:c r="D4890" t="str">
        <x:v>FL</x:v>
      </x:c>
      <x:c r="E4890" s="36" t="n">
        <x:v>335717</x:v>
      </x:c>
      <x:c r="F4890" s="36" t="n">
        <x:v>5905</x:v>
      </x:c>
      <x:c r="G4890" s="42" t="n">
        <x:v>1.2666237666237665</x:v>
      </x:c>
      <x:c r="H4890" s="36" t="n">
        <x:f>E4890*G4890</x:f>
        <x:v>425227.131059631</x:v>
      </x:c>
      <x:c r="I4890" s="36" t="n">
        <x:f>IFERROR(H4890/A4890,0)</x:f>
        <x:v>53153.391382453876</x:v>
      </x:c>
      <x:c r="J4890" s="67" t="str">
        <x:v>Modeled from live base + Sep-2026 quality ratio</x:v>
      </x:c>
      <x:c r="K4890" s="67" t="str">
        <x:v>https://www.stonealgo.com/diamond-prices/</x:v>
      </x:c>
      <x:c r="L4890" s="67" t="str">
        <x:v>https://www.pricescope.com/blog/natural-diamond-prices-september-2026</x:v>
      </x:c>
    </x:row>
    <x:row r="4891">
      <x:c r="A4891" t="n">
        <x:v>8</x:v>
      </x:c>
      <x:c r="B4891" t="str">
        <x:v>Pear</x:v>
      </x:c>
      <x:c r="C4891" t="str">
        <x:v>G</x:v>
      </x:c>
      <x:c r="D4891" t="str">
        <x:v>IF</x:v>
      </x:c>
      <x:c r="E4891" s="36" t="n">
        <x:v>335717</x:v>
      </x:c>
      <x:c r="F4891" s="36" t="n">
        <x:v>5601</x:v>
      </x:c>
      <x:c r="G4891" s="42" t="n">
        <x:v>1.2014157014157014</x:v>
      </x:c>
      <x:c r="H4891" s="36" t="n">
        <x:f>E4891*G4891</x:f>
        <x:v>403335.67503217503</x:v>
      </x:c>
      <x:c r="I4891" s="36" t="n">
        <x:f>IFERROR(H4891/A4891,0)</x:f>
        <x:v>50416.95937902188</x:v>
      </x:c>
      <x:c r="J4891" s="67" t="str">
        <x:v>Modeled from live base + Sep-2026 quality ratio</x:v>
      </x:c>
      <x:c r="K4891" s="67" t="str">
        <x:v>https://www.stonealgo.com/diamond-prices/</x:v>
      </x:c>
      <x:c r="L4891" s="67" t="str">
        <x:v>https://www.pricescope.com/blog/natural-diamond-prices-september-2026</x:v>
      </x:c>
    </x:row>
    <x:row r="4892">
      <x:c r="A4892" t="n">
        <x:v>8</x:v>
      </x:c>
      <x:c r="B4892" t="str">
        <x:v>Pear</x:v>
      </x:c>
      <x:c r="C4892" t="str">
        <x:v>G</x:v>
      </x:c>
      <x:c r="D4892" t="str">
        <x:v>VVS1</x:v>
      </x:c>
      <x:c r="E4892" s="36" t="n">
        <x:v>335717</x:v>
      </x:c>
      <x:c r="F4892" s="36" t="n">
        <x:v>5124</x:v>
      </x:c>
      <x:c r="G4892" s="42" t="n">
        <x:v>1.0990990990990992</x:v>
      </x:c>
      <x:c r="H4892" s="36" t="n">
        <x:f>E4892*G4892</x:f>
        <x:v>368986.2522522523</x:v>
      </x:c>
      <x:c r="I4892" s="36" t="n">
        <x:f>IFERROR(H4892/A4892,0)</x:f>
        <x:v>46123.28153153154</x:v>
      </x:c>
      <x:c r="J4892" s="67" t="str">
        <x:v>Modeled from live base + Sep-2026 quality ratio</x:v>
      </x:c>
      <x:c r="K4892" s="67" t="str">
        <x:v>https://www.stonealgo.com/diamond-prices/</x:v>
      </x:c>
      <x:c r="L4892" s="67" t="str">
        <x:v>https://www.pricescope.com/blog/natural-diamond-prices-september-2026</x:v>
      </x:c>
    </x:row>
    <x:row r="4893">
      <x:c r="A4893" t="n">
        <x:v>8</x:v>
      </x:c>
      <x:c r="B4893" t="str">
        <x:v>Pear</x:v>
      </x:c>
      <x:c r="C4893" t="str">
        <x:v>G</x:v>
      </x:c>
      <x:c r="D4893" t="str">
        <x:v>VVS2</x:v>
      </x:c>
      <x:c r="E4893" s="36" t="n">
        <x:v>335717</x:v>
      </x:c>
      <x:c r="F4893" s="36" t="n">
        <x:v>4962</x:v>
      </x:c>
      <x:c r="G4893" s="42" t="n">
        <x:v>1.0643500643500643</x:v>
      </x:c>
      <x:c r="H4893" s="36" t="n">
        <x:f>E4893*G4893</x:f>
        <x:v>357320.41055341053</x:v>
      </x:c>
      <x:c r="I4893" s="36" t="n">
        <x:f>IFERROR(H4893/A4893,0)</x:f>
        <x:v>44665.05131917632</x:v>
      </x:c>
      <x:c r="J4893" s="67" t="str">
        <x:v>Modeled from live base + Sep-2026 quality ratio</x:v>
      </x:c>
      <x:c r="K4893" s="67" t="str">
        <x:v>https://www.stonealgo.com/diamond-prices/</x:v>
      </x:c>
      <x:c r="L4893" s="67" t="str">
        <x:v>https://www.pricescope.com/blog/natural-diamond-prices-september-2026</x:v>
      </x:c>
    </x:row>
    <x:row r="4894">
      <x:c r="A4894" t="n">
        <x:v>8</x:v>
      </x:c>
      <x:c r="B4894" t="str">
        <x:v>Pear</x:v>
      </x:c>
      <x:c r="C4894" t="str">
        <x:v>G</x:v>
      </x:c>
      <x:c r="D4894" t="str">
        <x:v>VS1</x:v>
      </x:c>
      <x:c r="E4894" s="36" t="n">
        <x:v>335717</x:v>
      </x:c>
      <x:c r="F4894" s="36" t="n">
        <x:v>4615</x:v>
      </x:c>
      <x:c r="G4894" s="42" t="n">
        <x:v>0.98991848991849</x:v>
      </x:c>
      <x:c r="H4894" s="36" t="n">
        <x:f>E4894*G4894</x:f>
        <x:v>332332.4656799657</x:v>
      </x:c>
      <x:c r="I4894" s="36" t="n">
        <x:f>IFERROR(H4894/A4894,0)</x:f>
        <x:v>41541.55820999571</x:v>
      </x:c>
      <x:c r="J4894" s="67" t="str">
        <x:v>Modeled from live base + Sep-2026 quality ratio</x:v>
      </x:c>
      <x:c r="K4894" s="67" t="str">
        <x:v>https://www.stonealgo.com/diamond-prices/</x:v>
      </x:c>
      <x:c r="L4894" s="67" t="str">
        <x:v>https://www.pricescope.com/blog/natural-diamond-prices-september-2026</x:v>
      </x:c>
    </x:row>
    <x:row r="4895">
      <x:c r="A4895" t="n">
        <x:v>8</x:v>
      </x:c>
      <x:c r="B4895" t="str">
        <x:v>Pear</x:v>
      </x:c>
      <x:c r="C4895" t="str">
        <x:v>G</x:v>
      </x:c>
      <x:c r="D4895" t="str">
        <x:v>VS2</x:v>
      </x:c>
      <x:c r="E4895" s="36" t="n">
        <x:v>335717</x:v>
      </x:c>
      <x:c r="F4895" s="36" t="n">
        <x:v>4585</x:v>
      </x:c>
      <x:c r="G4895" s="42" t="n">
        <x:v>0.9834834834834835</x:v>
      </x:c>
      <x:c r="H4895" s="36" t="n">
        <x:f>E4895*G4895</x:f>
        <x:v>330172.1246246246</x:v>
      </x:c>
      <x:c r="I4895" s="36" t="n">
        <x:f>IFERROR(H4895/A4895,0)</x:f>
        <x:v>41271.51557807808</x:v>
      </x:c>
      <x:c r="J4895" s="67" t="str">
        <x:v>Modeled from live base + Sep-2026 quality ratio</x:v>
      </x:c>
      <x:c r="K4895" s="67" t="str">
        <x:v>https://www.stonealgo.com/diamond-prices/</x:v>
      </x:c>
      <x:c r="L4895" s="67" t="str">
        <x:v>https://www.pricescope.com/blog/natural-diamond-prices-september-2026</x:v>
      </x:c>
    </x:row>
    <x:row r="4896">
      <x:c r="A4896" t="n">
        <x:v>8</x:v>
      </x:c>
      <x:c r="B4896" t="str">
        <x:v>Pear</x:v>
      </x:c>
      <x:c r="C4896" t="str">
        <x:v>G</x:v>
      </x:c>
      <x:c r="D4896" t="str">
        <x:v>SI1</x:v>
      </x:c>
      <x:c r="E4896" s="36" t="n">
        <x:v>335717</x:v>
      </x:c>
      <x:c r="F4896" s="36" t="n">
        <x:v>3664</x:v>
      </x:c>
      <x:c r="G4896" s="42" t="n">
        <x:v>0.7859287859287859</x:v>
      </x:c>
      <x:c r="H4896" s="36" t="n">
        <x:f>E4896*G4896</x:f>
        <x:v>263849.6542256542</x:v>
      </x:c>
      <x:c r="I4896" s="36" t="n">
        <x:f>IFERROR(H4896/A4896,0)</x:f>
        <x:v>32981.206778206775</x:v>
      </x:c>
      <x:c r="J4896" s="67" t="str">
        <x:v>Modeled from live base + Sep-2026 quality ratio</x:v>
      </x:c>
      <x:c r="K4896" s="67" t="str">
        <x:v>https://www.stonealgo.com/diamond-prices/</x:v>
      </x:c>
      <x:c r="L4896" s="67" t="str">
        <x:v>https://www.pricescope.com/blog/natural-diamond-prices-september-2026</x:v>
      </x:c>
    </x:row>
    <x:row r="4897">
      <x:c r="A4897" t="n">
        <x:v>8</x:v>
      </x:c>
      <x:c r="B4897" t="str">
        <x:v>Pear</x:v>
      </x:c>
      <x:c r="C4897" t="str">
        <x:v>G</x:v>
      </x:c>
      <x:c r="D4897" t="str">
        <x:v>SI2</x:v>
      </x:c>
      <x:c r="E4897" s="36" t="n">
        <x:v>335717</x:v>
      </x:c>
      <x:c r="F4897" s="36" t="n">
        <x:v>2537</x:v>
      </x:c>
      <x:c r="G4897" s="42" t="n">
        <x:v>0.5441870441870442</x:v>
      </x:c>
      <x:c r="H4897" s="36" t="n">
        <x:f>E4897*G4897</x:f>
        <x:v>182692.84191334192</x:v>
      </x:c>
      <x:c r="I4897" s="36" t="n">
        <x:f>IFERROR(H4897/A4897,0)</x:f>
        <x:v>22836.60523916774</x:v>
      </x:c>
      <x:c r="J4897" s="67" t="str">
        <x:v>Modeled from live base + Sep-2026 quality ratio</x:v>
      </x:c>
      <x:c r="K4897" s="67" t="str">
        <x:v>https://www.stonealgo.com/diamond-prices/</x:v>
      </x:c>
      <x:c r="L4897" s="67" t="str">
        <x:v>https://www.pricescope.com/blog/natural-diamond-prices-september-2026</x:v>
      </x:c>
    </x:row>
    <x:row r="4898">
      <x:c r="A4898" t="n">
        <x:v>8</x:v>
      </x:c>
      <x:c r="B4898" t="str">
        <x:v>Pear</x:v>
      </x:c>
      <x:c r="C4898" t="str">
        <x:v>H</x:v>
      </x:c>
      <x:c r="D4898" t="str">
        <x:v>FL</x:v>
      </x:c>
      <x:c r="E4898" s="36" t="n">
        <x:v>335717</x:v>
      </x:c>
      <x:c r="F4898" s="36" t="n">
        <x:v>4563</x:v>
      </x:c>
      <x:c r="G4898" s="42" t="n">
        <x:v>0.9787644787644788</x:v>
      </x:c>
      <x:c r="H4898" s="36" t="n">
        <x:f>E4898*G4898</x:f>
        <x:v>328587.87451737456</x:v>
      </x:c>
      <x:c r="I4898" s="36" t="n">
        <x:f>IFERROR(H4898/A4898,0)</x:f>
        <x:v>41073.48431467182</x:v>
      </x:c>
      <x:c r="J4898" s="67" t="str">
        <x:v>Modeled from live base + Sep-2026 quality ratio</x:v>
      </x:c>
      <x:c r="K4898" s="67" t="str">
        <x:v>https://www.stonealgo.com/diamond-prices/</x:v>
      </x:c>
      <x:c r="L4898" s="67" t="str">
        <x:v>https://www.pricescope.com/blog/natural-diamond-prices-september-2026</x:v>
      </x:c>
    </x:row>
    <x:row r="4899">
      <x:c r="A4899" t="n">
        <x:v>8</x:v>
      </x:c>
      <x:c r="B4899" t="str">
        <x:v>Pear</x:v>
      </x:c>
      <x:c r="C4899" t="str">
        <x:v>H</x:v>
      </x:c>
      <x:c r="D4899" t="str">
        <x:v>IF</x:v>
      </x:c>
      <x:c r="E4899" s="36" t="n">
        <x:v>335717</x:v>
      </x:c>
      <x:c r="F4899" s="36" t="n">
        <x:v>4809</x:v>
      </x:c>
      <x:c r="G4899" s="42" t="n">
        <x:v>1.0315315315315314</x:v>
      </x:c>
      <x:c r="H4899" s="36" t="n">
        <x:f>E4899*G4899</x:f>
        <x:v>346302.6711711711</x:v>
      </x:c>
      <x:c r="I4899" s="36" t="n">
        <x:f>IFERROR(H4899/A4899,0)</x:f>
        <x:v>43287.83389639639</x:v>
      </x:c>
      <x:c r="J4899" s="67" t="str">
        <x:v>Modeled from live base + Sep-2026 quality ratio</x:v>
      </x:c>
      <x:c r="K4899" s="67" t="str">
        <x:v>https://www.stonealgo.com/diamond-prices/</x:v>
      </x:c>
      <x:c r="L4899" s="67" t="str">
        <x:v>https://www.pricescope.com/blog/natural-diamond-prices-september-2026</x:v>
      </x:c>
    </x:row>
    <x:row r="4900">
      <x:c r="A4900" t="n">
        <x:v>8</x:v>
      </x:c>
      <x:c r="B4900" t="str">
        <x:v>Pear</x:v>
      </x:c>
      <x:c r="C4900" t="str">
        <x:v>H</x:v>
      </x:c>
      <x:c r="D4900" t="str">
        <x:v>VVS1</x:v>
      </x:c>
      <x:c r="E4900" s="36" t="n">
        <x:v>335717</x:v>
      </x:c>
      <x:c r="F4900" s="36" t="n">
        <x:v>4911</x:v>
      </x:c>
      <x:c r="G4900" s="42" t="n">
        <x:v>1.0534105534105533</x:v>
      </x:c>
      <x:c r="H4900" s="36" t="n">
        <x:f>E4900*G4900</x:f>
        <x:v>353647.8307593307</x:v>
      </x:c>
      <x:c r="I4900" s="36" t="n">
        <x:f>IFERROR(H4900/A4900,0)</x:f>
        <x:v>44205.97884491634</x:v>
      </x:c>
      <x:c r="J4900" s="67" t="str">
        <x:v>Modeled from live base + Sep-2026 quality ratio</x:v>
      </x:c>
      <x:c r="K4900" s="67" t="str">
        <x:v>https://www.stonealgo.com/diamond-prices/</x:v>
      </x:c>
      <x:c r="L4900" s="67" t="str">
        <x:v>https://www.pricescope.com/blog/natural-diamond-prices-september-2026</x:v>
      </x:c>
    </x:row>
    <x:row r="4901">
      <x:c r="A4901" t="n">
        <x:v>8</x:v>
      </x:c>
      <x:c r="B4901" t="str">
        <x:v>Pear</x:v>
      </x:c>
      <x:c r="C4901" t="str">
        <x:v>H</x:v>
      </x:c>
      <x:c r="D4901" t="str">
        <x:v>VVS2</x:v>
      </x:c>
      <x:c r="E4901" s="36" t="n">
        <x:v>335717</x:v>
      </x:c>
      <x:c r="F4901" s="36" t="n">
        <x:v>4046</x:v>
      </x:c>
      <x:c r="G4901" s="42" t="n">
        <x:v>0.8678678678678678</x:v>
      </x:c>
      <x:c r="H4901" s="36" t="n">
        <x:f>E4901*G4901</x:f>
        <x:v>291357.996996997</x:v>
      </x:c>
      <x:c r="I4901" s="36" t="n">
        <x:f>IFERROR(H4901/A4901,0)</x:f>
        <x:v>36419.74962462462</x:v>
      </x:c>
      <x:c r="J4901" s="67" t="str">
        <x:v>Modeled from live base + Sep-2026 quality ratio</x:v>
      </x:c>
      <x:c r="K4901" s="67" t="str">
        <x:v>https://www.stonealgo.com/diamond-prices/</x:v>
      </x:c>
      <x:c r="L4901" s="67" t="str">
        <x:v>https://www.pricescope.com/blog/natural-diamond-prices-september-2026</x:v>
      </x:c>
    </x:row>
    <x:row r="4902">
      <x:c r="A4902" t="n">
        <x:v>8</x:v>
      </x:c>
      <x:c r="B4902" t="str">
        <x:v>Pear</x:v>
      </x:c>
      <x:c r="C4902" t="str">
        <x:v>H</x:v>
      </x:c>
      <x:c r="D4902" t="str">
        <x:v>VS1</x:v>
      </x:c>
      <x:c r="E4902" s="36" t="n">
        <x:v>335717</x:v>
      </x:c>
      <x:c r="F4902" s="36" t="n">
        <x:v>3893</x:v>
      </x:c>
      <x:c r="G4902" s="42" t="n">
        <x:v>0.8350493350493351</x:v>
      </x:c>
      <x:c r="H4902" s="36" t="n">
        <x:f>E4902*G4902</x:f>
        <x:v>280340.25761475763</x:v>
      </x:c>
      <x:c r="I4902" s="36" t="n">
        <x:f>IFERROR(H4902/A4902,0)</x:f>
        <x:v>35042.532201844704</x:v>
      </x:c>
      <x:c r="J4902" s="67" t="str">
        <x:v>Modeled from live base + Sep-2026 quality ratio</x:v>
      </x:c>
      <x:c r="K4902" s="67" t="str">
        <x:v>https://www.stonealgo.com/diamond-prices/</x:v>
      </x:c>
      <x:c r="L4902" s="67" t="str">
        <x:v>https://www.pricescope.com/blog/natural-diamond-prices-september-2026</x:v>
      </x:c>
    </x:row>
    <x:row r="4903">
      <x:c r="A4903" t="n">
        <x:v>8</x:v>
      </x:c>
      <x:c r="B4903" t="str">
        <x:v>Pear</x:v>
      </x:c>
      <x:c r="C4903" t="str">
        <x:v>H</x:v>
      </x:c>
      <x:c r="D4903" t="str">
        <x:v>VS2</x:v>
      </x:c>
      <x:c r="E4903" s="36" t="n">
        <x:v>335717</x:v>
      </x:c>
      <x:c r="F4903" s="36" t="n">
        <x:v>3989</x:v>
      </x:c>
      <x:c r="G4903" s="42" t="n">
        <x:v>0.8556413556413557</x:v>
      </x:c>
      <x:c r="H4903" s="36" t="n">
        <x:f>E4903*G4903</x:f>
        <x:v>287253.348991849</x:v>
      </x:c>
      <x:c r="I4903" s="36" t="n">
        <x:f>IFERROR(H4903/A4903,0)</x:f>
        <x:v>35906.668623981124</x:v>
      </x:c>
      <x:c r="J4903" s="67" t="str">
        <x:v>Modeled from live base + Sep-2026 quality ratio</x:v>
      </x:c>
      <x:c r="K4903" s="67" t="str">
        <x:v>https://www.stonealgo.com/diamond-prices/</x:v>
      </x:c>
      <x:c r="L4903" s="67" t="str">
        <x:v>https://www.pricescope.com/blog/natural-diamond-prices-september-2026</x:v>
      </x:c>
    </x:row>
    <x:row r="4904">
      <x:c r="A4904" t="n">
        <x:v>8</x:v>
      </x:c>
      <x:c r="B4904" t="str">
        <x:v>Pear</x:v>
      </x:c>
      <x:c r="C4904" t="str">
        <x:v>H</x:v>
      </x:c>
      <x:c r="D4904" t="str">
        <x:v>SI1</x:v>
      </x:c>
      <x:c r="E4904" s="36" t="n">
        <x:v>335717</x:v>
      </x:c>
      <x:c r="F4904" s="36" t="n">
        <x:v>2828</x:v>
      </x:c>
      <x:c r="G4904" s="42" t="n">
        <x:v>0.6066066066066066</x:v>
      </x:c>
      <x:c r="H4904" s="36" t="n">
        <x:f>E4904*G4904</x:f>
        <x:v>203648.15015015015</x:v>
      </x:c>
      <x:c r="I4904" s="36" t="n">
        <x:f>IFERROR(H4904/A4904,0)</x:f>
        <x:v>25456.01876876877</x:v>
      </x:c>
      <x:c r="J4904" s="67" t="str">
        <x:v>Modeled from live base + Sep-2026 quality ratio</x:v>
      </x:c>
      <x:c r="K4904" s="67" t="str">
        <x:v>https://www.stonealgo.com/diamond-prices/</x:v>
      </x:c>
      <x:c r="L4904" s="67" t="str">
        <x:v>https://www.pricescope.com/blog/natural-diamond-prices-september-2026</x:v>
      </x:c>
    </x:row>
    <x:row r="4905">
      <x:c r="A4905" t="n">
        <x:v>8</x:v>
      </x:c>
      <x:c r="B4905" t="str">
        <x:v>Pear</x:v>
      </x:c>
      <x:c r="C4905" t="str">
        <x:v>H</x:v>
      </x:c>
      <x:c r="D4905" t="str">
        <x:v>SI2</x:v>
      </x:c>
      <x:c r="E4905" s="36" t="n">
        <x:v>335717</x:v>
      </x:c>
      <x:c r="F4905" s="36" t="n">
        <x:v>2328</x:v>
      </x:c>
      <x:c r="G4905" s="42" t="n">
        <x:v>0.49935649935649934</x:v>
      </x:c>
      <x:c r="H4905" s="36" t="n">
        <x:f>E4905*G4905</x:f>
        <x:v>167642.4658944659</x:v>
      </x:c>
      <x:c r="I4905" s="36" t="n">
        <x:f>IFERROR(H4905/A4905,0)</x:f>
        <x:v>20955.308236808236</x:v>
      </x:c>
      <x:c r="J4905" s="67" t="str">
        <x:v>Modeled from live base + Sep-2026 quality ratio</x:v>
      </x:c>
      <x:c r="K4905" s="67" t="str">
        <x:v>https://www.stonealgo.com/diamond-prices/</x:v>
      </x:c>
      <x:c r="L4905" s="67" t="str">
        <x:v>https://www.pricescope.com/blog/natural-diamond-prices-september-2026</x:v>
      </x:c>
    </x:row>
    <x:row r="4906">
      <x:c r="A4906" t="n">
        <x:v>8</x:v>
      </x:c>
      <x:c r="B4906" t="str">
        <x:v>Pear</x:v>
      </x:c>
      <x:c r="C4906" t="str">
        <x:v>I</x:v>
      </x:c>
      <x:c r="D4906" t="str">
        <x:v>FL</x:v>
      </x:c>
      <x:c r="E4906" s="36" t="n">
        <x:v>335717</x:v>
      </x:c>
      <x:c r="F4906" s="36" t="n">
        <x:v>4623</x:v>
      </x:c>
      <x:c r="G4906" s="42" t="n">
        <x:v>0.9916344916344917</x:v>
      </x:c>
      <x:c r="H4906" s="36" t="n">
        <x:f>E4906*G4906</x:f>
        <x:v>332908.5566280566</x:v>
      </x:c>
      <x:c r="I4906" s="36" t="n">
        <x:f>IFERROR(H4906/A4906,0)</x:f>
        <x:v>41613.56957850708</x:v>
      </x:c>
      <x:c r="J4906" s="67" t="str">
        <x:v>Modeled from live base + Sep-2026 quality ratio</x:v>
      </x:c>
      <x:c r="K4906" s="67" t="str">
        <x:v>https://www.stonealgo.com/diamond-prices/</x:v>
      </x:c>
      <x:c r="L4906" s="67" t="str">
        <x:v>https://www.pricescope.com/blog/natural-diamond-prices-september-2026</x:v>
      </x:c>
    </x:row>
    <x:row r="4907">
      <x:c r="A4907" t="n">
        <x:v>8</x:v>
      </x:c>
      <x:c r="B4907" t="str">
        <x:v>Pear</x:v>
      </x:c>
      <x:c r="C4907" t="str">
        <x:v>I</x:v>
      </x:c>
      <x:c r="D4907" t="str">
        <x:v>IF</x:v>
      </x:c>
      <x:c r="E4907" s="36" t="n">
        <x:v>335717</x:v>
      </x:c>
      <x:c r="F4907" s="36" t="n">
        <x:v>4005</x:v>
      </x:c>
      <x:c r="G4907" s="42" t="n">
        <x:v>0.859073359073359</x:v>
      </x:c>
      <x:c r="H4907" s="36" t="n">
        <x:f>E4907*G4907</x:f>
        <x:v>288405.5308880309</x:v>
      </x:c>
      <x:c r="I4907" s="36" t="n">
        <x:f>IFERROR(H4907/A4907,0)</x:f>
        <x:v>36050.69136100386</x:v>
      </x:c>
      <x:c r="J4907" s="67" t="str">
        <x:v>Modeled from live base + Sep-2026 quality ratio</x:v>
      </x:c>
      <x:c r="K4907" s="67" t="str">
        <x:v>https://www.stonealgo.com/diamond-prices/</x:v>
      </x:c>
      <x:c r="L4907" s="67" t="str">
        <x:v>https://www.pricescope.com/blog/natural-diamond-prices-september-2026</x:v>
      </x:c>
    </x:row>
    <x:row r="4908">
      <x:c r="A4908" t="n">
        <x:v>8</x:v>
      </x:c>
      <x:c r="B4908" t="str">
        <x:v>Pear</x:v>
      </x:c>
      <x:c r="C4908" t="str">
        <x:v>I</x:v>
      </x:c>
      <x:c r="D4908" t="str">
        <x:v>VVS1</x:v>
      </x:c>
      <x:c r="E4908" s="36" t="n">
        <x:v>335717</x:v>
      </x:c>
      <x:c r="F4908" s="36" t="n">
        <x:v>3670</x:v>
      </x:c>
      <x:c r="G4908" s="42" t="n">
        <x:v>0.7872157872157872</x:v>
      </x:c>
      <x:c r="H4908" s="36" t="n">
        <x:f>E4908*G4908</x:f>
        <x:v>264281.7224367224</x:v>
      </x:c>
      <x:c r="I4908" s="36" t="n">
        <x:f>IFERROR(H4908/A4908,0)</x:f>
        <x:v>33035.2153045903</x:v>
      </x:c>
      <x:c r="J4908" s="67" t="str">
        <x:v>Modeled from live base + Sep-2026 quality ratio</x:v>
      </x:c>
      <x:c r="K4908" s="67" t="str">
        <x:v>https://www.stonealgo.com/diamond-prices/</x:v>
      </x:c>
      <x:c r="L4908" s="67" t="str">
        <x:v>https://www.pricescope.com/blog/natural-diamond-prices-september-2026</x:v>
      </x:c>
    </x:row>
    <x:row r="4909">
      <x:c r="A4909" t="n">
        <x:v>8</x:v>
      </x:c>
      <x:c r="B4909" t="str">
        <x:v>Pear</x:v>
      </x:c>
      <x:c r="C4909" t="str">
        <x:v>I</x:v>
      </x:c>
      <x:c r="D4909" t="str">
        <x:v>VVS2</x:v>
      </x:c>
      <x:c r="E4909" s="36" t="n">
        <x:v>335717</x:v>
      </x:c>
      <x:c r="F4909" s="36" t="n">
        <x:v>3447</x:v>
      </x:c>
      <x:c r="G4909" s="42" t="n">
        <x:v>0.7393822393822393</x:v>
      </x:c>
      <x:c r="H4909" s="36" t="n">
        <x:f>E4909*G4909</x:f>
        <x:v>248223.18725868725</x:v>
      </x:c>
      <x:c r="I4909" s="36" t="n">
        <x:f>IFERROR(H4909/A4909,0)</x:f>
        <x:v>31027.898407335906</x:v>
      </x:c>
      <x:c r="J4909" s="67" t="str">
        <x:v>Modeled from live base + Sep-2026 quality ratio</x:v>
      </x:c>
      <x:c r="K4909" s="67" t="str">
        <x:v>https://www.stonealgo.com/diamond-prices/</x:v>
      </x:c>
      <x:c r="L4909" s="67" t="str">
        <x:v>https://www.pricescope.com/blog/natural-diamond-prices-september-2026</x:v>
      </x:c>
    </x:row>
    <x:row r="4910">
      <x:c r="A4910" t="n">
        <x:v>8</x:v>
      </x:c>
      <x:c r="B4910" t="str">
        <x:v>Pear</x:v>
      </x:c>
      <x:c r="C4910" t="str">
        <x:v>I</x:v>
      </x:c>
      <x:c r="D4910" t="str">
        <x:v>VS1</x:v>
      </x:c>
      <x:c r="E4910" s="36" t="n">
        <x:v>335717</x:v>
      </x:c>
      <x:c r="F4910" s="36" t="n">
        <x:v>3313</x:v>
      </x:c>
      <x:c r="G4910" s="42" t="n">
        <x:v>0.7106392106392107</x:v>
      </x:c>
      <x:c r="H4910" s="36" t="n">
        <x:f>E4910*G4910</x:f>
        <x:v>238573.66387816388</x:v>
      </x:c>
      <x:c r="I4910" s="36" t="n">
        <x:f>IFERROR(H4910/A4910,0)</x:f>
        <x:v>29821.707984770484</x:v>
      </x:c>
      <x:c r="J4910" s="67" t="str">
        <x:v>Modeled from live base + Sep-2026 quality ratio</x:v>
      </x:c>
      <x:c r="K4910" s="67" t="str">
        <x:v>https://www.stonealgo.com/diamond-prices/</x:v>
      </x:c>
      <x:c r="L4910" s="67" t="str">
        <x:v>https://www.pricescope.com/blog/natural-diamond-prices-september-2026</x:v>
      </x:c>
    </x:row>
    <x:row r="4911">
      <x:c r="A4911" t="n">
        <x:v>8</x:v>
      </x:c>
      <x:c r="B4911" t="str">
        <x:v>Pear</x:v>
      </x:c>
      <x:c r="C4911" t="str">
        <x:v>I</x:v>
      </x:c>
      <x:c r="D4911" t="str">
        <x:v>VS2</x:v>
      </x:c>
      <x:c r="E4911" s="36" t="n">
        <x:v>335717</x:v>
      </x:c>
      <x:c r="F4911" s="36" t="n">
        <x:v>3240</x:v>
      </x:c>
      <x:c r="G4911" s="42" t="n">
        <x:v>0.694980694980695</x:v>
      </x:c>
      <x:c r="H4911" s="36" t="n">
        <x:f>E4911*G4911</x:f>
        <x:v>233316.833976834</x:v>
      </x:c>
      <x:c r="I4911" s="36" t="n">
        <x:f>IFERROR(H4911/A4911,0)</x:f>
        <x:v>29164.60424710425</x:v>
      </x:c>
      <x:c r="J4911" s="67" t="str">
        <x:v>Modeled from live base + Sep-2026 quality ratio</x:v>
      </x:c>
      <x:c r="K4911" s="67" t="str">
        <x:v>https://www.stonealgo.com/diamond-prices/</x:v>
      </x:c>
      <x:c r="L4911" s="67" t="str">
        <x:v>https://www.pricescope.com/blog/natural-diamond-prices-september-2026</x:v>
      </x:c>
    </x:row>
    <x:row r="4912">
      <x:c r="A4912" t="n">
        <x:v>8</x:v>
      </x:c>
      <x:c r="B4912" t="str">
        <x:v>Pear</x:v>
      </x:c>
      <x:c r="C4912" t="str">
        <x:v>I</x:v>
      </x:c>
      <x:c r="D4912" t="str">
        <x:v>SI1</x:v>
      </x:c>
      <x:c r="E4912" s="36" t="n">
        <x:v>335717</x:v>
      </x:c>
      <x:c r="F4912" s="36" t="n">
        <x:v>3199</x:v>
      </x:c>
      <x:c r="G4912" s="42" t="n">
        <x:v>0.6861861861861862</x:v>
      </x:c>
      <x:c r="H4912" s="36" t="n">
        <x:f>E4912*G4912</x:f>
        <x:v>230364.36786786787</x:v>
      </x:c>
      <x:c r="I4912" s="36" t="n">
        <x:f>IFERROR(H4912/A4912,0)</x:f>
        <x:v>28795.545983483484</x:v>
      </x:c>
      <x:c r="J4912" s="67" t="str">
        <x:v>Modeled from live base + Sep-2026 quality ratio</x:v>
      </x:c>
      <x:c r="K4912" s="67" t="str">
        <x:v>https://www.stonealgo.com/diamond-prices/</x:v>
      </x:c>
      <x:c r="L4912" s="67" t="str">
        <x:v>https://www.pricescope.com/blog/natural-diamond-prices-september-2026</x:v>
      </x:c>
    </x:row>
    <x:row r="4913">
      <x:c r="A4913" t="n">
        <x:v>8</x:v>
      </x:c>
      <x:c r="B4913" t="str">
        <x:v>Pear</x:v>
      </x:c>
      <x:c r="C4913" t="str">
        <x:v>I</x:v>
      </x:c>
      <x:c r="D4913" t="str">
        <x:v>SI2</x:v>
      </x:c>
      <x:c r="E4913" s="36" t="n">
        <x:v>335717</x:v>
      </x:c>
      <x:c r="F4913" s="36" t="n">
        <x:v>2874</x:v>
      </x:c>
      <x:c r="G4913" s="42" t="n">
        <x:v>0.6164736164736164</x:v>
      </x:c>
      <x:c r="H4913" s="36" t="n">
        <x:f>E4913*G4913</x:f>
        <x:v>206960.67310167308</x:v>
      </x:c>
      <x:c r="I4913" s="36" t="n">
        <x:f>IFERROR(H4913/A4913,0)</x:f>
        <x:v>25870.084137709135</x:v>
      </x:c>
      <x:c r="J4913" s="67" t="str">
        <x:v>Modeled from live base + Sep-2026 quality ratio</x:v>
      </x:c>
      <x:c r="K4913" s="67" t="str">
        <x:v>https://www.stonealgo.com/diamond-prices/</x:v>
      </x:c>
      <x:c r="L4913" s="67" t="str">
        <x:v>https://www.pricescope.com/blog/natural-diamond-prices-september-2026</x:v>
      </x:c>
    </x:row>
    <x:row r="4914">
      <x:c r="A4914" t="n">
        <x:v>8</x:v>
      </x:c>
      <x:c r="B4914" t="str">
        <x:v>Pear</x:v>
      </x:c>
      <x:c r="C4914" t="str">
        <x:v>J</x:v>
      </x:c>
      <x:c r="D4914" t="str">
        <x:v>FL</x:v>
      </x:c>
      <x:c r="E4914" s="36" t="n">
        <x:v>335717</x:v>
      </x:c>
      <x:c r="F4914" s="36" t="n">
        <x:v>3646</x:v>
      </x:c>
      <x:c r="G4914" s="42" t="n">
        <x:v>0.782067782067782</x:v>
      </x:c>
      <x:c r="H4914" s="36" t="n">
        <x:f>E4914*G4914</x:f>
        <x:v>262553.4495924496</x:v>
      </x:c>
      <x:c r="I4914" s="36" t="n">
        <x:f>IFERROR(H4914/A4914,0)</x:f>
        <x:v>32819.1811990562</x:v>
      </x:c>
      <x:c r="J4914" s="67" t="str">
        <x:v>Modeled from live base + Sep-2026 quality ratio</x:v>
      </x:c>
      <x:c r="K4914" s="67" t="str">
        <x:v>https://www.stonealgo.com/diamond-prices/</x:v>
      </x:c>
      <x:c r="L4914" s="67" t="str">
        <x:v>https://www.pricescope.com/blog/natural-diamond-prices-september-2026</x:v>
      </x:c>
    </x:row>
    <x:row r="4915">
      <x:c r="A4915" t="n">
        <x:v>8</x:v>
      </x:c>
      <x:c r="B4915" t="str">
        <x:v>Pear</x:v>
      </x:c>
      <x:c r="C4915" t="str">
        <x:v>J</x:v>
      </x:c>
      <x:c r="D4915" t="str">
        <x:v>IF</x:v>
      </x:c>
      <x:c r="E4915" s="36" t="n">
        <x:v>335717</x:v>
      </x:c>
      <x:c r="F4915" s="36" t="n">
        <x:v>3368</x:v>
      </x:c>
      <x:c r="G4915" s="42" t="n">
        <x:v>0.7224367224367224</x:v>
      </x:c>
      <x:c r="H4915" s="36" t="n">
        <x:f>E4915*G4915</x:f>
        <x:v>242534.28914628914</x:v>
      </x:c>
      <x:c r="I4915" s="36" t="n">
        <x:f>IFERROR(H4915/A4915,0)</x:f>
        <x:v>30316.786143286143</x:v>
      </x:c>
      <x:c r="J4915" s="67" t="str">
        <x:v>Modeled from live base + Sep-2026 quality ratio</x:v>
      </x:c>
      <x:c r="K4915" s="67" t="str">
        <x:v>https://www.stonealgo.com/diamond-prices/</x:v>
      </x:c>
      <x:c r="L4915" s="67" t="str">
        <x:v>https://www.pricescope.com/blog/natural-diamond-prices-september-2026</x:v>
      </x:c>
    </x:row>
    <x:row r="4916">
      <x:c r="A4916" t="n">
        <x:v>8</x:v>
      </x:c>
      <x:c r="B4916" t="str">
        <x:v>Pear</x:v>
      </x:c>
      <x:c r="C4916" t="str">
        <x:v>J</x:v>
      </x:c>
      <x:c r="D4916" t="str">
        <x:v>VVS1</x:v>
      </x:c>
      <x:c r="E4916" s="36" t="n">
        <x:v>335717</x:v>
      </x:c>
      <x:c r="F4916" s="36" t="n">
        <x:v>2956</x:v>
      </x:c>
      <x:c r="G4916" s="42" t="n">
        <x:v>0.6340626340626341</x:v>
      </x:c>
      <x:c r="H4916" s="36" t="n">
        <x:f>E4916*G4916</x:f>
        <x:v>212865.60531960533</x:v>
      </x:c>
      <x:c r="I4916" s="36" t="n">
        <x:f>IFERROR(H4916/A4916,0)</x:f>
        <x:v>26608.200664950666</x:v>
      </x:c>
      <x:c r="J4916" s="67" t="str">
        <x:v>Modeled from live base + Sep-2026 quality ratio</x:v>
      </x:c>
      <x:c r="K4916" s="67" t="str">
        <x:v>https://www.stonealgo.com/diamond-prices/</x:v>
      </x:c>
      <x:c r="L4916" s="67" t="str">
        <x:v>https://www.pricescope.com/blog/natural-diamond-prices-september-2026</x:v>
      </x:c>
    </x:row>
    <x:row r="4917">
      <x:c r="A4917" t="n">
        <x:v>8</x:v>
      </x:c>
      <x:c r="B4917" t="str">
        <x:v>Pear</x:v>
      </x:c>
      <x:c r="C4917" t="str">
        <x:v>J</x:v>
      </x:c>
      <x:c r="D4917" t="str">
        <x:v>VVS2</x:v>
      </x:c>
      <x:c r="E4917" s="36" t="n">
        <x:v>335717</x:v>
      </x:c>
      <x:c r="F4917" s="36" t="n">
        <x:v>2612</x:v>
      </x:c>
      <x:c r="G4917" s="42" t="n">
        <x:v>0.5602745602745602</x:v>
      </x:c>
      <x:c r="H4917" s="36" t="n">
        <x:f>E4917*G4917</x:f>
        <x:v>188093.69455169453</x:v>
      </x:c>
      <x:c r="I4917" s="36" t="n">
        <x:f>IFERROR(H4917/A4917,0)</x:f>
        <x:v>23511.711818961816</x:v>
      </x:c>
      <x:c r="J4917" s="67" t="str">
        <x:v>Modeled from live base + Sep-2026 quality ratio</x:v>
      </x:c>
      <x:c r="K4917" s="67" t="str">
        <x:v>https://www.stonealgo.com/diamond-prices/</x:v>
      </x:c>
      <x:c r="L4917" s="67" t="str">
        <x:v>https://www.pricescope.com/blog/natural-diamond-prices-september-2026</x:v>
      </x:c>
    </x:row>
    <x:row r="4918">
      <x:c r="A4918" t="n">
        <x:v>8</x:v>
      </x:c>
      <x:c r="B4918" t="str">
        <x:v>Pear</x:v>
      </x:c>
      <x:c r="C4918" t="str">
        <x:v>J</x:v>
      </x:c>
      <x:c r="D4918" t="str">
        <x:v>VS1</x:v>
      </x:c>
      <x:c r="E4918" s="36" t="n">
        <x:v>335717</x:v>
      </x:c>
      <x:c r="F4918" s="36" t="n">
        <x:v>3002</x:v>
      </x:c>
      <x:c r="G4918" s="42" t="n">
        <x:v>0.6439296439296439</x:v>
      </x:c>
      <x:c r="H4918" s="36" t="n">
        <x:f>E4918*G4918</x:f>
        <x:v>216178.12827112825</x:v>
      </x:c>
      <x:c r="I4918" s="36" t="n">
        <x:f>IFERROR(H4918/A4918,0)</x:f>
        <x:v>27022.266033891032</x:v>
      </x:c>
      <x:c r="J4918" s="67" t="str">
        <x:v>Modeled from live base + Sep-2026 quality ratio</x:v>
      </x:c>
      <x:c r="K4918" s="67" t="str">
        <x:v>https://www.stonealgo.com/diamond-prices/</x:v>
      </x:c>
      <x:c r="L4918" s="67" t="str">
        <x:v>https://www.pricescope.com/blog/natural-diamond-prices-september-2026</x:v>
      </x:c>
    </x:row>
    <x:row r="4919">
      <x:c r="A4919" t="n">
        <x:v>8</x:v>
      </x:c>
      <x:c r="B4919" t="str">
        <x:v>Pear</x:v>
      </x:c>
      <x:c r="C4919" t="str">
        <x:v>J</x:v>
      </x:c>
      <x:c r="D4919" t="str">
        <x:v>VS2</x:v>
      </x:c>
      <x:c r="E4919" s="36" t="n">
        <x:v>335717</x:v>
      </x:c>
      <x:c r="F4919" s="36" t="n">
        <x:v>2559</x:v>
      </x:c>
      <x:c r="G4919" s="42" t="n">
        <x:v>0.5489060489060489</x:v>
      </x:c>
      <x:c r="H4919" s="36" t="n">
        <x:f>E4919*G4919</x:f>
        <x:v>184277.092020592</x:v>
      </x:c>
      <x:c r="I4919" s="36" t="n">
        <x:f>IFERROR(H4919/A4919,0)</x:f>
        <x:v>23034.636502574</x:v>
      </x:c>
      <x:c r="J4919" s="67" t="str">
        <x:v>Modeled from live base + Sep-2026 quality ratio</x:v>
      </x:c>
      <x:c r="K4919" s="67" t="str">
        <x:v>https://www.stonealgo.com/diamond-prices/</x:v>
      </x:c>
      <x:c r="L4919" s="67" t="str">
        <x:v>https://www.pricescope.com/blog/natural-diamond-prices-september-2026</x:v>
      </x:c>
    </x:row>
    <x:row r="4920">
      <x:c r="A4920" t="n">
        <x:v>8</x:v>
      </x:c>
      <x:c r="B4920" t="str">
        <x:v>Pear</x:v>
      </x:c>
      <x:c r="C4920" t="str">
        <x:v>J</x:v>
      </x:c>
      <x:c r="D4920" t="str">
        <x:v>SI1</x:v>
      </x:c>
      <x:c r="E4920" s="36" t="n">
        <x:v>335717</x:v>
      </x:c>
      <x:c r="F4920" s="36" t="n">
        <x:v>2195</x:v>
      </x:c>
      <x:c r="G4920" s="42" t="n">
        <x:v>0.47082797082797084</x:v>
      </x:c>
      <x:c r="H4920" s="36" t="n">
        <x:f>E4920*G4920</x:f>
        <x:v>158064.95388245388</x:v>
      </x:c>
      <x:c r="I4920" s="36" t="n">
        <x:f>IFERROR(H4920/A4920,0)</x:f>
        <x:v>19758.119235306734</x:v>
      </x:c>
      <x:c r="J4920" s="67" t="str">
        <x:v>Modeled from live base + Sep-2026 quality ratio</x:v>
      </x:c>
      <x:c r="K4920" s="67" t="str">
        <x:v>https://www.stonealgo.com/diamond-prices/</x:v>
      </x:c>
      <x:c r="L4920" s="67" t="str">
        <x:v>https://www.pricescope.com/blog/natural-diamond-prices-september-2026</x:v>
      </x:c>
    </x:row>
    <x:row r="4921">
      <x:c r="A4921" t="n">
        <x:v>8</x:v>
      </x:c>
      <x:c r="B4921" t="str">
        <x:v>Pear</x:v>
      </x:c>
      <x:c r="C4921" t="str">
        <x:v>J</x:v>
      </x:c>
      <x:c r="D4921" t="str">
        <x:v>SI2</x:v>
      </x:c>
      <x:c r="E4921" s="36" t="n">
        <x:v>335717</x:v>
      </x:c>
      <x:c r="F4921" s="36" t="n">
        <x:v>2079</x:v>
      </x:c>
      <x:c r="G4921" s="42" t="n">
        <x:v>0.44594594594594594</x:v>
      </x:c>
      <x:c r="H4921" s="36" t="n">
        <x:f>E4921*G4921</x:f>
        <x:v>149711.63513513515</x:v>
      </x:c>
      <x:c r="I4921" s="36" t="n">
        <x:f>IFERROR(H4921/A4921,0)</x:f>
        <x:v>18713.954391891893</x:v>
      </x:c>
      <x:c r="J4921" s="67" t="str">
        <x:v>Modeled from live base + Sep-2026 quality ratio</x:v>
      </x:c>
      <x:c r="K4921" s="67" t="str">
        <x:v>https://www.stonealgo.com/diamond-prices/</x:v>
      </x:c>
      <x:c r="L4921" s="67" t="str">
        <x:v>https://www.pricescope.com/blog/natural-diamond-prices-september-2026</x:v>
      </x:c>
    </x:row>
    <x:row r="4922">
      <x:c r="A4922" t="n">
        <x:v>8</x:v>
      </x:c>
      <x:c r="B4922" t="str">
        <x:v>Pear</x:v>
      </x:c>
      <x:c r="C4922" t="str">
        <x:v>K</x:v>
      </x:c>
      <x:c r="D4922" t="str">
        <x:v>FL</x:v>
      </x:c>
      <x:c r="E4922" s="36" t="n">
        <x:v>335717</x:v>
      </x:c>
      <x:c r="F4922" s="36" t="n">
        <x:v>2858</x:v>
      </x:c>
      <x:c r="G4922" s="42" t="n">
        <x:v>0.6130416130416131</x:v>
      </x:c>
      <x:c r="H4922" s="36" t="n">
        <x:f>E4922*G4922</x:f>
        <x:v>205808.4912054912</x:v>
      </x:c>
      <x:c r="I4922" s="36" t="n">
        <x:f>IFERROR(H4922/A4922,0)</x:f>
        <x:v>25726.0614006864</x:v>
      </x:c>
      <x:c r="J4922" s="67" t="str">
        <x:v>Modeled from live base + Sep-2026 quality ratio; K/FL quality cell modeled</x:v>
      </x:c>
      <x:c r="K4922" s="67" t="str">
        <x:v>https://www.stonealgo.com/diamond-prices/</x:v>
      </x:c>
      <x:c r="L4922" s="67" t="str">
        <x:v>https://www.pricescope.com/blog/natural-diamond-prices-september-2026</x:v>
      </x:c>
    </x:row>
    <x:row r="4923">
      <x:c r="A4923" t="n">
        <x:v>8</x:v>
      </x:c>
      <x:c r="B4923" t="str">
        <x:v>Pear</x:v>
      </x:c>
      <x:c r="C4923" t="str">
        <x:v>K</x:v>
      </x:c>
      <x:c r="D4923" t="str">
        <x:v>IF</x:v>
      </x:c>
      <x:c r="E4923" s="36" t="n">
        <x:v>335717</x:v>
      </x:c>
      <x:c r="F4923" s="36" t="n">
        <x:v>2743</x:v>
      </x:c>
      <x:c r="G4923" s="42" t="n">
        <x:v>0.5883740883740883</x:v>
      </x:c>
      <x:c r="H4923" s="36" t="n">
        <x:f>E4923*G4923</x:f>
        <x:v>197527.18382668382</x:v>
      </x:c>
      <x:c r="I4923" s="36" t="n">
        <x:f>IFERROR(H4923/A4923,0)</x:f>
        <x:v>24690.897978335477</x:v>
      </x:c>
      <x:c r="J4923" s="67" t="str">
        <x:v>Modeled from live base + Sep-2026 quality ratio</x:v>
      </x:c>
      <x:c r="K4923" s="67" t="str">
        <x:v>https://www.stonealgo.com/diamond-prices/</x:v>
      </x:c>
      <x:c r="L4923" s="67" t="str">
        <x:v>https://www.pricescope.com/blog/natural-diamond-prices-september-2026</x:v>
      </x:c>
    </x:row>
    <x:row r="4924">
      <x:c r="A4924" t="n">
        <x:v>8</x:v>
      </x:c>
      <x:c r="B4924" t="str">
        <x:v>Pear</x:v>
      </x:c>
      <x:c r="C4924" t="str">
        <x:v>K</x:v>
      </x:c>
      <x:c r="D4924" t="str">
        <x:v>VVS1</x:v>
      </x:c>
      <x:c r="E4924" s="36" t="n">
        <x:v>335717</x:v>
      </x:c>
      <x:c r="F4924" s="36" t="n">
        <x:v>2529</x:v>
      </x:c>
      <x:c r="G4924" s="42" t="n">
        <x:v>0.5424710424710425</x:v>
      </x:c>
      <x:c r="H4924" s="36" t="n">
        <x:f>E4924*G4924</x:f>
        <x:v>182116.75096525098</x:v>
      </x:c>
      <x:c r="I4924" s="36" t="n">
        <x:f>IFERROR(H4924/A4924,0)</x:f>
        <x:v>22764.593870656372</x:v>
      </x:c>
      <x:c r="J4924" s="67" t="str">
        <x:v>Modeled from live base + Sep-2026 quality ratio</x:v>
      </x:c>
      <x:c r="K4924" s="67" t="str">
        <x:v>https://www.stonealgo.com/diamond-prices/</x:v>
      </x:c>
      <x:c r="L4924" s="67" t="str">
        <x:v>https://www.pricescope.com/blog/natural-diamond-prices-september-2026</x:v>
      </x:c>
    </x:row>
    <x:row r="4925">
      <x:c r="A4925" t="n">
        <x:v>8</x:v>
      </x:c>
      <x:c r="B4925" t="str">
        <x:v>Pear</x:v>
      </x:c>
      <x:c r="C4925" t="str">
        <x:v>K</x:v>
      </x:c>
      <x:c r="D4925" t="str">
        <x:v>VVS2</x:v>
      </x:c>
      <x:c r="E4925" s="36" t="n">
        <x:v>335717</x:v>
      </x:c>
      <x:c r="F4925" s="36" t="n">
        <x:v>2374</x:v>
      </x:c>
      <x:c r="G4925" s="42" t="n">
        <x:v>0.5092235092235092</x:v>
      </x:c>
      <x:c r="H4925" s="36" t="n">
        <x:f>E4925*G4925</x:f>
        <x:v>170954.98884598885</x:v>
      </x:c>
      <x:c r="I4925" s="36" t="n">
        <x:f>IFERROR(H4925/A4925,0)</x:f>
        <x:v>21369.373605748606</x:v>
      </x:c>
      <x:c r="J4925" s="67" t="str">
        <x:v>Modeled from live base + Sep-2026 quality ratio</x:v>
      </x:c>
      <x:c r="K4925" s="67" t="str">
        <x:v>https://www.stonealgo.com/diamond-prices/</x:v>
      </x:c>
      <x:c r="L4925" s="67" t="str">
        <x:v>https://www.pricescope.com/blog/natural-diamond-prices-september-2026</x:v>
      </x:c>
    </x:row>
    <x:row r="4926">
      <x:c r="A4926" t="n">
        <x:v>8</x:v>
      </x:c>
      <x:c r="B4926" t="str">
        <x:v>Pear</x:v>
      </x:c>
      <x:c r="C4926" t="str">
        <x:v>K</x:v>
      </x:c>
      <x:c r="D4926" t="str">
        <x:v>VS1</x:v>
      </x:c>
      <x:c r="E4926" s="36" t="n">
        <x:v>335717</x:v>
      </x:c>
      <x:c r="F4926" s="36" t="n">
        <x:v>2223</x:v>
      </x:c>
      <x:c r="G4926" s="42" t="n">
        <x:v>0.4768339768339768</x:v>
      </x:c>
      <x:c r="H4926" s="36" t="n">
        <x:f>E4926*G4926</x:f>
        <x:v>160081.2722007722</x:v>
      </x:c>
      <x:c r="I4926" s="36" t="n">
        <x:f>IFERROR(H4926/A4926,0)</x:f>
        <x:v>20010.159025096524</x:v>
      </x:c>
      <x:c r="J4926" s="67" t="str">
        <x:v>Modeled from live base + Sep-2026 quality ratio</x:v>
      </x:c>
      <x:c r="K4926" s="67" t="str">
        <x:v>https://www.stonealgo.com/diamond-prices/</x:v>
      </x:c>
      <x:c r="L4926" s="67" t="str">
        <x:v>https://www.pricescope.com/blog/natural-diamond-prices-september-2026</x:v>
      </x:c>
    </x:row>
    <x:row r="4927">
      <x:c r="A4927" t="n">
        <x:v>8</x:v>
      </x:c>
      <x:c r="B4927" t="str">
        <x:v>Pear</x:v>
      </x:c>
      <x:c r="C4927" t="str">
        <x:v>K</x:v>
      </x:c>
      <x:c r="D4927" t="str">
        <x:v>VS2</x:v>
      </x:c>
      <x:c r="E4927" s="36" t="n">
        <x:v>335717</x:v>
      </x:c>
      <x:c r="F4927" s="36" t="n">
        <x:v>2098</x:v>
      </x:c>
      <x:c r="G4927" s="42" t="n">
        <x:v>0.45002145002145</x:v>
      </x:c>
      <x:c r="H4927" s="36" t="n">
        <x:f>E4927*G4927</x:f>
        <x:v>151079.85113685112</x:v>
      </x:c>
      <x:c r="I4927" s="36" t="n">
        <x:f>IFERROR(H4927/A4927,0)</x:f>
        <x:v>18884.98139210639</x:v>
      </x:c>
      <x:c r="J4927" s="67" t="str">
        <x:v>Modeled from live base + Sep-2026 quality ratio</x:v>
      </x:c>
      <x:c r="K4927" s="67" t="str">
        <x:v>https://www.stonealgo.com/diamond-prices/</x:v>
      </x:c>
      <x:c r="L4927" s="67" t="str">
        <x:v>https://www.pricescope.com/blog/natural-diamond-prices-september-2026</x:v>
      </x:c>
    </x:row>
    <x:row r="4928">
      <x:c r="A4928" t="n">
        <x:v>8</x:v>
      </x:c>
      <x:c r="B4928" t="str">
        <x:v>Pear</x:v>
      </x:c>
      <x:c r="C4928" t="str">
        <x:v>K</x:v>
      </x:c>
      <x:c r="D4928" t="str">
        <x:v>SI1</x:v>
      </x:c>
      <x:c r="E4928" s="36" t="n">
        <x:v>335717</x:v>
      </x:c>
      <x:c r="F4928" s="36" t="n">
        <x:v>1922</x:v>
      </x:c>
      <x:c r="G4928" s="42" t="n">
        <x:v>0.41226941226941227</x:v>
      </x:c>
      <x:c r="H4928" s="36" t="n">
        <x:f>E4928*G4928</x:f>
        <x:v>138405.85027885027</x:v>
      </x:c>
      <x:c r="I4928" s="36" t="n">
        <x:f>IFERROR(H4928/A4928,0)</x:f>
        <x:v>17300.731284856283</x:v>
      </x:c>
      <x:c r="J4928" s="67" t="str">
        <x:v>Modeled from live base + Sep-2026 quality ratio</x:v>
      </x:c>
      <x:c r="K4928" s="67" t="str">
        <x:v>https://www.stonealgo.com/diamond-prices/</x:v>
      </x:c>
      <x:c r="L4928" s="67" t="str">
        <x:v>https://www.pricescope.com/blog/natural-diamond-prices-september-2026</x:v>
      </x:c>
    </x:row>
    <x:row r="4929">
      <x:c r="A4929" t="n">
        <x:v>8</x:v>
      </x:c>
      <x:c r="B4929" t="str">
        <x:v>Pear</x:v>
      </x:c>
      <x:c r="C4929" t="str">
        <x:v>K</x:v>
      </x:c>
      <x:c r="D4929" t="str">
        <x:v>SI2</x:v>
      </x:c>
      <x:c r="E4929" s="36" t="n">
        <x:v>335717</x:v>
      </x:c>
      <x:c r="F4929" s="36" t="n">
        <x:v>1764</x:v>
      </x:c>
      <x:c r="G4929" s="42" t="n">
        <x:v>0.3783783783783784</x:v>
      </x:c>
      <x:c r="H4929" s="36" t="n">
        <x:f>E4929*G4929</x:f>
        <x:v>127028.05405405407</x:v>
      </x:c>
      <x:c r="I4929" s="36" t="n">
        <x:f>IFERROR(H4929/A4929,0)</x:f>
        <x:v>15878.506756756758</x:v>
      </x:c>
      <x:c r="J4929" s="67" t="str">
        <x:v>Modeled from live base + Sep-2026 quality ratio</x:v>
      </x:c>
      <x:c r="K4929" s="67" t="str">
        <x:v>https://www.stonealgo.com/diamond-prices/</x:v>
      </x:c>
      <x:c r="L4929" s="67" t="str">
        <x:v>https://www.pricescope.com/blog/natural-diamond-prices-september-2026</x:v>
      </x:c>
    </x:row>
    <x:row r="4930">
      <x:c r="A4930" t="n">
        <x:v>8</x:v>
      </x:c>
      <x:c r="B4930" t="str">
        <x:v>Heart</x:v>
      </x:c>
      <x:c r="C4930" t="str">
        <x:v>D</x:v>
      </x:c>
      <x:c r="D4930" t="str">
        <x:v>FL</x:v>
      </x:c>
      <x:c r="E4930" s="36" t="n">
        <x:v>301000</x:v>
      </x:c>
      <x:c r="F4930" s="36" t="n">
        <x:v>12665</x:v>
      </x:c>
      <x:c r="G4930" s="42" t="n">
        <x:v>2.7166452166452166</x:v>
      </x:c>
      <x:c r="H4930" s="36" t="n">
        <x:f>E4930*G4930</x:f>
        <x:v>817710.2102102102</x:v>
      </x:c>
      <x:c r="I4930" s="36" t="n">
        <x:f>IFERROR(H4930/A4930,0)</x:f>
        <x:v>102213.77627627627</x:v>
      </x:c>
      <x:c r="J4930" s="67" t="str">
        <x:v>Modeled from live base + Sep-2026 quality ratio</x:v>
      </x:c>
      <x:c r="K4930" s="67" t="str">
        <x:v>https://www.stonealgo.com/diamond-prices/</x:v>
      </x:c>
      <x:c r="L4930" s="67" t="str">
        <x:v>https://www.pricescope.com/blog/natural-diamond-prices-september-2026</x:v>
      </x:c>
    </x:row>
    <x:row r="4931">
      <x:c r="A4931" t="n">
        <x:v>8</x:v>
      </x:c>
      <x:c r="B4931" t="str">
        <x:v>Heart</x:v>
      </x:c>
      <x:c r="C4931" t="str">
        <x:v>D</x:v>
      </x:c>
      <x:c r="D4931" t="str">
        <x:v>IF</x:v>
      </x:c>
      <x:c r="E4931" s="36" t="n">
        <x:v>301000</x:v>
      </x:c>
      <x:c r="F4931" s="36" t="n">
        <x:v>13240</x:v>
      </x:c>
      <x:c r="G4931" s="42" t="n">
        <x:v>2.83998283998284</x:v>
      </x:c>
      <x:c r="H4931" s="36" t="n">
        <x:f>E4931*G4931</x:f>
        <x:v>854834.8348348349</x:v>
      </x:c>
      <x:c r="I4931" s="36" t="n">
        <x:f>IFERROR(H4931/A4931,0)</x:f>
        <x:v>106854.35435435436</x:v>
      </x:c>
      <x:c r="J4931" s="67" t="str">
        <x:v>Modeled from live base + Sep-2026 quality ratio</x:v>
      </x:c>
      <x:c r="K4931" s="67" t="str">
        <x:v>https://www.stonealgo.com/diamond-prices/</x:v>
      </x:c>
      <x:c r="L4931" s="67" t="str">
        <x:v>https://www.pricescope.com/blog/natural-diamond-prices-september-2026</x:v>
      </x:c>
    </x:row>
    <x:row r="4932">
      <x:c r="A4932" t="n">
        <x:v>8</x:v>
      </x:c>
      <x:c r="B4932" t="str">
        <x:v>Heart</x:v>
      </x:c>
      <x:c r="C4932" t="str">
        <x:v>D</x:v>
      </x:c>
      <x:c r="D4932" t="str">
        <x:v>VVS1</x:v>
      </x:c>
      <x:c r="E4932" s="36" t="n">
        <x:v>301000</x:v>
      </x:c>
      <x:c r="F4932" s="36" t="n">
        <x:v>9555</x:v>
      </x:c>
      <x:c r="G4932" s="42" t="n">
        <x:v>2.0495495495495497</x:v>
      </x:c>
      <x:c r="H4932" s="36" t="n">
        <x:f>E4932*G4932</x:f>
        <x:v>616914.4144144144</x:v>
      </x:c>
      <x:c r="I4932" s="36" t="n">
        <x:f>IFERROR(H4932/A4932,0)</x:f>
        <x:v>77114.3018018018</x:v>
      </x:c>
      <x:c r="J4932" s="67" t="str">
        <x:v>Modeled from live base + Sep-2026 quality ratio</x:v>
      </x:c>
      <x:c r="K4932" s="67" t="str">
        <x:v>https://www.stonealgo.com/diamond-prices/</x:v>
      </x:c>
      <x:c r="L4932" s="67" t="str">
        <x:v>https://www.pricescope.com/blog/natural-diamond-prices-september-2026</x:v>
      </x:c>
    </x:row>
    <x:row r="4933">
      <x:c r="A4933" t="n">
        <x:v>8</x:v>
      </x:c>
      <x:c r="B4933" t="str">
        <x:v>Heart</x:v>
      </x:c>
      <x:c r="C4933" t="str">
        <x:v>D</x:v>
      </x:c>
      <x:c r="D4933" t="str">
        <x:v>VVS2</x:v>
      </x:c>
      <x:c r="E4933" s="36" t="n">
        <x:v>301000</x:v>
      </x:c>
      <x:c r="F4933" s="36" t="n">
        <x:v>6660</x:v>
      </x:c>
      <x:c r="G4933" s="42" t="n">
        <x:v>1.4285714285714286</x:v>
      </x:c>
      <x:c r="H4933" s="36" t="n">
        <x:f>E4933*G4933</x:f>
        <x:v>430000</x:v>
      </x:c>
      <x:c r="I4933" s="36" t="n">
        <x:f>IFERROR(H4933/A4933,0)</x:f>
        <x:v>53750</x:v>
      </x:c>
      <x:c r="J4933" s="67" t="str">
        <x:v>Modeled from live base + Sep-2026 quality ratio</x:v>
      </x:c>
      <x:c r="K4933" s="67" t="str">
        <x:v>https://www.stonealgo.com/diamond-prices/</x:v>
      </x:c>
      <x:c r="L4933" s="67" t="str">
        <x:v>https://www.pricescope.com/blog/natural-diamond-prices-september-2026</x:v>
      </x:c>
    </x:row>
    <x:row r="4934">
      <x:c r="A4934" t="n">
        <x:v>8</x:v>
      </x:c>
      <x:c r="B4934" t="str">
        <x:v>Heart</x:v>
      </x:c>
      <x:c r="C4934" t="str">
        <x:v>D</x:v>
      </x:c>
      <x:c r="D4934" t="str">
        <x:v>VS1</x:v>
      </x:c>
      <x:c r="E4934" s="36" t="n">
        <x:v>301000</x:v>
      </x:c>
      <x:c r="F4934" s="36" t="n">
        <x:v>6247</x:v>
      </x:c>
      <x:c r="G4934" s="42" t="n">
        <x:v>1.33998283998284</x:v>
      </x:c>
      <x:c r="H4934" s="36" t="n">
        <x:f>E4934*G4934</x:f>
        <x:v>403334.83483483485</x:v>
      </x:c>
      <x:c r="I4934" s="36" t="n">
        <x:f>IFERROR(H4934/A4934,0)</x:f>
        <x:v>50416.85435435436</x:v>
      </x:c>
      <x:c r="J4934" s="67" t="str">
        <x:v>Modeled from live base + Sep-2026 quality ratio</x:v>
      </x:c>
      <x:c r="K4934" s="67" t="str">
        <x:v>https://www.stonealgo.com/diamond-prices/</x:v>
      </x:c>
      <x:c r="L4934" s="67" t="str">
        <x:v>https://www.pricescope.com/blog/natural-diamond-prices-september-2026</x:v>
      </x:c>
    </x:row>
    <x:row r="4935">
      <x:c r="A4935" t="n">
        <x:v>8</x:v>
      </x:c>
      <x:c r="B4935" t="str">
        <x:v>Heart</x:v>
      </x:c>
      <x:c r="C4935" t="str">
        <x:v>D</x:v>
      </x:c>
      <x:c r="D4935" t="str">
        <x:v>VS2</x:v>
      </x:c>
      <x:c r="E4935" s="36" t="n">
        <x:v>301000</x:v>
      </x:c>
      <x:c r="F4935" s="36" t="n">
        <x:v>5841</x:v>
      </x:c>
      <x:c r="G4935" s="42" t="n">
        <x:v>1.252895752895753</x:v>
      </x:c>
      <x:c r="H4935" s="36" t="n">
        <x:f>E4935*G4935</x:f>
        <x:v>377121.62162162166</x:v>
      </x:c>
      <x:c r="I4935" s="36" t="n">
        <x:f>IFERROR(H4935/A4935,0)</x:f>
        <x:v>47140.20270270271</x:v>
      </x:c>
      <x:c r="J4935" s="67" t="str">
        <x:v>Modeled from live base + Sep-2026 quality ratio</x:v>
      </x:c>
      <x:c r="K4935" s="67" t="str">
        <x:v>https://www.stonealgo.com/diamond-prices/</x:v>
      </x:c>
      <x:c r="L4935" s="67" t="str">
        <x:v>https://www.pricescope.com/blog/natural-diamond-prices-september-2026</x:v>
      </x:c>
    </x:row>
    <x:row r="4936">
      <x:c r="A4936" t="n">
        <x:v>8</x:v>
      </x:c>
      <x:c r="B4936" t="str">
        <x:v>Heart</x:v>
      </x:c>
      <x:c r="C4936" t="str">
        <x:v>D</x:v>
      </x:c>
      <x:c r="D4936" t="str">
        <x:v>SI1</x:v>
      </x:c>
      <x:c r="E4936" s="36" t="n">
        <x:v>301000</x:v>
      </x:c>
      <x:c r="F4936" s="36" t="n">
        <x:v>3762</x:v>
      </x:c>
      <x:c r="G4936" s="42" t="n">
        <x:v>0.806949806949807</x:v>
      </x:c>
      <x:c r="H4936" s="36" t="n">
        <x:f>E4936*G4936</x:f>
        <x:v>242891.8918918919</x:v>
      </x:c>
      <x:c r="I4936" s="36" t="n">
        <x:f>IFERROR(H4936/A4936,0)</x:f>
        <x:v>30361.486486486487</x:v>
      </x:c>
      <x:c r="J4936" s="67" t="str">
        <x:v>Modeled from live base + Sep-2026 quality ratio</x:v>
      </x:c>
      <x:c r="K4936" s="67" t="str">
        <x:v>https://www.stonealgo.com/diamond-prices/</x:v>
      </x:c>
      <x:c r="L4936" s="67" t="str">
        <x:v>https://www.pricescope.com/blog/natural-diamond-prices-september-2026</x:v>
      </x:c>
    </x:row>
    <x:row r="4937">
      <x:c r="A4937" t="n">
        <x:v>8</x:v>
      </x:c>
      <x:c r="B4937" t="str">
        <x:v>Heart</x:v>
      </x:c>
      <x:c r="C4937" t="str">
        <x:v>D</x:v>
      </x:c>
      <x:c r="D4937" t="str">
        <x:v>SI2</x:v>
      </x:c>
      <x:c r="E4937" s="36" t="n">
        <x:v>301000</x:v>
      </x:c>
      <x:c r="F4937" s="36" t="n">
        <x:v>3026</x:v>
      </x:c>
      <x:c r="G4937" s="42" t="n">
        <x:v>0.6490776490776491</x:v>
      </x:c>
      <x:c r="H4937" s="36" t="n">
        <x:f>E4937*G4937</x:f>
        <x:v>195372.37237237237</x:v>
      </x:c>
      <x:c r="I4937" s="36" t="n">
        <x:f>IFERROR(H4937/A4937,0)</x:f>
        <x:v>24421.546546546546</x:v>
      </x:c>
      <x:c r="J4937" s="67" t="str">
        <x:v>Modeled from live base + Sep-2026 quality ratio</x:v>
      </x:c>
      <x:c r="K4937" s="67" t="str">
        <x:v>https://www.stonealgo.com/diamond-prices/</x:v>
      </x:c>
      <x:c r="L4937" s="67" t="str">
        <x:v>https://www.pricescope.com/blog/natural-diamond-prices-september-2026</x:v>
      </x:c>
    </x:row>
    <x:row r="4938">
      <x:c r="A4938" t="n">
        <x:v>8</x:v>
      </x:c>
      <x:c r="B4938" t="str">
        <x:v>Heart</x:v>
      </x:c>
      <x:c r="C4938" t="str">
        <x:v>E</x:v>
      </x:c>
      <x:c r="D4938" t="str">
        <x:v>FL</x:v>
      </x:c>
      <x:c r="E4938" s="36" t="n">
        <x:v>301000</x:v>
      </x:c>
      <x:c r="F4938" s="36" t="n">
        <x:v>10072</x:v>
      </x:c>
      <x:c r="G4938" s="42" t="n">
        <x:v>2.1604461604461602</x:v>
      </x:c>
      <x:c r="H4938" s="36" t="n">
        <x:f>E4938*G4938</x:f>
        <x:v>650294.2942942942</x:v>
      </x:c>
      <x:c r="I4938" s="36" t="n">
        <x:f>IFERROR(H4938/A4938,0)</x:f>
        <x:v>81286.78678678678</x:v>
      </x:c>
      <x:c r="J4938" s="67" t="str">
        <x:v>Modeled from live base + Sep-2026 quality ratio</x:v>
      </x:c>
      <x:c r="K4938" s="67" t="str">
        <x:v>https://www.stonealgo.com/diamond-prices/</x:v>
      </x:c>
      <x:c r="L4938" s="67" t="str">
        <x:v>https://www.pricescope.com/blog/natural-diamond-prices-september-2026</x:v>
      </x:c>
    </x:row>
    <x:row r="4939">
      <x:c r="A4939" t="n">
        <x:v>8</x:v>
      </x:c>
      <x:c r="B4939" t="str">
        <x:v>Heart</x:v>
      </x:c>
      <x:c r="C4939" t="str">
        <x:v>E</x:v>
      </x:c>
      <x:c r="D4939" t="str">
        <x:v>IF</x:v>
      </x:c>
      <x:c r="E4939" s="36" t="n">
        <x:v>301000</x:v>
      </x:c>
      <x:c r="F4939" s="36" t="n">
        <x:v>8672</x:v>
      </x:c>
      <x:c r="G4939" s="42" t="n">
        <x:v>1.8601458601458603</x:v>
      </x:c>
      <x:c r="H4939" s="36" t="n">
        <x:f>E4939*G4939</x:f>
        <x:v>559903.9039039039</x:v>
      </x:c>
      <x:c r="I4939" s="36" t="n">
        <x:f>IFERROR(H4939/A4939,0)</x:f>
        <x:v>69987.98798798799</x:v>
      </x:c>
      <x:c r="J4939" s="67" t="str">
        <x:v>Modeled from live base + Sep-2026 quality ratio</x:v>
      </x:c>
      <x:c r="K4939" s="67" t="str">
        <x:v>https://www.stonealgo.com/diamond-prices/</x:v>
      </x:c>
      <x:c r="L4939" s="67" t="str">
        <x:v>https://www.pricescope.com/blog/natural-diamond-prices-september-2026</x:v>
      </x:c>
    </x:row>
    <x:row r="4940">
      <x:c r="A4940" t="n">
        <x:v>8</x:v>
      </x:c>
      <x:c r="B4940" t="str">
        <x:v>Heart</x:v>
      </x:c>
      <x:c r="C4940" t="str">
        <x:v>E</x:v>
      </x:c>
      <x:c r="D4940" t="str">
        <x:v>VVS1</x:v>
      </x:c>
      <x:c r="E4940" s="36" t="n">
        <x:v>301000</x:v>
      </x:c>
      <x:c r="F4940" s="36" t="n">
        <x:v>7842</x:v>
      </x:c>
      <x:c r="G4940" s="42" t="n">
        <x:v>1.6821106821106822</x:v>
      </x:c>
      <x:c r="H4940" s="36" t="n">
        <x:f>E4940*G4940</x:f>
        <x:v>506315.3153153153</x:v>
      </x:c>
      <x:c r="I4940" s="36" t="n">
        <x:f>IFERROR(H4940/A4940,0)</x:f>
        <x:v>63289.414414414416</x:v>
      </x:c>
      <x:c r="J4940" s="67" t="str">
        <x:v>Modeled from live base + Sep-2026 quality ratio</x:v>
      </x:c>
      <x:c r="K4940" s="67" t="str">
        <x:v>https://www.stonealgo.com/diamond-prices/</x:v>
      </x:c>
      <x:c r="L4940" s="67" t="str">
        <x:v>https://www.pricescope.com/blog/natural-diamond-prices-september-2026</x:v>
      </x:c>
    </x:row>
    <x:row r="4941">
      <x:c r="A4941" t="n">
        <x:v>8</x:v>
      </x:c>
      <x:c r="B4941" t="str">
        <x:v>Heart</x:v>
      </x:c>
      <x:c r="C4941" t="str">
        <x:v>E</x:v>
      </x:c>
      <x:c r="D4941" t="str">
        <x:v>VVS2</x:v>
      </x:c>
      <x:c r="E4941" s="36" t="n">
        <x:v>301000</x:v>
      </x:c>
      <x:c r="F4941" s="36" t="n">
        <x:v>6880</x:v>
      </x:c>
      <x:c r="G4941" s="42" t="n">
        <x:v>1.4757614757614759</x:v>
      </x:c>
      <x:c r="H4941" s="36" t="n">
        <x:f>E4941*G4941</x:f>
        <x:v>444204.20420420426</x:v>
      </x:c>
      <x:c r="I4941" s="36" t="n">
        <x:f>IFERROR(H4941/A4941,0)</x:f>
        <x:v>55525.52552552553</x:v>
      </x:c>
      <x:c r="J4941" s="67" t="str">
        <x:v>Modeled from live base + Sep-2026 quality ratio</x:v>
      </x:c>
      <x:c r="K4941" s="67" t="str">
        <x:v>https://www.stonealgo.com/diamond-prices/</x:v>
      </x:c>
      <x:c r="L4941" s="67" t="str">
        <x:v>https://www.pricescope.com/blog/natural-diamond-prices-september-2026</x:v>
      </x:c>
    </x:row>
    <x:row r="4942">
      <x:c r="A4942" t="n">
        <x:v>8</x:v>
      </x:c>
      <x:c r="B4942" t="str">
        <x:v>Heart</x:v>
      </x:c>
      <x:c r="C4942" t="str">
        <x:v>E</x:v>
      </x:c>
      <x:c r="D4942" t="str">
        <x:v>VS1</x:v>
      </x:c>
      <x:c r="E4942" s="36" t="n">
        <x:v>301000</x:v>
      </x:c>
      <x:c r="F4942" s="36" t="n">
        <x:v>6307</x:v>
      </x:c>
      <x:c r="G4942" s="42" t="n">
        <x:v>1.352852852852853</x:v>
      </x:c>
      <x:c r="H4942" s="36" t="n">
        <x:f>E4942*G4942</x:f>
        <x:v>407208.70870870876</x:v>
      </x:c>
      <x:c r="I4942" s="36" t="n">
        <x:f>IFERROR(H4942/A4942,0)</x:f>
        <x:v>50901.088588588595</x:v>
      </x:c>
      <x:c r="J4942" s="67" t="str">
        <x:v>Modeled from live base + Sep-2026 quality ratio</x:v>
      </x:c>
      <x:c r="K4942" s="67" t="str">
        <x:v>https://www.stonealgo.com/diamond-prices/</x:v>
      </x:c>
      <x:c r="L4942" s="67" t="str">
        <x:v>https://www.pricescope.com/blog/natural-diamond-prices-september-2026</x:v>
      </x:c>
    </x:row>
    <x:row r="4943">
      <x:c r="A4943" t="n">
        <x:v>8</x:v>
      </x:c>
      <x:c r="B4943" t="str">
        <x:v>Heart</x:v>
      </x:c>
      <x:c r="C4943" t="str">
        <x:v>E</x:v>
      </x:c>
      <x:c r="D4943" t="str">
        <x:v>VS2</x:v>
      </x:c>
      <x:c r="E4943" s="36" t="n">
        <x:v>301000</x:v>
      </x:c>
      <x:c r="F4943" s="36" t="n">
        <x:v>5249</x:v>
      </x:c>
      <x:c r="G4943" s="42" t="n">
        <x:v>1.125911625911626</x:v>
      </x:c>
      <x:c r="H4943" s="36" t="n">
        <x:f>E4943*G4943</x:f>
        <x:v>338899.3993993994</x:v>
      </x:c>
      <x:c r="I4943" s="36" t="n">
        <x:f>IFERROR(H4943/A4943,0)</x:f>
        <x:v>42362.424924924926</x:v>
      </x:c>
      <x:c r="J4943" s="67" t="str">
        <x:v>Modeled from live base + Sep-2026 quality ratio</x:v>
      </x:c>
      <x:c r="K4943" s="67" t="str">
        <x:v>https://www.stonealgo.com/diamond-prices/</x:v>
      </x:c>
      <x:c r="L4943" s="67" t="str">
        <x:v>https://www.pricescope.com/blog/natural-diamond-prices-september-2026</x:v>
      </x:c>
    </x:row>
    <x:row r="4944">
      <x:c r="A4944" t="n">
        <x:v>8</x:v>
      </x:c>
      <x:c r="B4944" t="str">
        <x:v>Heart</x:v>
      </x:c>
      <x:c r="C4944" t="str">
        <x:v>E</x:v>
      </x:c>
      <x:c r="D4944" t="str">
        <x:v>SI1</x:v>
      </x:c>
      <x:c r="E4944" s="36" t="n">
        <x:v>301000</x:v>
      </x:c>
      <x:c r="F4944" s="36" t="n">
        <x:v>3551</x:v>
      </x:c>
      <x:c r="G4944" s="42" t="n">
        <x:v>0.7616902616902617</x:v>
      </x:c>
      <x:c r="H4944" s="36" t="n">
        <x:f>E4944*G4944</x:f>
        <x:v>229268.76876876876</x:v>
      </x:c>
      <x:c r="I4944" s="36" t="n">
        <x:f>IFERROR(H4944/A4944,0)</x:f>
        <x:v>28658.596096096095</x:v>
      </x:c>
      <x:c r="J4944" s="67" t="str">
        <x:v>Modeled from live base + Sep-2026 quality ratio</x:v>
      </x:c>
      <x:c r="K4944" s="67" t="str">
        <x:v>https://www.stonealgo.com/diamond-prices/</x:v>
      </x:c>
      <x:c r="L4944" s="67" t="str">
        <x:v>https://www.pricescope.com/blog/natural-diamond-prices-september-2026</x:v>
      </x:c>
    </x:row>
    <x:row r="4945">
      <x:c r="A4945" t="n">
        <x:v>8</x:v>
      </x:c>
      <x:c r="B4945" t="str">
        <x:v>Heart</x:v>
      </x:c>
      <x:c r="C4945" t="str">
        <x:v>E</x:v>
      </x:c>
      <x:c r="D4945" t="str">
        <x:v>SI2</x:v>
      </x:c>
      <x:c r="E4945" s="36" t="n">
        <x:v>301000</x:v>
      </x:c>
      <x:c r="F4945" s="36" t="n">
        <x:v>2993</x:v>
      </x:c>
      <x:c r="G4945" s="42" t="n">
        <x:v>0.641999141999142</x:v>
      </x:c>
      <x:c r="H4945" s="36" t="n">
        <x:f>E4945*G4945</x:f>
        <x:v>193241.74174174175</x:v>
      </x:c>
      <x:c r="I4945" s="36" t="n">
        <x:f>IFERROR(H4945/A4945,0)</x:f>
        <x:v>24155.21771771772</x:v>
      </x:c>
      <x:c r="J4945" s="67" t="str">
        <x:v>Modeled from live base + Sep-2026 quality ratio</x:v>
      </x:c>
      <x:c r="K4945" s="67" t="str">
        <x:v>https://www.stonealgo.com/diamond-prices/</x:v>
      </x:c>
      <x:c r="L4945" s="67" t="str">
        <x:v>https://www.pricescope.com/blog/natural-diamond-prices-september-2026</x:v>
      </x:c>
    </x:row>
    <x:row r="4946">
      <x:c r="A4946" t="n">
        <x:v>8</x:v>
      </x:c>
      <x:c r="B4946" t="str">
        <x:v>Heart</x:v>
      </x:c>
      <x:c r="C4946" t="str">
        <x:v>F</x:v>
      </x:c>
      <x:c r="D4946" t="str">
        <x:v>FL</x:v>
      </x:c>
      <x:c r="E4946" s="36" t="n">
        <x:v>301000</x:v>
      </x:c>
      <x:c r="F4946" s="36" t="n">
        <x:v>6830</x:v>
      </x:c>
      <x:c r="G4946" s="42" t="n">
        <x:v>1.4650364650364651</x:v>
      </x:c>
      <x:c r="H4946" s="36" t="n">
        <x:f>E4946*G4946</x:f>
        <x:v>440975.975975976</x:v>
      </x:c>
      <x:c r="I4946" s="36" t="n">
        <x:f>IFERROR(H4946/A4946,0)</x:f>
        <x:v>55121.996996997</x:v>
      </x:c>
      <x:c r="J4946" s="67" t="str">
        <x:v>Modeled from live base + Sep-2026 quality ratio</x:v>
      </x:c>
      <x:c r="K4946" s="67" t="str">
        <x:v>https://www.stonealgo.com/diamond-prices/</x:v>
      </x:c>
      <x:c r="L4946" s="67" t="str">
        <x:v>https://www.pricescope.com/blog/natural-diamond-prices-september-2026</x:v>
      </x:c>
    </x:row>
    <x:row r="4947">
      <x:c r="A4947" t="n">
        <x:v>8</x:v>
      </x:c>
      <x:c r="B4947" t="str">
        <x:v>Heart</x:v>
      </x:c>
      <x:c r="C4947" t="str">
        <x:v>F</x:v>
      </x:c>
      <x:c r="D4947" t="str">
        <x:v>IF</x:v>
      </x:c>
      <x:c r="E4947" s="36" t="n">
        <x:v>301000</x:v>
      </x:c>
      <x:c r="F4947" s="36" t="n">
        <x:v>7302</x:v>
      </x:c>
      <x:c r="G4947" s="42" t="n">
        <x:v>1.5662805662805663</x:v>
      </x:c>
      <x:c r="H4947" s="36" t="n">
        <x:f>E4947*G4947</x:f>
        <x:v>471450.4504504505</x:v>
      </x:c>
      <x:c r="I4947" s="36" t="n">
        <x:f>IFERROR(H4947/A4947,0)</x:f>
        <x:v>58931.30630630631</x:v>
      </x:c>
      <x:c r="J4947" s="67" t="str">
        <x:v>Modeled from live base + Sep-2026 quality ratio</x:v>
      </x:c>
      <x:c r="K4947" s="67" t="str">
        <x:v>https://www.stonealgo.com/diamond-prices/</x:v>
      </x:c>
      <x:c r="L4947" s="67" t="str">
        <x:v>https://www.pricescope.com/blog/natural-diamond-prices-september-2026</x:v>
      </x:c>
    </x:row>
    <x:row r="4948">
      <x:c r="A4948" t="n">
        <x:v>8</x:v>
      </x:c>
      <x:c r="B4948" t="str">
        <x:v>Heart</x:v>
      </x:c>
      <x:c r="C4948" t="str">
        <x:v>F</x:v>
      </x:c>
      <x:c r="D4948" t="str">
        <x:v>VVS1</x:v>
      </x:c>
      <x:c r="E4948" s="36" t="n">
        <x:v>301000</x:v>
      </x:c>
      <x:c r="F4948" s="36" t="n">
        <x:v>7542</x:v>
      </x:c>
      <x:c r="G4948" s="42" t="n">
        <x:v>1.6177606177606179</x:v>
      </x:c>
      <x:c r="H4948" s="36" t="n">
        <x:f>E4948*G4948</x:f>
        <x:v>486945.945945946</x:v>
      </x:c>
      <x:c r="I4948" s="36" t="n">
        <x:f>IFERROR(H4948/A4948,0)</x:f>
        <x:v>60868.24324324325</x:v>
      </x:c>
      <x:c r="J4948" s="67" t="str">
        <x:v>Modeled from live base + Sep-2026 quality ratio</x:v>
      </x:c>
      <x:c r="K4948" s="67" t="str">
        <x:v>https://www.stonealgo.com/diamond-prices/</x:v>
      </x:c>
      <x:c r="L4948" s="67" t="str">
        <x:v>https://www.pricescope.com/blog/natural-diamond-prices-september-2026</x:v>
      </x:c>
    </x:row>
    <x:row r="4949">
      <x:c r="A4949" t="n">
        <x:v>8</x:v>
      </x:c>
      <x:c r="B4949" t="str">
        <x:v>Heart</x:v>
      </x:c>
      <x:c r="C4949" t="str">
        <x:v>F</x:v>
      </x:c>
      <x:c r="D4949" t="str">
        <x:v>VVS2</x:v>
      </x:c>
      <x:c r="E4949" s="36" t="n">
        <x:v>301000</x:v>
      </x:c>
      <x:c r="F4949" s="36" t="n">
        <x:v>6352</x:v>
      </x:c>
      <x:c r="G4949" s="42" t="n">
        <x:v>1.3625053625053625</x:v>
      </x:c>
      <x:c r="H4949" s="36" t="n">
        <x:f>E4949*G4949</x:f>
        <x:v>410114.1141141141</x:v>
      </x:c>
      <x:c r="I4949" s="36" t="n">
        <x:f>IFERROR(H4949/A4949,0)</x:f>
        <x:v>51264.26426426426</x:v>
      </x:c>
      <x:c r="J4949" s="67" t="str">
        <x:v>Modeled from live base + Sep-2026 quality ratio</x:v>
      </x:c>
      <x:c r="K4949" s="67" t="str">
        <x:v>https://www.stonealgo.com/diamond-prices/</x:v>
      </x:c>
      <x:c r="L4949" s="67" t="str">
        <x:v>https://www.pricescope.com/blog/natural-diamond-prices-september-2026</x:v>
      </x:c>
    </x:row>
    <x:row r="4950">
      <x:c r="A4950" t="n">
        <x:v>8</x:v>
      </x:c>
      <x:c r="B4950" t="str">
        <x:v>Heart</x:v>
      </x:c>
      <x:c r="C4950" t="str">
        <x:v>F</x:v>
      </x:c>
      <x:c r="D4950" t="str">
        <x:v>VS1</x:v>
      </x:c>
      <x:c r="E4950" s="36" t="n">
        <x:v>301000</x:v>
      </x:c>
      <x:c r="F4950" s="36" t="n">
        <x:v>5647</x:v>
      </x:c>
      <x:c r="G4950" s="42" t="n">
        <x:v>1.2112827112827114</x:v>
      </x:c>
      <x:c r="H4950" s="36" t="n">
        <x:f>E4950*G4950</x:f>
        <x:v>364596.0960960961</x:v>
      </x:c>
      <x:c r="I4950" s="36" t="n">
        <x:f>IFERROR(H4950/A4950,0)</x:f>
        <x:v>45574.51201201201</x:v>
      </x:c>
      <x:c r="J4950" s="67" t="str">
        <x:v>Modeled from live base + Sep-2026 quality ratio</x:v>
      </x:c>
      <x:c r="K4950" s="67" t="str">
        <x:v>https://www.stonealgo.com/diamond-prices/</x:v>
      </x:c>
      <x:c r="L4950" s="67" t="str">
        <x:v>https://www.pricescope.com/blog/natural-diamond-prices-september-2026</x:v>
      </x:c>
    </x:row>
    <x:row r="4951">
      <x:c r="A4951" t="n">
        <x:v>8</x:v>
      </x:c>
      <x:c r="B4951" t="str">
        <x:v>Heart</x:v>
      </x:c>
      <x:c r="C4951" t="str">
        <x:v>F</x:v>
      </x:c>
      <x:c r="D4951" t="str">
        <x:v>VS2</x:v>
      </x:c>
      <x:c r="E4951" s="36" t="n">
        <x:v>301000</x:v>
      </x:c>
      <x:c r="F4951" s="36" t="n">
        <x:v>4730</x:v>
      </x:c>
      <x:c r="G4951" s="42" t="n">
        <x:v>1.0145860145860146</x:v>
      </x:c>
      <x:c r="H4951" s="36" t="n">
        <x:f>E4951*G4951</x:f>
        <x:v>305390.3903903904</x:v>
      </x:c>
      <x:c r="I4951" s="36" t="n">
        <x:f>IFERROR(H4951/A4951,0)</x:f>
        <x:v>38173.7987987988</x:v>
      </x:c>
      <x:c r="J4951" s="67" t="str">
        <x:v>Modeled from live base + Sep-2026 quality ratio</x:v>
      </x:c>
      <x:c r="K4951" s="67" t="str">
        <x:v>https://www.stonealgo.com/diamond-prices/</x:v>
      </x:c>
      <x:c r="L4951" s="67" t="str">
        <x:v>https://www.pricescope.com/blog/natural-diamond-prices-september-2026</x:v>
      </x:c>
    </x:row>
    <x:row r="4952">
      <x:c r="A4952" t="n">
        <x:v>8</x:v>
      </x:c>
      <x:c r="B4952" t="str">
        <x:v>Heart</x:v>
      </x:c>
      <x:c r="C4952" t="str">
        <x:v>F</x:v>
      </x:c>
      <x:c r="D4952" t="str">
        <x:v>SI1</x:v>
      </x:c>
      <x:c r="E4952" s="36" t="n">
        <x:v>301000</x:v>
      </x:c>
      <x:c r="F4952" s="36" t="n">
        <x:v>3331</x:v>
      </x:c>
      <x:c r="G4952" s="42" t="n">
        <x:v>0.7145002145002145</x:v>
      </x:c>
      <x:c r="H4952" s="36" t="n">
        <x:f>E4952*G4952</x:f>
        <x:v>215064.56456456456</x:v>
      </x:c>
      <x:c r="I4952" s="36" t="n">
        <x:f>IFERROR(H4952/A4952,0)</x:f>
        <x:v>26883.07057057057</x:v>
      </x:c>
      <x:c r="J4952" s="67" t="str">
        <x:v>Modeled from live base + Sep-2026 quality ratio</x:v>
      </x:c>
      <x:c r="K4952" s="67" t="str">
        <x:v>https://www.stonealgo.com/diamond-prices/</x:v>
      </x:c>
      <x:c r="L4952" s="67" t="str">
        <x:v>https://www.pricescope.com/blog/natural-diamond-prices-september-2026</x:v>
      </x:c>
    </x:row>
    <x:row r="4953">
      <x:c r="A4953" t="n">
        <x:v>8</x:v>
      </x:c>
      <x:c r="B4953" t="str">
        <x:v>Heart</x:v>
      </x:c>
      <x:c r="C4953" t="str">
        <x:v>F</x:v>
      </x:c>
      <x:c r="D4953" t="str">
        <x:v>SI2</x:v>
      </x:c>
      <x:c r="E4953" s="36" t="n">
        <x:v>301000</x:v>
      </x:c>
      <x:c r="F4953" s="36" t="n">
        <x:v>2733</x:v>
      </x:c>
      <x:c r="G4953" s="42" t="n">
        <x:v>0.5862290862290862</x:v>
      </x:c>
      <x:c r="H4953" s="36" t="n">
        <x:f>E4953*G4953</x:f>
        <x:v>176454.95495495494</x:v>
      </x:c>
      <x:c r="I4953" s="36" t="n">
        <x:f>IFERROR(H4953/A4953,0)</x:f>
        <x:v>22056.869369369368</x:v>
      </x:c>
      <x:c r="J4953" s="67" t="str">
        <x:v>Modeled from live base + Sep-2026 quality ratio</x:v>
      </x:c>
      <x:c r="K4953" s="67" t="str">
        <x:v>https://www.stonealgo.com/diamond-prices/</x:v>
      </x:c>
      <x:c r="L4953" s="67" t="str">
        <x:v>https://www.pricescope.com/blog/natural-diamond-prices-september-2026</x:v>
      </x:c>
    </x:row>
    <x:row r="4954">
      <x:c r="A4954" t="n">
        <x:v>8</x:v>
      </x:c>
      <x:c r="B4954" t="str">
        <x:v>Heart</x:v>
      </x:c>
      <x:c r="C4954" t="str">
        <x:v>G</x:v>
      </x:c>
      <x:c r="D4954" t="str">
        <x:v>FL</x:v>
      </x:c>
      <x:c r="E4954" s="36" t="n">
        <x:v>301000</x:v>
      </x:c>
      <x:c r="F4954" s="36" t="n">
        <x:v>5905</x:v>
      </x:c>
      <x:c r="G4954" s="42" t="n">
        <x:v>1.2666237666237665</x:v>
      </x:c>
      <x:c r="H4954" s="36" t="n">
        <x:f>E4954*G4954</x:f>
        <x:v>381253.7537537537</x:v>
      </x:c>
      <x:c r="I4954" s="36" t="n">
        <x:f>IFERROR(H4954/A4954,0)</x:f>
        <x:v>47656.719219219216</x:v>
      </x:c>
      <x:c r="J4954" s="67" t="str">
        <x:v>Modeled from live base + Sep-2026 quality ratio</x:v>
      </x:c>
      <x:c r="K4954" s="67" t="str">
        <x:v>https://www.stonealgo.com/diamond-prices/</x:v>
      </x:c>
      <x:c r="L4954" s="67" t="str">
        <x:v>https://www.pricescope.com/blog/natural-diamond-prices-september-2026</x:v>
      </x:c>
    </x:row>
    <x:row r="4955">
      <x:c r="A4955" t="n">
        <x:v>8</x:v>
      </x:c>
      <x:c r="B4955" t="str">
        <x:v>Heart</x:v>
      </x:c>
      <x:c r="C4955" t="str">
        <x:v>G</x:v>
      </x:c>
      <x:c r="D4955" t="str">
        <x:v>IF</x:v>
      </x:c>
      <x:c r="E4955" s="36" t="n">
        <x:v>301000</x:v>
      </x:c>
      <x:c r="F4955" s="36" t="n">
        <x:v>5601</x:v>
      </x:c>
      <x:c r="G4955" s="42" t="n">
        <x:v>1.2014157014157014</x:v>
      </x:c>
      <x:c r="H4955" s="36" t="n">
        <x:f>E4955*G4955</x:f>
        <x:v>361626.12612612615</x:v>
      </x:c>
      <x:c r="I4955" s="36" t="n">
        <x:f>IFERROR(H4955/A4955,0)</x:f>
        <x:v>45203.26576576577</x:v>
      </x:c>
      <x:c r="J4955" s="67" t="str">
        <x:v>Modeled from live base + Sep-2026 quality ratio</x:v>
      </x:c>
      <x:c r="K4955" s="67" t="str">
        <x:v>https://www.stonealgo.com/diamond-prices/</x:v>
      </x:c>
      <x:c r="L4955" s="67" t="str">
        <x:v>https://www.pricescope.com/blog/natural-diamond-prices-september-2026</x:v>
      </x:c>
    </x:row>
    <x:row r="4956">
      <x:c r="A4956" t="n">
        <x:v>8</x:v>
      </x:c>
      <x:c r="B4956" t="str">
        <x:v>Heart</x:v>
      </x:c>
      <x:c r="C4956" t="str">
        <x:v>G</x:v>
      </x:c>
      <x:c r="D4956" t="str">
        <x:v>VVS1</x:v>
      </x:c>
      <x:c r="E4956" s="36" t="n">
        <x:v>301000</x:v>
      </x:c>
      <x:c r="F4956" s="36" t="n">
        <x:v>5124</x:v>
      </x:c>
      <x:c r="G4956" s="42" t="n">
        <x:v>1.0990990990990992</x:v>
      </x:c>
      <x:c r="H4956" s="36" t="n">
        <x:f>E4956*G4956</x:f>
        <x:v>330828.8288288289</x:v>
      </x:c>
      <x:c r="I4956" s="36" t="n">
        <x:f>IFERROR(H4956/A4956,0)</x:f>
        <x:v>41353.60360360361</x:v>
      </x:c>
      <x:c r="J4956" s="67" t="str">
        <x:v>Modeled from live base + Sep-2026 quality ratio</x:v>
      </x:c>
      <x:c r="K4956" s="67" t="str">
        <x:v>https://www.stonealgo.com/diamond-prices/</x:v>
      </x:c>
      <x:c r="L4956" s="67" t="str">
        <x:v>https://www.pricescope.com/blog/natural-diamond-prices-september-2026</x:v>
      </x:c>
    </x:row>
    <x:row r="4957">
      <x:c r="A4957" t="n">
        <x:v>8</x:v>
      </x:c>
      <x:c r="B4957" t="str">
        <x:v>Heart</x:v>
      </x:c>
      <x:c r="C4957" t="str">
        <x:v>G</x:v>
      </x:c>
      <x:c r="D4957" t="str">
        <x:v>VVS2</x:v>
      </x:c>
      <x:c r="E4957" s="36" t="n">
        <x:v>301000</x:v>
      </x:c>
      <x:c r="F4957" s="36" t="n">
        <x:v>4962</x:v>
      </x:c>
      <x:c r="G4957" s="42" t="n">
        <x:v>1.0643500643500643</x:v>
      </x:c>
      <x:c r="H4957" s="36" t="n">
        <x:f>E4957*G4957</x:f>
        <x:v>320369.36936936935</x:v>
      </x:c>
      <x:c r="I4957" s="36" t="n">
        <x:f>IFERROR(H4957/A4957,0)</x:f>
        <x:v>40046.17117117117</x:v>
      </x:c>
      <x:c r="J4957" s="67" t="str">
        <x:v>Modeled from live base + Sep-2026 quality ratio</x:v>
      </x:c>
      <x:c r="K4957" s="67" t="str">
        <x:v>https://www.stonealgo.com/diamond-prices/</x:v>
      </x:c>
      <x:c r="L4957" s="67" t="str">
        <x:v>https://www.pricescope.com/blog/natural-diamond-prices-september-2026</x:v>
      </x:c>
    </x:row>
    <x:row r="4958">
      <x:c r="A4958" t="n">
        <x:v>8</x:v>
      </x:c>
      <x:c r="B4958" t="str">
        <x:v>Heart</x:v>
      </x:c>
      <x:c r="C4958" t="str">
        <x:v>G</x:v>
      </x:c>
      <x:c r="D4958" t="str">
        <x:v>VS1</x:v>
      </x:c>
      <x:c r="E4958" s="36" t="n">
        <x:v>301000</x:v>
      </x:c>
      <x:c r="F4958" s="36" t="n">
        <x:v>4615</x:v>
      </x:c>
      <x:c r="G4958" s="42" t="n">
        <x:v>0.98991848991849</x:v>
      </x:c>
      <x:c r="H4958" s="36" t="n">
        <x:f>E4958*G4958</x:f>
        <x:v>297965.4654654655</x:v>
      </x:c>
      <x:c r="I4958" s="36" t="n">
        <x:f>IFERROR(H4958/A4958,0)</x:f>
        <x:v>37245.68318318319</x:v>
      </x:c>
      <x:c r="J4958" s="67" t="str">
        <x:v>Modeled from live base + Sep-2026 quality ratio</x:v>
      </x:c>
      <x:c r="K4958" s="67" t="str">
        <x:v>https://www.stonealgo.com/diamond-prices/</x:v>
      </x:c>
      <x:c r="L4958" s="67" t="str">
        <x:v>https://www.pricescope.com/blog/natural-diamond-prices-september-2026</x:v>
      </x:c>
    </x:row>
    <x:row r="4959">
      <x:c r="A4959" t="n">
        <x:v>8</x:v>
      </x:c>
      <x:c r="B4959" t="str">
        <x:v>Heart</x:v>
      </x:c>
      <x:c r="C4959" t="str">
        <x:v>G</x:v>
      </x:c>
      <x:c r="D4959" t="str">
        <x:v>VS2</x:v>
      </x:c>
      <x:c r="E4959" s="36" t="n">
        <x:v>301000</x:v>
      </x:c>
      <x:c r="F4959" s="36" t="n">
        <x:v>4585</x:v>
      </x:c>
      <x:c r="G4959" s="42" t="n">
        <x:v>0.9834834834834835</x:v>
      </x:c>
      <x:c r="H4959" s="36" t="n">
        <x:f>E4959*G4959</x:f>
        <x:v>296028.5285285285</x:v>
      </x:c>
      <x:c r="I4959" s="36" t="n">
        <x:f>IFERROR(H4959/A4959,0)</x:f>
        <x:v>37003.566066066065</x:v>
      </x:c>
      <x:c r="J4959" s="67" t="str">
        <x:v>Modeled from live base + Sep-2026 quality ratio</x:v>
      </x:c>
      <x:c r="K4959" s="67" t="str">
        <x:v>https://www.stonealgo.com/diamond-prices/</x:v>
      </x:c>
      <x:c r="L4959" s="67" t="str">
        <x:v>https://www.pricescope.com/blog/natural-diamond-prices-september-2026</x:v>
      </x:c>
    </x:row>
    <x:row r="4960">
      <x:c r="A4960" t="n">
        <x:v>8</x:v>
      </x:c>
      <x:c r="B4960" t="str">
        <x:v>Heart</x:v>
      </x:c>
      <x:c r="C4960" t="str">
        <x:v>G</x:v>
      </x:c>
      <x:c r="D4960" t="str">
        <x:v>SI1</x:v>
      </x:c>
      <x:c r="E4960" s="36" t="n">
        <x:v>301000</x:v>
      </x:c>
      <x:c r="F4960" s="36" t="n">
        <x:v>3664</x:v>
      </x:c>
      <x:c r="G4960" s="42" t="n">
        <x:v>0.7859287859287859</x:v>
      </x:c>
      <x:c r="H4960" s="36" t="n">
        <x:f>E4960*G4960</x:f>
        <x:v>236564.56456456456</x:v>
      </x:c>
      <x:c r="I4960" s="36" t="n">
        <x:f>IFERROR(H4960/A4960,0)</x:f>
        <x:v>29570.57057057057</x:v>
      </x:c>
      <x:c r="J4960" s="67" t="str">
        <x:v>Modeled from live base + Sep-2026 quality ratio</x:v>
      </x:c>
      <x:c r="K4960" s="67" t="str">
        <x:v>https://www.stonealgo.com/diamond-prices/</x:v>
      </x:c>
      <x:c r="L4960" s="67" t="str">
        <x:v>https://www.pricescope.com/blog/natural-diamond-prices-september-2026</x:v>
      </x:c>
    </x:row>
    <x:row r="4961">
      <x:c r="A4961" t="n">
        <x:v>8</x:v>
      </x:c>
      <x:c r="B4961" t="str">
        <x:v>Heart</x:v>
      </x:c>
      <x:c r="C4961" t="str">
        <x:v>G</x:v>
      </x:c>
      <x:c r="D4961" t="str">
        <x:v>SI2</x:v>
      </x:c>
      <x:c r="E4961" s="36" t="n">
        <x:v>301000</x:v>
      </x:c>
      <x:c r="F4961" s="36" t="n">
        <x:v>2537</x:v>
      </x:c>
      <x:c r="G4961" s="42" t="n">
        <x:v>0.5441870441870442</x:v>
      </x:c>
      <x:c r="H4961" s="36" t="n">
        <x:f>E4961*G4961</x:f>
        <x:v>163800.30030030033</x:v>
      </x:c>
      <x:c r="I4961" s="36" t="n">
        <x:f>IFERROR(H4961/A4961,0)</x:f>
        <x:v>20475.03753753754</x:v>
      </x:c>
      <x:c r="J4961" s="67" t="str">
        <x:v>Modeled from live base + Sep-2026 quality ratio</x:v>
      </x:c>
      <x:c r="K4961" s="67" t="str">
        <x:v>https://www.stonealgo.com/diamond-prices/</x:v>
      </x:c>
      <x:c r="L4961" s="67" t="str">
        <x:v>https://www.pricescope.com/blog/natural-diamond-prices-september-2026</x:v>
      </x:c>
    </x:row>
    <x:row r="4962">
      <x:c r="A4962" t="n">
        <x:v>8</x:v>
      </x:c>
      <x:c r="B4962" t="str">
        <x:v>Heart</x:v>
      </x:c>
      <x:c r="C4962" t="str">
        <x:v>H</x:v>
      </x:c>
      <x:c r="D4962" t="str">
        <x:v>FL</x:v>
      </x:c>
      <x:c r="E4962" s="36" t="n">
        <x:v>301000</x:v>
      </x:c>
      <x:c r="F4962" s="36" t="n">
        <x:v>4563</x:v>
      </x:c>
      <x:c r="G4962" s="42" t="n">
        <x:v>0.9787644787644788</x:v>
      </x:c>
      <x:c r="H4962" s="36" t="n">
        <x:f>E4962*G4962</x:f>
        <x:v>294608.1081081081</x:v>
      </x:c>
      <x:c r="I4962" s="36" t="n">
        <x:f>IFERROR(H4962/A4962,0)</x:f>
        <x:v>36826.01351351351</x:v>
      </x:c>
      <x:c r="J4962" s="67" t="str">
        <x:v>Modeled from live base + Sep-2026 quality ratio</x:v>
      </x:c>
      <x:c r="K4962" s="67" t="str">
        <x:v>https://www.stonealgo.com/diamond-prices/</x:v>
      </x:c>
      <x:c r="L4962" s="67" t="str">
        <x:v>https://www.pricescope.com/blog/natural-diamond-prices-september-2026</x:v>
      </x:c>
    </x:row>
    <x:row r="4963">
      <x:c r="A4963" t="n">
        <x:v>8</x:v>
      </x:c>
      <x:c r="B4963" t="str">
        <x:v>Heart</x:v>
      </x:c>
      <x:c r="C4963" t="str">
        <x:v>H</x:v>
      </x:c>
      <x:c r="D4963" t="str">
        <x:v>IF</x:v>
      </x:c>
      <x:c r="E4963" s="36" t="n">
        <x:v>301000</x:v>
      </x:c>
      <x:c r="F4963" s="36" t="n">
        <x:v>4809</x:v>
      </x:c>
      <x:c r="G4963" s="42" t="n">
        <x:v>1.0315315315315314</x:v>
      </x:c>
      <x:c r="H4963" s="36" t="n">
        <x:f>E4963*G4963</x:f>
        <x:v>310490.99099099095</x:v>
      </x:c>
      <x:c r="I4963" s="36" t="n">
        <x:f>IFERROR(H4963/A4963,0)</x:f>
        <x:v>38811.37387387387</x:v>
      </x:c>
      <x:c r="J4963" s="67" t="str">
        <x:v>Modeled from live base + Sep-2026 quality ratio</x:v>
      </x:c>
      <x:c r="K4963" s="67" t="str">
        <x:v>https://www.stonealgo.com/diamond-prices/</x:v>
      </x:c>
      <x:c r="L4963" s="67" t="str">
        <x:v>https://www.pricescope.com/blog/natural-diamond-prices-september-2026</x:v>
      </x:c>
    </x:row>
    <x:row r="4964">
      <x:c r="A4964" t="n">
        <x:v>8</x:v>
      </x:c>
      <x:c r="B4964" t="str">
        <x:v>Heart</x:v>
      </x:c>
      <x:c r="C4964" t="str">
        <x:v>H</x:v>
      </x:c>
      <x:c r="D4964" t="str">
        <x:v>VVS1</x:v>
      </x:c>
      <x:c r="E4964" s="36" t="n">
        <x:v>301000</x:v>
      </x:c>
      <x:c r="F4964" s="36" t="n">
        <x:v>4911</x:v>
      </x:c>
      <x:c r="G4964" s="42" t="n">
        <x:v>1.0534105534105533</x:v>
      </x:c>
      <x:c r="H4964" s="36" t="n">
        <x:f>E4964*G4964</x:f>
        <x:v>317076.57657657657</x:v>
      </x:c>
      <x:c r="I4964" s="36" t="n">
        <x:f>IFERROR(H4964/A4964,0)</x:f>
        <x:v>39634.57207207207</x:v>
      </x:c>
      <x:c r="J4964" s="67" t="str">
        <x:v>Modeled from live base + Sep-2026 quality ratio</x:v>
      </x:c>
      <x:c r="K4964" s="67" t="str">
        <x:v>https://www.stonealgo.com/diamond-prices/</x:v>
      </x:c>
      <x:c r="L4964" s="67" t="str">
        <x:v>https://www.pricescope.com/blog/natural-diamond-prices-september-2026</x:v>
      </x:c>
    </x:row>
    <x:row r="4965">
      <x:c r="A4965" t="n">
        <x:v>8</x:v>
      </x:c>
      <x:c r="B4965" t="str">
        <x:v>Heart</x:v>
      </x:c>
      <x:c r="C4965" t="str">
        <x:v>H</x:v>
      </x:c>
      <x:c r="D4965" t="str">
        <x:v>VVS2</x:v>
      </x:c>
      <x:c r="E4965" s="36" t="n">
        <x:v>301000</x:v>
      </x:c>
      <x:c r="F4965" s="36" t="n">
        <x:v>4046</x:v>
      </x:c>
      <x:c r="G4965" s="42" t="n">
        <x:v>0.8678678678678678</x:v>
      </x:c>
      <x:c r="H4965" s="36" t="n">
        <x:f>E4965*G4965</x:f>
        <x:v>261228.22822822822</x:v>
      </x:c>
      <x:c r="I4965" s="36" t="n">
        <x:f>IFERROR(H4965/A4965,0)</x:f>
        <x:v>32653.528528528528</x:v>
      </x:c>
      <x:c r="J4965" s="67" t="str">
        <x:v>Modeled from live base + Sep-2026 quality ratio</x:v>
      </x:c>
      <x:c r="K4965" s="67" t="str">
        <x:v>https://www.stonealgo.com/diamond-prices/</x:v>
      </x:c>
      <x:c r="L4965" s="67" t="str">
        <x:v>https://www.pricescope.com/blog/natural-diamond-prices-september-2026</x:v>
      </x:c>
    </x:row>
    <x:row r="4966">
      <x:c r="A4966" t="n">
        <x:v>8</x:v>
      </x:c>
      <x:c r="B4966" t="str">
        <x:v>Heart</x:v>
      </x:c>
      <x:c r="C4966" t="str">
        <x:v>H</x:v>
      </x:c>
      <x:c r="D4966" t="str">
        <x:v>VS1</x:v>
      </x:c>
      <x:c r="E4966" s="36" t="n">
        <x:v>301000</x:v>
      </x:c>
      <x:c r="F4966" s="36" t="n">
        <x:v>3893</x:v>
      </x:c>
      <x:c r="G4966" s="42" t="n">
        <x:v>0.8350493350493351</x:v>
      </x:c>
      <x:c r="H4966" s="36" t="n">
        <x:f>E4966*G4966</x:f>
        <x:v>251349.84984984985</x:v>
      </x:c>
      <x:c r="I4966" s="36" t="n">
        <x:f>IFERROR(H4966/A4966,0)</x:f>
        <x:v>31418.73123123123</x:v>
      </x:c>
      <x:c r="J4966" s="67" t="str">
        <x:v>Modeled from live base + Sep-2026 quality ratio</x:v>
      </x:c>
      <x:c r="K4966" s="67" t="str">
        <x:v>https://www.stonealgo.com/diamond-prices/</x:v>
      </x:c>
      <x:c r="L4966" s="67" t="str">
        <x:v>https://www.pricescope.com/blog/natural-diamond-prices-september-2026</x:v>
      </x:c>
    </x:row>
    <x:row r="4967">
      <x:c r="A4967" t="n">
        <x:v>8</x:v>
      </x:c>
      <x:c r="B4967" t="str">
        <x:v>Heart</x:v>
      </x:c>
      <x:c r="C4967" t="str">
        <x:v>H</x:v>
      </x:c>
      <x:c r="D4967" t="str">
        <x:v>VS2</x:v>
      </x:c>
      <x:c r="E4967" s="36" t="n">
        <x:v>301000</x:v>
      </x:c>
      <x:c r="F4967" s="36" t="n">
        <x:v>3989</x:v>
      </x:c>
      <x:c r="G4967" s="42" t="n">
        <x:v>0.8556413556413557</x:v>
      </x:c>
      <x:c r="H4967" s="36" t="n">
        <x:f>E4967*G4967</x:f>
        <x:v>257548.04804804805</x:v>
      </x:c>
      <x:c r="I4967" s="36" t="n">
        <x:f>IFERROR(H4967/A4967,0)</x:f>
        <x:v>32193.506006006006</x:v>
      </x:c>
      <x:c r="J4967" s="67" t="str">
        <x:v>Modeled from live base + Sep-2026 quality ratio</x:v>
      </x:c>
      <x:c r="K4967" s="67" t="str">
        <x:v>https://www.stonealgo.com/diamond-prices/</x:v>
      </x:c>
      <x:c r="L4967" s="67" t="str">
        <x:v>https://www.pricescope.com/blog/natural-diamond-prices-september-2026</x:v>
      </x:c>
    </x:row>
    <x:row r="4968">
      <x:c r="A4968" t="n">
        <x:v>8</x:v>
      </x:c>
      <x:c r="B4968" t="str">
        <x:v>Heart</x:v>
      </x:c>
      <x:c r="C4968" t="str">
        <x:v>H</x:v>
      </x:c>
      <x:c r="D4968" t="str">
        <x:v>SI1</x:v>
      </x:c>
      <x:c r="E4968" s="36" t="n">
        <x:v>301000</x:v>
      </x:c>
      <x:c r="F4968" s="36" t="n">
        <x:v>2828</x:v>
      </x:c>
      <x:c r="G4968" s="42" t="n">
        <x:v>0.6066066066066066</x:v>
      </x:c>
      <x:c r="H4968" s="36" t="n">
        <x:f>E4968*G4968</x:f>
        <x:v>182588.58858858858</x:v>
      </x:c>
      <x:c r="I4968" s="36" t="n">
        <x:f>IFERROR(H4968/A4968,0)</x:f>
        <x:v>22823.573573573573</x:v>
      </x:c>
      <x:c r="J4968" s="67" t="str">
        <x:v>Modeled from live base + Sep-2026 quality ratio</x:v>
      </x:c>
      <x:c r="K4968" s="67" t="str">
        <x:v>https://www.stonealgo.com/diamond-prices/</x:v>
      </x:c>
      <x:c r="L4968" s="67" t="str">
        <x:v>https://www.pricescope.com/blog/natural-diamond-prices-september-2026</x:v>
      </x:c>
    </x:row>
    <x:row r="4969">
      <x:c r="A4969" t="n">
        <x:v>8</x:v>
      </x:c>
      <x:c r="B4969" t="str">
        <x:v>Heart</x:v>
      </x:c>
      <x:c r="C4969" t="str">
        <x:v>H</x:v>
      </x:c>
      <x:c r="D4969" t="str">
        <x:v>SI2</x:v>
      </x:c>
      <x:c r="E4969" s="36" t="n">
        <x:v>301000</x:v>
      </x:c>
      <x:c r="F4969" s="36" t="n">
        <x:v>2328</x:v>
      </x:c>
      <x:c r="G4969" s="42" t="n">
        <x:v>0.49935649935649934</x:v>
      </x:c>
      <x:c r="H4969" s="36" t="n">
        <x:f>E4969*G4969</x:f>
        <x:v>150306.3063063063</x:v>
      </x:c>
      <x:c r="I4969" s="36" t="n">
        <x:f>IFERROR(H4969/A4969,0)</x:f>
        <x:v>18788.288288288288</x:v>
      </x:c>
      <x:c r="J4969" s="67" t="str">
        <x:v>Modeled from live base + Sep-2026 quality ratio</x:v>
      </x:c>
      <x:c r="K4969" s="67" t="str">
        <x:v>https://www.stonealgo.com/diamond-prices/</x:v>
      </x:c>
      <x:c r="L4969" s="67" t="str">
        <x:v>https://www.pricescope.com/blog/natural-diamond-prices-september-2026</x:v>
      </x:c>
    </x:row>
    <x:row r="4970">
      <x:c r="A4970" t="n">
        <x:v>8</x:v>
      </x:c>
      <x:c r="B4970" t="str">
        <x:v>Heart</x:v>
      </x:c>
      <x:c r="C4970" t="str">
        <x:v>I</x:v>
      </x:c>
      <x:c r="D4970" t="str">
        <x:v>FL</x:v>
      </x:c>
      <x:c r="E4970" s="36" t="n">
        <x:v>301000</x:v>
      </x:c>
      <x:c r="F4970" s="36" t="n">
        <x:v>4623</x:v>
      </x:c>
      <x:c r="G4970" s="42" t="n">
        <x:v>0.9916344916344917</x:v>
      </x:c>
      <x:c r="H4970" s="36" t="n">
        <x:f>E4970*G4970</x:f>
        <x:v>298481.981981982</x:v>
      </x:c>
      <x:c r="I4970" s="36" t="n">
        <x:f>IFERROR(H4970/A4970,0)</x:f>
        <x:v>37310.24774774775</x:v>
      </x:c>
      <x:c r="J4970" s="67" t="str">
        <x:v>Modeled from live base + Sep-2026 quality ratio</x:v>
      </x:c>
      <x:c r="K4970" s="67" t="str">
        <x:v>https://www.stonealgo.com/diamond-prices/</x:v>
      </x:c>
      <x:c r="L4970" s="67" t="str">
        <x:v>https://www.pricescope.com/blog/natural-diamond-prices-september-2026</x:v>
      </x:c>
    </x:row>
    <x:row r="4971">
      <x:c r="A4971" t="n">
        <x:v>8</x:v>
      </x:c>
      <x:c r="B4971" t="str">
        <x:v>Heart</x:v>
      </x:c>
      <x:c r="C4971" t="str">
        <x:v>I</x:v>
      </x:c>
      <x:c r="D4971" t="str">
        <x:v>IF</x:v>
      </x:c>
      <x:c r="E4971" s="36" t="n">
        <x:v>301000</x:v>
      </x:c>
      <x:c r="F4971" s="36" t="n">
        <x:v>4005</x:v>
      </x:c>
      <x:c r="G4971" s="42" t="n">
        <x:v>0.859073359073359</x:v>
      </x:c>
      <x:c r="H4971" s="36" t="n">
        <x:f>E4971*G4971</x:f>
        <x:v>258581.08108108107</x:v>
      </x:c>
      <x:c r="I4971" s="36" t="n">
        <x:f>IFERROR(H4971/A4971,0)</x:f>
        <x:v>32322.635135135133</x:v>
      </x:c>
      <x:c r="J4971" s="67" t="str">
        <x:v>Modeled from live base + Sep-2026 quality ratio</x:v>
      </x:c>
      <x:c r="K4971" s="67" t="str">
        <x:v>https://www.stonealgo.com/diamond-prices/</x:v>
      </x:c>
      <x:c r="L4971" s="67" t="str">
        <x:v>https://www.pricescope.com/blog/natural-diamond-prices-september-2026</x:v>
      </x:c>
    </x:row>
    <x:row r="4972">
      <x:c r="A4972" t="n">
        <x:v>8</x:v>
      </x:c>
      <x:c r="B4972" t="str">
        <x:v>Heart</x:v>
      </x:c>
      <x:c r="C4972" t="str">
        <x:v>I</x:v>
      </x:c>
      <x:c r="D4972" t="str">
        <x:v>VVS1</x:v>
      </x:c>
      <x:c r="E4972" s="36" t="n">
        <x:v>301000</x:v>
      </x:c>
      <x:c r="F4972" s="36" t="n">
        <x:v>3670</x:v>
      </x:c>
      <x:c r="G4972" s="42" t="n">
        <x:v>0.7872157872157872</x:v>
      </x:c>
      <x:c r="H4972" s="36" t="n">
        <x:f>E4972*G4972</x:f>
        <x:v>236951.95195195195</x:v>
      </x:c>
      <x:c r="I4972" s="36" t="n">
        <x:f>IFERROR(H4972/A4972,0)</x:f>
        <x:v>29618.993993993994</x:v>
      </x:c>
      <x:c r="J4972" s="67" t="str">
        <x:v>Modeled from live base + Sep-2026 quality ratio</x:v>
      </x:c>
      <x:c r="K4972" s="67" t="str">
        <x:v>https://www.stonealgo.com/diamond-prices/</x:v>
      </x:c>
      <x:c r="L4972" s="67" t="str">
        <x:v>https://www.pricescope.com/blog/natural-diamond-prices-september-2026</x:v>
      </x:c>
    </x:row>
    <x:row r="4973">
      <x:c r="A4973" t="n">
        <x:v>8</x:v>
      </x:c>
      <x:c r="B4973" t="str">
        <x:v>Heart</x:v>
      </x:c>
      <x:c r="C4973" t="str">
        <x:v>I</x:v>
      </x:c>
      <x:c r="D4973" t="str">
        <x:v>VVS2</x:v>
      </x:c>
      <x:c r="E4973" s="36" t="n">
        <x:v>301000</x:v>
      </x:c>
      <x:c r="F4973" s="36" t="n">
        <x:v>3447</x:v>
      </x:c>
      <x:c r="G4973" s="42" t="n">
        <x:v>0.7393822393822393</x:v>
      </x:c>
      <x:c r="H4973" s="36" t="n">
        <x:f>E4973*G4973</x:f>
        <x:v>222554.05405405405</x:v>
      </x:c>
      <x:c r="I4973" s="36" t="n">
        <x:f>IFERROR(H4973/A4973,0)</x:f>
        <x:v>27819.256756756757</x:v>
      </x:c>
      <x:c r="J4973" s="67" t="str">
        <x:v>Modeled from live base + Sep-2026 quality ratio</x:v>
      </x:c>
      <x:c r="K4973" s="67" t="str">
        <x:v>https://www.stonealgo.com/diamond-prices/</x:v>
      </x:c>
      <x:c r="L4973" s="67" t="str">
        <x:v>https://www.pricescope.com/blog/natural-diamond-prices-september-2026</x:v>
      </x:c>
    </x:row>
    <x:row r="4974">
      <x:c r="A4974" t="n">
        <x:v>8</x:v>
      </x:c>
      <x:c r="B4974" t="str">
        <x:v>Heart</x:v>
      </x:c>
      <x:c r="C4974" t="str">
        <x:v>I</x:v>
      </x:c>
      <x:c r="D4974" t="str">
        <x:v>VS1</x:v>
      </x:c>
      <x:c r="E4974" s="36" t="n">
        <x:v>301000</x:v>
      </x:c>
      <x:c r="F4974" s="36" t="n">
        <x:v>3313</x:v>
      </x:c>
      <x:c r="G4974" s="42" t="n">
        <x:v>0.7106392106392107</x:v>
      </x:c>
      <x:c r="H4974" s="36" t="n">
        <x:f>E4974*G4974</x:f>
        <x:v>213902.4024024024</x:v>
      </x:c>
      <x:c r="I4974" s="36" t="n">
        <x:f>IFERROR(H4974/A4974,0)</x:f>
        <x:v>26737.8003003003</x:v>
      </x:c>
      <x:c r="J4974" s="67" t="str">
        <x:v>Modeled from live base + Sep-2026 quality ratio</x:v>
      </x:c>
      <x:c r="K4974" s="67" t="str">
        <x:v>https://www.stonealgo.com/diamond-prices/</x:v>
      </x:c>
      <x:c r="L4974" s="67" t="str">
        <x:v>https://www.pricescope.com/blog/natural-diamond-prices-september-2026</x:v>
      </x:c>
    </x:row>
    <x:row r="4975">
      <x:c r="A4975" t="n">
        <x:v>8</x:v>
      </x:c>
      <x:c r="B4975" t="str">
        <x:v>Heart</x:v>
      </x:c>
      <x:c r="C4975" t="str">
        <x:v>I</x:v>
      </x:c>
      <x:c r="D4975" t="str">
        <x:v>VS2</x:v>
      </x:c>
      <x:c r="E4975" s="36" t="n">
        <x:v>301000</x:v>
      </x:c>
      <x:c r="F4975" s="36" t="n">
        <x:v>3240</x:v>
      </x:c>
      <x:c r="G4975" s="42" t="n">
        <x:v>0.694980694980695</x:v>
      </x:c>
      <x:c r="H4975" s="36" t="n">
        <x:f>E4975*G4975</x:f>
        <x:v>209189.1891891892</x:v>
      </x:c>
      <x:c r="I4975" s="36" t="n">
        <x:f>IFERROR(H4975/A4975,0)</x:f>
        <x:v>26148.64864864865</x:v>
      </x:c>
      <x:c r="J4975" s="67" t="str">
        <x:v>Modeled from live base + Sep-2026 quality ratio</x:v>
      </x:c>
      <x:c r="K4975" s="67" t="str">
        <x:v>https://www.stonealgo.com/diamond-prices/</x:v>
      </x:c>
      <x:c r="L4975" s="67" t="str">
        <x:v>https://www.pricescope.com/blog/natural-diamond-prices-september-2026</x:v>
      </x:c>
    </x:row>
    <x:row r="4976">
      <x:c r="A4976" t="n">
        <x:v>8</x:v>
      </x:c>
      <x:c r="B4976" t="str">
        <x:v>Heart</x:v>
      </x:c>
      <x:c r="C4976" t="str">
        <x:v>I</x:v>
      </x:c>
      <x:c r="D4976" t="str">
        <x:v>SI1</x:v>
      </x:c>
      <x:c r="E4976" s="36" t="n">
        <x:v>301000</x:v>
      </x:c>
      <x:c r="F4976" s="36" t="n">
        <x:v>3199</x:v>
      </x:c>
      <x:c r="G4976" s="42" t="n">
        <x:v>0.6861861861861862</x:v>
      </x:c>
      <x:c r="H4976" s="36" t="n">
        <x:f>E4976*G4976</x:f>
        <x:v>206542.04204204204</x:v>
      </x:c>
      <x:c r="I4976" s="36" t="n">
        <x:f>IFERROR(H4976/A4976,0)</x:f>
        <x:v>25817.755255255255</x:v>
      </x:c>
      <x:c r="J4976" s="67" t="str">
        <x:v>Modeled from live base + Sep-2026 quality ratio</x:v>
      </x:c>
      <x:c r="K4976" s="67" t="str">
        <x:v>https://www.stonealgo.com/diamond-prices/</x:v>
      </x:c>
      <x:c r="L4976" s="67" t="str">
        <x:v>https://www.pricescope.com/blog/natural-diamond-prices-september-2026</x:v>
      </x:c>
    </x:row>
    <x:row r="4977">
      <x:c r="A4977" t="n">
        <x:v>8</x:v>
      </x:c>
      <x:c r="B4977" t="str">
        <x:v>Heart</x:v>
      </x:c>
      <x:c r="C4977" t="str">
        <x:v>I</x:v>
      </x:c>
      <x:c r="D4977" t="str">
        <x:v>SI2</x:v>
      </x:c>
      <x:c r="E4977" s="36" t="n">
        <x:v>301000</x:v>
      </x:c>
      <x:c r="F4977" s="36" t="n">
        <x:v>2874</x:v>
      </x:c>
      <x:c r="G4977" s="42" t="n">
        <x:v>0.6164736164736164</x:v>
      </x:c>
      <x:c r="H4977" s="36" t="n">
        <x:f>E4977*G4977</x:f>
        <x:v>185558.55855855855</x:v>
      </x:c>
      <x:c r="I4977" s="36" t="n">
        <x:f>IFERROR(H4977/A4977,0)</x:f>
        <x:v>23194.81981981982</x:v>
      </x:c>
      <x:c r="J4977" s="67" t="str">
        <x:v>Modeled from live base + Sep-2026 quality ratio</x:v>
      </x:c>
      <x:c r="K4977" s="67" t="str">
        <x:v>https://www.stonealgo.com/diamond-prices/</x:v>
      </x:c>
      <x:c r="L4977" s="67" t="str">
        <x:v>https://www.pricescope.com/blog/natural-diamond-prices-september-2026</x:v>
      </x:c>
    </x:row>
    <x:row r="4978">
      <x:c r="A4978" t="n">
        <x:v>8</x:v>
      </x:c>
      <x:c r="B4978" t="str">
        <x:v>Heart</x:v>
      </x:c>
      <x:c r="C4978" t="str">
        <x:v>J</x:v>
      </x:c>
      <x:c r="D4978" t="str">
        <x:v>FL</x:v>
      </x:c>
      <x:c r="E4978" s="36" t="n">
        <x:v>301000</x:v>
      </x:c>
      <x:c r="F4978" s="36" t="n">
        <x:v>3646</x:v>
      </x:c>
      <x:c r="G4978" s="42" t="n">
        <x:v>0.782067782067782</x:v>
      </x:c>
      <x:c r="H4978" s="36" t="n">
        <x:f>E4978*G4978</x:f>
        <x:v>235402.4024024024</x:v>
      </x:c>
      <x:c r="I4978" s="36" t="n">
        <x:f>IFERROR(H4978/A4978,0)</x:f>
        <x:v>29425.3003003003</x:v>
      </x:c>
      <x:c r="J4978" s="67" t="str">
        <x:v>Modeled from live base + Sep-2026 quality ratio</x:v>
      </x:c>
      <x:c r="K4978" s="67" t="str">
        <x:v>https://www.stonealgo.com/diamond-prices/</x:v>
      </x:c>
      <x:c r="L4978" s="67" t="str">
        <x:v>https://www.pricescope.com/blog/natural-diamond-prices-september-2026</x:v>
      </x:c>
    </x:row>
    <x:row r="4979">
      <x:c r="A4979" t="n">
        <x:v>8</x:v>
      </x:c>
      <x:c r="B4979" t="str">
        <x:v>Heart</x:v>
      </x:c>
      <x:c r="C4979" t="str">
        <x:v>J</x:v>
      </x:c>
      <x:c r="D4979" t="str">
        <x:v>IF</x:v>
      </x:c>
      <x:c r="E4979" s="36" t="n">
        <x:v>301000</x:v>
      </x:c>
      <x:c r="F4979" s="36" t="n">
        <x:v>3368</x:v>
      </x:c>
      <x:c r="G4979" s="42" t="n">
        <x:v>0.7224367224367224</x:v>
      </x:c>
      <x:c r="H4979" s="36" t="n">
        <x:f>E4979*G4979</x:f>
        <x:v>217453.45345345343</x:v>
      </x:c>
      <x:c r="I4979" s="36" t="n">
        <x:f>IFERROR(H4979/A4979,0)</x:f>
        <x:v>27181.68168168168</x:v>
      </x:c>
      <x:c r="J4979" s="67" t="str">
        <x:v>Modeled from live base + Sep-2026 quality ratio</x:v>
      </x:c>
      <x:c r="K4979" s="67" t="str">
        <x:v>https://www.stonealgo.com/diamond-prices/</x:v>
      </x:c>
      <x:c r="L4979" s="67" t="str">
        <x:v>https://www.pricescope.com/blog/natural-diamond-prices-september-2026</x:v>
      </x:c>
    </x:row>
    <x:row r="4980">
      <x:c r="A4980" t="n">
        <x:v>8</x:v>
      </x:c>
      <x:c r="B4980" t="str">
        <x:v>Heart</x:v>
      </x:c>
      <x:c r="C4980" t="str">
        <x:v>J</x:v>
      </x:c>
      <x:c r="D4980" t="str">
        <x:v>VVS1</x:v>
      </x:c>
      <x:c r="E4980" s="36" t="n">
        <x:v>301000</x:v>
      </x:c>
      <x:c r="F4980" s="36" t="n">
        <x:v>2956</x:v>
      </x:c>
      <x:c r="G4980" s="42" t="n">
        <x:v>0.6340626340626341</x:v>
      </x:c>
      <x:c r="H4980" s="36" t="n">
        <x:f>E4980*G4980</x:f>
        <x:v>190852.85285285287</x:v>
      </x:c>
      <x:c r="I4980" s="36" t="n">
        <x:f>IFERROR(H4980/A4980,0)</x:f>
        <x:v>23856.60660660661</x:v>
      </x:c>
      <x:c r="J4980" s="67" t="str">
        <x:v>Modeled from live base + Sep-2026 quality ratio</x:v>
      </x:c>
      <x:c r="K4980" s="67" t="str">
        <x:v>https://www.stonealgo.com/diamond-prices/</x:v>
      </x:c>
      <x:c r="L4980" s="67" t="str">
        <x:v>https://www.pricescope.com/blog/natural-diamond-prices-september-2026</x:v>
      </x:c>
    </x:row>
    <x:row r="4981">
      <x:c r="A4981" t="n">
        <x:v>8</x:v>
      </x:c>
      <x:c r="B4981" t="str">
        <x:v>Heart</x:v>
      </x:c>
      <x:c r="C4981" t="str">
        <x:v>J</x:v>
      </x:c>
      <x:c r="D4981" t="str">
        <x:v>VVS2</x:v>
      </x:c>
      <x:c r="E4981" s="36" t="n">
        <x:v>301000</x:v>
      </x:c>
      <x:c r="F4981" s="36" t="n">
        <x:v>2612</x:v>
      </x:c>
      <x:c r="G4981" s="42" t="n">
        <x:v>0.5602745602745602</x:v>
      </x:c>
      <x:c r="H4981" s="36" t="n">
        <x:f>E4981*G4981</x:f>
        <x:v>168642.64264264263</x:v>
      </x:c>
      <x:c r="I4981" s="36" t="n">
        <x:f>IFERROR(H4981/A4981,0)</x:f>
        <x:v>21080.33033033033</x:v>
      </x:c>
      <x:c r="J4981" s="67" t="str">
        <x:v>Modeled from live base + Sep-2026 quality ratio</x:v>
      </x:c>
      <x:c r="K4981" s="67" t="str">
        <x:v>https://www.stonealgo.com/diamond-prices/</x:v>
      </x:c>
      <x:c r="L4981" s="67" t="str">
        <x:v>https://www.pricescope.com/blog/natural-diamond-prices-september-2026</x:v>
      </x:c>
    </x:row>
    <x:row r="4982">
      <x:c r="A4982" t="n">
        <x:v>8</x:v>
      </x:c>
      <x:c r="B4982" t="str">
        <x:v>Heart</x:v>
      </x:c>
      <x:c r="C4982" t="str">
        <x:v>J</x:v>
      </x:c>
      <x:c r="D4982" t="str">
        <x:v>VS1</x:v>
      </x:c>
      <x:c r="E4982" s="36" t="n">
        <x:v>301000</x:v>
      </x:c>
      <x:c r="F4982" s="36" t="n">
        <x:v>3002</x:v>
      </x:c>
      <x:c r="G4982" s="42" t="n">
        <x:v>0.6439296439296439</x:v>
      </x:c>
      <x:c r="H4982" s="36" t="n">
        <x:f>E4982*G4982</x:f>
        <x:v>193822.8228228228</x:v>
      </x:c>
      <x:c r="I4982" s="36" t="n">
        <x:f>IFERROR(H4982/A4982,0)</x:f>
        <x:v>24227.85285285285</x:v>
      </x:c>
      <x:c r="J4982" s="67" t="str">
        <x:v>Modeled from live base + Sep-2026 quality ratio</x:v>
      </x:c>
      <x:c r="K4982" s="67" t="str">
        <x:v>https://www.stonealgo.com/diamond-prices/</x:v>
      </x:c>
      <x:c r="L4982" s="67" t="str">
        <x:v>https://www.pricescope.com/blog/natural-diamond-prices-september-2026</x:v>
      </x:c>
    </x:row>
    <x:row r="4983">
      <x:c r="A4983" t="n">
        <x:v>8</x:v>
      </x:c>
      <x:c r="B4983" t="str">
        <x:v>Heart</x:v>
      </x:c>
      <x:c r="C4983" t="str">
        <x:v>J</x:v>
      </x:c>
      <x:c r="D4983" t="str">
        <x:v>VS2</x:v>
      </x:c>
      <x:c r="E4983" s="36" t="n">
        <x:v>301000</x:v>
      </x:c>
      <x:c r="F4983" s="36" t="n">
        <x:v>2559</x:v>
      </x:c>
      <x:c r="G4983" s="42" t="n">
        <x:v>0.5489060489060489</x:v>
      </x:c>
      <x:c r="H4983" s="36" t="n">
        <x:f>E4983*G4983</x:f>
        <x:v>165220.7207207207</x:v>
      </x:c>
      <x:c r="I4983" s="36" t="n">
        <x:f>IFERROR(H4983/A4983,0)</x:f>
        <x:v>20652.59009009009</x:v>
      </x:c>
      <x:c r="J4983" s="67" t="str">
        <x:v>Modeled from live base + Sep-2026 quality ratio</x:v>
      </x:c>
      <x:c r="K4983" s="67" t="str">
        <x:v>https://www.stonealgo.com/diamond-prices/</x:v>
      </x:c>
      <x:c r="L4983" s="67" t="str">
        <x:v>https://www.pricescope.com/blog/natural-diamond-prices-september-2026</x:v>
      </x:c>
    </x:row>
    <x:row r="4984">
      <x:c r="A4984" t="n">
        <x:v>8</x:v>
      </x:c>
      <x:c r="B4984" t="str">
        <x:v>Heart</x:v>
      </x:c>
      <x:c r="C4984" t="str">
        <x:v>J</x:v>
      </x:c>
      <x:c r="D4984" t="str">
        <x:v>SI1</x:v>
      </x:c>
      <x:c r="E4984" s="36" t="n">
        <x:v>301000</x:v>
      </x:c>
      <x:c r="F4984" s="36" t="n">
        <x:v>2195</x:v>
      </x:c>
      <x:c r="G4984" s="42" t="n">
        <x:v>0.47082797082797084</x:v>
      </x:c>
      <x:c r="H4984" s="36" t="n">
        <x:f>E4984*G4984</x:f>
        <x:v>141719.21921921923</x:v>
      </x:c>
      <x:c r="I4984" s="36" t="n">
        <x:f>IFERROR(H4984/A4984,0)</x:f>
        <x:v>17714.902402402404</x:v>
      </x:c>
      <x:c r="J4984" s="67" t="str">
        <x:v>Modeled from live base + Sep-2026 quality ratio</x:v>
      </x:c>
      <x:c r="K4984" s="67" t="str">
        <x:v>https://www.stonealgo.com/diamond-prices/</x:v>
      </x:c>
      <x:c r="L4984" s="67" t="str">
        <x:v>https://www.pricescope.com/blog/natural-diamond-prices-september-2026</x:v>
      </x:c>
    </x:row>
    <x:row r="4985">
      <x:c r="A4985" t="n">
        <x:v>8</x:v>
      </x:c>
      <x:c r="B4985" t="str">
        <x:v>Heart</x:v>
      </x:c>
      <x:c r="C4985" t="str">
        <x:v>J</x:v>
      </x:c>
      <x:c r="D4985" t="str">
        <x:v>SI2</x:v>
      </x:c>
      <x:c r="E4985" s="36" t="n">
        <x:v>301000</x:v>
      </x:c>
      <x:c r="F4985" s="36" t="n">
        <x:v>2079</x:v>
      </x:c>
      <x:c r="G4985" s="42" t="n">
        <x:v>0.44594594594594594</x:v>
      </x:c>
      <x:c r="H4985" s="36" t="n">
        <x:f>E4985*G4985</x:f>
        <x:v>134229.72972972973</x:v>
      </x:c>
      <x:c r="I4985" s="36" t="n">
        <x:f>IFERROR(H4985/A4985,0)</x:f>
        <x:v>16778.716216216217</x:v>
      </x:c>
      <x:c r="J4985" s="67" t="str">
        <x:v>Modeled from live base + Sep-2026 quality ratio</x:v>
      </x:c>
      <x:c r="K4985" s="67" t="str">
        <x:v>https://www.stonealgo.com/diamond-prices/</x:v>
      </x:c>
      <x:c r="L4985" s="67" t="str">
        <x:v>https://www.pricescope.com/blog/natural-diamond-prices-september-2026</x:v>
      </x:c>
    </x:row>
    <x:row r="4986">
      <x:c r="A4986" t="n">
        <x:v>8</x:v>
      </x:c>
      <x:c r="B4986" t="str">
        <x:v>Heart</x:v>
      </x:c>
      <x:c r="C4986" t="str">
        <x:v>K</x:v>
      </x:c>
      <x:c r="D4986" t="str">
        <x:v>FL</x:v>
      </x:c>
      <x:c r="E4986" s="36" t="n">
        <x:v>301000</x:v>
      </x:c>
      <x:c r="F4986" s="36" t="n">
        <x:v>2858</x:v>
      </x:c>
      <x:c r="G4986" s="42" t="n">
        <x:v>0.6130416130416131</x:v>
      </x:c>
      <x:c r="H4986" s="36" t="n">
        <x:f>E4986*G4986</x:f>
        <x:v>184525.52552552553</x:v>
      </x:c>
      <x:c r="I4986" s="36" t="n">
        <x:f>IFERROR(H4986/A4986,0)</x:f>
        <x:v>23065.69069069069</x:v>
      </x:c>
      <x:c r="J4986" s="67" t="str">
        <x:v>Modeled from live base + Sep-2026 quality ratio; K/FL quality cell modeled</x:v>
      </x:c>
      <x:c r="K4986" s="67" t="str">
        <x:v>https://www.stonealgo.com/diamond-prices/</x:v>
      </x:c>
      <x:c r="L4986" s="67" t="str">
        <x:v>https://www.pricescope.com/blog/natural-diamond-prices-september-2026</x:v>
      </x:c>
    </x:row>
    <x:row r="4987">
      <x:c r="A4987" t="n">
        <x:v>8</x:v>
      </x:c>
      <x:c r="B4987" t="str">
        <x:v>Heart</x:v>
      </x:c>
      <x:c r="C4987" t="str">
        <x:v>K</x:v>
      </x:c>
      <x:c r="D4987" t="str">
        <x:v>IF</x:v>
      </x:c>
      <x:c r="E4987" s="36" t="n">
        <x:v>301000</x:v>
      </x:c>
      <x:c r="F4987" s="36" t="n">
        <x:v>2743</x:v>
      </x:c>
      <x:c r="G4987" s="42" t="n">
        <x:v>0.5883740883740883</x:v>
      </x:c>
      <x:c r="H4987" s="36" t="n">
        <x:f>E4987*G4987</x:f>
        <x:v>177100.6006006006</x:v>
      </x:c>
      <x:c r="I4987" s="36" t="n">
        <x:f>IFERROR(H4987/A4987,0)</x:f>
        <x:v>22137.575075075074</x:v>
      </x:c>
      <x:c r="J4987" s="67" t="str">
        <x:v>Modeled from live base + Sep-2026 quality ratio</x:v>
      </x:c>
      <x:c r="K4987" s="67" t="str">
        <x:v>https://www.stonealgo.com/diamond-prices/</x:v>
      </x:c>
      <x:c r="L4987" s="67" t="str">
        <x:v>https://www.pricescope.com/blog/natural-diamond-prices-september-2026</x:v>
      </x:c>
    </x:row>
    <x:row r="4988">
      <x:c r="A4988" t="n">
        <x:v>8</x:v>
      </x:c>
      <x:c r="B4988" t="str">
        <x:v>Heart</x:v>
      </x:c>
      <x:c r="C4988" t="str">
        <x:v>K</x:v>
      </x:c>
      <x:c r="D4988" t="str">
        <x:v>VVS1</x:v>
      </x:c>
      <x:c r="E4988" s="36" t="n">
        <x:v>301000</x:v>
      </x:c>
      <x:c r="F4988" s="36" t="n">
        <x:v>2529</x:v>
      </x:c>
      <x:c r="G4988" s="42" t="n">
        <x:v>0.5424710424710425</x:v>
      </x:c>
      <x:c r="H4988" s="36" t="n">
        <x:f>E4988*G4988</x:f>
        <x:v>163283.7837837838</x:v>
      </x:c>
      <x:c r="I4988" s="36" t="n">
        <x:f>IFERROR(H4988/A4988,0)</x:f>
        <x:v>20410.472972972973</x:v>
      </x:c>
      <x:c r="J4988" s="67" t="str">
        <x:v>Modeled from live base + Sep-2026 quality ratio</x:v>
      </x:c>
      <x:c r="K4988" s="67" t="str">
        <x:v>https://www.stonealgo.com/diamond-prices/</x:v>
      </x:c>
      <x:c r="L4988" s="67" t="str">
        <x:v>https://www.pricescope.com/blog/natural-diamond-prices-september-2026</x:v>
      </x:c>
    </x:row>
    <x:row r="4989">
      <x:c r="A4989" t="n">
        <x:v>8</x:v>
      </x:c>
      <x:c r="B4989" t="str">
        <x:v>Heart</x:v>
      </x:c>
      <x:c r="C4989" t="str">
        <x:v>K</x:v>
      </x:c>
      <x:c r="D4989" t="str">
        <x:v>VVS2</x:v>
      </x:c>
      <x:c r="E4989" s="36" t="n">
        <x:v>301000</x:v>
      </x:c>
      <x:c r="F4989" s="36" t="n">
        <x:v>2374</x:v>
      </x:c>
      <x:c r="G4989" s="42" t="n">
        <x:v>0.5092235092235092</x:v>
      </x:c>
      <x:c r="H4989" s="36" t="n">
        <x:f>E4989*G4989</x:f>
        <x:v>153276.27627627627</x:v>
      </x:c>
      <x:c r="I4989" s="36" t="n">
        <x:f>IFERROR(H4989/A4989,0)</x:f>
        <x:v>19159.534534534534</x:v>
      </x:c>
      <x:c r="J4989" s="67" t="str">
        <x:v>Modeled from live base + Sep-2026 quality ratio</x:v>
      </x:c>
      <x:c r="K4989" s="67" t="str">
        <x:v>https://www.stonealgo.com/diamond-prices/</x:v>
      </x:c>
      <x:c r="L4989" s="67" t="str">
        <x:v>https://www.pricescope.com/blog/natural-diamond-prices-september-2026</x:v>
      </x:c>
    </x:row>
    <x:row r="4990">
      <x:c r="A4990" t="n">
        <x:v>8</x:v>
      </x:c>
      <x:c r="B4990" t="str">
        <x:v>Heart</x:v>
      </x:c>
      <x:c r="C4990" t="str">
        <x:v>K</x:v>
      </x:c>
      <x:c r="D4990" t="str">
        <x:v>VS1</x:v>
      </x:c>
      <x:c r="E4990" s="36" t="n">
        <x:v>301000</x:v>
      </x:c>
      <x:c r="F4990" s="36" t="n">
        <x:v>2223</x:v>
      </x:c>
      <x:c r="G4990" s="42" t="n">
        <x:v>0.4768339768339768</x:v>
      </x:c>
      <x:c r="H4990" s="36" t="n">
        <x:f>E4990*G4990</x:f>
        <x:v>143527.027027027</x:v>
      </x:c>
      <x:c r="I4990" s="36" t="n">
        <x:f>IFERROR(H4990/A4990,0)</x:f>
        <x:v>17940.878378378377</x:v>
      </x:c>
      <x:c r="J4990" s="67" t="str">
        <x:v>Modeled from live base + Sep-2026 quality ratio</x:v>
      </x:c>
      <x:c r="K4990" s="67" t="str">
        <x:v>https://www.stonealgo.com/diamond-prices/</x:v>
      </x:c>
      <x:c r="L4990" s="67" t="str">
        <x:v>https://www.pricescope.com/blog/natural-diamond-prices-september-2026</x:v>
      </x:c>
    </x:row>
    <x:row r="4991">
      <x:c r="A4991" t="n">
        <x:v>8</x:v>
      </x:c>
      <x:c r="B4991" t="str">
        <x:v>Heart</x:v>
      </x:c>
      <x:c r="C4991" t="str">
        <x:v>K</x:v>
      </x:c>
      <x:c r="D4991" t="str">
        <x:v>VS2</x:v>
      </x:c>
      <x:c r="E4991" s="36" t="n">
        <x:v>301000</x:v>
      </x:c>
      <x:c r="F4991" s="36" t="n">
        <x:v>2098</x:v>
      </x:c>
      <x:c r="G4991" s="42" t="n">
        <x:v>0.45002145002145</x:v>
      </x:c>
      <x:c r="H4991" s="36" t="n">
        <x:f>E4991*G4991</x:f>
        <x:v>135456.45645645645</x:v>
      </x:c>
      <x:c r="I4991" s="36" t="n">
        <x:f>IFERROR(H4991/A4991,0)</x:f>
        <x:v>16932.057057057056</x:v>
      </x:c>
      <x:c r="J4991" s="67" t="str">
        <x:v>Modeled from live base + Sep-2026 quality ratio</x:v>
      </x:c>
      <x:c r="K4991" s="67" t="str">
        <x:v>https://www.stonealgo.com/diamond-prices/</x:v>
      </x:c>
      <x:c r="L4991" s="67" t="str">
        <x:v>https://www.pricescope.com/blog/natural-diamond-prices-september-2026</x:v>
      </x:c>
    </x:row>
    <x:row r="4992">
      <x:c r="A4992" t="n">
        <x:v>8</x:v>
      </x:c>
      <x:c r="B4992" t="str">
        <x:v>Heart</x:v>
      </x:c>
      <x:c r="C4992" t="str">
        <x:v>K</x:v>
      </x:c>
      <x:c r="D4992" t="str">
        <x:v>SI1</x:v>
      </x:c>
      <x:c r="E4992" s="36" t="n">
        <x:v>301000</x:v>
      </x:c>
      <x:c r="F4992" s="36" t="n">
        <x:v>1922</x:v>
      </x:c>
      <x:c r="G4992" s="42" t="n">
        <x:v>0.41226941226941227</x:v>
      </x:c>
      <x:c r="H4992" s="36" t="n">
        <x:f>E4992*G4992</x:f>
        <x:v>124093.09309309309</x:v>
      </x:c>
      <x:c r="I4992" s="36" t="n">
        <x:f>IFERROR(H4992/A4992,0)</x:f>
        <x:v>15511.636636636636</x:v>
      </x:c>
      <x:c r="J4992" s="67" t="str">
        <x:v>Modeled from live base + Sep-2026 quality ratio</x:v>
      </x:c>
      <x:c r="K4992" s="67" t="str">
        <x:v>https://www.stonealgo.com/diamond-prices/</x:v>
      </x:c>
      <x:c r="L4992" s="67" t="str">
        <x:v>https://www.pricescope.com/blog/natural-diamond-prices-september-2026</x:v>
      </x:c>
    </x:row>
    <x:row r="4993">
      <x:c r="A4993" t="n">
        <x:v>8</x:v>
      </x:c>
      <x:c r="B4993" t="str">
        <x:v>Heart</x:v>
      </x:c>
      <x:c r="C4993" t="str">
        <x:v>K</x:v>
      </x:c>
      <x:c r="D4993" t="str">
        <x:v>SI2</x:v>
      </x:c>
      <x:c r="E4993" s="36" t="n">
        <x:v>301000</x:v>
      </x:c>
      <x:c r="F4993" s="36" t="n">
        <x:v>1764</x:v>
      </x:c>
      <x:c r="G4993" s="42" t="n">
        <x:v>0.3783783783783784</x:v>
      </x:c>
      <x:c r="H4993" s="36" t="n">
        <x:f>E4993*G4993</x:f>
        <x:v>113891.8918918919</x:v>
      </x:c>
      <x:c r="I4993" s="36" t="n">
        <x:f>IFERROR(H4993/A4993,0)</x:f>
        <x:v>14236.486486486487</x:v>
      </x:c>
      <x:c r="J4993" s="67" t="str">
        <x:v>Modeled from live base + Sep-2026 quality ratio</x:v>
      </x:c>
      <x:c r="K4993" s="67" t="str">
        <x:v>https://www.stonealgo.com/diamond-prices/</x:v>
      </x:c>
      <x:c r="L4993" s="67" t="str">
        <x:v>https://www.pricescope.com/blog/natural-diamond-prices-september-2026</x:v>
      </x:c>
    </x:row>
    <x:row r="4994">
      <x:c r="A4994" t="n">
        <x:v>8</x:v>
      </x:c>
      <x:c r="B4994" t="str">
        <x:v>Marquise</x:v>
      </x:c>
      <x:c r="C4994" t="str">
        <x:v>D</x:v>
      </x:c>
      <x:c r="D4994" t="str">
        <x:v>FL</x:v>
      </x:c>
      <x:c r="E4994" s="36" t="n">
        <x:v>247000</x:v>
      </x:c>
      <x:c r="F4994" s="36" t="n">
        <x:v>12665</x:v>
      </x:c>
      <x:c r="G4994" s="42" t="n">
        <x:v>2.7166452166452166</x:v>
      </x:c>
      <x:c r="H4994" s="36" t="n">
        <x:f>E4994*G4994</x:f>
        <x:v>671011.3685113685</x:v>
      </x:c>
      <x:c r="I4994" s="36" t="n">
        <x:f>IFERROR(H4994/A4994,0)</x:f>
        <x:v>83876.42106392107</x:v>
      </x:c>
      <x:c r="J4994" s="67" t="str">
        <x:v>Modeled from live base + Sep-2026 quality ratio</x:v>
      </x:c>
      <x:c r="K4994" s="67" t="str">
        <x:v>https://www.stonealgo.com/diamond-prices/</x:v>
      </x:c>
      <x:c r="L4994" s="67" t="str">
        <x:v>https://www.pricescope.com/blog/natural-diamond-prices-september-2026</x:v>
      </x:c>
    </x:row>
    <x:row r="4995">
      <x:c r="A4995" t="n">
        <x:v>8</x:v>
      </x:c>
      <x:c r="B4995" t="str">
        <x:v>Marquise</x:v>
      </x:c>
      <x:c r="C4995" t="str">
        <x:v>D</x:v>
      </x:c>
      <x:c r="D4995" t="str">
        <x:v>IF</x:v>
      </x:c>
      <x:c r="E4995" s="36" t="n">
        <x:v>247000</x:v>
      </x:c>
      <x:c r="F4995" s="36" t="n">
        <x:v>13240</x:v>
      </x:c>
      <x:c r="G4995" s="42" t="n">
        <x:v>2.83998283998284</x:v>
      </x:c>
      <x:c r="H4995" s="36" t="n">
        <x:f>E4995*G4995</x:f>
        <x:v>701475.7614757615</x:v>
      </x:c>
      <x:c r="I4995" s="36" t="n">
        <x:f>IFERROR(H4995/A4995,0)</x:f>
        <x:v>87684.47018447019</x:v>
      </x:c>
      <x:c r="J4995" s="67" t="str">
        <x:v>Modeled from live base + Sep-2026 quality ratio</x:v>
      </x:c>
      <x:c r="K4995" s="67" t="str">
        <x:v>https://www.stonealgo.com/diamond-prices/</x:v>
      </x:c>
      <x:c r="L4995" s="67" t="str">
        <x:v>https://www.pricescope.com/blog/natural-diamond-prices-september-2026</x:v>
      </x:c>
    </x:row>
    <x:row r="4996">
      <x:c r="A4996" t="n">
        <x:v>8</x:v>
      </x:c>
      <x:c r="B4996" t="str">
        <x:v>Marquise</x:v>
      </x:c>
      <x:c r="C4996" t="str">
        <x:v>D</x:v>
      </x:c>
      <x:c r="D4996" t="str">
        <x:v>VVS1</x:v>
      </x:c>
      <x:c r="E4996" s="36" t="n">
        <x:v>247000</x:v>
      </x:c>
      <x:c r="F4996" s="36" t="n">
        <x:v>9555</x:v>
      </x:c>
      <x:c r="G4996" s="42" t="n">
        <x:v>2.0495495495495497</x:v>
      </x:c>
      <x:c r="H4996" s="36" t="n">
        <x:f>E4996*G4996</x:f>
        <x:v>506238.73873873876</x:v>
      </x:c>
      <x:c r="I4996" s="36" t="n">
        <x:f>IFERROR(H4996/A4996,0)</x:f>
        <x:v>63279.842342342345</x:v>
      </x:c>
      <x:c r="J4996" s="67" t="str">
        <x:v>Modeled from live base + Sep-2026 quality ratio</x:v>
      </x:c>
      <x:c r="K4996" s="67" t="str">
        <x:v>https://www.stonealgo.com/diamond-prices/</x:v>
      </x:c>
      <x:c r="L4996" s="67" t="str">
        <x:v>https://www.pricescope.com/blog/natural-diamond-prices-september-2026</x:v>
      </x:c>
    </x:row>
    <x:row r="4997">
      <x:c r="A4997" t="n">
        <x:v>8</x:v>
      </x:c>
      <x:c r="B4997" t="str">
        <x:v>Marquise</x:v>
      </x:c>
      <x:c r="C4997" t="str">
        <x:v>D</x:v>
      </x:c>
      <x:c r="D4997" t="str">
        <x:v>VVS2</x:v>
      </x:c>
      <x:c r="E4997" s="36" t="n">
        <x:v>247000</x:v>
      </x:c>
      <x:c r="F4997" s="36" t="n">
        <x:v>6660</x:v>
      </x:c>
      <x:c r="G4997" s="42" t="n">
        <x:v>1.4285714285714286</x:v>
      </x:c>
      <x:c r="H4997" s="36" t="n">
        <x:f>E4997*G4997</x:f>
        <x:v>352857.14285714284</x:v>
      </x:c>
      <x:c r="I4997" s="36" t="n">
        <x:f>IFERROR(H4997/A4997,0)</x:f>
        <x:v>44107.142857142855</x:v>
      </x:c>
      <x:c r="J4997" s="67" t="str">
        <x:v>Modeled from live base + Sep-2026 quality ratio</x:v>
      </x:c>
      <x:c r="K4997" s="67" t="str">
        <x:v>https://www.stonealgo.com/diamond-prices/</x:v>
      </x:c>
      <x:c r="L4997" s="67" t="str">
        <x:v>https://www.pricescope.com/blog/natural-diamond-prices-september-2026</x:v>
      </x:c>
    </x:row>
    <x:row r="4998">
      <x:c r="A4998" t="n">
        <x:v>8</x:v>
      </x:c>
      <x:c r="B4998" t="str">
        <x:v>Marquise</x:v>
      </x:c>
      <x:c r="C4998" t="str">
        <x:v>D</x:v>
      </x:c>
      <x:c r="D4998" t="str">
        <x:v>VS1</x:v>
      </x:c>
      <x:c r="E4998" s="36" t="n">
        <x:v>247000</x:v>
      </x:c>
      <x:c r="F4998" s="36" t="n">
        <x:v>6247</x:v>
      </x:c>
      <x:c r="G4998" s="42" t="n">
        <x:v>1.33998283998284</x:v>
      </x:c>
      <x:c r="H4998" s="36" t="n">
        <x:f>E4998*G4998</x:f>
        <x:v>330975.7614757615</x:v>
      </x:c>
      <x:c r="I4998" s="36" t="n">
        <x:f>IFERROR(H4998/A4998,0)</x:f>
        <x:v>41371.970184470185</x:v>
      </x:c>
      <x:c r="J4998" s="67" t="str">
        <x:v>Modeled from live base + Sep-2026 quality ratio</x:v>
      </x:c>
      <x:c r="K4998" s="67" t="str">
        <x:v>https://www.stonealgo.com/diamond-prices/</x:v>
      </x:c>
      <x:c r="L4998" s="67" t="str">
        <x:v>https://www.pricescope.com/blog/natural-diamond-prices-september-2026</x:v>
      </x:c>
    </x:row>
    <x:row r="4999">
      <x:c r="A4999" t="n">
        <x:v>8</x:v>
      </x:c>
      <x:c r="B4999" t="str">
        <x:v>Marquise</x:v>
      </x:c>
      <x:c r="C4999" t="str">
        <x:v>D</x:v>
      </x:c>
      <x:c r="D4999" t="str">
        <x:v>VS2</x:v>
      </x:c>
      <x:c r="E4999" s="36" t="n">
        <x:v>247000</x:v>
      </x:c>
      <x:c r="F4999" s="36" t="n">
        <x:v>5841</x:v>
      </x:c>
      <x:c r="G4999" s="42" t="n">
        <x:v>1.252895752895753</x:v>
      </x:c>
      <x:c r="H4999" s="36" t="n">
        <x:f>E4999*G4999</x:f>
        <x:v>309465.250965251</x:v>
      </x:c>
      <x:c r="I4999" s="36" t="n">
        <x:f>IFERROR(H4999/A4999,0)</x:f>
        <x:v>38683.156370656376</x:v>
      </x:c>
      <x:c r="J4999" s="67" t="str">
        <x:v>Modeled from live base + Sep-2026 quality ratio</x:v>
      </x:c>
      <x:c r="K4999" s="67" t="str">
        <x:v>https://www.stonealgo.com/diamond-prices/</x:v>
      </x:c>
      <x:c r="L4999" s="67" t="str">
        <x:v>https://www.pricescope.com/blog/natural-diamond-prices-september-2026</x:v>
      </x:c>
    </x:row>
    <x:row r="5000">
      <x:c r="A5000" t="n">
        <x:v>8</x:v>
      </x:c>
      <x:c r="B5000" t="str">
        <x:v>Marquise</x:v>
      </x:c>
      <x:c r="C5000" t="str">
        <x:v>D</x:v>
      </x:c>
      <x:c r="D5000" t="str">
        <x:v>SI1</x:v>
      </x:c>
      <x:c r="E5000" s="36" t="n">
        <x:v>247000</x:v>
      </x:c>
      <x:c r="F5000" s="36" t="n">
        <x:v>3762</x:v>
      </x:c>
      <x:c r="G5000" s="42" t="n">
        <x:v>0.806949806949807</x:v>
      </x:c>
      <x:c r="H5000" s="36" t="n">
        <x:f>E5000*G5000</x:f>
        <x:v>199316.60231660234</x:v>
      </x:c>
      <x:c r="I5000" s="36" t="n">
        <x:f>IFERROR(H5000/A5000,0)</x:f>
        <x:v>24914.575289575292</x:v>
      </x:c>
      <x:c r="J5000" s="67" t="str">
        <x:v>Modeled from live base + Sep-2026 quality ratio</x:v>
      </x:c>
      <x:c r="K5000" s="67" t="str">
        <x:v>https://www.stonealgo.com/diamond-prices/</x:v>
      </x:c>
      <x:c r="L5000" s="67" t="str">
        <x:v>https://www.pricescope.com/blog/natural-diamond-prices-september-2026</x:v>
      </x:c>
    </x:row>
    <x:row r="5001">
      <x:c r="A5001" t="n">
        <x:v>8</x:v>
      </x:c>
      <x:c r="B5001" t="str">
        <x:v>Marquise</x:v>
      </x:c>
      <x:c r="C5001" t="str">
        <x:v>D</x:v>
      </x:c>
      <x:c r="D5001" t="str">
        <x:v>SI2</x:v>
      </x:c>
      <x:c r="E5001" s="36" t="n">
        <x:v>247000</x:v>
      </x:c>
      <x:c r="F5001" s="36" t="n">
        <x:v>3026</x:v>
      </x:c>
      <x:c r="G5001" s="42" t="n">
        <x:v>0.6490776490776491</x:v>
      </x:c>
      <x:c r="H5001" s="36" t="n">
        <x:f>E5001*G5001</x:f>
        <x:v>160322.17932217932</x:v>
      </x:c>
      <x:c r="I5001" s="36" t="n">
        <x:f>IFERROR(H5001/A5001,0)</x:f>
        <x:v>20040.272415272415</x:v>
      </x:c>
      <x:c r="J5001" s="67" t="str">
        <x:v>Modeled from live base + Sep-2026 quality ratio</x:v>
      </x:c>
      <x:c r="K5001" s="67" t="str">
        <x:v>https://www.stonealgo.com/diamond-prices/</x:v>
      </x:c>
      <x:c r="L5001" s="67" t="str">
        <x:v>https://www.pricescope.com/blog/natural-diamond-prices-september-2026</x:v>
      </x:c>
    </x:row>
    <x:row r="5002">
      <x:c r="A5002" t="n">
        <x:v>8</x:v>
      </x:c>
      <x:c r="B5002" t="str">
        <x:v>Marquise</x:v>
      </x:c>
      <x:c r="C5002" t="str">
        <x:v>E</x:v>
      </x:c>
      <x:c r="D5002" t="str">
        <x:v>FL</x:v>
      </x:c>
      <x:c r="E5002" s="36" t="n">
        <x:v>247000</x:v>
      </x:c>
      <x:c r="F5002" s="36" t="n">
        <x:v>10072</x:v>
      </x:c>
      <x:c r="G5002" s="42" t="n">
        <x:v>2.1604461604461602</x:v>
      </x:c>
      <x:c r="H5002" s="36" t="n">
        <x:f>E5002*G5002</x:f>
        <x:v>533630.2016302015</x:v>
      </x:c>
      <x:c r="I5002" s="36" t="n">
        <x:f>IFERROR(H5002/A5002,0)</x:f>
        <x:v>66703.77520377519</x:v>
      </x:c>
      <x:c r="J5002" s="67" t="str">
        <x:v>Modeled from live base + Sep-2026 quality ratio</x:v>
      </x:c>
      <x:c r="K5002" s="67" t="str">
        <x:v>https://www.stonealgo.com/diamond-prices/</x:v>
      </x:c>
      <x:c r="L5002" s="67" t="str">
        <x:v>https://www.pricescope.com/blog/natural-diamond-prices-september-2026</x:v>
      </x:c>
    </x:row>
    <x:row r="5003">
      <x:c r="A5003" t="n">
        <x:v>8</x:v>
      </x:c>
      <x:c r="B5003" t="str">
        <x:v>Marquise</x:v>
      </x:c>
      <x:c r="C5003" t="str">
        <x:v>E</x:v>
      </x:c>
      <x:c r="D5003" t="str">
        <x:v>IF</x:v>
      </x:c>
      <x:c r="E5003" s="36" t="n">
        <x:v>247000</x:v>
      </x:c>
      <x:c r="F5003" s="36" t="n">
        <x:v>8672</x:v>
      </x:c>
      <x:c r="G5003" s="42" t="n">
        <x:v>1.8601458601458603</x:v>
      </x:c>
      <x:c r="H5003" s="36" t="n">
        <x:f>E5003*G5003</x:f>
        <x:v>459456.02745602746</x:v>
      </x:c>
      <x:c r="I5003" s="36" t="n">
        <x:f>IFERROR(H5003/A5003,0)</x:f>
        <x:v>57432.00343200343</x:v>
      </x:c>
      <x:c r="J5003" s="67" t="str">
        <x:v>Modeled from live base + Sep-2026 quality ratio</x:v>
      </x:c>
      <x:c r="K5003" s="67" t="str">
        <x:v>https://www.stonealgo.com/diamond-prices/</x:v>
      </x:c>
      <x:c r="L5003" s="67" t="str">
        <x:v>https://www.pricescope.com/blog/natural-diamond-prices-september-2026</x:v>
      </x:c>
    </x:row>
    <x:row r="5004">
      <x:c r="A5004" t="n">
        <x:v>8</x:v>
      </x:c>
      <x:c r="B5004" t="str">
        <x:v>Marquise</x:v>
      </x:c>
      <x:c r="C5004" t="str">
        <x:v>E</x:v>
      </x:c>
      <x:c r="D5004" t="str">
        <x:v>VVS1</x:v>
      </x:c>
      <x:c r="E5004" s="36" t="n">
        <x:v>247000</x:v>
      </x:c>
      <x:c r="F5004" s="36" t="n">
        <x:v>7842</x:v>
      </x:c>
      <x:c r="G5004" s="42" t="n">
        <x:v>1.6821106821106822</x:v>
      </x:c>
      <x:c r="H5004" s="36" t="n">
        <x:f>E5004*G5004</x:f>
        <x:v>415481.3384813385</x:v>
      </x:c>
      <x:c r="I5004" s="36" t="n">
        <x:f>IFERROR(H5004/A5004,0)</x:f>
        <x:v>51935.167310167315</x:v>
      </x:c>
      <x:c r="J5004" s="67" t="str">
        <x:v>Modeled from live base + Sep-2026 quality ratio</x:v>
      </x:c>
      <x:c r="K5004" s="67" t="str">
        <x:v>https://www.stonealgo.com/diamond-prices/</x:v>
      </x:c>
      <x:c r="L5004" s="67" t="str">
        <x:v>https://www.pricescope.com/blog/natural-diamond-prices-september-2026</x:v>
      </x:c>
    </x:row>
    <x:row r="5005">
      <x:c r="A5005" t="n">
        <x:v>8</x:v>
      </x:c>
      <x:c r="B5005" t="str">
        <x:v>Marquise</x:v>
      </x:c>
      <x:c r="C5005" t="str">
        <x:v>E</x:v>
      </x:c>
      <x:c r="D5005" t="str">
        <x:v>VVS2</x:v>
      </x:c>
      <x:c r="E5005" s="36" t="n">
        <x:v>247000</x:v>
      </x:c>
      <x:c r="F5005" s="36" t="n">
        <x:v>6880</x:v>
      </x:c>
      <x:c r="G5005" s="42" t="n">
        <x:v>1.4757614757614759</x:v>
      </x:c>
      <x:c r="H5005" s="36" t="n">
        <x:f>E5005*G5005</x:f>
        <x:v>364513.08451308456</x:v>
      </x:c>
      <x:c r="I5005" s="36" t="n">
        <x:f>IFERROR(H5005/A5005,0)</x:f>
        <x:v>45564.13556413557</x:v>
      </x:c>
      <x:c r="J5005" s="67" t="str">
        <x:v>Modeled from live base + Sep-2026 quality ratio</x:v>
      </x:c>
      <x:c r="K5005" s="67" t="str">
        <x:v>https://www.stonealgo.com/diamond-prices/</x:v>
      </x:c>
      <x:c r="L5005" s="67" t="str">
        <x:v>https://www.pricescope.com/blog/natural-diamond-prices-september-2026</x:v>
      </x:c>
    </x:row>
    <x:row r="5006">
      <x:c r="A5006" t="n">
        <x:v>8</x:v>
      </x:c>
      <x:c r="B5006" t="str">
        <x:v>Marquise</x:v>
      </x:c>
      <x:c r="C5006" t="str">
        <x:v>E</x:v>
      </x:c>
      <x:c r="D5006" t="str">
        <x:v>VS1</x:v>
      </x:c>
      <x:c r="E5006" s="36" t="n">
        <x:v>247000</x:v>
      </x:c>
      <x:c r="F5006" s="36" t="n">
        <x:v>6307</x:v>
      </x:c>
      <x:c r="G5006" s="42" t="n">
        <x:v>1.352852852852853</x:v>
      </x:c>
      <x:c r="H5006" s="36" t="n">
        <x:f>E5006*G5006</x:f>
        <x:v>334154.6546546547</x:v>
      </x:c>
      <x:c r="I5006" s="36" t="n">
        <x:f>IFERROR(H5006/A5006,0)</x:f>
        <x:v>41769.331831831834</x:v>
      </x:c>
      <x:c r="J5006" s="67" t="str">
        <x:v>Modeled from live base + Sep-2026 quality ratio</x:v>
      </x:c>
      <x:c r="K5006" s="67" t="str">
        <x:v>https://www.stonealgo.com/diamond-prices/</x:v>
      </x:c>
      <x:c r="L5006" s="67" t="str">
        <x:v>https://www.pricescope.com/blog/natural-diamond-prices-september-2026</x:v>
      </x:c>
    </x:row>
    <x:row r="5007">
      <x:c r="A5007" t="n">
        <x:v>8</x:v>
      </x:c>
      <x:c r="B5007" t="str">
        <x:v>Marquise</x:v>
      </x:c>
      <x:c r="C5007" t="str">
        <x:v>E</x:v>
      </x:c>
      <x:c r="D5007" t="str">
        <x:v>VS2</x:v>
      </x:c>
      <x:c r="E5007" s="36" t="n">
        <x:v>247000</x:v>
      </x:c>
      <x:c r="F5007" s="36" t="n">
        <x:v>5249</x:v>
      </x:c>
      <x:c r="G5007" s="42" t="n">
        <x:v>1.125911625911626</x:v>
      </x:c>
      <x:c r="H5007" s="36" t="n">
        <x:f>E5007*G5007</x:f>
        <x:v>278100.1716001716</x:v>
      </x:c>
      <x:c r="I5007" s="36" t="n">
        <x:f>IFERROR(H5007/A5007,0)</x:f>
        <x:v>34762.52145002145</x:v>
      </x:c>
      <x:c r="J5007" s="67" t="str">
        <x:v>Modeled from live base + Sep-2026 quality ratio</x:v>
      </x:c>
      <x:c r="K5007" s="67" t="str">
        <x:v>https://www.stonealgo.com/diamond-prices/</x:v>
      </x:c>
      <x:c r="L5007" s="67" t="str">
        <x:v>https://www.pricescope.com/blog/natural-diamond-prices-september-2026</x:v>
      </x:c>
    </x:row>
    <x:row r="5008">
      <x:c r="A5008" t="n">
        <x:v>8</x:v>
      </x:c>
      <x:c r="B5008" t="str">
        <x:v>Marquise</x:v>
      </x:c>
      <x:c r="C5008" t="str">
        <x:v>E</x:v>
      </x:c>
      <x:c r="D5008" t="str">
        <x:v>SI1</x:v>
      </x:c>
      <x:c r="E5008" s="36" t="n">
        <x:v>247000</x:v>
      </x:c>
      <x:c r="F5008" s="36" t="n">
        <x:v>3551</x:v>
      </x:c>
      <x:c r="G5008" s="42" t="n">
        <x:v>0.7616902616902617</x:v>
      </x:c>
      <x:c r="H5008" s="36" t="n">
        <x:f>E5008*G5008</x:f>
        <x:v>188137.49463749462</x:v>
      </x:c>
      <x:c r="I5008" s="36" t="n">
        <x:f>IFERROR(H5008/A5008,0)</x:f>
        <x:v>23517.186829686827</x:v>
      </x:c>
      <x:c r="J5008" s="67" t="str">
        <x:v>Modeled from live base + Sep-2026 quality ratio</x:v>
      </x:c>
      <x:c r="K5008" s="67" t="str">
        <x:v>https://www.stonealgo.com/diamond-prices/</x:v>
      </x:c>
      <x:c r="L5008" s="67" t="str">
        <x:v>https://www.pricescope.com/blog/natural-diamond-prices-september-2026</x:v>
      </x:c>
    </x:row>
    <x:row r="5009">
      <x:c r="A5009" t="n">
        <x:v>8</x:v>
      </x:c>
      <x:c r="B5009" t="str">
        <x:v>Marquise</x:v>
      </x:c>
      <x:c r="C5009" t="str">
        <x:v>E</x:v>
      </x:c>
      <x:c r="D5009" t="str">
        <x:v>SI2</x:v>
      </x:c>
      <x:c r="E5009" s="36" t="n">
        <x:v>247000</x:v>
      </x:c>
      <x:c r="F5009" s="36" t="n">
        <x:v>2993</x:v>
      </x:c>
      <x:c r="G5009" s="42" t="n">
        <x:v>0.641999141999142</x:v>
      </x:c>
      <x:c r="H5009" s="36" t="n">
        <x:f>E5009*G5009</x:f>
        <x:v>158573.78807378808</x:v>
      </x:c>
      <x:c r="I5009" s="36" t="n">
        <x:f>IFERROR(H5009/A5009,0)</x:f>
        <x:v>19821.72350922351</x:v>
      </x:c>
      <x:c r="J5009" s="67" t="str">
        <x:v>Modeled from live base + Sep-2026 quality ratio</x:v>
      </x:c>
      <x:c r="K5009" s="67" t="str">
        <x:v>https://www.stonealgo.com/diamond-prices/</x:v>
      </x:c>
      <x:c r="L5009" s="67" t="str">
        <x:v>https://www.pricescope.com/blog/natural-diamond-prices-september-2026</x:v>
      </x:c>
    </x:row>
    <x:row r="5010">
      <x:c r="A5010" t="n">
        <x:v>8</x:v>
      </x:c>
      <x:c r="B5010" t="str">
        <x:v>Marquise</x:v>
      </x:c>
      <x:c r="C5010" t="str">
        <x:v>F</x:v>
      </x:c>
      <x:c r="D5010" t="str">
        <x:v>FL</x:v>
      </x:c>
      <x:c r="E5010" s="36" t="n">
        <x:v>247000</x:v>
      </x:c>
      <x:c r="F5010" s="36" t="n">
        <x:v>6830</x:v>
      </x:c>
      <x:c r="G5010" s="42" t="n">
        <x:v>1.4650364650364651</x:v>
      </x:c>
      <x:c r="H5010" s="36" t="n">
        <x:f>E5010*G5010</x:f>
        <x:v>361864.00686400686</x:v>
      </x:c>
      <x:c r="I5010" s="36" t="n">
        <x:f>IFERROR(H5010/A5010,0)</x:f>
        <x:v>45233.00085800086</x:v>
      </x:c>
      <x:c r="J5010" s="67" t="str">
        <x:v>Modeled from live base + Sep-2026 quality ratio</x:v>
      </x:c>
      <x:c r="K5010" s="67" t="str">
        <x:v>https://www.stonealgo.com/diamond-prices/</x:v>
      </x:c>
      <x:c r="L5010" s="67" t="str">
        <x:v>https://www.pricescope.com/blog/natural-diamond-prices-september-2026</x:v>
      </x:c>
    </x:row>
    <x:row r="5011">
      <x:c r="A5011" t="n">
        <x:v>8</x:v>
      </x:c>
      <x:c r="B5011" t="str">
        <x:v>Marquise</x:v>
      </x:c>
      <x:c r="C5011" t="str">
        <x:v>F</x:v>
      </x:c>
      <x:c r="D5011" t="str">
        <x:v>IF</x:v>
      </x:c>
      <x:c r="E5011" s="36" t="n">
        <x:v>247000</x:v>
      </x:c>
      <x:c r="F5011" s="36" t="n">
        <x:v>7302</x:v>
      </x:c>
      <x:c r="G5011" s="42" t="n">
        <x:v>1.5662805662805663</x:v>
      </x:c>
      <x:c r="H5011" s="36" t="n">
        <x:f>E5011*G5011</x:f>
        <x:v>386871.2998712999</x:v>
      </x:c>
      <x:c r="I5011" s="36" t="n">
        <x:f>IFERROR(H5011/A5011,0)</x:f>
        <x:v>48358.912483912485</x:v>
      </x:c>
      <x:c r="J5011" s="67" t="str">
        <x:v>Modeled from live base + Sep-2026 quality ratio</x:v>
      </x:c>
      <x:c r="K5011" s="67" t="str">
        <x:v>https://www.stonealgo.com/diamond-prices/</x:v>
      </x:c>
      <x:c r="L5011" s="67" t="str">
        <x:v>https://www.pricescope.com/blog/natural-diamond-prices-september-2026</x:v>
      </x:c>
    </x:row>
    <x:row r="5012">
      <x:c r="A5012" t="n">
        <x:v>8</x:v>
      </x:c>
      <x:c r="B5012" t="str">
        <x:v>Marquise</x:v>
      </x:c>
      <x:c r="C5012" t="str">
        <x:v>F</x:v>
      </x:c>
      <x:c r="D5012" t="str">
        <x:v>VVS1</x:v>
      </x:c>
      <x:c r="E5012" s="36" t="n">
        <x:v>247000</x:v>
      </x:c>
      <x:c r="F5012" s="36" t="n">
        <x:v>7542</x:v>
      </x:c>
      <x:c r="G5012" s="42" t="n">
        <x:v>1.6177606177606179</x:v>
      </x:c>
      <x:c r="H5012" s="36" t="n">
        <x:f>E5012*G5012</x:f>
        <x:v>399586.8725868726</x:v>
      </x:c>
      <x:c r="I5012" s="36" t="n">
        <x:f>IFERROR(H5012/A5012,0)</x:f>
        <x:v>49948.359073359075</x:v>
      </x:c>
      <x:c r="J5012" s="67" t="str">
        <x:v>Modeled from live base + Sep-2026 quality ratio</x:v>
      </x:c>
      <x:c r="K5012" s="67" t="str">
        <x:v>https://www.stonealgo.com/diamond-prices/</x:v>
      </x:c>
      <x:c r="L5012" s="67" t="str">
        <x:v>https://www.pricescope.com/blog/natural-diamond-prices-september-2026</x:v>
      </x:c>
    </x:row>
    <x:row r="5013">
      <x:c r="A5013" t="n">
        <x:v>8</x:v>
      </x:c>
      <x:c r="B5013" t="str">
        <x:v>Marquise</x:v>
      </x:c>
      <x:c r="C5013" t="str">
        <x:v>F</x:v>
      </x:c>
      <x:c r="D5013" t="str">
        <x:v>VVS2</x:v>
      </x:c>
      <x:c r="E5013" s="36" t="n">
        <x:v>247000</x:v>
      </x:c>
      <x:c r="F5013" s="36" t="n">
        <x:v>6352</x:v>
      </x:c>
      <x:c r="G5013" s="42" t="n">
        <x:v>1.3625053625053625</x:v>
      </x:c>
      <x:c r="H5013" s="36" t="n">
        <x:f>E5013*G5013</x:f>
        <x:v>336538.82453882456</x:v>
      </x:c>
      <x:c r="I5013" s="36" t="n">
        <x:f>IFERROR(H5013/A5013,0)</x:f>
        <x:v>42067.35306735307</x:v>
      </x:c>
      <x:c r="J5013" s="67" t="str">
        <x:v>Modeled from live base + Sep-2026 quality ratio</x:v>
      </x:c>
      <x:c r="K5013" s="67" t="str">
        <x:v>https://www.stonealgo.com/diamond-prices/</x:v>
      </x:c>
      <x:c r="L5013" s="67" t="str">
        <x:v>https://www.pricescope.com/blog/natural-diamond-prices-september-2026</x:v>
      </x:c>
    </x:row>
    <x:row r="5014">
      <x:c r="A5014" t="n">
        <x:v>8</x:v>
      </x:c>
      <x:c r="B5014" t="str">
        <x:v>Marquise</x:v>
      </x:c>
      <x:c r="C5014" t="str">
        <x:v>F</x:v>
      </x:c>
      <x:c r="D5014" t="str">
        <x:v>VS1</x:v>
      </x:c>
      <x:c r="E5014" s="36" t="n">
        <x:v>247000</x:v>
      </x:c>
      <x:c r="F5014" s="36" t="n">
        <x:v>5647</x:v>
      </x:c>
      <x:c r="G5014" s="42" t="n">
        <x:v>1.2112827112827114</x:v>
      </x:c>
      <x:c r="H5014" s="36" t="n">
        <x:f>E5014*G5014</x:f>
        <x:v>299186.8296868297</x:v>
      </x:c>
      <x:c r="I5014" s="36" t="n">
        <x:f>IFERROR(H5014/A5014,0)</x:f>
        <x:v>37398.35371085371</x:v>
      </x:c>
      <x:c r="J5014" s="67" t="str">
        <x:v>Modeled from live base + Sep-2026 quality ratio</x:v>
      </x:c>
      <x:c r="K5014" s="67" t="str">
        <x:v>https://www.stonealgo.com/diamond-prices/</x:v>
      </x:c>
      <x:c r="L5014" s="67" t="str">
        <x:v>https://www.pricescope.com/blog/natural-diamond-prices-september-2026</x:v>
      </x:c>
    </x:row>
    <x:row r="5015">
      <x:c r="A5015" t="n">
        <x:v>8</x:v>
      </x:c>
      <x:c r="B5015" t="str">
        <x:v>Marquise</x:v>
      </x:c>
      <x:c r="C5015" t="str">
        <x:v>F</x:v>
      </x:c>
      <x:c r="D5015" t="str">
        <x:v>VS2</x:v>
      </x:c>
      <x:c r="E5015" s="36" t="n">
        <x:v>247000</x:v>
      </x:c>
      <x:c r="F5015" s="36" t="n">
        <x:v>4730</x:v>
      </x:c>
      <x:c r="G5015" s="42" t="n">
        <x:v>1.0145860145860146</x:v>
      </x:c>
      <x:c r="H5015" s="36" t="n">
        <x:f>E5015*G5015</x:f>
        <x:v>250602.74560274562</x:v>
      </x:c>
      <x:c r="I5015" s="36" t="n">
        <x:f>IFERROR(H5015/A5015,0)</x:f>
        <x:v>31325.343200343203</x:v>
      </x:c>
      <x:c r="J5015" s="67" t="str">
        <x:v>Modeled from live base + Sep-2026 quality ratio</x:v>
      </x:c>
      <x:c r="K5015" s="67" t="str">
        <x:v>https://www.stonealgo.com/diamond-prices/</x:v>
      </x:c>
      <x:c r="L5015" s="67" t="str">
        <x:v>https://www.pricescope.com/blog/natural-diamond-prices-september-2026</x:v>
      </x:c>
    </x:row>
    <x:row r="5016">
      <x:c r="A5016" t="n">
        <x:v>8</x:v>
      </x:c>
      <x:c r="B5016" t="str">
        <x:v>Marquise</x:v>
      </x:c>
      <x:c r="C5016" t="str">
        <x:v>F</x:v>
      </x:c>
      <x:c r="D5016" t="str">
        <x:v>SI1</x:v>
      </x:c>
      <x:c r="E5016" s="36" t="n">
        <x:v>247000</x:v>
      </x:c>
      <x:c r="F5016" s="36" t="n">
        <x:v>3331</x:v>
      </x:c>
      <x:c r="G5016" s="42" t="n">
        <x:v>0.7145002145002145</x:v>
      </x:c>
      <x:c r="H5016" s="36" t="n">
        <x:f>E5016*G5016</x:f>
        <x:v>176481.552981553</x:v>
      </x:c>
      <x:c r="I5016" s="36" t="n">
        <x:f>IFERROR(H5016/A5016,0)</x:f>
        <x:v>22060.194122694124</x:v>
      </x:c>
      <x:c r="J5016" s="67" t="str">
        <x:v>Modeled from live base + Sep-2026 quality ratio</x:v>
      </x:c>
      <x:c r="K5016" s="67" t="str">
        <x:v>https://www.stonealgo.com/diamond-prices/</x:v>
      </x:c>
      <x:c r="L5016" s="67" t="str">
        <x:v>https://www.pricescope.com/blog/natural-diamond-prices-september-2026</x:v>
      </x:c>
    </x:row>
    <x:row r="5017">
      <x:c r="A5017" t="n">
        <x:v>8</x:v>
      </x:c>
      <x:c r="B5017" t="str">
        <x:v>Marquise</x:v>
      </x:c>
      <x:c r="C5017" t="str">
        <x:v>F</x:v>
      </x:c>
      <x:c r="D5017" t="str">
        <x:v>SI2</x:v>
      </x:c>
      <x:c r="E5017" s="36" t="n">
        <x:v>247000</x:v>
      </x:c>
      <x:c r="F5017" s="36" t="n">
        <x:v>2733</x:v>
      </x:c>
      <x:c r="G5017" s="42" t="n">
        <x:v>0.5862290862290862</x:v>
      </x:c>
      <x:c r="H5017" s="36" t="n">
        <x:f>E5017*G5017</x:f>
        <x:v>144798.5842985843</x:v>
      </x:c>
      <x:c r="I5017" s="36" t="n">
        <x:f>IFERROR(H5017/A5017,0)</x:f>
        <x:v>18099.823037323036</x:v>
      </x:c>
      <x:c r="J5017" s="67" t="str">
        <x:v>Modeled from live base + Sep-2026 quality ratio</x:v>
      </x:c>
      <x:c r="K5017" s="67" t="str">
        <x:v>https://www.stonealgo.com/diamond-prices/</x:v>
      </x:c>
      <x:c r="L5017" s="67" t="str">
        <x:v>https://www.pricescope.com/blog/natural-diamond-prices-september-2026</x:v>
      </x:c>
    </x:row>
    <x:row r="5018">
      <x:c r="A5018" t="n">
        <x:v>8</x:v>
      </x:c>
      <x:c r="B5018" t="str">
        <x:v>Marquise</x:v>
      </x:c>
      <x:c r="C5018" t="str">
        <x:v>G</x:v>
      </x:c>
      <x:c r="D5018" t="str">
        <x:v>FL</x:v>
      </x:c>
      <x:c r="E5018" s="36" t="n">
        <x:v>247000</x:v>
      </x:c>
      <x:c r="F5018" s="36" t="n">
        <x:v>5905</x:v>
      </x:c>
      <x:c r="G5018" s="42" t="n">
        <x:v>1.2666237666237665</x:v>
      </x:c>
      <x:c r="H5018" s="36" t="n">
        <x:f>E5018*G5018</x:f>
        <x:v>312856.07035607036</x:v>
      </x:c>
      <x:c r="I5018" s="36" t="n">
        <x:f>IFERROR(H5018/A5018,0)</x:f>
        <x:v>39107.008794508794</x:v>
      </x:c>
      <x:c r="J5018" s="67" t="str">
        <x:v>Modeled from live base + Sep-2026 quality ratio</x:v>
      </x:c>
      <x:c r="K5018" s="67" t="str">
        <x:v>https://www.stonealgo.com/diamond-prices/</x:v>
      </x:c>
      <x:c r="L5018" s="67" t="str">
        <x:v>https://www.pricescope.com/blog/natural-diamond-prices-september-2026</x:v>
      </x:c>
    </x:row>
    <x:row r="5019">
      <x:c r="A5019" t="n">
        <x:v>8</x:v>
      </x:c>
      <x:c r="B5019" t="str">
        <x:v>Marquise</x:v>
      </x:c>
      <x:c r="C5019" t="str">
        <x:v>G</x:v>
      </x:c>
      <x:c r="D5019" t="str">
        <x:v>IF</x:v>
      </x:c>
      <x:c r="E5019" s="36" t="n">
        <x:v>247000</x:v>
      </x:c>
      <x:c r="F5019" s="36" t="n">
        <x:v>5601</x:v>
      </x:c>
      <x:c r="G5019" s="42" t="n">
        <x:v>1.2014157014157014</x:v>
      </x:c>
      <x:c r="H5019" s="36" t="n">
        <x:f>E5019*G5019</x:f>
        <x:v>296749.6782496782</x:v>
      </x:c>
      <x:c r="I5019" s="36" t="n">
        <x:f>IFERROR(H5019/A5019,0)</x:f>
        <x:v>37093.70978120978</x:v>
      </x:c>
      <x:c r="J5019" s="67" t="str">
        <x:v>Modeled from live base + Sep-2026 quality ratio</x:v>
      </x:c>
      <x:c r="K5019" s="67" t="str">
        <x:v>https://www.stonealgo.com/diamond-prices/</x:v>
      </x:c>
      <x:c r="L5019" s="67" t="str">
        <x:v>https://www.pricescope.com/blog/natural-diamond-prices-september-2026</x:v>
      </x:c>
    </x:row>
    <x:row r="5020">
      <x:c r="A5020" t="n">
        <x:v>8</x:v>
      </x:c>
      <x:c r="B5020" t="str">
        <x:v>Marquise</x:v>
      </x:c>
      <x:c r="C5020" t="str">
        <x:v>G</x:v>
      </x:c>
      <x:c r="D5020" t="str">
        <x:v>VVS1</x:v>
      </x:c>
      <x:c r="E5020" s="36" t="n">
        <x:v>247000</x:v>
      </x:c>
      <x:c r="F5020" s="36" t="n">
        <x:v>5124</x:v>
      </x:c>
      <x:c r="G5020" s="42" t="n">
        <x:v>1.0990990990990992</x:v>
      </x:c>
      <x:c r="H5020" s="36" t="n">
        <x:f>E5020*G5020</x:f>
        <x:v>271477.4774774775</x:v>
      </x:c>
      <x:c r="I5020" s="36" t="n">
        <x:f>IFERROR(H5020/A5020,0)</x:f>
        <x:v>33934.68468468469</x:v>
      </x:c>
      <x:c r="J5020" s="67" t="str">
        <x:v>Modeled from live base + Sep-2026 quality ratio</x:v>
      </x:c>
      <x:c r="K5020" s="67" t="str">
        <x:v>https://www.stonealgo.com/diamond-prices/</x:v>
      </x:c>
      <x:c r="L5020" s="67" t="str">
        <x:v>https://www.pricescope.com/blog/natural-diamond-prices-september-2026</x:v>
      </x:c>
    </x:row>
    <x:row r="5021">
      <x:c r="A5021" t="n">
        <x:v>8</x:v>
      </x:c>
      <x:c r="B5021" t="str">
        <x:v>Marquise</x:v>
      </x:c>
      <x:c r="C5021" t="str">
        <x:v>G</x:v>
      </x:c>
      <x:c r="D5021" t="str">
        <x:v>VVS2</x:v>
      </x:c>
      <x:c r="E5021" s="36" t="n">
        <x:v>247000</x:v>
      </x:c>
      <x:c r="F5021" s="36" t="n">
        <x:v>4962</x:v>
      </x:c>
      <x:c r="G5021" s="42" t="n">
        <x:v>1.0643500643500643</x:v>
      </x:c>
      <x:c r="H5021" s="36" t="n">
        <x:f>E5021*G5021</x:f>
        <x:v>262894.46589446586</x:v>
      </x:c>
      <x:c r="I5021" s="36" t="n">
        <x:f>IFERROR(H5021/A5021,0)</x:f>
        <x:v>32861.80823680823</x:v>
      </x:c>
      <x:c r="J5021" s="67" t="str">
        <x:v>Modeled from live base + Sep-2026 quality ratio</x:v>
      </x:c>
      <x:c r="K5021" s="67" t="str">
        <x:v>https://www.stonealgo.com/diamond-prices/</x:v>
      </x:c>
      <x:c r="L5021" s="67" t="str">
        <x:v>https://www.pricescope.com/blog/natural-diamond-prices-september-2026</x:v>
      </x:c>
    </x:row>
    <x:row r="5022">
      <x:c r="A5022" t="n">
        <x:v>8</x:v>
      </x:c>
      <x:c r="B5022" t="str">
        <x:v>Marquise</x:v>
      </x:c>
      <x:c r="C5022" t="str">
        <x:v>G</x:v>
      </x:c>
      <x:c r="D5022" t="str">
        <x:v>VS1</x:v>
      </x:c>
      <x:c r="E5022" s="36" t="n">
        <x:v>247000</x:v>
      </x:c>
      <x:c r="F5022" s="36" t="n">
        <x:v>4615</x:v>
      </x:c>
      <x:c r="G5022" s="42" t="n">
        <x:v>0.98991848991849</x:v>
      </x:c>
      <x:c r="H5022" s="36" t="n">
        <x:f>E5022*G5022</x:f>
        <x:v>244509.867009867</x:v>
      </x:c>
      <x:c r="I5022" s="36" t="n">
        <x:f>IFERROR(H5022/A5022,0)</x:f>
        <x:v>30563.733376233376</x:v>
      </x:c>
      <x:c r="J5022" s="67" t="str">
        <x:v>Modeled from live base + Sep-2026 quality ratio</x:v>
      </x:c>
      <x:c r="K5022" s="67" t="str">
        <x:v>https://www.stonealgo.com/diamond-prices/</x:v>
      </x:c>
      <x:c r="L5022" s="67" t="str">
        <x:v>https://www.pricescope.com/blog/natural-diamond-prices-september-2026</x:v>
      </x:c>
    </x:row>
    <x:row r="5023">
      <x:c r="A5023" t="n">
        <x:v>8</x:v>
      </x:c>
      <x:c r="B5023" t="str">
        <x:v>Marquise</x:v>
      </x:c>
      <x:c r="C5023" t="str">
        <x:v>G</x:v>
      </x:c>
      <x:c r="D5023" t="str">
        <x:v>VS2</x:v>
      </x:c>
      <x:c r="E5023" s="36" t="n">
        <x:v>247000</x:v>
      </x:c>
      <x:c r="F5023" s="36" t="n">
        <x:v>4585</x:v>
      </x:c>
      <x:c r="G5023" s="42" t="n">
        <x:v>0.9834834834834835</x:v>
      </x:c>
      <x:c r="H5023" s="36" t="n">
        <x:f>E5023*G5023</x:f>
        <x:v>242920.4204204204</x:v>
      </x:c>
      <x:c r="I5023" s="36" t="n">
        <x:f>IFERROR(H5023/A5023,0)</x:f>
        <x:v>30365.05255255255</x:v>
      </x:c>
      <x:c r="J5023" s="67" t="str">
        <x:v>Modeled from live base + Sep-2026 quality ratio</x:v>
      </x:c>
      <x:c r="K5023" s="67" t="str">
        <x:v>https://www.stonealgo.com/diamond-prices/</x:v>
      </x:c>
      <x:c r="L5023" s="67" t="str">
        <x:v>https://www.pricescope.com/blog/natural-diamond-prices-september-2026</x:v>
      </x:c>
    </x:row>
    <x:row r="5024">
      <x:c r="A5024" t="n">
        <x:v>8</x:v>
      </x:c>
      <x:c r="B5024" t="str">
        <x:v>Marquise</x:v>
      </x:c>
      <x:c r="C5024" t="str">
        <x:v>G</x:v>
      </x:c>
      <x:c r="D5024" t="str">
        <x:v>SI1</x:v>
      </x:c>
      <x:c r="E5024" s="36" t="n">
        <x:v>247000</x:v>
      </x:c>
      <x:c r="F5024" s="36" t="n">
        <x:v>3664</x:v>
      </x:c>
      <x:c r="G5024" s="42" t="n">
        <x:v>0.7859287859287859</x:v>
      </x:c>
      <x:c r="H5024" s="36" t="n">
        <x:f>E5024*G5024</x:f>
        <x:v>194124.41012441012</x:v>
      </x:c>
      <x:c r="I5024" s="36" t="n">
        <x:f>IFERROR(H5024/A5024,0)</x:f>
        <x:v>24265.551265551265</x:v>
      </x:c>
      <x:c r="J5024" s="67" t="str">
        <x:v>Modeled from live base + Sep-2026 quality ratio</x:v>
      </x:c>
      <x:c r="K5024" s="67" t="str">
        <x:v>https://www.stonealgo.com/diamond-prices/</x:v>
      </x:c>
      <x:c r="L5024" s="67" t="str">
        <x:v>https://www.pricescope.com/blog/natural-diamond-prices-september-2026</x:v>
      </x:c>
    </x:row>
    <x:row r="5025">
      <x:c r="A5025" t="n">
        <x:v>8</x:v>
      </x:c>
      <x:c r="B5025" t="str">
        <x:v>Marquise</x:v>
      </x:c>
      <x:c r="C5025" t="str">
        <x:v>G</x:v>
      </x:c>
      <x:c r="D5025" t="str">
        <x:v>SI2</x:v>
      </x:c>
      <x:c r="E5025" s="36" t="n">
        <x:v>247000</x:v>
      </x:c>
      <x:c r="F5025" s="36" t="n">
        <x:v>2537</x:v>
      </x:c>
      <x:c r="G5025" s="42" t="n">
        <x:v>0.5441870441870442</x:v>
      </x:c>
      <x:c r="H5025" s="36" t="n">
        <x:f>E5025*G5025</x:f>
        <x:v>134414.1999141999</x:v>
      </x:c>
      <x:c r="I5025" s="36" t="n">
        <x:f>IFERROR(H5025/A5025,0)</x:f>
        <x:v>16801.77498927499</x:v>
      </x:c>
      <x:c r="J5025" s="67" t="str">
        <x:v>Modeled from live base + Sep-2026 quality ratio</x:v>
      </x:c>
      <x:c r="K5025" s="67" t="str">
        <x:v>https://www.stonealgo.com/diamond-prices/</x:v>
      </x:c>
      <x:c r="L5025" s="67" t="str">
        <x:v>https://www.pricescope.com/blog/natural-diamond-prices-september-2026</x:v>
      </x:c>
    </x:row>
    <x:row r="5026">
      <x:c r="A5026" t="n">
        <x:v>8</x:v>
      </x:c>
      <x:c r="B5026" t="str">
        <x:v>Marquise</x:v>
      </x:c>
      <x:c r="C5026" t="str">
        <x:v>H</x:v>
      </x:c>
      <x:c r="D5026" t="str">
        <x:v>FL</x:v>
      </x:c>
      <x:c r="E5026" s="36" t="n">
        <x:v>247000</x:v>
      </x:c>
      <x:c r="F5026" s="36" t="n">
        <x:v>4563</x:v>
      </x:c>
      <x:c r="G5026" s="42" t="n">
        <x:v>0.9787644787644788</x:v>
      </x:c>
      <x:c r="H5026" s="36" t="n">
        <x:f>E5026*G5026</x:f>
        <x:v>241754.82625482627</x:v>
      </x:c>
      <x:c r="I5026" s="36" t="n">
        <x:f>IFERROR(H5026/A5026,0)</x:f>
        <x:v>30219.353281853284</x:v>
      </x:c>
      <x:c r="J5026" s="67" t="str">
        <x:v>Modeled from live base + Sep-2026 quality ratio</x:v>
      </x:c>
      <x:c r="K5026" s="67" t="str">
        <x:v>https://www.stonealgo.com/diamond-prices/</x:v>
      </x:c>
      <x:c r="L5026" s="67" t="str">
        <x:v>https://www.pricescope.com/blog/natural-diamond-prices-september-2026</x:v>
      </x:c>
    </x:row>
    <x:row r="5027">
      <x:c r="A5027" t="n">
        <x:v>8</x:v>
      </x:c>
      <x:c r="B5027" t="str">
        <x:v>Marquise</x:v>
      </x:c>
      <x:c r="C5027" t="str">
        <x:v>H</x:v>
      </x:c>
      <x:c r="D5027" t="str">
        <x:v>IF</x:v>
      </x:c>
      <x:c r="E5027" s="36" t="n">
        <x:v>247000</x:v>
      </x:c>
      <x:c r="F5027" s="36" t="n">
        <x:v>4809</x:v>
      </x:c>
      <x:c r="G5027" s="42" t="n">
        <x:v>1.0315315315315314</x:v>
      </x:c>
      <x:c r="H5027" s="36" t="n">
        <x:f>E5027*G5027</x:f>
        <x:v>254788.28828828825</x:v>
      </x:c>
      <x:c r="I5027" s="36" t="n">
        <x:f>IFERROR(H5027/A5027,0)</x:f>
        <x:v>31848.536036036032</x:v>
      </x:c>
      <x:c r="J5027" s="67" t="str">
        <x:v>Modeled from live base + Sep-2026 quality ratio</x:v>
      </x:c>
      <x:c r="K5027" s="67" t="str">
        <x:v>https://www.stonealgo.com/diamond-prices/</x:v>
      </x:c>
      <x:c r="L5027" s="67" t="str">
        <x:v>https://www.pricescope.com/blog/natural-diamond-prices-september-2026</x:v>
      </x:c>
    </x:row>
    <x:row r="5028">
      <x:c r="A5028" t="n">
        <x:v>8</x:v>
      </x:c>
      <x:c r="B5028" t="str">
        <x:v>Marquise</x:v>
      </x:c>
      <x:c r="C5028" t="str">
        <x:v>H</x:v>
      </x:c>
      <x:c r="D5028" t="str">
        <x:v>VVS1</x:v>
      </x:c>
      <x:c r="E5028" s="36" t="n">
        <x:v>247000</x:v>
      </x:c>
      <x:c r="F5028" s="36" t="n">
        <x:v>4911</x:v>
      </x:c>
      <x:c r="G5028" s="42" t="n">
        <x:v>1.0534105534105533</x:v>
      </x:c>
      <x:c r="H5028" s="36" t="n">
        <x:f>E5028*G5028</x:f>
        <x:v>260192.4066924067</x:v>
      </x:c>
      <x:c r="I5028" s="36" t="n">
        <x:f>IFERROR(H5028/A5028,0)</x:f>
        <x:v>32524.050836550836</x:v>
      </x:c>
      <x:c r="J5028" s="67" t="str">
        <x:v>Modeled from live base + Sep-2026 quality ratio</x:v>
      </x:c>
      <x:c r="K5028" s="67" t="str">
        <x:v>https://www.stonealgo.com/diamond-prices/</x:v>
      </x:c>
      <x:c r="L5028" s="67" t="str">
        <x:v>https://www.pricescope.com/blog/natural-diamond-prices-september-2026</x:v>
      </x:c>
    </x:row>
    <x:row r="5029">
      <x:c r="A5029" t="n">
        <x:v>8</x:v>
      </x:c>
      <x:c r="B5029" t="str">
        <x:v>Marquise</x:v>
      </x:c>
      <x:c r="C5029" t="str">
        <x:v>H</x:v>
      </x:c>
      <x:c r="D5029" t="str">
        <x:v>VVS2</x:v>
      </x:c>
      <x:c r="E5029" s="36" t="n">
        <x:v>247000</x:v>
      </x:c>
      <x:c r="F5029" s="36" t="n">
        <x:v>4046</x:v>
      </x:c>
      <x:c r="G5029" s="42" t="n">
        <x:v>0.8678678678678678</x:v>
      </x:c>
      <x:c r="H5029" s="36" t="n">
        <x:f>E5029*G5029</x:f>
        <x:v>214363.36336336337</x:v>
      </x:c>
      <x:c r="I5029" s="36" t="n">
        <x:f>IFERROR(H5029/A5029,0)</x:f>
        <x:v>26795.42042042042</x:v>
      </x:c>
      <x:c r="J5029" s="67" t="str">
        <x:v>Modeled from live base + Sep-2026 quality ratio</x:v>
      </x:c>
      <x:c r="K5029" s="67" t="str">
        <x:v>https://www.stonealgo.com/diamond-prices/</x:v>
      </x:c>
      <x:c r="L5029" s="67" t="str">
        <x:v>https://www.pricescope.com/blog/natural-diamond-prices-september-2026</x:v>
      </x:c>
    </x:row>
    <x:row r="5030">
      <x:c r="A5030" t="n">
        <x:v>8</x:v>
      </x:c>
      <x:c r="B5030" t="str">
        <x:v>Marquise</x:v>
      </x:c>
      <x:c r="C5030" t="str">
        <x:v>H</x:v>
      </x:c>
      <x:c r="D5030" t="str">
        <x:v>VS1</x:v>
      </x:c>
      <x:c r="E5030" s="36" t="n">
        <x:v>247000</x:v>
      </x:c>
      <x:c r="F5030" s="36" t="n">
        <x:v>3893</x:v>
      </x:c>
      <x:c r="G5030" s="42" t="n">
        <x:v>0.8350493350493351</x:v>
      </x:c>
      <x:c r="H5030" s="36" t="n">
        <x:f>E5030*G5030</x:f>
        <x:v>206257.18575718577</x:v>
      </x:c>
      <x:c r="I5030" s="36" t="n">
        <x:f>IFERROR(H5030/A5030,0)</x:f>
        <x:v>25782.14821964822</x:v>
      </x:c>
      <x:c r="J5030" s="67" t="str">
        <x:v>Modeled from live base + Sep-2026 quality ratio</x:v>
      </x:c>
      <x:c r="K5030" s="67" t="str">
        <x:v>https://www.stonealgo.com/diamond-prices/</x:v>
      </x:c>
      <x:c r="L5030" s="67" t="str">
        <x:v>https://www.pricescope.com/blog/natural-diamond-prices-september-2026</x:v>
      </x:c>
    </x:row>
    <x:row r="5031">
      <x:c r="A5031" t="n">
        <x:v>8</x:v>
      </x:c>
      <x:c r="B5031" t="str">
        <x:v>Marquise</x:v>
      </x:c>
      <x:c r="C5031" t="str">
        <x:v>H</x:v>
      </x:c>
      <x:c r="D5031" t="str">
        <x:v>VS2</x:v>
      </x:c>
      <x:c r="E5031" s="36" t="n">
        <x:v>247000</x:v>
      </x:c>
      <x:c r="F5031" s="36" t="n">
        <x:v>3989</x:v>
      </x:c>
      <x:c r="G5031" s="42" t="n">
        <x:v>0.8556413556413557</x:v>
      </x:c>
      <x:c r="H5031" s="36" t="n">
        <x:f>E5031*G5031</x:f>
        <x:v>211343.41484341485</x:v>
      </x:c>
      <x:c r="I5031" s="36" t="n">
        <x:f>IFERROR(H5031/A5031,0)</x:f>
        <x:v>26417.926855426856</x:v>
      </x:c>
      <x:c r="J5031" s="67" t="str">
        <x:v>Modeled from live base + Sep-2026 quality ratio</x:v>
      </x:c>
      <x:c r="K5031" s="67" t="str">
        <x:v>https://www.stonealgo.com/diamond-prices/</x:v>
      </x:c>
      <x:c r="L5031" s="67" t="str">
        <x:v>https://www.pricescope.com/blog/natural-diamond-prices-september-2026</x:v>
      </x:c>
    </x:row>
    <x:row r="5032">
      <x:c r="A5032" t="n">
        <x:v>8</x:v>
      </x:c>
      <x:c r="B5032" t="str">
        <x:v>Marquise</x:v>
      </x:c>
      <x:c r="C5032" t="str">
        <x:v>H</x:v>
      </x:c>
      <x:c r="D5032" t="str">
        <x:v>SI1</x:v>
      </x:c>
      <x:c r="E5032" s="36" t="n">
        <x:v>247000</x:v>
      </x:c>
      <x:c r="F5032" s="36" t="n">
        <x:v>2828</x:v>
      </x:c>
      <x:c r="G5032" s="42" t="n">
        <x:v>0.6066066066066066</x:v>
      </x:c>
      <x:c r="H5032" s="36" t="n">
        <x:f>E5032*G5032</x:f>
        <x:v>149831.83183183183</x:v>
      </x:c>
      <x:c r="I5032" s="36" t="n">
        <x:f>IFERROR(H5032/A5032,0)</x:f>
        <x:v>18728.97897897898</x:v>
      </x:c>
      <x:c r="J5032" s="67" t="str">
        <x:v>Modeled from live base + Sep-2026 quality ratio</x:v>
      </x:c>
      <x:c r="K5032" s="67" t="str">
        <x:v>https://www.stonealgo.com/diamond-prices/</x:v>
      </x:c>
      <x:c r="L5032" s="67" t="str">
        <x:v>https://www.pricescope.com/blog/natural-diamond-prices-september-2026</x:v>
      </x:c>
    </x:row>
    <x:row r="5033">
      <x:c r="A5033" t="n">
        <x:v>8</x:v>
      </x:c>
      <x:c r="B5033" t="str">
        <x:v>Marquise</x:v>
      </x:c>
      <x:c r="C5033" t="str">
        <x:v>H</x:v>
      </x:c>
      <x:c r="D5033" t="str">
        <x:v>SI2</x:v>
      </x:c>
      <x:c r="E5033" s="36" t="n">
        <x:v>247000</x:v>
      </x:c>
      <x:c r="F5033" s="36" t="n">
        <x:v>2328</x:v>
      </x:c>
      <x:c r="G5033" s="42" t="n">
        <x:v>0.49935649935649934</x:v>
      </x:c>
      <x:c r="H5033" s="36" t="n">
        <x:f>E5033*G5033</x:f>
        <x:v>123341.05534105534</x:v>
      </x:c>
      <x:c r="I5033" s="36" t="n">
        <x:f>IFERROR(H5033/A5033,0)</x:f>
        <x:v>15417.631917631918</x:v>
      </x:c>
      <x:c r="J5033" s="67" t="str">
        <x:v>Modeled from live base + Sep-2026 quality ratio</x:v>
      </x:c>
      <x:c r="K5033" s="67" t="str">
        <x:v>https://www.stonealgo.com/diamond-prices/</x:v>
      </x:c>
      <x:c r="L5033" s="67" t="str">
        <x:v>https://www.pricescope.com/blog/natural-diamond-prices-september-2026</x:v>
      </x:c>
    </x:row>
    <x:row r="5034">
      <x:c r="A5034" t="n">
        <x:v>8</x:v>
      </x:c>
      <x:c r="B5034" t="str">
        <x:v>Marquise</x:v>
      </x:c>
      <x:c r="C5034" t="str">
        <x:v>I</x:v>
      </x:c>
      <x:c r="D5034" t="str">
        <x:v>FL</x:v>
      </x:c>
      <x:c r="E5034" s="36" t="n">
        <x:v>247000</x:v>
      </x:c>
      <x:c r="F5034" s="36" t="n">
        <x:v>4623</x:v>
      </x:c>
      <x:c r="G5034" s="42" t="n">
        <x:v>0.9916344916344917</x:v>
      </x:c>
      <x:c r="H5034" s="36" t="n">
        <x:f>E5034*G5034</x:f>
        <x:v>244933.71943371944</x:v>
      </x:c>
      <x:c r="I5034" s="36" t="n">
        <x:f>IFERROR(H5034/A5034,0)</x:f>
        <x:v>30616.71492921493</x:v>
      </x:c>
      <x:c r="J5034" s="67" t="str">
        <x:v>Modeled from live base + Sep-2026 quality ratio</x:v>
      </x:c>
      <x:c r="K5034" s="67" t="str">
        <x:v>https://www.stonealgo.com/diamond-prices/</x:v>
      </x:c>
      <x:c r="L5034" s="67" t="str">
        <x:v>https://www.pricescope.com/blog/natural-diamond-prices-september-2026</x:v>
      </x:c>
    </x:row>
    <x:row r="5035">
      <x:c r="A5035" t="n">
        <x:v>8</x:v>
      </x:c>
      <x:c r="B5035" t="str">
        <x:v>Marquise</x:v>
      </x:c>
      <x:c r="C5035" t="str">
        <x:v>I</x:v>
      </x:c>
      <x:c r="D5035" t="str">
        <x:v>IF</x:v>
      </x:c>
      <x:c r="E5035" s="36" t="n">
        <x:v>247000</x:v>
      </x:c>
      <x:c r="F5035" s="36" t="n">
        <x:v>4005</x:v>
      </x:c>
      <x:c r="G5035" s="42" t="n">
        <x:v>0.859073359073359</x:v>
      </x:c>
      <x:c r="H5035" s="36" t="n">
        <x:f>E5035*G5035</x:f>
        <x:v>212191.11969111967</x:v>
      </x:c>
      <x:c r="I5035" s="36" t="n">
        <x:f>IFERROR(H5035/A5035,0)</x:f>
        <x:v>26523.88996138996</x:v>
      </x:c>
      <x:c r="J5035" s="67" t="str">
        <x:v>Modeled from live base + Sep-2026 quality ratio</x:v>
      </x:c>
      <x:c r="K5035" s="67" t="str">
        <x:v>https://www.stonealgo.com/diamond-prices/</x:v>
      </x:c>
      <x:c r="L5035" s="67" t="str">
        <x:v>https://www.pricescope.com/blog/natural-diamond-prices-september-2026</x:v>
      </x:c>
    </x:row>
    <x:row r="5036">
      <x:c r="A5036" t="n">
        <x:v>8</x:v>
      </x:c>
      <x:c r="B5036" t="str">
        <x:v>Marquise</x:v>
      </x:c>
      <x:c r="C5036" t="str">
        <x:v>I</x:v>
      </x:c>
      <x:c r="D5036" t="str">
        <x:v>VVS1</x:v>
      </x:c>
      <x:c r="E5036" s="36" t="n">
        <x:v>247000</x:v>
      </x:c>
      <x:c r="F5036" s="36" t="n">
        <x:v>3670</x:v>
      </x:c>
      <x:c r="G5036" s="42" t="n">
        <x:v>0.7872157872157872</x:v>
      </x:c>
      <x:c r="H5036" s="36" t="n">
        <x:f>E5036*G5036</x:f>
        <x:v>194442.29944229944</x:v>
      </x:c>
      <x:c r="I5036" s="36" t="n">
        <x:f>IFERROR(H5036/A5036,0)</x:f>
        <x:v>24305.28743028743</x:v>
      </x:c>
      <x:c r="J5036" s="67" t="str">
        <x:v>Modeled from live base + Sep-2026 quality ratio</x:v>
      </x:c>
      <x:c r="K5036" s="67" t="str">
        <x:v>https://www.stonealgo.com/diamond-prices/</x:v>
      </x:c>
      <x:c r="L5036" s="67" t="str">
        <x:v>https://www.pricescope.com/blog/natural-diamond-prices-september-2026</x:v>
      </x:c>
    </x:row>
    <x:row r="5037">
      <x:c r="A5037" t="n">
        <x:v>8</x:v>
      </x:c>
      <x:c r="B5037" t="str">
        <x:v>Marquise</x:v>
      </x:c>
      <x:c r="C5037" t="str">
        <x:v>I</x:v>
      </x:c>
      <x:c r="D5037" t="str">
        <x:v>VVS2</x:v>
      </x:c>
      <x:c r="E5037" s="36" t="n">
        <x:v>247000</x:v>
      </x:c>
      <x:c r="F5037" s="36" t="n">
        <x:v>3447</x:v>
      </x:c>
      <x:c r="G5037" s="42" t="n">
        <x:v>0.7393822393822393</x:v>
      </x:c>
      <x:c r="H5037" s="36" t="n">
        <x:f>E5037*G5037</x:f>
        <x:v>182627.4131274131</x:v>
      </x:c>
      <x:c r="I5037" s="36" t="n">
        <x:f>IFERROR(H5037/A5037,0)</x:f>
        <x:v>22828.42664092664</x:v>
      </x:c>
      <x:c r="J5037" s="67" t="str">
        <x:v>Modeled from live base + Sep-2026 quality ratio</x:v>
      </x:c>
      <x:c r="K5037" s="67" t="str">
        <x:v>https://www.stonealgo.com/diamond-prices/</x:v>
      </x:c>
      <x:c r="L5037" s="67" t="str">
        <x:v>https://www.pricescope.com/blog/natural-diamond-prices-september-2026</x:v>
      </x:c>
    </x:row>
    <x:row r="5038">
      <x:c r="A5038" t="n">
        <x:v>8</x:v>
      </x:c>
      <x:c r="B5038" t="str">
        <x:v>Marquise</x:v>
      </x:c>
      <x:c r="C5038" t="str">
        <x:v>I</x:v>
      </x:c>
      <x:c r="D5038" t="str">
        <x:v>VS1</x:v>
      </x:c>
      <x:c r="E5038" s="36" t="n">
        <x:v>247000</x:v>
      </x:c>
      <x:c r="F5038" s="36" t="n">
        <x:v>3313</x:v>
      </x:c>
      <x:c r="G5038" s="42" t="n">
        <x:v>0.7106392106392107</x:v>
      </x:c>
      <x:c r="H5038" s="36" t="n">
        <x:f>E5038*G5038</x:f>
        <x:v>175527.88502788503</x:v>
      </x:c>
      <x:c r="I5038" s="36" t="n">
        <x:f>IFERROR(H5038/A5038,0)</x:f>
        <x:v>21940.98562848563</x:v>
      </x:c>
      <x:c r="J5038" s="67" t="str">
        <x:v>Modeled from live base + Sep-2026 quality ratio</x:v>
      </x:c>
      <x:c r="K5038" s="67" t="str">
        <x:v>https://www.stonealgo.com/diamond-prices/</x:v>
      </x:c>
      <x:c r="L5038" s="67" t="str">
        <x:v>https://www.pricescope.com/blog/natural-diamond-prices-september-2026</x:v>
      </x:c>
    </x:row>
    <x:row r="5039">
      <x:c r="A5039" t="n">
        <x:v>8</x:v>
      </x:c>
      <x:c r="B5039" t="str">
        <x:v>Marquise</x:v>
      </x:c>
      <x:c r="C5039" t="str">
        <x:v>I</x:v>
      </x:c>
      <x:c r="D5039" t="str">
        <x:v>VS2</x:v>
      </x:c>
      <x:c r="E5039" s="36" t="n">
        <x:v>247000</x:v>
      </x:c>
      <x:c r="F5039" s="36" t="n">
        <x:v>3240</x:v>
      </x:c>
      <x:c r="G5039" s="42" t="n">
        <x:v>0.694980694980695</x:v>
      </x:c>
      <x:c r="H5039" s="36" t="n">
        <x:f>E5039*G5039</x:f>
        <x:v>171660.2316602317</x:v>
      </x:c>
      <x:c r="I5039" s="36" t="n">
        <x:f>IFERROR(H5039/A5039,0)</x:f>
        <x:v>21457.52895752896</x:v>
      </x:c>
      <x:c r="J5039" s="67" t="str">
        <x:v>Modeled from live base + Sep-2026 quality ratio</x:v>
      </x:c>
      <x:c r="K5039" s="67" t="str">
        <x:v>https://www.stonealgo.com/diamond-prices/</x:v>
      </x:c>
      <x:c r="L5039" s="67" t="str">
        <x:v>https://www.pricescope.com/blog/natural-diamond-prices-september-2026</x:v>
      </x:c>
    </x:row>
    <x:row r="5040">
      <x:c r="A5040" t="n">
        <x:v>8</x:v>
      </x:c>
      <x:c r="B5040" t="str">
        <x:v>Marquise</x:v>
      </x:c>
      <x:c r="C5040" t="str">
        <x:v>I</x:v>
      </x:c>
      <x:c r="D5040" t="str">
        <x:v>SI1</x:v>
      </x:c>
      <x:c r="E5040" s="36" t="n">
        <x:v>247000</x:v>
      </x:c>
      <x:c r="F5040" s="36" t="n">
        <x:v>3199</x:v>
      </x:c>
      <x:c r="G5040" s="42" t="n">
        <x:v>0.6861861861861862</x:v>
      </x:c>
      <x:c r="H5040" s="36" t="n">
        <x:f>E5040*G5040</x:f>
        <x:v>169487.987987988</x:v>
      </x:c>
      <x:c r="I5040" s="36" t="n">
        <x:f>IFERROR(H5040/A5040,0)</x:f>
        <x:v>21185.9984984985</x:v>
      </x:c>
      <x:c r="J5040" s="67" t="str">
        <x:v>Modeled from live base + Sep-2026 quality ratio</x:v>
      </x:c>
      <x:c r="K5040" s="67" t="str">
        <x:v>https://www.stonealgo.com/diamond-prices/</x:v>
      </x:c>
      <x:c r="L5040" s="67" t="str">
        <x:v>https://www.pricescope.com/blog/natural-diamond-prices-september-2026</x:v>
      </x:c>
    </x:row>
    <x:row r="5041">
      <x:c r="A5041" t="n">
        <x:v>8</x:v>
      </x:c>
      <x:c r="B5041" t="str">
        <x:v>Marquise</x:v>
      </x:c>
      <x:c r="C5041" t="str">
        <x:v>I</x:v>
      </x:c>
      <x:c r="D5041" t="str">
        <x:v>SI2</x:v>
      </x:c>
      <x:c r="E5041" s="36" t="n">
        <x:v>247000</x:v>
      </x:c>
      <x:c r="F5041" s="36" t="n">
        <x:v>2874</x:v>
      </x:c>
      <x:c r="G5041" s="42" t="n">
        <x:v>0.6164736164736164</x:v>
      </x:c>
      <x:c r="H5041" s="36" t="n">
        <x:f>E5041*G5041</x:f>
        <x:v>152268.98326898325</x:v>
      </x:c>
      <x:c r="I5041" s="36" t="n">
        <x:f>IFERROR(H5041/A5041,0)</x:f>
        <x:v>19033.622908622907</x:v>
      </x:c>
      <x:c r="J5041" s="67" t="str">
        <x:v>Modeled from live base + Sep-2026 quality ratio</x:v>
      </x:c>
      <x:c r="K5041" s="67" t="str">
        <x:v>https://www.stonealgo.com/diamond-prices/</x:v>
      </x:c>
      <x:c r="L5041" s="67" t="str">
        <x:v>https://www.pricescope.com/blog/natural-diamond-prices-september-2026</x:v>
      </x:c>
    </x:row>
    <x:row r="5042">
      <x:c r="A5042" t="n">
        <x:v>8</x:v>
      </x:c>
      <x:c r="B5042" t="str">
        <x:v>Marquise</x:v>
      </x:c>
      <x:c r="C5042" t="str">
        <x:v>J</x:v>
      </x:c>
      <x:c r="D5042" t="str">
        <x:v>FL</x:v>
      </x:c>
      <x:c r="E5042" s="36" t="n">
        <x:v>247000</x:v>
      </x:c>
      <x:c r="F5042" s="36" t="n">
        <x:v>3646</x:v>
      </x:c>
      <x:c r="G5042" s="42" t="n">
        <x:v>0.782067782067782</x:v>
      </x:c>
      <x:c r="H5042" s="36" t="n">
        <x:f>E5042*G5042</x:f>
        <x:v>193170.74217074216</x:v>
      </x:c>
      <x:c r="I5042" s="36" t="n">
        <x:f>IFERROR(H5042/A5042,0)</x:f>
        <x:v>24146.34277134277</x:v>
      </x:c>
      <x:c r="J5042" s="67" t="str">
        <x:v>Modeled from live base + Sep-2026 quality ratio</x:v>
      </x:c>
      <x:c r="K5042" s="67" t="str">
        <x:v>https://www.stonealgo.com/diamond-prices/</x:v>
      </x:c>
      <x:c r="L5042" s="67" t="str">
        <x:v>https://www.pricescope.com/blog/natural-diamond-prices-september-2026</x:v>
      </x:c>
    </x:row>
    <x:row r="5043">
      <x:c r="A5043" t="n">
        <x:v>8</x:v>
      </x:c>
      <x:c r="B5043" t="str">
        <x:v>Marquise</x:v>
      </x:c>
      <x:c r="C5043" t="str">
        <x:v>J</x:v>
      </x:c>
      <x:c r="D5043" t="str">
        <x:v>IF</x:v>
      </x:c>
      <x:c r="E5043" s="36" t="n">
        <x:v>247000</x:v>
      </x:c>
      <x:c r="F5043" s="36" t="n">
        <x:v>3368</x:v>
      </x:c>
      <x:c r="G5043" s="42" t="n">
        <x:v>0.7224367224367224</x:v>
      </x:c>
      <x:c r="H5043" s="36" t="n">
        <x:f>E5043*G5043</x:f>
        <x:v>178441.87044187044</x:v>
      </x:c>
      <x:c r="I5043" s="36" t="n">
        <x:f>IFERROR(H5043/A5043,0)</x:f>
        <x:v>22305.233805233805</x:v>
      </x:c>
      <x:c r="J5043" s="67" t="str">
        <x:v>Modeled from live base + Sep-2026 quality ratio</x:v>
      </x:c>
      <x:c r="K5043" s="67" t="str">
        <x:v>https://www.stonealgo.com/diamond-prices/</x:v>
      </x:c>
      <x:c r="L5043" s="67" t="str">
        <x:v>https://www.pricescope.com/blog/natural-diamond-prices-september-2026</x:v>
      </x:c>
    </x:row>
    <x:row r="5044">
      <x:c r="A5044" t="n">
        <x:v>8</x:v>
      </x:c>
      <x:c r="B5044" t="str">
        <x:v>Marquise</x:v>
      </x:c>
      <x:c r="C5044" t="str">
        <x:v>J</x:v>
      </x:c>
      <x:c r="D5044" t="str">
        <x:v>VVS1</x:v>
      </x:c>
      <x:c r="E5044" s="36" t="n">
        <x:v>247000</x:v>
      </x:c>
      <x:c r="F5044" s="36" t="n">
        <x:v>2956</x:v>
      </x:c>
      <x:c r="G5044" s="42" t="n">
        <x:v>0.6340626340626341</x:v>
      </x:c>
      <x:c r="H5044" s="36" t="n">
        <x:f>E5044*G5044</x:f>
        <x:v>156613.47061347062</x:v>
      </x:c>
      <x:c r="I5044" s="36" t="n">
        <x:f>IFERROR(H5044/A5044,0)</x:f>
        <x:v>19576.683826683828</x:v>
      </x:c>
      <x:c r="J5044" s="67" t="str">
        <x:v>Modeled from live base + Sep-2026 quality ratio</x:v>
      </x:c>
      <x:c r="K5044" s="67" t="str">
        <x:v>https://www.stonealgo.com/diamond-prices/</x:v>
      </x:c>
      <x:c r="L5044" s="67" t="str">
        <x:v>https://www.pricescope.com/blog/natural-diamond-prices-september-2026</x:v>
      </x:c>
    </x:row>
    <x:row r="5045">
      <x:c r="A5045" t="n">
        <x:v>8</x:v>
      </x:c>
      <x:c r="B5045" t="str">
        <x:v>Marquise</x:v>
      </x:c>
      <x:c r="C5045" t="str">
        <x:v>J</x:v>
      </x:c>
      <x:c r="D5045" t="str">
        <x:v>VVS2</x:v>
      </x:c>
      <x:c r="E5045" s="36" t="n">
        <x:v>247000</x:v>
      </x:c>
      <x:c r="F5045" s="36" t="n">
        <x:v>2612</x:v>
      </x:c>
      <x:c r="G5045" s="42" t="n">
        <x:v>0.5602745602745602</x:v>
      </x:c>
      <x:c r="H5045" s="36" t="n">
        <x:f>E5045*G5045</x:f>
        <x:v>138387.8163878164</x:v>
      </x:c>
      <x:c r="I5045" s="36" t="n">
        <x:f>IFERROR(H5045/A5045,0)</x:f>
        <x:v>17298.47704847705</x:v>
      </x:c>
      <x:c r="J5045" s="67" t="str">
        <x:v>Modeled from live base + Sep-2026 quality ratio</x:v>
      </x:c>
      <x:c r="K5045" s="67" t="str">
        <x:v>https://www.stonealgo.com/diamond-prices/</x:v>
      </x:c>
      <x:c r="L5045" s="67" t="str">
        <x:v>https://www.pricescope.com/blog/natural-diamond-prices-september-2026</x:v>
      </x:c>
    </x:row>
    <x:row r="5046">
      <x:c r="A5046" t="n">
        <x:v>8</x:v>
      </x:c>
      <x:c r="B5046" t="str">
        <x:v>Marquise</x:v>
      </x:c>
      <x:c r="C5046" t="str">
        <x:v>J</x:v>
      </x:c>
      <x:c r="D5046" t="str">
        <x:v>VS1</x:v>
      </x:c>
      <x:c r="E5046" s="36" t="n">
        <x:v>247000</x:v>
      </x:c>
      <x:c r="F5046" s="36" t="n">
        <x:v>3002</x:v>
      </x:c>
      <x:c r="G5046" s="42" t="n">
        <x:v>0.6439296439296439</x:v>
      </x:c>
      <x:c r="H5046" s="36" t="n">
        <x:f>E5046*G5046</x:f>
        <x:v>159050.62205062204</x:v>
      </x:c>
      <x:c r="I5046" s="36" t="n">
        <x:f>IFERROR(H5046/A5046,0)</x:f>
        <x:v>19881.327756327755</x:v>
      </x:c>
      <x:c r="J5046" s="67" t="str">
        <x:v>Modeled from live base + Sep-2026 quality ratio</x:v>
      </x:c>
      <x:c r="K5046" s="67" t="str">
        <x:v>https://www.stonealgo.com/diamond-prices/</x:v>
      </x:c>
      <x:c r="L5046" s="67" t="str">
        <x:v>https://www.pricescope.com/blog/natural-diamond-prices-september-2026</x:v>
      </x:c>
    </x:row>
    <x:row r="5047">
      <x:c r="A5047" t="n">
        <x:v>8</x:v>
      </x:c>
      <x:c r="B5047" t="str">
        <x:v>Marquise</x:v>
      </x:c>
      <x:c r="C5047" t="str">
        <x:v>J</x:v>
      </x:c>
      <x:c r="D5047" t="str">
        <x:v>VS2</x:v>
      </x:c>
      <x:c r="E5047" s="36" t="n">
        <x:v>247000</x:v>
      </x:c>
      <x:c r="F5047" s="36" t="n">
        <x:v>2559</x:v>
      </x:c>
      <x:c r="G5047" s="42" t="n">
        <x:v>0.5489060489060489</x:v>
      </x:c>
      <x:c r="H5047" s="36" t="n">
        <x:f>E5047*G5047</x:f>
        <x:v>135579.79407979408</x:v>
      </x:c>
      <x:c r="I5047" s="36" t="n">
        <x:f>IFERROR(H5047/A5047,0)</x:f>
        <x:v>16947.47425997426</x:v>
      </x:c>
      <x:c r="J5047" s="67" t="str">
        <x:v>Modeled from live base + Sep-2026 quality ratio</x:v>
      </x:c>
      <x:c r="K5047" s="67" t="str">
        <x:v>https://www.stonealgo.com/diamond-prices/</x:v>
      </x:c>
      <x:c r="L5047" s="67" t="str">
        <x:v>https://www.pricescope.com/blog/natural-diamond-prices-september-2026</x:v>
      </x:c>
    </x:row>
    <x:row r="5048">
      <x:c r="A5048" t="n">
        <x:v>8</x:v>
      </x:c>
      <x:c r="B5048" t="str">
        <x:v>Marquise</x:v>
      </x:c>
      <x:c r="C5048" t="str">
        <x:v>J</x:v>
      </x:c>
      <x:c r="D5048" t="str">
        <x:v>SI1</x:v>
      </x:c>
      <x:c r="E5048" s="36" t="n">
        <x:v>247000</x:v>
      </x:c>
      <x:c r="F5048" s="36" t="n">
        <x:v>2195</x:v>
      </x:c>
      <x:c r="G5048" s="42" t="n">
        <x:v>0.47082797082797084</x:v>
      </x:c>
      <x:c r="H5048" s="36" t="n">
        <x:f>E5048*G5048</x:f>
        <x:v>116294.5087945088</x:v>
      </x:c>
      <x:c r="I5048" s="36" t="n">
        <x:f>IFERROR(H5048/A5048,0)</x:f>
        <x:v>14536.8135993136</x:v>
      </x:c>
      <x:c r="J5048" s="67" t="str">
        <x:v>Modeled from live base + Sep-2026 quality ratio</x:v>
      </x:c>
      <x:c r="K5048" s="67" t="str">
        <x:v>https://www.stonealgo.com/diamond-prices/</x:v>
      </x:c>
      <x:c r="L5048" s="67" t="str">
        <x:v>https://www.pricescope.com/blog/natural-diamond-prices-september-2026</x:v>
      </x:c>
    </x:row>
    <x:row r="5049">
      <x:c r="A5049" t="n">
        <x:v>8</x:v>
      </x:c>
      <x:c r="B5049" t="str">
        <x:v>Marquise</x:v>
      </x:c>
      <x:c r="C5049" t="str">
        <x:v>J</x:v>
      </x:c>
      <x:c r="D5049" t="str">
        <x:v>SI2</x:v>
      </x:c>
      <x:c r="E5049" s="36" t="n">
        <x:v>247000</x:v>
      </x:c>
      <x:c r="F5049" s="36" t="n">
        <x:v>2079</x:v>
      </x:c>
      <x:c r="G5049" s="42" t="n">
        <x:v>0.44594594594594594</x:v>
      </x:c>
      <x:c r="H5049" s="36" t="n">
        <x:f>E5049*G5049</x:f>
        <x:v>110148.64864864865</x:v>
      </x:c>
      <x:c r="I5049" s="36" t="n">
        <x:f>IFERROR(H5049/A5049,0)</x:f>
        <x:v>13768.581081081082</x:v>
      </x:c>
      <x:c r="J5049" s="67" t="str">
        <x:v>Modeled from live base + Sep-2026 quality ratio</x:v>
      </x:c>
      <x:c r="K5049" s="67" t="str">
        <x:v>https://www.stonealgo.com/diamond-prices/</x:v>
      </x:c>
      <x:c r="L5049" s="67" t="str">
        <x:v>https://www.pricescope.com/blog/natural-diamond-prices-september-2026</x:v>
      </x:c>
    </x:row>
    <x:row r="5050">
      <x:c r="A5050" t="n">
        <x:v>8</x:v>
      </x:c>
      <x:c r="B5050" t="str">
        <x:v>Marquise</x:v>
      </x:c>
      <x:c r="C5050" t="str">
        <x:v>K</x:v>
      </x:c>
      <x:c r="D5050" t="str">
        <x:v>FL</x:v>
      </x:c>
      <x:c r="E5050" s="36" t="n">
        <x:v>247000</x:v>
      </x:c>
      <x:c r="F5050" s="36" t="n">
        <x:v>2858</x:v>
      </x:c>
      <x:c r="G5050" s="42" t="n">
        <x:v>0.6130416130416131</x:v>
      </x:c>
      <x:c r="H5050" s="36" t="n">
        <x:f>E5050*G5050</x:f>
        <x:v>151421.27842127843</x:v>
      </x:c>
      <x:c r="I5050" s="36" t="n">
        <x:f>IFERROR(H5050/A5050,0)</x:f>
        <x:v>18927.659802659804</x:v>
      </x:c>
      <x:c r="J5050" s="67" t="str">
        <x:v>Modeled from live base + Sep-2026 quality ratio; K/FL quality cell modeled</x:v>
      </x:c>
      <x:c r="K5050" s="67" t="str">
        <x:v>https://www.stonealgo.com/diamond-prices/</x:v>
      </x:c>
      <x:c r="L5050" s="67" t="str">
        <x:v>https://www.pricescope.com/blog/natural-diamond-prices-september-2026</x:v>
      </x:c>
    </x:row>
    <x:row r="5051">
      <x:c r="A5051" t="n">
        <x:v>8</x:v>
      </x:c>
      <x:c r="B5051" t="str">
        <x:v>Marquise</x:v>
      </x:c>
      <x:c r="C5051" t="str">
        <x:v>K</x:v>
      </x:c>
      <x:c r="D5051" t="str">
        <x:v>IF</x:v>
      </x:c>
      <x:c r="E5051" s="36" t="n">
        <x:v>247000</x:v>
      </x:c>
      <x:c r="F5051" s="36" t="n">
        <x:v>2743</x:v>
      </x:c>
      <x:c r="G5051" s="42" t="n">
        <x:v>0.5883740883740883</x:v>
      </x:c>
      <x:c r="H5051" s="36" t="n">
        <x:f>E5051*G5051</x:f>
        <x:v>145328.39982839982</x:v>
      </x:c>
      <x:c r="I5051" s="36" t="n">
        <x:f>IFERROR(H5051/A5051,0)</x:f>
        <x:v>18166.049978549978</x:v>
      </x:c>
      <x:c r="J5051" s="67" t="str">
        <x:v>Modeled from live base + Sep-2026 quality ratio</x:v>
      </x:c>
      <x:c r="K5051" s="67" t="str">
        <x:v>https://www.stonealgo.com/diamond-prices/</x:v>
      </x:c>
      <x:c r="L5051" s="67" t="str">
        <x:v>https://www.pricescope.com/blog/natural-diamond-prices-september-2026</x:v>
      </x:c>
    </x:row>
    <x:row r="5052">
      <x:c r="A5052" t="n">
        <x:v>8</x:v>
      </x:c>
      <x:c r="B5052" t="str">
        <x:v>Marquise</x:v>
      </x:c>
      <x:c r="C5052" t="str">
        <x:v>K</x:v>
      </x:c>
      <x:c r="D5052" t="str">
        <x:v>VVS1</x:v>
      </x:c>
      <x:c r="E5052" s="36" t="n">
        <x:v>247000</x:v>
      </x:c>
      <x:c r="F5052" s="36" t="n">
        <x:v>2529</x:v>
      </x:c>
      <x:c r="G5052" s="42" t="n">
        <x:v>0.5424710424710425</x:v>
      </x:c>
      <x:c r="H5052" s="36" t="n">
        <x:f>E5052*G5052</x:f>
        <x:v>133990.34749034749</x:v>
      </x:c>
      <x:c r="I5052" s="36" t="n">
        <x:f>IFERROR(H5052/A5052,0)</x:f>
        <x:v>16748.793436293436</x:v>
      </x:c>
      <x:c r="J5052" s="67" t="str">
        <x:v>Modeled from live base + Sep-2026 quality ratio</x:v>
      </x:c>
      <x:c r="K5052" s="67" t="str">
        <x:v>https://www.stonealgo.com/diamond-prices/</x:v>
      </x:c>
      <x:c r="L5052" s="67" t="str">
        <x:v>https://www.pricescope.com/blog/natural-diamond-prices-september-2026</x:v>
      </x:c>
    </x:row>
    <x:row r="5053">
      <x:c r="A5053" t="n">
        <x:v>8</x:v>
      </x:c>
      <x:c r="B5053" t="str">
        <x:v>Marquise</x:v>
      </x:c>
      <x:c r="C5053" t="str">
        <x:v>K</x:v>
      </x:c>
      <x:c r="D5053" t="str">
        <x:v>VVS2</x:v>
      </x:c>
      <x:c r="E5053" s="36" t="n">
        <x:v>247000</x:v>
      </x:c>
      <x:c r="F5053" s="36" t="n">
        <x:v>2374</x:v>
      </x:c>
      <x:c r="G5053" s="42" t="n">
        <x:v>0.5092235092235092</x:v>
      </x:c>
      <x:c r="H5053" s="36" t="n">
        <x:f>E5053*G5053</x:f>
        <x:v>125778.20677820678</x:v>
      </x:c>
      <x:c r="I5053" s="36" t="n">
        <x:f>IFERROR(H5053/A5053,0)</x:f>
        <x:v>15722.275847275847</x:v>
      </x:c>
      <x:c r="J5053" s="67" t="str">
        <x:v>Modeled from live base + Sep-2026 quality ratio</x:v>
      </x:c>
      <x:c r="K5053" s="67" t="str">
        <x:v>https://www.stonealgo.com/diamond-prices/</x:v>
      </x:c>
      <x:c r="L5053" s="67" t="str">
        <x:v>https://www.pricescope.com/blog/natural-diamond-prices-september-2026</x:v>
      </x:c>
    </x:row>
    <x:row r="5054">
      <x:c r="A5054" t="n">
        <x:v>8</x:v>
      </x:c>
      <x:c r="B5054" t="str">
        <x:v>Marquise</x:v>
      </x:c>
      <x:c r="C5054" t="str">
        <x:v>K</x:v>
      </x:c>
      <x:c r="D5054" t="str">
        <x:v>VS1</x:v>
      </x:c>
      <x:c r="E5054" s="36" t="n">
        <x:v>247000</x:v>
      </x:c>
      <x:c r="F5054" s="36" t="n">
        <x:v>2223</x:v>
      </x:c>
      <x:c r="G5054" s="42" t="n">
        <x:v>0.4768339768339768</x:v>
      </x:c>
      <x:c r="H5054" s="36" t="n">
        <x:f>E5054*G5054</x:f>
        <x:v>117777.99227799228</x:v>
      </x:c>
      <x:c r="I5054" s="36" t="n">
        <x:f>IFERROR(H5054/A5054,0)</x:f>
        <x:v>14722.249034749035</x:v>
      </x:c>
      <x:c r="J5054" s="67" t="str">
        <x:v>Modeled from live base + Sep-2026 quality ratio</x:v>
      </x:c>
      <x:c r="K5054" s="67" t="str">
        <x:v>https://www.stonealgo.com/diamond-prices/</x:v>
      </x:c>
      <x:c r="L5054" s="67" t="str">
        <x:v>https://www.pricescope.com/blog/natural-diamond-prices-september-2026</x:v>
      </x:c>
    </x:row>
    <x:row r="5055">
      <x:c r="A5055" t="n">
        <x:v>8</x:v>
      </x:c>
      <x:c r="B5055" t="str">
        <x:v>Marquise</x:v>
      </x:c>
      <x:c r="C5055" t="str">
        <x:v>K</x:v>
      </x:c>
      <x:c r="D5055" t="str">
        <x:v>VS2</x:v>
      </x:c>
      <x:c r="E5055" s="36" t="n">
        <x:v>247000</x:v>
      </x:c>
      <x:c r="F5055" s="36" t="n">
        <x:v>2098</x:v>
      </x:c>
      <x:c r="G5055" s="42" t="n">
        <x:v>0.45002145002145</x:v>
      </x:c>
      <x:c r="H5055" s="36" t="n">
        <x:f>E5055*G5055</x:f>
        <x:v>111155.29815529815</x:v>
      </x:c>
      <x:c r="I5055" s="36" t="n">
        <x:f>IFERROR(H5055/A5055,0)</x:f>
        <x:v>13894.412269412269</x:v>
      </x:c>
      <x:c r="J5055" s="67" t="str">
        <x:v>Modeled from live base + Sep-2026 quality ratio</x:v>
      </x:c>
      <x:c r="K5055" s="67" t="str">
        <x:v>https://www.stonealgo.com/diamond-prices/</x:v>
      </x:c>
      <x:c r="L5055" s="67" t="str">
        <x:v>https://www.pricescope.com/blog/natural-diamond-prices-september-2026</x:v>
      </x:c>
    </x:row>
    <x:row r="5056">
      <x:c r="A5056" t="n">
        <x:v>8</x:v>
      </x:c>
      <x:c r="B5056" t="str">
        <x:v>Marquise</x:v>
      </x:c>
      <x:c r="C5056" t="str">
        <x:v>K</x:v>
      </x:c>
      <x:c r="D5056" t="str">
        <x:v>SI1</x:v>
      </x:c>
      <x:c r="E5056" s="36" t="n">
        <x:v>247000</x:v>
      </x:c>
      <x:c r="F5056" s="36" t="n">
        <x:v>1922</x:v>
      </x:c>
      <x:c r="G5056" s="42" t="n">
        <x:v>0.41226941226941227</x:v>
      </x:c>
      <x:c r="H5056" s="36" t="n">
        <x:f>E5056*G5056</x:f>
        <x:v>101830.54483054484</x:v>
      </x:c>
      <x:c r="I5056" s="36" t="n">
        <x:f>IFERROR(H5056/A5056,0)</x:f>
        <x:v>12728.818103818105</x:v>
      </x:c>
      <x:c r="J5056" s="67" t="str">
        <x:v>Modeled from live base + Sep-2026 quality ratio</x:v>
      </x:c>
      <x:c r="K5056" s="67" t="str">
        <x:v>https://www.stonealgo.com/diamond-prices/</x:v>
      </x:c>
      <x:c r="L5056" s="67" t="str">
        <x:v>https://www.pricescope.com/blog/natural-diamond-prices-september-2026</x:v>
      </x:c>
    </x:row>
    <x:row r="5057">
      <x:c r="A5057" t="n">
        <x:v>8</x:v>
      </x:c>
      <x:c r="B5057" t="str">
        <x:v>Marquise</x:v>
      </x:c>
      <x:c r="C5057" t="str">
        <x:v>K</x:v>
      </x:c>
      <x:c r="D5057" t="str">
        <x:v>SI2</x:v>
      </x:c>
      <x:c r="E5057" s="36" t="n">
        <x:v>247000</x:v>
      </x:c>
      <x:c r="F5057" s="36" t="n">
        <x:v>1764</x:v>
      </x:c>
      <x:c r="G5057" s="42" t="n">
        <x:v>0.3783783783783784</x:v>
      </x:c>
      <x:c r="H5057" s="36" t="n">
        <x:f>E5057*G5057</x:f>
        <x:v>93459.45945945947</x:v>
      </x:c>
      <x:c r="I5057" s="36" t="n">
        <x:f>IFERROR(H5057/A5057,0)</x:f>
        <x:v>11682.432432432433</x:v>
      </x:c>
      <x:c r="J5057" s="67" t="str">
        <x:v>Modeled from live base + Sep-2026 quality ratio</x:v>
      </x:c>
      <x:c r="K5057" s="67" t="str">
        <x:v>https://www.stonealgo.com/diamond-prices/</x:v>
      </x:c>
      <x:c r="L5057" s="67" t="str">
        <x:v>https://www.pricescope.com/blog/natural-diamond-prices-september-2026</x:v>
      </x:c>
    </x:row>
    <x:row r="5058">
      <x:c r="A5058" t="n">
        <x:v>8</x:v>
      </x:c>
      <x:c r="B5058" t="str">
        <x:v>Asscher</x:v>
      </x:c>
      <x:c r="C5058" t="str">
        <x:v>D</x:v>
      </x:c>
      <x:c r="D5058" t="str">
        <x:v>FL</x:v>
      </x:c>
      <x:c r="E5058" s="36" t="n">
        <x:v>300000</x:v>
      </x:c>
      <x:c r="F5058" s="36" t="n">
        <x:v>12665</x:v>
      </x:c>
      <x:c r="G5058" s="42" t="n">
        <x:v>2.7166452166452166</x:v>
      </x:c>
      <x:c r="H5058" s="36" t="n">
        <x:f>E5058*G5058</x:f>
        <x:v>814993.564993565</x:v>
      </x:c>
      <x:c r="I5058" s="36" t="n">
        <x:f>IFERROR(H5058/A5058,0)</x:f>
        <x:v>101874.19562419562</x:v>
      </x:c>
      <x:c r="J5058" s="67" t="str">
        <x:v>Modeled from live base + Sep-2026 quality ratio</x:v>
      </x:c>
      <x:c r="K5058" s="67" t="str">
        <x:v>https://www.stonealgo.com/diamond-prices/</x:v>
      </x:c>
      <x:c r="L5058" s="67" t="str">
        <x:v>https://www.pricescope.com/blog/natural-diamond-prices-september-2026</x:v>
      </x:c>
    </x:row>
    <x:row r="5059">
      <x:c r="A5059" t="n">
        <x:v>8</x:v>
      </x:c>
      <x:c r="B5059" t="str">
        <x:v>Asscher</x:v>
      </x:c>
      <x:c r="C5059" t="str">
        <x:v>D</x:v>
      </x:c>
      <x:c r="D5059" t="str">
        <x:v>IF</x:v>
      </x:c>
      <x:c r="E5059" s="36" t="n">
        <x:v>300000</x:v>
      </x:c>
      <x:c r="F5059" s="36" t="n">
        <x:v>13240</x:v>
      </x:c>
      <x:c r="G5059" s="42" t="n">
        <x:v>2.83998283998284</x:v>
      </x:c>
      <x:c r="H5059" s="36" t="n">
        <x:f>E5059*G5059</x:f>
        <x:v>851994.8519948521</x:v>
      </x:c>
      <x:c r="I5059" s="36" t="n">
        <x:f>IFERROR(H5059/A5059,0)</x:f>
        <x:v>106499.35649935651</x:v>
      </x:c>
      <x:c r="J5059" s="67" t="str">
        <x:v>Modeled from live base + Sep-2026 quality ratio</x:v>
      </x:c>
      <x:c r="K5059" s="67" t="str">
        <x:v>https://www.stonealgo.com/diamond-prices/</x:v>
      </x:c>
      <x:c r="L5059" s="67" t="str">
        <x:v>https://www.pricescope.com/blog/natural-diamond-prices-september-2026</x:v>
      </x:c>
    </x:row>
    <x:row r="5060">
      <x:c r="A5060" t="n">
        <x:v>8</x:v>
      </x:c>
      <x:c r="B5060" t="str">
        <x:v>Asscher</x:v>
      </x:c>
      <x:c r="C5060" t="str">
        <x:v>D</x:v>
      </x:c>
      <x:c r="D5060" t="str">
        <x:v>VVS1</x:v>
      </x:c>
      <x:c r="E5060" s="36" t="n">
        <x:v>300000</x:v>
      </x:c>
      <x:c r="F5060" s="36" t="n">
        <x:v>9555</x:v>
      </x:c>
      <x:c r="G5060" s="42" t="n">
        <x:v>2.0495495495495497</x:v>
      </x:c>
      <x:c r="H5060" s="36" t="n">
        <x:f>E5060*G5060</x:f>
        <x:v>614864.864864865</x:v>
      </x:c>
      <x:c r="I5060" s="36" t="n">
        <x:f>IFERROR(H5060/A5060,0)</x:f>
        <x:v>76858.10810810812</x:v>
      </x:c>
      <x:c r="J5060" s="67" t="str">
        <x:v>Modeled from live base + Sep-2026 quality ratio</x:v>
      </x:c>
      <x:c r="K5060" s="67" t="str">
        <x:v>https://www.stonealgo.com/diamond-prices/</x:v>
      </x:c>
      <x:c r="L5060" s="67" t="str">
        <x:v>https://www.pricescope.com/blog/natural-diamond-prices-september-2026</x:v>
      </x:c>
    </x:row>
    <x:row r="5061">
      <x:c r="A5061" t="n">
        <x:v>8</x:v>
      </x:c>
      <x:c r="B5061" t="str">
        <x:v>Asscher</x:v>
      </x:c>
      <x:c r="C5061" t="str">
        <x:v>D</x:v>
      </x:c>
      <x:c r="D5061" t="str">
        <x:v>VVS2</x:v>
      </x:c>
      <x:c r="E5061" s="36" t="n">
        <x:v>300000</x:v>
      </x:c>
      <x:c r="F5061" s="36" t="n">
        <x:v>6660</x:v>
      </x:c>
      <x:c r="G5061" s="42" t="n">
        <x:v>1.4285714285714286</x:v>
      </x:c>
      <x:c r="H5061" s="36" t="n">
        <x:f>E5061*G5061</x:f>
        <x:v>428571.4285714286</x:v>
      </x:c>
      <x:c r="I5061" s="36" t="n">
        <x:f>IFERROR(H5061/A5061,0)</x:f>
        <x:v>53571.42857142857</x:v>
      </x:c>
      <x:c r="J5061" s="67" t="str">
        <x:v>Modeled from live base + Sep-2026 quality ratio</x:v>
      </x:c>
      <x:c r="K5061" s="67" t="str">
        <x:v>https://www.stonealgo.com/diamond-prices/</x:v>
      </x:c>
      <x:c r="L5061" s="67" t="str">
        <x:v>https://www.pricescope.com/blog/natural-diamond-prices-september-2026</x:v>
      </x:c>
    </x:row>
    <x:row r="5062">
      <x:c r="A5062" t="n">
        <x:v>8</x:v>
      </x:c>
      <x:c r="B5062" t="str">
        <x:v>Asscher</x:v>
      </x:c>
      <x:c r="C5062" t="str">
        <x:v>D</x:v>
      </x:c>
      <x:c r="D5062" t="str">
        <x:v>VS1</x:v>
      </x:c>
      <x:c r="E5062" s="36" t="n">
        <x:v>300000</x:v>
      </x:c>
      <x:c r="F5062" s="36" t="n">
        <x:v>6247</x:v>
      </x:c>
      <x:c r="G5062" s="42" t="n">
        <x:v>1.33998283998284</x:v>
      </x:c>
      <x:c r="H5062" s="36" t="n">
        <x:f>E5062*G5062</x:f>
        <x:v>401994.851994852</x:v>
      </x:c>
      <x:c r="I5062" s="36" t="n">
        <x:f>IFERROR(H5062/A5062,0)</x:f>
        <x:v>50249.3564993565</x:v>
      </x:c>
      <x:c r="J5062" s="67" t="str">
        <x:v>Modeled from live base + Sep-2026 quality ratio</x:v>
      </x:c>
      <x:c r="K5062" s="67" t="str">
        <x:v>https://www.stonealgo.com/diamond-prices/</x:v>
      </x:c>
      <x:c r="L5062" s="67" t="str">
        <x:v>https://www.pricescope.com/blog/natural-diamond-prices-september-2026</x:v>
      </x:c>
    </x:row>
    <x:row r="5063">
      <x:c r="A5063" t="n">
        <x:v>8</x:v>
      </x:c>
      <x:c r="B5063" t="str">
        <x:v>Asscher</x:v>
      </x:c>
      <x:c r="C5063" t="str">
        <x:v>D</x:v>
      </x:c>
      <x:c r="D5063" t="str">
        <x:v>VS2</x:v>
      </x:c>
      <x:c r="E5063" s="36" t="n">
        <x:v>300000</x:v>
      </x:c>
      <x:c r="F5063" s="36" t="n">
        <x:v>5841</x:v>
      </x:c>
      <x:c r="G5063" s="42" t="n">
        <x:v>1.252895752895753</x:v>
      </x:c>
      <x:c r="H5063" s="36" t="n">
        <x:f>E5063*G5063</x:f>
        <x:v>375868.72586872586</x:v>
      </x:c>
      <x:c r="I5063" s="36" t="n">
        <x:f>IFERROR(H5063/A5063,0)</x:f>
        <x:v>46983.59073359073</x:v>
      </x:c>
      <x:c r="J5063" s="67" t="str">
        <x:v>Modeled from live base + Sep-2026 quality ratio</x:v>
      </x:c>
      <x:c r="K5063" s="67" t="str">
        <x:v>https://www.stonealgo.com/diamond-prices/</x:v>
      </x:c>
      <x:c r="L5063" s="67" t="str">
        <x:v>https://www.pricescope.com/blog/natural-diamond-prices-september-2026</x:v>
      </x:c>
    </x:row>
    <x:row r="5064">
      <x:c r="A5064" t="n">
        <x:v>8</x:v>
      </x:c>
      <x:c r="B5064" t="str">
        <x:v>Asscher</x:v>
      </x:c>
      <x:c r="C5064" t="str">
        <x:v>D</x:v>
      </x:c>
      <x:c r="D5064" t="str">
        <x:v>SI1</x:v>
      </x:c>
      <x:c r="E5064" s="36" t="n">
        <x:v>300000</x:v>
      </x:c>
      <x:c r="F5064" s="36" t="n">
        <x:v>3762</x:v>
      </x:c>
      <x:c r="G5064" s="42" t="n">
        <x:v>0.806949806949807</x:v>
      </x:c>
      <x:c r="H5064" s="36" t="n">
        <x:f>E5064*G5064</x:f>
        <x:v>242084.9420849421</x:v>
      </x:c>
      <x:c r="I5064" s="36" t="n">
        <x:f>IFERROR(H5064/A5064,0)</x:f>
        <x:v>30260.617760617763</x:v>
      </x:c>
      <x:c r="J5064" s="67" t="str">
        <x:v>Modeled from live base + Sep-2026 quality ratio</x:v>
      </x:c>
      <x:c r="K5064" s="67" t="str">
        <x:v>https://www.stonealgo.com/diamond-prices/</x:v>
      </x:c>
      <x:c r="L5064" s="67" t="str">
        <x:v>https://www.pricescope.com/blog/natural-diamond-prices-september-2026</x:v>
      </x:c>
    </x:row>
    <x:row r="5065">
      <x:c r="A5065" t="n">
        <x:v>8</x:v>
      </x:c>
      <x:c r="B5065" t="str">
        <x:v>Asscher</x:v>
      </x:c>
      <x:c r="C5065" t="str">
        <x:v>D</x:v>
      </x:c>
      <x:c r="D5065" t="str">
        <x:v>SI2</x:v>
      </x:c>
      <x:c r="E5065" s="36" t="n">
        <x:v>300000</x:v>
      </x:c>
      <x:c r="F5065" s="36" t="n">
        <x:v>3026</x:v>
      </x:c>
      <x:c r="G5065" s="42" t="n">
        <x:v>0.6490776490776491</x:v>
      </x:c>
      <x:c r="H5065" s="36" t="n">
        <x:f>E5065*G5065</x:f>
        <x:v>194723.29472329473</x:v>
      </x:c>
      <x:c r="I5065" s="36" t="n">
        <x:f>IFERROR(H5065/A5065,0)</x:f>
        <x:v>24340.41184041184</x:v>
      </x:c>
      <x:c r="J5065" s="67" t="str">
        <x:v>Modeled from live base + Sep-2026 quality ratio</x:v>
      </x:c>
      <x:c r="K5065" s="67" t="str">
        <x:v>https://www.stonealgo.com/diamond-prices/</x:v>
      </x:c>
      <x:c r="L5065" s="67" t="str">
        <x:v>https://www.pricescope.com/blog/natural-diamond-prices-september-2026</x:v>
      </x:c>
    </x:row>
    <x:row r="5066">
      <x:c r="A5066" t="n">
        <x:v>8</x:v>
      </x:c>
      <x:c r="B5066" t="str">
        <x:v>Asscher</x:v>
      </x:c>
      <x:c r="C5066" t="str">
        <x:v>E</x:v>
      </x:c>
      <x:c r="D5066" t="str">
        <x:v>FL</x:v>
      </x:c>
      <x:c r="E5066" s="36" t="n">
        <x:v>300000</x:v>
      </x:c>
      <x:c r="F5066" s="36" t="n">
        <x:v>10072</x:v>
      </x:c>
      <x:c r="G5066" s="42" t="n">
        <x:v>2.1604461604461602</x:v>
      </x:c>
      <x:c r="H5066" s="36" t="n">
        <x:f>E5066*G5066</x:f>
        <x:v>648133.848133848</x:v>
      </x:c>
      <x:c r="I5066" s="36" t="n">
        <x:f>IFERROR(H5066/A5066,0)</x:f>
        <x:v>81016.731016731</x:v>
      </x:c>
      <x:c r="J5066" s="67" t="str">
        <x:v>Modeled from live base + Sep-2026 quality ratio</x:v>
      </x:c>
      <x:c r="K5066" s="67" t="str">
        <x:v>https://www.stonealgo.com/diamond-prices/</x:v>
      </x:c>
      <x:c r="L5066" s="67" t="str">
        <x:v>https://www.pricescope.com/blog/natural-diamond-prices-september-2026</x:v>
      </x:c>
    </x:row>
    <x:row r="5067">
      <x:c r="A5067" t="n">
        <x:v>8</x:v>
      </x:c>
      <x:c r="B5067" t="str">
        <x:v>Asscher</x:v>
      </x:c>
      <x:c r="C5067" t="str">
        <x:v>E</x:v>
      </x:c>
      <x:c r="D5067" t="str">
        <x:v>IF</x:v>
      </x:c>
      <x:c r="E5067" s="36" t="n">
        <x:v>300000</x:v>
      </x:c>
      <x:c r="F5067" s="36" t="n">
        <x:v>8672</x:v>
      </x:c>
      <x:c r="G5067" s="42" t="n">
        <x:v>1.8601458601458603</x:v>
      </x:c>
      <x:c r="H5067" s="36" t="n">
        <x:f>E5067*G5067</x:f>
        <x:v>558043.7580437581</x:v>
      </x:c>
      <x:c r="I5067" s="36" t="n">
        <x:f>IFERROR(H5067/A5067,0)</x:f>
        <x:v>69755.46975546976</x:v>
      </x:c>
      <x:c r="J5067" s="67" t="str">
        <x:v>Modeled from live base + Sep-2026 quality ratio</x:v>
      </x:c>
      <x:c r="K5067" s="67" t="str">
        <x:v>https://www.stonealgo.com/diamond-prices/</x:v>
      </x:c>
      <x:c r="L5067" s="67" t="str">
        <x:v>https://www.pricescope.com/blog/natural-diamond-prices-september-2026</x:v>
      </x:c>
    </x:row>
    <x:row r="5068">
      <x:c r="A5068" t="n">
        <x:v>8</x:v>
      </x:c>
      <x:c r="B5068" t="str">
        <x:v>Asscher</x:v>
      </x:c>
      <x:c r="C5068" t="str">
        <x:v>E</x:v>
      </x:c>
      <x:c r="D5068" t="str">
        <x:v>VVS1</x:v>
      </x:c>
      <x:c r="E5068" s="36" t="n">
        <x:v>300000</x:v>
      </x:c>
      <x:c r="F5068" s="36" t="n">
        <x:v>7842</x:v>
      </x:c>
      <x:c r="G5068" s="42" t="n">
        <x:v>1.6821106821106822</x:v>
      </x:c>
      <x:c r="H5068" s="36" t="n">
        <x:f>E5068*G5068</x:f>
        <x:v>504633.2046332047</x:v>
      </x:c>
      <x:c r="I5068" s="36" t="n">
        <x:f>IFERROR(H5068/A5068,0)</x:f>
        <x:v>63079.150579150584</x:v>
      </x:c>
      <x:c r="J5068" s="67" t="str">
        <x:v>Modeled from live base + Sep-2026 quality ratio</x:v>
      </x:c>
      <x:c r="K5068" s="67" t="str">
        <x:v>https://www.stonealgo.com/diamond-prices/</x:v>
      </x:c>
      <x:c r="L5068" s="67" t="str">
        <x:v>https://www.pricescope.com/blog/natural-diamond-prices-september-2026</x:v>
      </x:c>
    </x:row>
    <x:row r="5069">
      <x:c r="A5069" t="n">
        <x:v>8</x:v>
      </x:c>
      <x:c r="B5069" t="str">
        <x:v>Asscher</x:v>
      </x:c>
      <x:c r="C5069" t="str">
        <x:v>E</x:v>
      </x:c>
      <x:c r="D5069" t="str">
        <x:v>VVS2</x:v>
      </x:c>
      <x:c r="E5069" s="36" t="n">
        <x:v>300000</x:v>
      </x:c>
      <x:c r="F5069" s="36" t="n">
        <x:v>6880</x:v>
      </x:c>
      <x:c r="G5069" s="42" t="n">
        <x:v>1.4757614757614759</x:v>
      </x:c>
      <x:c r="H5069" s="36" t="n">
        <x:f>E5069*G5069</x:f>
        <x:v>442728.4427284428</x:v>
      </x:c>
      <x:c r="I5069" s="36" t="n">
        <x:f>IFERROR(H5069/A5069,0)</x:f>
        <x:v>55341.05534105535</x:v>
      </x:c>
      <x:c r="J5069" s="67" t="str">
        <x:v>Modeled from live base + Sep-2026 quality ratio</x:v>
      </x:c>
      <x:c r="K5069" s="67" t="str">
        <x:v>https://www.stonealgo.com/diamond-prices/</x:v>
      </x:c>
      <x:c r="L5069" s="67" t="str">
        <x:v>https://www.pricescope.com/blog/natural-diamond-prices-september-2026</x:v>
      </x:c>
    </x:row>
    <x:row r="5070">
      <x:c r="A5070" t="n">
        <x:v>8</x:v>
      </x:c>
      <x:c r="B5070" t="str">
        <x:v>Asscher</x:v>
      </x:c>
      <x:c r="C5070" t="str">
        <x:v>E</x:v>
      </x:c>
      <x:c r="D5070" t="str">
        <x:v>VS1</x:v>
      </x:c>
      <x:c r="E5070" s="36" t="n">
        <x:v>300000</x:v>
      </x:c>
      <x:c r="F5070" s="36" t="n">
        <x:v>6307</x:v>
      </x:c>
      <x:c r="G5070" s="42" t="n">
        <x:v>1.352852852852853</x:v>
      </x:c>
      <x:c r="H5070" s="36" t="n">
        <x:f>E5070*G5070</x:f>
        <x:v>405855.85585585586</x:v>
      </x:c>
      <x:c r="I5070" s="36" t="n">
        <x:f>IFERROR(H5070/A5070,0)</x:f>
        <x:v>50731.98198198198</x:v>
      </x:c>
      <x:c r="J5070" s="67" t="str">
        <x:v>Modeled from live base + Sep-2026 quality ratio</x:v>
      </x:c>
      <x:c r="K5070" s="67" t="str">
        <x:v>https://www.stonealgo.com/diamond-prices/</x:v>
      </x:c>
      <x:c r="L5070" s="67" t="str">
        <x:v>https://www.pricescope.com/blog/natural-diamond-prices-september-2026</x:v>
      </x:c>
    </x:row>
    <x:row r="5071">
      <x:c r="A5071" t="n">
        <x:v>8</x:v>
      </x:c>
      <x:c r="B5071" t="str">
        <x:v>Asscher</x:v>
      </x:c>
      <x:c r="C5071" t="str">
        <x:v>E</x:v>
      </x:c>
      <x:c r="D5071" t="str">
        <x:v>VS2</x:v>
      </x:c>
      <x:c r="E5071" s="36" t="n">
        <x:v>300000</x:v>
      </x:c>
      <x:c r="F5071" s="36" t="n">
        <x:v>5249</x:v>
      </x:c>
      <x:c r="G5071" s="42" t="n">
        <x:v>1.125911625911626</x:v>
      </x:c>
      <x:c r="H5071" s="36" t="n">
        <x:f>E5071*G5071</x:f>
        <x:v>337773.4877734878</x:v>
      </x:c>
      <x:c r="I5071" s="36" t="n">
        <x:f>IFERROR(H5071/A5071,0)</x:f>
        <x:v>42221.685971685976</x:v>
      </x:c>
      <x:c r="J5071" s="67" t="str">
        <x:v>Modeled from live base + Sep-2026 quality ratio</x:v>
      </x:c>
      <x:c r="K5071" s="67" t="str">
        <x:v>https://www.stonealgo.com/diamond-prices/</x:v>
      </x:c>
      <x:c r="L5071" s="67" t="str">
        <x:v>https://www.pricescope.com/blog/natural-diamond-prices-september-2026</x:v>
      </x:c>
    </x:row>
    <x:row r="5072">
      <x:c r="A5072" t="n">
        <x:v>8</x:v>
      </x:c>
      <x:c r="B5072" t="str">
        <x:v>Asscher</x:v>
      </x:c>
      <x:c r="C5072" t="str">
        <x:v>E</x:v>
      </x:c>
      <x:c r="D5072" t="str">
        <x:v>SI1</x:v>
      </x:c>
      <x:c r="E5072" s="36" t="n">
        <x:v>300000</x:v>
      </x:c>
      <x:c r="F5072" s="36" t="n">
        <x:v>3551</x:v>
      </x:c>
      <x:c r="G5072" s="42" t="n">
        <x:v>0.7616902616902617</x:v>
      </x:c>
      <x:c r="H5072" s="36" t="n">
        <x:f>E5072*G5072</x:f>
        <x:v>228507.0785070785</x:v>
      </x:c>
      <x:c r="I5072" s="36" t="n">
        <x:f>IFERROR(H5072/A5072,0)</x:f>
        <x:v>28563.38481338481</x:v>
      </x:c>
      <x:c r="J5072" s="67" t="str">
        <x:v>Modeled from live base + Sep-2026 quality ratio</x:v>
      </x:c>
      <x:c r="K5072" s="67" t="str">
        <x:v>https://www.stonealgo.com/diamond-prices/</x:v>
      </x:c>
      <x:c r="L5072" s="67" t="str">
        <x:v>https://www.pricescope.com/blog/natural-diamond-prices-september-2026</x:v>
      </x:c>
    </x:row>
    <x:row r="5073">
      <x:c r="A5073" t="n">
        <x:v>8</x:v>
      </x:c>
      <x:c r="B5073" t="str">
        <x:v>Asscher</x:v>
      </x:c>
      <x:c r="C5073" t="str">
        <x:v>E</x:v>
      </x:c>
      <x:c r="D5073" t="str">
        <x:v>SI2</x:v>
      </x:c>
      <x:c r="E5073" s="36" t="n">
        <x:v>300000</x:v>
      </x:c>
      <x:c r="F5073" s="36" t="n">
        <x:v>2993</x:v>
      </x:c>
      <x:c r="G5073" s="42" t="n">
        <x:v>0.641999141999142</x:v>
      </x:c>
      <x:c r="H5073" s="36" t="n">
        <x:f>E5073*G5073</x:f>
        <x:v>192599.7425997426</x:v>
      </x:c>
      <x:c r="I5073" s="36" t="n">
        <x:f>IFERROR(H5073/A5073,0)</x:f>
        <x:v>24074.967824967825</x:v>
      </x:c>
      <x:c r="J5073" s="67" t="str">
        <x:v>Modeled from live base + Sep-2026 quality ratio</x:v>
      </x:c>
      <x:c r="K5073" s="67" t="str">
        <x:v>https://www.stonealgo.com/diamond-prices/</x:v>
      </x:c>
      <x:c r="L5073" s="67" t="str">
        <x:v>https://www.pricescope.com/blog/natural-diamond-prices-september-2026</x:v>
      </x:c>
    </x:row>
    <x:row r="5074">
      <x:c r="A5074" t="n">
        <x:v>8</x:v>
      </x:c>
      <x:c r="B5074" t="str">
        <x:v>Asscher</x:v>
      </x:c>
      <x:c r="C5074" t="str">
        <x:v>F</x:v>
      </x:c>
      <x:c r="D5074" t="str">
        <x:v>FL</x:v>
      </x:c>
      <x:c r="E5074" s="36" t="n">
        <x:v>300000</x:v>
      </x:c>
      <x:c r="F5074" s="36" t="n">
        <x:v>6830</x:v>
      </x:c>
      <x:c r="G5074" s="42" t="n">
        <x:v>1.4650364650364651</x:v>
      </x:c>
      <x:c r="H5074" s="36" t="n">
        <x:f>E5074*G5074</x:f>
        <x:v>439510.9395109395</x:v>
      </x:c>
      <x:c r="I5074" s="36" t="n">
        <x:f>IFERROR(H5074/A5074,0)</x:f>
        <x:v>54938.86743886744</x:v>
      </x:c>
      <x:c r="J5074" s="67" t="str">
        <x:v>Modeled from live base + Sep-2026 quality ratio</x:v>
      </x:c>
      <x:c r="K5074" s="67" t="str">
        <x:v>https://www.stonealgo.com/diamond-prices/</x:v>
      </x:c>
      <x:c r="L5074" s="67" t="str">
        <x:v>https://www.pricescope.com/blog/natural-diamond-prices-september-2026</x:v>
      </x:c>
    </x:row>
    <x:row r="5075">
      <x:c r="A5075" t="n">
        <x:v>8</x:v>
      </x:c>
      <x:c r="B5075" t="str">
        <x:v>Asscher</x:v>
      </x:c>
      <x:c r="C5075" t="str">
        <x:v>F</x:v>
      </x:c>
      <x:c r="D5075" t="str">
        <x:v>IF</x:v>
      </x:c>
      <x:c r="E5075" s="36" t="n">
        <x:v>300000</x:v>
      </x:c>
      <x:c r="F5075" s="36" t="n">
        <x:v>7302</x:v>
      </x:c>
      <x:c r="G5075" s="42" t="n">
        <x:v>1.5662805662805663</x:v>
      </x:c>
      <x:c r="H5075" s="36" t="n">
        <x:f>E5075*G5075</x:f>
        <x:v>469884.1698841699</x:v>
      </x:c>
      <x:c r="I5075" s="36" t="n">
        <x:f>IFERROR(H5075/A5075,0)</x:f>
        <x:v>58735.521235521235</x:v>
      </x:c>
      <x:c r="J5075" s="67" t="str">
        <x:v>Modeled from live base + Sep-2026 quality ratio</x:v>
      </x:c>
      <x:c r="K5075" s="67" t="str">
        <x:v>https://www.stonealgo.com/diamond-prices/</x:v>
      </x:c>
      <x:c r="L5075" s="67" t="str">
        <x:v>https://www.pricescope.com/blog/natural-diamond-prices-september-2026</x:v>
      </x:c>
    </x:row>
    <x:row r="5076">
      <x:c r="A5076" t="n">
        <x:v>8</x:v>
      </x:c>
      <x:c r="B5076" t="str">
        <x:v>Asscher</x:v>
      </x:c>
      <x:c r="C5076" t="str">
        <x:v>F</x:v>
      </x:c>
      <x:c r="D5076" t="str">
        <x:v>VVS1</x:v>
      </x:c>
      <x:c r="E5076" s="36" t="n">
        <x:v>300000</x:v>
      </x:c>
      <x:c r="F5076" s="36" t="n">
        <x:v>7542</x:v>
      </x:c>
      <x:c r="G5076" s="42" t="n">
        <x:v>1.6177606177606179</x:v>
      </x:c>
      <x:c r="H5076" s="36" t="n">
        <x:f>E5076*G5076</x:f>
        <x:v>485328.1853281854</x:v>
      </x:c>
      <x:c r="I5076" s="36" t="n">
        <x:f>IFERROR(H5076/A5076,0)</x:f>
        <x:v>60666.02316602317</x:v>
      </x:c>
      <x:c r="J5076" s="67" t="str">
        <x:v>Modeled from live base + Sep-2026 quality ratio</x:v>
      </x:c>
      <x:c r="K5076" s="67" t="str">
        <x:v>https://www.stonealgo.com/diamond-prices/</x:v>
      </x:c>
      <x:c r="L5076" s="67" t="str">
        <x:v>https://www.pricescope.com/blog/natural-diamond-prices-september-2026</x:v>
      </x:c>
    </x:row>
    <x:row r="5077">
      <x:c r="A5077" t="n">
        <x:v>8</x:v>
      </x:c>
      <x:c r="B5077" t="str">
        <x:v>Asscher</x:v>
      </x:c>
      <x:c r="C5077" t="str">
        <x:v>F</x:v>
      </x:c>
      <x:c r="D5077" t="str">
        <x:v>VVS2</x:v>
      </x:c>
      <x:c r="E5077" s="36" t="n">
        <x:v>300000</x:v>
      </x:c>
      <x:c r="F5077" s="36" t="n">
        <x:v>6352</x:v>
      </x:c>
      <x:c r="G5077" s="42" t="n">
        <x:v>1.3625053625053625</x:v>
      </x:c>
      <x:c r="H5077" s="36" t="n">
        <x:f>E5077*G5077</x:f>
        <x:v>408751.60875160876</x:v>
      </x:c>
      <x:c r="I5077" s="36" t="n">
        <x:f>IFERROR(H5077/A5077,0)</x:f>
        <x:v>51093.951093951095</x:v>
      </x:c>
      <x:c r="J5077" s="67" t="str">
        <x:v>Modeled from live base + Sep-2026 quality ratio</x:v>
      </x:c>
      <x:c r="K5077" s="67" t="str">
        <x:v>https://www.stonealgo.com/diamond-prices/</x:v>
      </x:c>
      <x:c r="L5077" s="67" t="str">
        <x:v>https://www.pricescope.com/blog/natural-diamond-prices-september-2026</x:v>
      </x:c>
    </x:row>
    <x:row r="5078">
      <x:c r="A5078" t="n">
        <x:v>8</x:v>
      </x:c>
      <x:c r="B5078" t="str">
        <x:v>Asscher</x:v>
      </x:c>
      <x:c r="C5078" t="str">
        <x:v>F</x:v>
      </x:c>
      <x:c r="D5078" t="str">
        <x:v>VS1</x:v>
      </x:c>
      <x:c r="E5078" s="36" t="n">
        <x:v>300000</x:v>
      </x:c>
      <x:c r="F5078" s="36" t="n">
        <x:v>5647</x:v>
      </x:c>
      <x:c r="G5078" s="42" t="n">
        <x:v>1.2112827112827114</x:v>
      </x:c>
      <x:c r="H5078" s="36" t="n">
        <x:f>E5078*G5078</x:f>
        <x:v>363384.81338481343</x:v>
      </x:c>
      <x:c r="I5078" s="36" t="n">
        <x:f>IFERROR(H5078/A5078,0)</x:f>
        <x:v>45423.10167310168</x:v>
      </x:c>
      <x:c r="J5078" s="67" t="str">
        <x:v>Modeled from live base + Sep-2026 quality ratio</x:v>
      </x:c>
      <x:c r="K5078" s="67" t="str">
        <x:v>https://www.stonealgo.com/diamond-prices/</x:v>
      </x:c>
      <x:c r="L5078" s="67" t="str">
        <x:v>https://www.pricescope.com/blog/natural-diamond-prices-september-2026</x:v>
      </x:c>
    </x:row>
    <x:row r="5079">
      <x:c r="A5079" t="n">
        <x:v>8</x:v>
      </x:c>
      <x:c r="B5079" t="str">
        <x:v>Asscher</x:v>
      </x:c>
      <x:c r="C5079" t="str">
        <x:v>F</x:v>
      </x:c>
      <x:c r="D5079" t="str">
        <x:v>VS2</x:v>
      </x:c>
      <x:c r="E5079" s="36" t="n">
        <x:v>300000</x:v>
      </x:c>
      <x:c r="F5079" s="36" t="n">
        <x:v>4730</x:v>
      </x:c>
      <x:c r="G5079" s="42" t="n">
        <x:v>1.0145860145860146</x:v>
      </x:c>
      <x:c r="H5079" s="36" t="n">
        <x:f>E5079*G5079</x:f>
        <x:v>304375.8043758044</x:v>
      </x:c>
      <x:c r="I5079" s="36" t="n">
        <x:f>IFERROR(H5079/A5079,0)</x:f>
        <x:v>38046.97554697555</x:v>
      </x:c>
      <x:c r="J5079" s="67" t="str">
        <x:v>Modeled from live base + Sep-2026 quality ratio</x:v>
      </x:c>
      <x:c r="K5079" s="67" t="str">
        <x:v>https://www.stonealgo.com/diamond-prices/</x:v>
      </x:c>
      <x:c r="L5079" s="67" t="str">
        <x:v>https://www.pricescope.com/blog/natural-diamond-prices-september-2026</x:v>
      </x:c>
    </x:row>
    <x:row r="5080">
      <x:c r="A5080" t="n">
        <x:v>8</x:v>
      </x:c>
      <x:c r="B5080" t="str">
        <x:v>Asscher</x:v>
      </x:c>
      <x:c r="C5080" t="str">
        <x:v>F</x:v>
      </x:c>
      <x:c r="D5080" t="str">
        <x:v>SI1</x:v>
      </x:c>
      <x:c r="E5080" s="36" t="n">
        <x:v>300000</x:v>
      </x:c>
      <x:c r="F5080" s="36" t="n">
        <x:v>3331</x:v>
      </x:c>
      <x:c r="G5080" s="42" t="n">
        <x:v>0.7145002145002145</x:v>
      </x:c>
      <x:c r="H5080" s="36" t="n">
        <x:f>E5080*G5080</x:f>
        <x:v>214350.06435006435</x:v>
      </x:c>
      <x:c r="I5080" s="36" t="n">
        <x:f>IFERROR(H5080/A5080,0)</x:f>
        <x:v>26793.758043758044</x:v>
      </x:c>
      <x:c r="J5080" s="67" t="str">
        <x:v>Modeled from live base + Sep-2026 quality ratio</x:v>
      </x:c>
      <x:c r="K5080" s="67" t="str">
        <x:v>https://www.stonealgo.com/diamond-prices/</x:v>
      </x:c>
      <x:c r="L5080" s="67" t="str">
        <x:v>https://www.pricescope.com/blog/natural-diamond-prices-september-2026</x:v>
      </x:c>
    </x:row>
    <x:row r="5081">
      <x:c r="A5081" t="n">
        <x:v>8</x:v>
      </x:c>
      <x:c r="B5081" t="str">
        <x:v>Asscher</x:v>
      </x:c>
      <x:c r="C5081" t="str">
        <x:v>F</x:v>
      </x:c>
      <x:c r="D5081" t="str">
        <x:v>SI2</x:v>
      </x:c>
      <x:c r="E5081" s="36" t="n">
        <x:v>300000</x:v>
      </x:c>
      <x:c r="F5081" s="36" t="n">
        <x:v>2733</x:v>
      </x:c>
      <x:c r="G5081" s="42" t="n">
        <x:v>0.5862290862290862</x:v>
      </x:c>
      <x:c r="H5081" s="36" t="n">
        <x:f>E5081*G5081</x:f>
        <x:v>175868.72586872586</x:v>
      </x:c>
      <x:c r="I5081" s="36" t="n">
        <x:f>IFERROR(H5081/A5081,0)</x:f>
        <x:v>21983.590733590732</x:v>
      </x:c>
      <x:c r="J5081" s="67" t="str">
        <x:v>Modeled from live base + Sep-2026 quality ratio</x:v>
      </x:c>
      <x:c r="K5081" s="67" t="str">
        <x:v>https://www.stonealgo.com/diamond-prices/</x:v>
      </x:c>
      <x:c r="L5081" s="67" t="str">
        <x:v>https://www.pricescope.com/blog/natural-diamond-prices-september-2026</x:v>
      </x:c>
    </x:row>
    <x:row r="5082">
      <x:c r="A5082" t="n">
        <x:v>8</x:v>
      </x:c>
      <x:c r="B5082" t="str">
        <x:v>Asscher</x:v>
      </x:c>
      <x:c r="C5082" t="str">
        <x:v>G</x:v>
      </x:c>
      <x:c r="D5082" t="str">
        <x:v>FL</x:v>
      </x:c>
      <x:c r="E5082" s="36" t="n">
        <x:v>300000</x:v>
      </x:c>
      <x:c r="F5082" s="36" t="n">
        <x:v>5905</x:v>
      </x:c>
      <x:c r="G5082" s="42" t="n">
        <x:v>1.2666237666237665</x:v>
      </x:c>
      <x:c r="H5082" s="36" t="n">
        <x:f>E5082*G5082</x:f>
        <x:v>379987.12998712994</x:v>
      </x:c>
      <x:c r="I5082" s="36" t="n">
        <x:f>IFERROR(H5082/A5082,0)</x:f>
        <x:v>47498.39124839124</x:v>
      </x:c>
      <x:c r="J5082" s="67" t="str">
        <x:v>Modeled from live base + Sep-2026 quality ratio</x:v>
      </x:c>
      <x:c r="K5082" s="67" t="str">
        <x:v>https://www.stonealgo.com/diamond-prices/</x:v>
      </x:c>
      <x:c r="L5082" s="67" t="str">
        <x:v>https://www.pricescope.com/blog/natural-diamond-prices-september-2026</x:v>
      </x:c>
    </x:row>
    <x:row r="5083">
      <x:c r="A5083" t="n">
        <x:v>8</x:v>
      </x:c>
      <x:c r="B5083" t="str">
        <x:v>Asscher</x:v>
      </x:c>
      <x:c r="C5083" t="str">
        <x:v>G</x:v>
      </x:c>
      <x:c r="D5083" t="str">
        <x:v>IF</x:v>
      </x:c>
      <x:c r="E5083" s="36" t="n">
        <x:v>300000</x:v>
      </x:c>
      <x:c r="F5083" s="36" t="n">
        <x:v>5601</x:v>
      </x:c>
      <x:c r="G5083" s="42" t="n">
        <x:v>1.2014157014157014</x:v>
      </x:c>
      <x:c r="H5083" s="36" t="n">
        <x:f>E5083*G5083</x:f>
        <x:v>360424.7104247104</x:v>
      </x:c>
      <x:c r="I5083" s="36" t="n">
        <x:f>IFERROR(H5083/A5083,0)</x:f>
        <x:v>45053.0888030888</x:v>
      </x:c>
      <x:c r="J5083" s="67" t="str">
        <x:v>Modeled from live base + Sep-2026 quality ratio</x:v>
      </x:c>
      <x:c r="K5083" s="67" t="str">
        <x:v>https://www.stonealgo.com/diamond-prices/</x:v>
      </x:c>
      <x:c r="L5083" s="67" t="str">
        <x:v>https://www.pricescope.com/blog/natural-diamond-prices-september-2026</x:v>
      </x:c>
    </x:row>
    <x:row r="5084">
      <x:c r="A5084" t="n">
        <x:v>8</x:v>
      </x:c>
      <x:c r="B5084" t="str">
        <x:v>Asscher</x:v>
      </x:c>
      <x:c r="C5084" t="str">
        <x:v>G</x:v>
      </x:c>
      <x:c r="D5084" t="str">
        <x:v>VVS1</x:v>
      </x:c>
      <x:c r="E5084" s="36" t="n">
        <x:v>300000</x:v>
      </x:c>
      <x:c r="F5084" s="36" t="n">
        <x:v>5124</x:v>
      </x:c>
      <x:c r="G5084" s="42" t="n">
        <x:v>1.0990990990990992</x:v>
      </x:c>
      <x:c r="H5084" s="36" t="n">
        <x:f>E5084*G5084</x:f>
        <x:v>329729.72972972976</x:v>
      </x:c>
      <x:c r="I5084" s="36" t="n">
        <x:f>IFERROR(H5084/A5084,0)</x:f>
        <x:v>41216.21621621622</x:v>
      </x:c>
      <x:c r="J5084" s="67" t="str">
        <x:v>Modeled from live base + Sep-2026 quality ratio</x:v>
      </x:c>
      <x:c r="K5084" s="67" t="str">
        <x:v>https://www.stonealgo.com/diamond-prices/</x:v>
      </x:c>
      <x:c r="L5084" s="67" t="str">
        <x:v>https://www.pricescope.com/blog/natural-diamond-prices-september-2026</x:v>
      </x:c>
    </x:row>
    <x:row r="5085">
      <x:c r="A5085" t="n">
        <x:v>8</x:v>
      </x:c>
      <x:c r="B5085" t="str">
        <x:v>Asscher</x:v>
      </x:c>
      <x:c r="C5085" t="str">
        <x:v>G</x:v>
      </x:c>
      <x:c r="D5085" t="str">
        <x:v>VVS2</x:v>
      </x:c>
      <x:c r="E5085" s="36" t="n">
        <x:v>300000</x:v>
      </x:c>
      <x:c r="F5085" s="36" t="n">
        <x:v>4962</x:v>
      </x:c>
      <x:c r="G5085" s="42" t="n">
        <x:v>1.0643500643500643</x:v>
      </x:c>
      <x:c r="H5085" s="36" t="n">
        <x:f>E5085*G5085</x:f>
        <x:v>319305.0193050193</x:v>
      </x:c>
      <x:c r="I5085" s="36" t="n">
        <x:f>IFERROR(H5085/A5085,0)</x:f>
        <x:v>39913.12741312741</x:v>
      </x:c>
      <x:c r="J5085" s="67" t="str">
        <x:v>Modeled from live base + Sep-2026 quality ratio</x:v>
      </x:c>
      <x:c r="K5085" s="67" t="str">
        <x:v>https://www.stonealgo.com/diamond-prices/</x:v>
      </x:c>
      <x:c r="L5085" s="67" t="str">
        <x:v>https://www.pricescope.com/blog/natural-diamond-prices-september-2026</x:v>
      </x:c>
    </x:row>
    <x:row r="5086">
      <x:c r="A5086" t="n">
        <x:v>8</x:v>
      </x:c>
      <x:c r="B5086" t="str">
        <x:v>Asscher</x:v>
      </x:c>
      <x:c r="C5086" t="str">
        <x:v>G</x:v>
      </x:c>
      <x:c r="D5086" t="str">
        <x:v>VS1</x:v>
      </x:c>
      <x:c r="E5086" s="36" t="n">
        <x:v>300000</x:v>
      </x:c>
      <x:c r="F5086" s="36" t="n">
        <x:v>4615</x:v>
      </x:c>
      <x:c r="G5086" s="42" t="n">
        <x:v>0.98991848991849</x:v>
      </x:c>
      <x:c r="H5086" s="36" t="n">
        <x:f>E5086*G5086</x:f>
        <x:v>296975.546975547</x:v>
      </x:c>
      <x:c r="I5086" s="36" t="n">
        <x:f>IFERROR(H5086/A5086,0)</x:f>
        <x:v>37121.94337194337</x:v>
      </x:c>
      <x:c r="J5086" s="67" t="str">
        <x:v>Modeled from live base + Sep-2026 quality ratio</x:v>
      </x:c>
      <x:c r="K5086" s="67" t="str">
        <x:v>https://www.stonealgo.com/diamond-prices/</x:v>
      </x:c>
      <x:c r="L5086" s="67" t="str">
        <x:v>https://www.pricescope.com/blog/natural-diamond-prices-september-2026</x:v>
      </x:c>
    </x:row>
    <x:row r="5087">
      <x:c r="A5087" t="n">
        <x:v>8</x:v>
      </x:c>
      <x:c r="B5087" t="str">
        <x:v>Asscher</x:v>
      </x:c>
      <x:c r="C5087" t="str">
        <x:v>G</x:v>
      </x:c>
      <x:c r="D5087" t="str">
        <x:v>VS2</x:v>
      </x:c>
      <x:c r="E5087" s="36" t="n">
        <x:v>300000</x:v>
      </x:c>
      <x:c r="F5087" s="36" t="n">
        <x:v>4585</x:v>
      </x:c>
      <x:c r="G5087" s="42" t="n">
        <x:v>0.9834834834834835</x:v>
      </x:c>
      <x:c r="H5087" s="36" t="n">
        <x:f>E5087*G5087</x:f>
        <x:v>295045.04504504503</x:v>
      </x:c>
      <x:c r="I5087" s="36" t="n">
        <x:f>IFERROR(H5087/A5087,0)</x:f>
        <x:v>36880.63063063063</x:v>
      </x:c>
      <x:c r="J5087" s="67" t="str">
        <x:v>Modeled from live base + Sep-2026 quality ratio</x:v>
      </x:c>
      <x:c r="K5087" s="67" t="str">
        <x:v>https://www.stonealgo.com/diamond-prices/</x:v>
      </x:c>
      <x:c r="L5087" s="67" t="str">
        <x:v>https://www.pricescope.com/blog/natural-diamond-prices-september-2026</x:v>
      </x:c>
    </x:row>
    <x:row r="5088">
      <x:c r="A5088" t="n">
        <x:v>8</x:v>
      </x:c>
      <x:c r="B5088" t="str">
        <x:v>Asscher</x:v>
      </x:c>
      <x:c r="C5088" t="str">
        <x:v>G</x:v>
      </x:c>
      <x:c r="D5088" t="str">
        <x:v>SI1</x:v>
      </x:c>
      <x:c r="E5088" s="36" t="n">
        <x:v>300000</x:v>
      </x:c>
      <x:c r="F5088" s="36" t="n">
        <x:v>3664</x:v>
      </x:c>
      <x:c r="G5088" s="42" t="n">
        <x:v>0.7859287859287859</x:v>
      </x:c>
      <x:c r="H5088" s="36" t="n">
        <x:f>E5088*G5088</x:f>
        <x:v>235778.63577863577</x:v>
      </x:c>
      <x:c r="I5088" s="36" t="n">
        <x:f>IFERROR(H5088/A5088,0)</x:f>
        <x:v>29472.32947232947</x:v>
      </x:c>
      <x:c r="J5088" s="67" t="str">
        <x:v>Modeled from live base + Sep-2026 quality ratio</x:v>
      </x:c>
      <x:c r="K5088" s="67" t="str">
        <x:v>https://www.stonealgo.com/diamond-prices/</x:v>
      </x:c>
      <x:c r="L5088" s="67" t="str">
        <x:v>https://www.pricescope.com/blog/natural-diamond-prices-september-2026</x:v>
      </x:c>
    </x:row>
    <x:row r="5089">
      <x:c r="A5089" t="n">
        <x:v>8</x:v>
      </x:c>
      <x:c r="B5089" t="str">
        <x:v>Asscher</x:v>
      </x:c>
      <x:c r="C5089" t="str">
        <x:v>G</x:v>
      </x:c>
      <x:c r="D5089" t="str">
        <x:v>SI2</x:v>
      </x:c>
      <x:c r="E5089" s="36" t="n">
        <x:v>300000</x:v>
      </x:c>
      <x:c r="F5089" s="36" t="n">
        <x:v>2537</x:v>
      </x:c>
      <x:c r="G5089" s="42" t="n">
        <x:v>0.5441870441870442</x:v>
      </x:c>
      <x:c r="H5089" s="36" t="n">
        <x:f>E5089*G5089</x:f>
        <x:v>163256.11325611325</x:v>
      </x:c>
      <x:c r="I5089" s="36" t="n">
        <x:f>IFERROR(H5089/A5089,0)</x:f>
        <x:v>20407.014157014157</x:v>
      </x:c>
      <x:c r="J5089" s="67" t="str">
        <x:v>Modeled from live base + Sep-2026 quality ratio</x:v>
      </x:c>
      <x:c r="K5089" s="67" t="str">
        <x:v>https://www.stonealgo.com/diamond-prices/</x:v>
      </x:c>
      <x:c r="L5089" s="67" t="str">
        <x:v>https://www.pricescope.com/blog/natural-diamond-prices-september-2026</x:v>
      </x:c>
    </x:row>
    <x:row r="5090">
      <x:c r="A5090" t="n">
        <x:v>8</x:v>
      </x:c>
      <x:c r="B5090" t="str">
        <x:v>Asscher</x:v>
      </x:c>
      <x:c r="C5090" t="str">
        <x:v>H</x:v>
      </x:c>
      <x:c r="D5090" t="str">
        <x:v>FL</x:v>
      </x:c>
      <x:c r="E5090" s="36" t="n">
        <x:v>300000</x:v>
      </x:c>
      <x:c r="F5090" s="36" t="n">
        <x:v>4563</x:v>
      </x:c>
      <x:c r="G5090" s="42" t="n">
        <x:v>0.9787644787644788</x:v>
      </x:c>
      <x:c r="H5090" s="36" t="n">
        <x:f>E5090*G5090</x:f>
        <x:v>293629.34362934367</x:v>
      </x:c>
      <x:c r="I5090" s="36" t="n">
        <x:f>IFERROR(H5090/A5090,0)</x:f>
        <x:v>36703.66795366796</x:v>
      </x:c>
      <x:c r="J5090" s="67" t="str">
        <x:v>Modeled from live base + Sep-2026 quality ratio</x:v>
      </x:c>
      <x:c r="K5090" s="67" t="str">
        <x:v>https://www.stonealgo.com/diamond-prices/</x:v>
      </x:c>
      <x:c r="L5090" s="67" t="str">
        <x:v>https://www.pricescope.com/blog/natural-diamond-prices-september-2026</x:v>
      </x:c>
    </x:row>
    <x:row r="5091">
      <x:c r="A5091" t="n">
        <x:v>8</x:v>
      </x:c>
      <x:c r="B5091" t="str">
        <x:v>Asscher</x:v>
      </x:c>
      <x:c r="C5091" t="str">
        <x:v>H</x:v>
      </x:c>
      <x:c r="D5091" t="str">
        <x:v>IF</x:v>
      </x:c>
      <x:c r="E5091" s="36" t="n">
        <x:v>300000</x:v>
      </x:c>
      <x:c r="F5091" s="36" t="n">
        <x:v>4809</x:v>
      </x:c>
      <x:c r="G5091" s="42" t="n">
        <x:v>1.0315315315315314</x:v>
      </x:c>
      <x:c r="H5091" s="36" t="n">
        <x:f>E5091*G5091</x:f>
        <x:v>309459.4594594594</x:v>
      </x:c>
      <x:c r="I5091" s="36" t="n">
        <x:f>IFERROR(H5091/A5091,0)</x:f>
        <x:v>38682.432432432426</x:v>
      </x:c>
      <x:c r="J5091" s="67" t="str">
        <x:v>Modeled from live base + Sep-2026 quality ratio</x:v>
      </x:c>
      <x:c r="K5091" s="67" t="str">
        <x:v>https://www.stonealgo.com/diamond-prices/</x:v>
      </x:c>
      <x:c r="L5091" s="67" t="str">
        <x:v>https://www.pricescope.com/blog/natural-diamond-prices-september-2026</x:v>
      </x:c>
    </x:row>
    <x:row r="5092">
      <x:c r="A5092" t="n">
        <x:v>8</x:v>
      </x:c>
      <x:c r="B5092" t="str">
        <x:v>Asscher</x:v>
      </x:c>
      <x:c r="C5092" t="str">
        <x:v>H</x:v>
      </x:c>
      <x:c r="D5092" t="str">
        <x:v>VVS1</x:v>
      </x:c>
      <x:c r="E5092" s="36" t="n">
        <x:v>300000</x:v>
      </x:c>
      <x:c r="F5092" s="36" t="n">
        <x:v>4911</x:v>
      </x:c>
      <x:c r="G5092" s="42" t="n">
        <x:v>1.0534105534105533</x:v>
      </x:c>
      <x:c r="H5092" s="36" t="n">
        <x:f>E5092*G5092</x:f>
        <x:v>316023.166023166</x:v>
      </x:c>
      <x:c r="I5092" s="36" t="n">
        <x:f>IFERROR(H5092/A5092,0)</x:f>
        <x:v>39502.89575289575</x:v>
      </x:c>
      <x:c r="J5092" s="67" t="str">
        <x:v>Modeled from live base + Sep-2026 quality ratio</x:v>
      </x:c>
      <x:c r="K5092" s="67" t="str">
        <x:v>https://www.stonealgo.com/diamond-prices/</x:v>
      </x:c>
      <x:c r="L5092" s="67" t="str">
        <x:v>https://www.pricescope.com/blog/natural-diamond-prices-september-2026</x:v>
      </x:c>
    </x:row>
    <x:row r="5093">
      <x:c r="A5093" t="n">
        <x:v>8</x:v>
      </x:c>
      <x:c r="B5093" t="str">
        <x:v>Asscher</x:v>
      </x:c>
      <x:c r="C5093" t="str">
        <x:v>H</x:v>
      </x:c>
      <x:c r="D5093" t="str">
        <x:v>VVS2</x:v>
      </x:c>
      <x:c r="E5093" s="36" t="n">
        <x:v>300000</x:v>
      </x:c>
      <x:c r="F5093" s="36" t="n">
        <x:v>4046</x:v>
      </x:c>
      <x:c r="G5093" s="42" t="n">
        <x:v>0.8678678678678678</x:v>
      </x:c>
      <x:c r="H5093" s="36" t="n">
        <x:f>E5093*G5093</x:f>
        <x:v>260360.36036036036</x:v>
      </x:c>
      <x:c r="I5093" s="36" t="n">
        <x:f>IFERROR(H5093/A5093,0)</x:f>
        <x:v>32545.045045045044</x:v>
      </x:c>
      <x:c r="J5093" s="67" t="str">
        <x:v>Modeled from live base + Sep-2026 quality ratio</x:v>
      </x:c>
      <x:c r="K5093" s="67" t="str">
        <x:v>https://www.stonealgo.com/diamond-prices/</x:v>
      </x:c>
      <x:c r="L5093" s="67" t="str">
        <x:v>https://www.pricescope.com/blog/natural-diamond-prices-september-2026</x:v>
      </x:c>
    </x:row>
    <x:row r="5094">
      <x:c r="A5094" t="n">
        <x:v>8</x:v>
      </x:c>
      <x:c r="B5094" t="str">
        <x:v>Asscher</x:v>
      </x:c>
      <x:c r="C5094" t="str">
        <x:v>H</x:v>
      </x:c>
      <x:c r="D5094" t="str">
        <x:v>VS1</x:v>
      </x:c>
      <x:c r="E5094" s="36" t="n">
        <x:v>300000</x:v>
      </x:c>
      <x:c r="F5094" s="36" t="n">
        <x:v>3893</x:v>
      </x:c>
      <x:c r="G5094" s="42" t="n">
        <x:v>0.8350493350493351</x:v>
      </x:c>
      <x:c r="H5094" s="36" t="n">
        <x:f>E5094*G5094</x:f>
        <x:v>250514.80051480053</x:v>
      </x:c>
      <x:c r="I5094" s="36" t="n">
        <x:f>IFERROR(H5094/A5094,0)</x:f>
        <x:v>31314.350064350067</x:v>
      </x:c>
      <x:c r="J5094" s="67" t="str">
        <x:v>Modeled from live base + Sep-2026 quality ratio</x:v>
      </x:c>
      <x:c r="K5094" s="67" t="str">
        <x:v>https://www.stonealgo.com/diamond-prices/</x:v>
      </x:c>
      <x:c r="L5094" s="67" t="str">
        <x:v>https://www.pricescope.com/blog/natural-diamond-prices-september-2026</x:v>
      </x:c>
    </x:row>
    <x:row r="5095">
      <x:c r="A5095" t="n">
        <x:v>8</x:v>
      </x:c>
      <x:c r="B5095" t="str">
        <x:v>Asscher</x:v>
      </x:c>
      <x:c r="C5095" t="str">
        <x:v>H</x:v>
      </x:c>
      <x:c r="D5095" t="str">
        <x:v>VS2</x:v>
      </x:c>
      <x:c r="E5095" s="36" t="n">
        <x:v>300000</x:v>
      </x:c>
      <x:c r="F5095" s="36" t="n">
        <x:v>3989</x:v>
      </x:c>
      <x:c r="G5095" s="42" t="n">
        <x:v>0.8556413556413557</x:v>
      </x:c>
      <x:c r="H5095" s="36" t="n">
        <x:f>E5095*G5095</x:f>
        <x:v>256692.40669240672</x:v>
      </x:c>
      <x:c r="I5095" s="36" t="n">
        <x:f>IFERROR(H5095/A5095,0)</x:f>
        <x:v>32086.55083655084</x:v>
      </x:c>
      <x:c r="J5095" s="67" t="str">
        <x:v>Modeled from live base + Sep-2026 quality ratio</x:v>
      </x:c>
      <x:c r="K5095" s="67" t="str">
        <x:v>https://www.stonealgo.com/diamond-prices/</x:v>
      </x:c>
      <x:c r="L5095" s="67" t="str">
        <x:v>https://www.pricescope.com/blog/natural-diamond-prices-september-2026</x:v>
      </x:c>
    </x:row>
    <x:row r="5096">
      <x:c r="A5096" t="n">
        <x:v>8</x:v>
      </x:c>
      <x:c r="B5096" t="str">
        <x:v>Asscher</x:v>
      </x:c>
      <x:c r="C5096" t="str">
        <x:v>H</x:v>
      </x:c>
      <x:c r="D5096" t="str">
        <x:v>SI1</x:v>
      </x:c>
      <x:c r="E5096" s="36" t="n">
        <x:v>300000</x:v>
      </x:c>
      <x:c r="F5096" s="36" t="n">
        <x:v>2828</x:v>
      </x:c>
      <x:c r="G5096" s="42" t="n">
        <x:v>0.6066066066066066</x:v>
      </x:c>
      <x:c r="H5096" s="36" t="n">
        <x:f>E5096*G5096</x:f>
        <x:v>181981.98198198198</x:v>
      </x:c>
      <x:c r="I5096" s="36" t="n">
        <x:f>IFERROR(H5096/A5096,0)</x:f>
        <x:v>22747.747747747748</x:v>
      </x:c>
      <x:c r="J5096" s="67" t="str">
        <x:v>Modeled from live base + Sep-2026 quality ratio</x:v>
      </x:c>
      <x:c r="K5096" s="67" t="str">
        <x:v>https://www.stonealgo.com/diamond-prices/</x:v>
      </x:c>
      <x:c r="L5096" s="67" t="str">
        <x:v>https://www.pricescope.com/blog/natural-diamond-prices-september-2026</x:v>
      </x:c>
    </x:row>
    <x:row r="5097">
      <x:c r="A5097" t="n">
        <x:v>8</x:v>
      </x:c>
      <x:c r="B5097" t="str">
        <x:v>Asscher</x:v>
      </x:c>
      <x:c r="C5097" t="str">
        <x:v>H</x:v>
      </x:c>
      <x:c r="D5097" t="str">
        <x:v>SI2</x:v>
      </x:c>
      <x:c r="E5097" s="36" t="n">
        <x:v>300000</x:v>
      </x:c>
      <x:c r="F5097" s="36" t="n">
        <x:v>2328</x:v>
      </x:c>
      <x:c r="G5097" s="42" t="n">
        <x:v>0.49935649935649934</x:v>
      </x:c>
      <x:c r="H5097" s="36" t="n">
        <x:f>E5097*G5097</x:f>
        <x:v>149806.9498069498</x:v>
      </x:c>
      <x:c r="I5097" s="36" t="n">
        <x:f>IFERROR(H5097/A5097,0)</x:f>
        <x:v>18725.868725868724</x:v>
      </x:c>
      <x:c r="J5097" s="67" t="str">
        <x:v>Modeled from live base + Sep-2026 quality ratio</x:v>
      </x:c>
      <x:c r="K5097" s="67" t="str">
        <x:v>https://www.stonealgo.com/diamond-prices/</x:v>
      </x:c>
      <x:c r="L5097" s="67" t="str">
        <x:v>https://www.pricescope.com/blog/natural-diamond-prices-september-2026</x:v>
      </x:c>
    </x:row>
    <x:row r="5098">
      <x:c r="A5098" t="n">
        <x:v>8</x:v>
      </x:c>
      <x:c r="B5098" t="str">
        <x:v>Asscher</x:v>
      </x:c>
      <x:c r="C5098" t="str">
        <x:v>I</x:v>
      </x:c>
      <x:c r="D5098" t="str">
        <x:v>FL</x:v>
      </x:c>
      <x:c r="E5098" s="36" t="n">
        <x:v>300000</x:v>
      </x:c>
      <x:c r="F5098" s="36" t="n">
        <x:v>4623</x:v>
      </x:c>
      <x:c r="G5098" s="42" t="n">
        <x:v>0.9916344916344917</x:v>
      </x:c>
      <x:c r="H5098" s="36" t="n">
        <x:f>E5098*G5098</x:f>
        <x:v>297490.3474903475</x:v>
      </x:c>
      <x:c r="I5098" s="36" t="n">
        <x:f>IFERROR(H5098/A5098,0)</x:f>
        <x:v>37186.29343629344</x:v>
      </x:c>
      <x:c r="J5098" s="67" t="str">
        <x:v>Modeled from live base + Sep-2026 quality ratio</x:v>
      </x:c>
      <x:c r="K5098" s="67" t="str">
        <x:v>https://www.stonealgo.com/diamond-prices/</x:v>
      </x:c>
      <x:c r="L5098" s="67" t="str">
        <x:v>https://www.pricescope.com/blog/natural-diamond-prices-september-2026</x:v>
      </x:c>
    </x:row>
    <x:row r="5099">
      <x:c r="A5099" t="n">
        <x:v>8</x:v>
      </x:c>
      <x:c r="B5099" t="str">
        <x:v>Asscher</x:v>
      </x:c>
      <x:c r="C5099" t="str">
        <x:v>I</x:v>
      </x:c>
      <x:c r="D5099" t="str">
        <x:v>IF</x:v>
      </x:c>
      <x:c r="E5099" s="36" t="n">
        <x:v>300000</x:v>
      </x:c>
      <x:c r="F5099" s="36" t="n">
        <x:v>4005</x:v>
      </x:c>
      <x:c r="G5099" s="42" t="n">
        <x:v>0.859073359073359</x:v>
      </x:c>
      <x:c r="H5099" s="36" t="n">
        <x:f>E5099*G5099</x:f>
        <x:v>257722.0077220077</x:v>
      </x:c>
      <x:c r="I5099" s="36" t="n">
        <x:f>IFERROR(H5099/A5099,0)</x:f>
        <x:v>32215.25096525096</x:v>
      </x:c>
      <x:c r="J5099" s="67" t="str">
        <x:v>Modeled from live base + Sep-2026 quality ratio</x:v>
      </x:c>
      <x:c r="K5099" s="67" t="str">
        <x:v>https://www.stonealgo.com/diamond-prices/</x:v>
      </x:c>
      <x:c r="L5099" s="67" t="str">
        <x:v>https://www.pricescope.com/blog/natural-diamond-prices-september-2026</x:v>
      </x:c>
    </x:row>
    <x:row r="5100">
      <x:c r="A5100" t="n">
        <x:v>8</x:v>
      </x:c>
      <x:c r="B5100" t="str">
        <x:v>Asscher</x:v>
      </x:c>
      <x:c r="C5100" t="str">
        <x:v>I</x:v>
      </x:c>
      <x:c r="D5100" t="str">
        <x:v>VVS1</x:v>
      </x:c>
      <x:c r="E5100" s="36" t="n">
        <x:v>300000</x:v>
      </x:c>
      <x:c r="F5100" s="36" t="n">
        <x:v>3670</x:v>
      </x:c>
      <x:c r="G5100" s="42" t="n">
        <x:v>0.7872157872157872</x:v>
      </x:c>
      <x:c r="H5100" s="36" t="n">
        <x:f>E5100*G5100</x:f>
        <x:v>236164.73616473615</x:v>
      </x:c>
      <x:c r="I5100" s="36" t="n">
        <x:f>IFERROR(H5100/A5100,0)</x:f>
        <x:v>29520.59202059202</x:v>
      </x:c>
      <x:c r="J5100" s="67" t="str">
        <x:v>Modeled from live base + Sep-2026 quality ratio</x:v>
      </x:c>
      <x:c r="K5100" s="67" t="str">
        <x:v>https://www.stonealgo.com/diamond-prices/</x:v>
      </x:c>
      <x:c r="L5100" s="67" t="str">
        <x:v>https://www.pricescope.com/blog/natural-diamond-prices-september-2026</x:v>
      </x:c>
    </x:row>
    <x:row r="5101">
      <x:c r="A5101" t="n">
        <x:v>8</x:v>
      </x:c>
      <x:c r="B5101" t="str">
        <x:v>Asscher</x:v>
      </x:c>
      <x:c r="C5101" t="str">
        <x:v>I</x:v>
      </x:c>
      <x:c r="D5101" t="str">
        <x:v>VVS2</x:v>
      </x:c>
      <x:c r="E5101" s="36" t="n">
        <x:v>300000</x:v>
      </x:c>
      <x:c r="F5101" s="36" t="n">
        <x:v>3447</x:v>
      </x:c>
      <x:c r="G5101" s="42" t="n">
        <x:v>0.7393822393822393</x:v>
      </x:c>
      <x:c r="H5101" s="36" t="n">
        <x:f>E5101*G5101</x:f>
        <x:v>221814.6718146718</x:v>
      </x:c>
      <x:c r="I5101" s="36" t="n">
        <x:f>IFERROR(H5101/A5101,0)</x:f>
        <x:v>27726.833976833976</x:v>
      </x:c>
      <x:c r="J5101" s="67" t="str">
        <x:v>Modeled from live base + Sep-2026 quality ratio</x:v>
      </x:c>
      <x:c r="K5101" s="67" t="str">
        <x:v>https://www.stonealgo.com/diamond-prices/</x:v>
      </x:c>
      <x:c r="L5101" s="67" t="str">
        <x:v>https://www.pricescope.com/blog/natural-diamond-prices-september-2026</x:v>
      </x:c>
    </x:row>
    <x:row r="5102">
      <x:c r="A5102" t="n">
        <x:v>8</x:v>
      </x:c>
      <x:c r="B5102" t="str">
        <x:v>Asscher</x:v>
      </x:c>
      <x:c r="C5102" t="str">
        <x:v>I</x:v>
      </x:c>
      <x:c r="D5102" t="str">
        <x:v>VS1</x:v>
      </x:c>
      <x:c r="E5102" s="36" t="n">
        <x:v>300000</x:v>
      </x:c>
      <x:c r="F5102" s="36" t="n">
        <x:v>3313</x:v>
      </x:c>
      <x:c r="G5102" s="42" t="n">
        <x:v>0.7106392106392107</x:v>
      </x:c>
      <x:c r="H5102" s="36" t="n">
        <x:f>E5102*G5102</x:f>
        <x:v>213191.7631917632</x:v>
      </x:c>
      <x:c r="I5102" s="36" t="n">
        <x:f>IFERROR(H5102/A5102,0)</x:f>
        <x:v>26648.9703989704</x:v>
      </x:c>
      <x:c r="J5102" s="67" t="str">
        <x:v>Modeled from live base + Sep-2026 quality ratio</x:v>
      </x:c>
      <x:c r="K5102" s="67" t="str">
        <x:v>https://www.stonealgo.com/diamond-prices/</x:v>
      </x:c>
      <x:c r="L5102" s="67" t="str">
        <x:v>https://www.pricescope.com/blog/natural-diamond-prices-september-2026</x:v>
      </x:c>
    </x:row>
    <x:row r="5103">
      <x:c r="A5103" t="n">
        <x:v>8</x:v>
      </x:c>
      <x:c r="B5103" t="str">
        <x:v>Asscher</x:v>
      </x:c>
      <x:c r="C5103" t="str">
        <x:v>I</x:v>
      </x:c>
      <x:c r="D5103" t="str">
        <x:v>VS2</x:v>
      </x:c>
      <x:c r="E5103" s="36" t="n">
        <x:v>300000</x:v>
      </x:c>
      <x:c r="F5103" s="36" t="n">
        <x:v>3240</x:v>
      </x:c>
      <x:c r="G5103" s="42" t="n">
        <x:v>0.694980694980695</x:v>
      </x:c>
      <x:c r="H5103" s="36" t="n">
        <x:f>E5103*G5103</x:f>
        <x:v>208494.20849420852</x:v>
      </x:c>
      <x:c r="I5103" s="36" t="n">
        <x:f>IFERROR(H5103/A5103,0)</x:f>
        <x:v>26061.776061776065</x:v>
      </x:c>
      <x:c r="J5103" s="67" t="str">
        <x:v>Modeled from live base + Sep-2026 quality ratio</x:v>
      </x:c>
      <x:c r="K5103" s="67" t="str">
        <x:v>https://www.stonealgo.com/diamond-prices/</x:v>
      </x:c>
      <x:c r="L5103" s="67" t="str">
        <x:v>https://www.pricescope.com/blog/natural-diamond-prices-september-2026</x:v>
      </x:c>
    </x:row>
    <x:row r="5104">
      <x:c r="A5104" t="n">
        <x:v>8</x:v>
      </x:c>
      <x:c r="B5104" t="str">
        <x:v>Asscher</x:v>
      </x:c>
      <x:c r="C5104" t="str">
        <x:v>I</x:v>
      </x:c>
      <x:c r="D5104" t="str">
        <x:v>SI1</x:v>
      </x:c>
      <x:c r="E5104" s="36" t="n">
        <x:v>300000</x:v>
      </x:c>
      <x:c r="F5104" s="36" t="n">
        <x:v>3199</x:v>
      </x:c>
      <x:c r="G5104" s="42" t="n">
        <x:v>0.6861861861861862</x:v>
      </x:c>
      <x:c r="H5104" s="36" t="n">
        <x:f>E5104*G5104</x:f>
        <x:v>205855.85585585586</x:v>
      </x:c>
      <x:c r="I5104" s="36" t="n">
        <x:f>IFERROR(H5104/A5104,0)</x:f>
        <x:v>25731.981981981982</x:v>
      </x:c>
      <x:c r="J5104" s="67" t="str">
        <x:v>Modeled from live base + Sep-2026 quality ratio</x:v>
      </x:c>
      <x:c r="K5104" s="67" t="str">
        <x:v>https://www.stonealgo.com/diamond-prices/</x:v>
      </x:c>
      <x:c r="L5104" s="67" t="str">
        <x:v>https://www.pricescope.com/blog/natural-diamond-prices-september-2026</x:v>
      </x:c>
    </x:row>
    <x:row r="5105">
      <x:c r="A5105" t="n">
        <x:v>8</x:v>
      </x:c>
      <x:c r="B5105" t="str">
        <x:v>Asscher</x:v>
      </x:c>
      <x:c r="C5105" t="str">
        <x:v>I</x:v>
      </x:c>
      <x:c r="D5105" t="str">
        <x:v>SI2</x:v>
      </x:c>
      <x:c r="E5105" s="36" t="n">
        <x:v>300000</x:v>
      </x:c>
      <x:c r="F5105" s="36" t="n">
        <x:v>2874</x:v>
      </x:c>
      <x:c r="G5105" s="42" t="n">
        <x:v>0.6164736164736164</x:v>
      </x:c>
      <x:c r="H5105" s="36" t="n">
        <x:f>E5105*G5105</x:f>
        <x:v>184942.08494208494</x:v>
      </x:c>
      <x:c r="I5105" s="36" t="n">
        <x:f>IFERROR(H5105/A5105,0)</x:f>
        <x:v>23117.760617760618</x:v>
      </x:c>
      <x:c r="J5105" s="67" t="str">
        <x:v>Modeled from live base + Sep-2026 quality ratio</x:v>
      </x:c>
      <x:c r="K5105" s="67" t="str">
        <x:v>https://www.stonealgo.com/diamond-prices/</x:v>
      </x:c>
      <x:c r="L5105" s="67" t="str">
        <x:v>https://www.pricescope.com/blog/natural-diamond-prices-september-2026</x:v>
      </x:c>
    </x:row>
    <x:row r="5106">
      <x:c r="A5106" t="n">
        <x:v>8</x:v>
      </x:c>
      <x:c r="B5106" t="str">
        <x:v>Asscher</x:v>
      </x:c>
      <x:c r="C5106" t="str">
        <x:v>J</x:v>
      </x:c>
      <x:c r="D5106" t="str">
        <x:v>FL</x:v>
      </x:c>
      <x:c r="E5106" s="36" t="n">
        <x:v>300000</x:v>
      </x:c>
      <x:c r="F5106" s="36" t="n">
        <x:v>3646</x:v>
      </x:c>
      <x:c r="G5106" s="42" t="n">
        <x:v>0.782067782067782</x:v>
      </x:c>
      <x:c r="H5106" s="36" t="n">
        <x:f>E5106*G5106</x:f>
        <x:v>234620.33462033462</x:v>
      </x:c>
      <x:c r="I5106" s="36" t="n">
        <x:f>IFERROR(H5106/A5106,0)</x:f>
        <x:v>29327.541827541827</x:v>
      </x:c>
      <x:c r="J5106" s="67" t="str">
        <x:v>Modeled from live base + Sep-2026 quality ratio</x:v>
      </x:c>
      <x:c r="K5106" s="67" t="str">
        <x:v>https://www.stonealgo.com/diamond-prices/</x:v>
      </x:c>
      <x:c r="L5106" s="67" t="str">
        <x:v>https://www.pricescope.com/blog/natural-diamond-prices-september-2026</x:v>
      </x:c>
    </x:row>
    <x:row r="5107">
      <x:c r="A5107" t="n">
        <x:v>8</x:v>
      </x:c>
      <x:c r="B5107" t="str">
        <x:v>Asscher</x:v>
      </x:c>
      <x:c r="C5107" t="str">
        <x:v>J</x:v>
      </x:c>
      <x:c r="D5107" t="str">
        <x:v>IF</x:v>
      </x:c>
      <x:c r="E5107" s="36" t="n">
        <x:v>300000</x:v>
      </x:c>
      <x:c r="F5107" s="36" t="n">
        <x:v>3368</x:v>
      </x:c>
      <x:c r="G5107" s="42" t="n">
        <x:v>0.7224367224367224</x:v>
      </x:c>
      <x:c r="H5107" s="36" t="n">
        <x:f>E5107*G5107</x:f>
        <x:v>216731.01673101672</x:v>
      </x:c>
      <x:c r="I5107" s="36" t="n">
        <x:f>IFERROR(H5107/A5107,0)</x:f>
        <x:v>27091.37709137709</x:v>
      </x:c>
      <x:c r="J5107" s="67" t="str">
        <x:v>Modeled from live base + Sep-2026 quality ratio</x:v>
      </x:c>
      <x:c r="K5107" s="67" t="str">
        <x:v>https://www.stonealgo.com/diamond-prices/</x:v>
      </x:c>
      <x:c r="L5107" s="67" t="str">
        <x:v>https://www.pricescope.com/blog/natural-diamond-prices-september-2026</x:v>
      </x:c>
    </x:row>
    <x:row r="5108">
      <x:c r="A5108" t="n">
        <x:v>8</x:v>
      </x:c>
      <x:c r="B5108" t="str">
        <x:v>Asscher</x:v>
      </x:c>
      <x:c r="C5108" t="str">
        <x:v>J</x:v>
      </x:c>
      <x:c r="D5108" t="str">
        <x:v>VVS1</x:v>
      </x:c>
      <x:c r="E5108" s="36" t="n">
        <x:v>300000</x:v>
      </x:c>
      <x:c r="F5108" s="36" t="n">
        <x:v>2956</x:v>
      </x:c>
      <x:c r="G5108" s="42" t="n">
        <x:v>0.6340626340626341</x:v>
      </x:c>
      <x:c r="H5108" s="36" t="n">
        <x:f>E5108*G5108</x:f>
        <x:v>190218.79021879024</x:v>
      </x:c>
      <x:c r="I5108" s="36" t="n">
        <x:f>IFERROR(H5108/A5108,0)</x:f>
        <x:v>23777.34877734878</x:v>
      </x:c>
      <x:c r="J5108" s="67" t="str">
        <x:v>Modeled from live base + Sep-2026 quality ratio</x:v>
      </x:c>
      <x:c r="K5108" s="67" t="str">
        <x:v>https://www.stonealgo.com/diamond-prices/</x:v>
      </x:c>
      <x:c r="L5108" s="67" t="str">
        <x:v>https://www.pricescope.com/blog/natural-diamond-prices-september-2026</x:v>
      </x:c>
    </x:row>
    <x:row r="5109">
      <x:c r="A5109" t="n">
        <x:v>8</x:v>
      </x:c>
      <x:c r="B5109" t="str">
        <x:v>Asscher</x:v>
      </x:c>
      <x:c r="C5109" t="str">
        <x:v>J</x:v>
      </x:c>
      <x:c r="D5109" t="str">
        <x:v>VVS2</x:v>
      </x:c>
      <x:c r="E5109" s="36" t="n">
        <x:v>300000</x:v>
      </x:c>
      <x:c r="F5109" s="36" t="n">
        <x:v>2612</x:v>
      </x:c>
      <x:c r="G5109" s="42" t="n">
        <x:v>0.5602745602745602</x:v>
      </x:c>
      <x:c r="H5109" s="36" t="n">
        <x:f>E5109*G5109</x:f>
        <x:v>168082.36808236808</x:v>
      </x:c>
      <x:c r="I5109" s="36" t="n">
        <x:f>IFERROR(H5109/A5109,0)</x:f>
        <x:v>21010.29601029601</x:v>
      </x:c>
      <x:c r="J5109" s="67" t="str">
        <x:v>Modeled from live base + Sep-2026 quality ratio</x:v>
      </x:c>
      <x:c r="K5109" s="67" t="str">
        <x:v>https://www.stonealgo.com/diamond-prices/</x:v>
      </x:c>
      <x:c r="L5109" s="67" t="str">
        <x:v>https://www.pricescope.com/blog/natural-diamond-prices-september-2026</x:v>
      </x:c>
    </x:row>
    <x:row r="5110">
      <x:c r="A5110" t="n">
        <x:v>8</x:v>
      </x:c>
      <x:c r="B5110" t="str">
        <x:v>Asscher</x:v>
      </x:c>
      <x:c r="C5110" t="str">
        <x:v>J</x:v>
      </x:c>
      <x:c r="D5110" t="str">
        <x:v>VS1</x:v>
      </x:c>
      <x:c r="E5110" s="36" t="n">
        <x:v>300000</x:v>
      </x:c>
      <x:c r="F5110" s="36" t="n">
        <x:v>3002</x:v>
      </x:c>
      <x:c r="G5110" s="42" t="n">
        <x:v>0.6439296439296439</x:v>
      </x:c>
      <x:c r="H5110" s="36" t="n">
        <x:f>E5110*G5110</x:f>
        <x:v>193178.89317889317</x:v>
      </x:c>
      <x:c r="I5110" s="36" t="n">
        <x:f>IFERROR(H5110/A5110,0)</x:f>
        <x:v>24147.361647361646</x:v>
      </x:c>
      <x:c r="J5110" s="67" t="str">
        <x:v>Modeled from live base + Sep-2026 quality ratio</x:v>
      </x:c>
      <x:c r="K5110" s="67" t="str">
        <x:v>https://www.stonealgo.com/diamond-prices/</x:v>
      </x:c>
      <x:c r="L5110" s="67" t="str">
        <x:v>https://www.pricescope.com/blog/natural-diamond-prices-september-2026</x:v>
      </x:c>
    </x:row>
    <x:row r="5111">
      <x:c r="A5111" t="n">
        <x:v>8</x:v>
      </x:c>
      <x:c r="B5111" t="str">
        <x:v>Asscher</x:v>
      </x:c>
      <x:c r="C5111" t="str">
        <x:v>J</x:v>
      </x:c>
      <x:c r="D5111" t="str">
        <x:v>VS2</x:v>
      </x:c>
      <x:c r="E5111" s="36" t="n">
        <x:v>300000</x:v>
      </x:c>
      <x:c r="F5111" s="36" t="n">
        <x:v>2559</x:v>
      </x:c>
      <x:c r="G5111" s="42" t="n">
        <x:v>0.5489060489060489</x:v>
      </x:c>
      <x:c r="H5111" s="36" t="n">
        <x:f>E5111*G5111</x:f>
        <x:v>164671.81467181467</x:v>
      </x:c>
      <x:c r="I5111" s="36" t="n">
        <x:f>IFERROR(H5111/A5111,0)</x:f>
        <x:v>20583.976833976834</x:v>
      </x:c>
      <x:c r="J5111" s="67" t="str">
        <x:v>Modeled from live base + Sep-2026 quality ratio</x:v>
      </x:c>
      <x:c r="K5111" s="67" t="str">
        <x:v>https://www.stonealgo.com/diamond-prices/</x:v>
      </x:c>
      <x:c r="L5111" s="67" t="str">
        <x:v>https://www.pricescope.com/blog/natural-diamond-prices-september-2026</x:v>
      </x:c>
    </x:row>
    <x:row r="5112">
      <x:c r="A5112" t="n">
        <x:v>8</x:v>
      </x:c>
      <x:c r="B5112" t="str">
        <x:v>Asscher</x:v>
      </x:c>
      <x:c r="C5112" t="str">
        <x:v>J</x:v>
      </x:c>
      <x:c r="D5112" t="str">
        <x:v>SI1</x:v>
      </x:c>
      <x:c r="E5112" s="36" t="n">
        <x:v>300000</x:v>
      </x:c>
      <x:c r="F5112" s="36" t="n">
        <x:v>2195</x:v>
      </x:c>
      <x:c r="G5112" s="42" t="n">
        <x:v>0.47082797082797084</x:v>
      </x:c>
      <x:c r="H5112" s="36" t="n">
        <x:f>E5112*G5112</x:f>
        <x:v>141248.39124839124</x:v>
      </x:c>
      <x:c r="I5112" s="36" t="n">
        <x:f>IFERROR(H5112/A5112,0)</x:f>
        <x:v>17656.048906048905</x:v>
      </x:c>
      <x:c r="J5112" s="67" t="str">
        <x:v>Modeled from live base + Sep-2026 quality ratio</x:v>
      </x:c>
      <x:c r="K5112" s="67" t="str">
        <x:v>https://www.stonealgo.com/diamond-prices/</x:v>
      </x:c>
      <x:c r="L5112" s="67" t="str">
        <x:v>https://www.pricescope.com/blog/natural-diamond-prices-september-2026</x:v>
      </x:c>
    </x:row>
    <x:row r="5113">
      <x:c r="A5113" t="n">
        <x:v>8</x:v>
      </x:c>
      <x:c r="B5113" t="str">
        <x:v>Asscher</x:v>
      </x:c>
      <x:c r="C5113" t="str">
        <x:v>J</x:v>
      </x:c>
      <x:c r="D5113" t="str">
        <x:v>SI2</x:v>
      </x:c>
      <x:c r="E5113" s="36" t="n">
        <x:v>300000</x:v>
      </x:c>
      <x:c r="F5113" s="36" t="n">
        <x:v>2079</x:v>
      </x:c>
      <x:c r="G5113" s="42" t="n">
        <x:v>0.44594594594594594</x:v>
      </x:c>
      <x:c r="H5113" s="36" t="n">
        <x:f>E5113*G5113</x:f>
        <x:v>133783.7837837838</x:v>
      </x:c>
      <x:c r="I5113" s="36" t="n">
        <x:f>IFERROR(H5113/A5113,0)</x:f>
        <x:v>16722.972972972973</x:v>
      </x:c>
      <x:c r="J5113" s="67" t="str">
        <x:v>Modeled from live base + Sep-2026 quality ratio</x:v>
      </x:c>
      <x:c r="K5113" s="67" t="str">
        <x:v>https://www.stonealgo.com/diamond-prices/</x:v>
      </x:c>
      <x:c r="L5113" s="67" t="str">
        <x:v>https://www.pricescope.com/blog/natural-diamond-prices-september-2026</x:v>
      </x:c>
    </x:row>
    <x:row r="5114">
      <x:c r="A5114" t="n">
        <x:v>8</x:v>
      </x:c>
      <x:c r="B5114" t="str">
        <x:v>Asscher</x:v>
      </x:c>
      <x:c r="C5114" t="str">
        <x:v>K</x:v>
      </x:c>
      <x:c r="D5114" t="str">
        <x:v>FL</x:v>
      </x:c>
      <x:c r="E5114" s="36" t="n">
        <x:v>300000</x:v>
      </x:c>
      <x:c r="F5114" s="36" t="n">
        <x:v>2858</x:v>
      </x:c>
      <x:c r="G5114" s="42" t="n">
        <x:v>0.6130416130416131</x:v>
      </x:c>
      <x:c r="H5114" s="36" t="n">
        <x:f>E5114*G5114</x:f>
        <x:v>183912.48391248393</x:v>
      </x:c>
      <x:c r="I5114" s="36" t="n">
        <x:f>IFERROR(H5114/A5114,0)</x:f>
        <x:v>22989.06048906049</x:v>
      </x:c>
      <x:c r="J5114" s="67" t="str">
        <x:v>Modeled from live base + Sep-2026 quality ratio; K/FL quality cell modeled</x:v>
      </x:c>
      <x:c r="K5114" s="67" t="str">
        <x:v>https://www.stonealgo.com/diamond-prices/</x:v>
      </x:c>
      <x:c r="L5114" s="67" t="str">
        <x:v>https://www.pricescope.com/blog/natural-diamond-prices-september-2026</x:v>
      </x:c>
    </x:row>
    <x:row r="5115">
      <x:c r="A5115" t="n">
        <x:v>8</x:v>
      </x:c>
      <x:c r="B5115" t="str">
        <x:v>Asscher</x:v>
      </x:c>
      <x:c r="C5115" t="str">
        <x:v>K</x:v>
      </x:c>
      <x:c r="D5115" t="str">
        <x:v>IF</x:v>
      </x:c>
      <x:c r="E5115" s="36" t="n">
        <x:v>300000</x:v>
      </x:c>
      <x:c r="F5115" s="36" t="n">
        <x:v>2743</x:v>
      </x:c>
      <x:c r="G5115" s="42" t="n">
        <x:v>0.5883740883740883</x:v>
      </x:c>
      <x:c r="H5115" s="36" t="n">
        <x:f>E5115*G5115</x:f>
        <x:v>176512.2265122265</x:v>
      </x:c>
      <x:c r="I5115" s="36" t="n">
        <x:f>IFERROR(H5115/A5115,0)</x:f>
        <x:v>22064.028314028314</x:v>
      </x:c>
      <x:c r="J5115" s="67" t="str">
        <x:v>Modeled from live base + Sep-2026 quality ratio</x:v>
      </x:c>
      <x:c r="K5115" s="67" t="str">
        <x:v>https://www.stonealgo.com/diamond-prices/</x:v>
      </x:c>
      <x:c r="L5115" s="67" t="str">
        <x:v>https://www.pricescope.com/blog/natural-diamond-prices-september-2026</x:v>
      </x:c>
    </x:row>
    <x:row r="5116">
      <x:c r="A5116" t="n">
        <x:v>8</x:v>
      </x:c>
      <x:c r="B5116" t="str">
        <x:v>Asscher</x:v>
      </x:c>
      <x:c r="C5116" t="str">
        <x:v>K</x:v>
      </x:c>
      <x:c r="D5116" t="str">
        <x:v>VVS1</x:v>
      </x:c>
      <x:c r="E5116" s="36" t="n">
        <x:v>300000</x:v>
      </x:c>
      <x:c r="F5116" s="36" t="n">
        <x:v>2529</x:v>
      </x:c>
      <x:c r="G5116" s="42" t="n">
        <x:v>0.5424710424710425</x:v>
      </x:c>
      <x:c r="H5116" s="36" t="n">
        <x:f>E5116*G5116</x:f>
        <x:v>162741.31274131275</x:v>
      </x:c>
      <x:c r="I5116" s="36" t="n">
        <x:f>IFERROR(H5116/A5116,0)</x:f>
        <x:v>20342.664092664094</x:v>
      </x:c>
      <x:c r="J5116" s="67" t="str">
        <x:v>Modeled from live base + Sep-2026 quality ratio</x:v>
      </x:c>
      <x:c r="K5116" s="67" t="str">
        <x:v>https://www.stonealgo.com/diamond-prices/</x:v>
      </x:c>
      <x:c r="L5116" s="67" t="str">
        <x:v>https://www.pricescope.com/blog/natural-diamond-prices-september-2026</x:v>
      </x:c>
    </x:row>
    <x:row r="5117">
      <x:c r="A5117" t="n">
        <x:v>8</x:v>
      </x:c>
      <x:c r="B5117" t="str">
        <x:v>Asscher</x:v>
      </x:c>
      <x:c r="C5117" t="str">
        <x:v>K</x:v>
      </x:c>
      <x:c r="D5117" t="str">
        <x:v>VVS2</x:v>
      </x:c>
      <x:c r="E5117" s="36" t="n">
        <x:v>300000</x:v>
      </x:c>
      <x:c r="F5117" s="36" t="n">
        <x:v>2374</x:v>
      </x:c>
      <x:c r="G5117" s="42" t="n">
        <x:v>0.5092235092235092</x:v>
      </x:c>
      <x:c r="H5117" s="36" t="n">
        <x:f>E5117*G5117</x:f>
        <x:v>152767.05276705278</x:v>
      </x:c>
      <x:c r="I5117" s="36" t="n">
        <x:f>IFERROR(H5117/A5117,0)</x:f>
        <x:v>19095.881595881598</x:v>
      </x:c>
      <x:c r="J5117" s="67" t="str">
        <x:v>Modeled from live base + Sep-2026 quality ratio</x:v>
      </x:c>
      <x:c r="K5117" s="67" t="str">
        <x:v>https://www.stonealgo.com/diamond-prices/</x:v>
      </x:c>
      <x:c r="L5117" s="67" t="str">
        <x:v>https://www.pricescope.com/blog/natural-diamond-prices-september-2026</x:v>
      </x:c>
    </x:row>
    <x:row r="5118">
      <x:c r="A5118" t="n">
        <x:v>8</x:v>
      </x:c>
      <x:c r="B5118" t="str">
        <x:v>Asscher</x:v>
      </x:c>
      <x:c r="C5118" t="str">
        <x:v>K</x:v>
      </x:c>
      <x:c r="D5118" t="str">
        <x:v>VS1</x:v>
      </x:c>
      <x:c r="E5118" s="36" t="n">
        <x:v>300000</x:v>
      </x:c>
      <x:c r="F5118" s="36" t="n">
        <x:v>2223</x:v>
      </x:c>
      <x:c r="G5118" s="42" t="n">
        <x:v>0.4768339768339768</x:v>
      </x:c>
      <x:c r="H5118" s="36" t="n">
        <x:f>E5118*G5118</x:f>
        <x:v>143050.19305019305</x:v>
      </x:c>
      <x:c r="I5118" s="36" t="n">
        <x:f>IFERROR(H5118/A5118,0)</x:f>
        <x:v>17881.27413127413</x:v>
      </x:c>
      <x:c r="J5118" s="67" t="str">
        <x:v>Modeled from live base + Sep-2026 quality ratio</x:v>
      </x:c>
      <x:c r="K5118" s="67" t="str">
        <x:v>https://www.stonealgo.com/diamond-prices/</x:v>
      </x:c>
      <x:c r="L5118" s="67" t="str">
        <x:v>https://www.pricescope.com/blog/natural-diamond-prices-september-2026</x:v>
      </x:c>
    </x:row>
    <x:row r="5119">
      <x:c r="A5119" t="n">
        <x:v>8</x:v>
      </x:c>
      <x:c r="B5119" t="str">
        <x:v>Asscher</x:v>
      </x:c>
      <x:c r="C5119" t="str">
        <x:v>K</x:v>
      </x:c>
      <x:c r="D5119" t="str">
        <x:v>VS2</x:v>
      </x:c>
      <x:c r="E5119" s="36" t="n">
        <x:v>300000</x:v>
      </x:c>
      <x:c r="F5119" s="36" t="n">
        <x:v>2098</x:v>
      </x:c>
      <x:c r="G5119" s="42" t="n">
        <x:v>0.45002145002145</x:v>
      </x:c>
      <x:c r="H5119" s="36" t="n">
        <x:f>E5119*G5119</x:f>
        <x:v>135006.435006435</x:v>
      </x:c>
      <x:c r="I5119" s="36" t="n">
        <x:f>IFERROR(H5119/A5119,0)</x:f>
        <x:v>16875.804375804375</x:v>
      </x:c>
      <x:c r="J5119" s="67" t="str">
        <x:v>Modeled from live base + Sep-2026 quality ratio</x:v>
      </x:c>
      <x:c r="K5119" s="67" t="str">
        <x:v>https://www.stonealgo.com/diamond-prices/</x:v>
      </x:c>
      <x:c r="L5119" s="67" t="str">
        <x:v>https://www.pricescope.com/blog/natural-diamond-prices-september-2026</x:v>
      </x:c>
    </x:row>
    <x:row r="5120">
      <x:c r="A5120" t="n">
        <x:v>8</x:v>
      </x:c>
      <x:c r="B5120" t="str">
        <x:v>Asscher</x:v>
      </x:c>
      <x:c r="C5120" t="str">
        <x:v>K</x:v>
      </x:c>
      <x:c r="D5120" t="str">
        <x:v>SI1</x:v>
      </x:c>
      <x:c r="E5120" s="36" t="n">
        <x:v>300000</x:v>
      </x:c>
      <x:c r="F5120" s="36" t="n">
        <x:v>1922</x:v>
      </x:c>
      <x:c r="G5120" s="42" t="n">
        <x:v>0.41226941226941227</x:v>
      </x:c>
      <x:c r="H5120" s="36" t="n">
        <x:f>E5120*G5120</x:f>
        <x:v>123680.82368082368</x:v>
      </x:c>
      <x:c r="I5120" s="36" t="n">
        <x:f>IFERROR(H5120/A5120,0)</x:f>
        <x:v>15460.10296010296</x:v>
      </x:c>
      <x:c r="J5120" s="67" t="str">
        <x:v>Modeled from live base + Sep-2026 quality ratio</x:v>
      </x:c>
      <x:c r="K5120" s="67" t="str">
        <x:v>https://www.stonealgo.com/diamond-prices/</x:v>
      </x:c>
      <x:c r="L5120" s="67" t="str">
        <x:v>https://www.pricescope.com/blog/natural-diamond-prices-september-2026</x:v>
      </x:c>
    </x:row>
    <x:row r="5121">
      <x:c r="A5121" t="n">
        <x:v>8</x:v>
      </x:c>
      <x:c r="B5121" t="str">
        <x:v>Asscher</x:v>
      </x:c>
      <x:c r="C5121" t="str">
        <x:v>K</x:v>
      </x:c>
      <x:c r="D5121" t="str">
        <x:v>SI2</x:v>
      </x:c>
      <x:c r="E5121" s="36" t="n">
        <x:v>300000</x:v>
      </x:c>
      <x:c r="F5121" s="36" t="n">
        <x:v>1764</x:v>
      </x:c>
      <x:c r="G5121" s="42" t="n">
        <x:v>0.3783783783783784</x:v>
      </x:c>
      <x:c r="H5121" s="36" t="n">
        <x:f>E5121*G5121</x:f>
        <x:v>113513.51351351352</x:v>
      </x:c>
      <x:c r="I5121" s="36" t="n">
        <x:f>IFERROR(H5121/A5121,0)</x:f>
        <x:v>14189.18918918919</x:v>
      </x:c>
      <x:c r="J5121" s="67" t="str">
        <x:v>Modeled from live base + Sep-2026 quality ratio</x:v>
      </x:c>
      <x:c r="K5121" s="67" t="str">
        <x:v>https://www.stonealgo.com/diamond-prices/</x:v>
      </x:c>
      <x:c r="L5121" s="67" t="str">
        <x:v>https://www.pricescope.com/blog/natural-diamond-prices-september-2026</x:v>
      </x:c>
    </x:row>
    <x:row r="5122">
      <x:c r="A5122" t="n">
        <x:v>9</x:v>
      </x:c>
      <x:c r="B5122" t="str">
        <x:v>Round</x:v>
      </x:c>
      <x:c r="C5122" t="str">
        <x:v>D</x:v>
      </x:c>
      <x:c r="D5122" t="str">
        <x:v>FL</x:v>
      </x:c>
      <x:c r="E5122" s="36" t="n">
        <x:v>260882</x:v>
      </x:c>
      <x:c r="F5122" s="36" t="n">
        <x:v>12665</x:v>
      </x:c>
      <x:c r="G5122" s="42" t="n">
        <x:v>2.7166452166452166</x:v>
      </x:c>
      <x:c r="H5122" s="36" t="n">
        <x:f>E5122*G5122</x:f>
        <x:v>708723.8374088374</x:v>
      </x:c>
      <x:c r="I5122" s="36" t="n">
        <x:f>IFERROR(H5122/A5122,0)</x:f>
        <x:v>78747.09304542637</x:v>
      </x:c>
      <x:c r="J5122" s="67" t="str">
        <x:v>Modeled from live base + Sep-2026 quality ratio</x:v>
      </x:c>
      <x:c r="K5122" s="67" t="str">
        <x:v>https://www.stonealgo.com/diamond-prices/</x:v>
      </x:c>
      <x:c r="L5122" s="67" t="str">
        <x:v>https://www.pricescope.com/blog/natural-diamond-prices-september-2026</x:v>
      </x:c>
    </x:row>
    <x:row r="5123">
      <x:c r="A5123" t="n">
        <x:v>9</x:v>
      </x:c>
      <x:c r="B5123" t="str">
        <x:v>Round</x:v>
      </x:c>
      <x:c r="C5123" t="str">
        <x:v>D</x:v>
      </x:c>
      <x:c r="D5123" t="str">
        <x:v>IF</x:v>
      </x:c>
      <x:c r="E5123" s="36" t="n">
        <x:v>260882</x:v>
      </x:c>
      <x:c r="F5123" s="36" t="n">
        <x:v>13240</x:v>
      </x:c>
      <x:c r="G5123" s="42" t="n">
        <x:v>2.83998283998284</x:v>
      </x:c>
      <x:c r="H5123" s="36" t="n">
        <x:f>E5123*G5123</x:f>
        <x:v>740900.4032604033</x:v>
      </x:c>
      <x:c r="I5123" s="36" t="n">
        <x:f>IFERROR(H5123/A5123,0)</x:f>
        <x:v>82322.2670289337</x:v>
      </x:c>
      <x:c r="J5123" s="67" t="str">
        <x:v>Modeled from live base + Sep-2026 quality ratio</x:v>
      </x:c>
      <x:c r="K5123" s="67" t="str">
        <x:v>https://www.stonealgo.com/diamond-prices/</x:v>
      </x:c>
      <x:c r="L5123" s="67" t="str">
        <x:v>https://www.pricescope.com/blog/natural-diamond-prices-september-2026</x:v>
      </x:c>
    </x:row>
    <x:row r="5124">
      <x:c r="A5124" t="n">
        <x:v>9</x:v>
      </x:c>
      <x:c r="B5124" t="str">
        <x:v>Round</x:v>
      </x:c>
      <x:c r="C5124" t="str">
        <x:v>D</x:v>
      </x:c>
      <x:c r="D5124" t="str">
        <x:v>VVS1</x:v>
      </x:c>
      <x:c r="E5124" s="36" t="n">
        <x:v>260882</x:v>
      </x:c>
      <x:c r="F5124" s="36" t="n">
        <x:v>9555</x:v>
      </x:c>
      <x:c r="G5124" s="42" t="n">
        <x:v>2.0495495495495497</x:v>
      </x:c>
      <x:c r="H5124" s="36" t="n">
        <x:f>E5124*G5124</x:f>
        <x:v>534690.5855855857</x:v>
      </x:c>
      <x:c r="I5124" s="36" t="n">
        <x:f>IFERROR(H5124/A5124,0)</x:f>
        <x:v>59410.06506506508</x:v>
      </x:c>
      <x:c r="J5124" s="67" t="str">
        <x:v>Modeled from live base + Sep-2026 quality ratio</x:v>
      </x:c>
      <x:c r="K5124" s="67" t="str">
        <x:v>https://www.stonealgo.com/diamond-prices/</x:v>
      </x:c>
      <x:c r="L5124" s="67" t="str">
        <x:v>https://www.pricescope.com/blog/natural-diamond-prices-september-2026</x:v>
      </x:c>
    </x:row>
    <x:row r="5125">
      <x:c r="A5125" t="n">
        <x:v>9</x:v>
      </x:c>
      <x:c r="B5125" t="str">
        <x:v>Round</x:v>
      </x:c>
      <x:c r="C5125" t="str">
        <x:v>D</x:v>
      </x:c>
      <x:c r="D5125" t="str">
        <x:v>VVS2</x:v>
      </x:c>
      <x:c r="E5125" s="36" t="n">
        <x:v>260882</x:v>
      </x:c>
      <x:c r="F5125" s="36" t="n">
        <x:v>6660</x:v>
      </x:c>
      <x:c r="G5125" s="42" t="n">
        <x:v>1.4285714285714286</x:v>
      </x:c>
      <x:c r="H5125" s="36" t="n">
        <x:f>E5125*G5125</x:f>
        <x:v>372688.5714285714</x:v>
      </x:c>
      <x:c r="I5125" s="36" t="n">
        <x:f>IFERROR(H5125/A5125,0)</x:f>
        <x:v>41409.84126984127</x:v>
      </x:c>
      <x:c r="J5125" s="67" t="str">
        <x:v>Modeled from live base + Sep-2026 quality ratio</x:v>
      </x:c>
      <x:c r="K5125" s="67" t="str">
        <x:v>https://www.stonealgo.com/diamond-prices/</x:v>
      </x:c>
      <x:c r="L5125" s="67" t="str">
        <x:v>https://www.pricescope.com/blog/natural-diamond-prices-september-2026</x:v>
      </x:c>
    </x:row>
    <x:row r="5126">
      <x:c r="A5126" t="n">
        <x:v>9</x:v>
      </x:c>
      <x:c r="B5126" t="str">
        <x:v>Round</x:v>
      </x:c>
      <x:c r="C5126" t="str">
        <x:v>D</x:v>
      </x:c>
      <x:c r="D5126" t="str">
        <x:v>VS1</x:v>
      </x:c>
      <x:c r="E5126" s="36" t="n">
        <x:v>260882</x:v>
      </x:c>
      <x:c r="F5126" s="36" t="n">
        <x:v>6247</x:v>
      </x:c>
      <x:c r="G5126" s="42" t="n">
        <x:v>1.33998283998284</x:v>
      </x:c>
      <x:c r="H5126" s="36" t="n">
        <x:f>E5126*G5126</x:f>
        <x:v>349577.40326040325</x:v>
      </x:c>
      <x:c r="I5126" s="36" t="n">
        <x:f>IFERROR(H5126/A5126,0)</x:f>
        <x:v>38841.93369560036</x:v>
      </x:c>
      <x:c r="J5126" s="67" t="str">
        <x:v>Modeled from live base + Sep-2026 quality ratio</x:v>
      </x:c>
      <x:c r="K5126" s="67" t="str">
        <x:v>https://www.stonealgo.com/diamond-prices/</x:v>
      </x:c>
      <x:c r="L5126" s="67" t="str">
        <x:v>https://www.pricescope.com/blog/natural-diamond-prices-september-2026</x:v>
      </x:c>
    </x:row>
    <x:row r="5127">
      <x:c r="A5127" t="n">
        <x:v>9</x:v>
      </x:c>
      <x:c r="B5127" t="str">
        <x:v>Round</x:v>
      </x:c>
      <x:c r="C5127" t="str">
        <x:v>D</x:v>
      </x:c>
      <x:c r="D5127" t="str">
        <x:v>VS2</x:v>
      </x:c>
      <x:c r="E5127" s="36" t="n">
        <x:v>260882</x:v>
      </x:c>
      <x:c r="F5127" s="36" t="n">
        <x:v>5841</x:v>
      </x:c>
      <x:c r="G5127" s="42" t="n">
        <x:v>1.252895752895753</x:v>
      </x:c>
      <x:c r="H5127" s="36" t="n">
        <x:f>E5127*G5127</x:f>
        <x:v>326857.9498069498</x:v>
      </x:c>
      <x:c r="I5127" s="36" t="n">
        <x:f>IFERROR(H5127/A5127,0)</x:f>
        <x:v>36317.54997854998</x:v>
      </x:c>
      <x:c r="J5127" s="67" t="str">
        <x:v>Modeled from live base + Sep-2026 quality ratio</x:v>
      </x:c>
      <x:c r="K5127" s="67" t="str">
        <x:v>https://www.stonealgo.com/diamond-prices/</x:v>
      </x:c>
      <x:c r="L5127" s="67" t="str">
        <x:v>https://www.pricescope.com/blog/natural-diamond-prices-september-2026</x:v>
      </x:c>
    </x:row>
    <x:row r="5128">
      <x:c r="A5128" t="n">
        <x:v>9</x:v>
      </x:c>
      <x:c r="B5128" t="str">
        <x:v>Round</x:v>
      </x:c>
      <x:c r="C5128" t="str">
        <x:v>D</x:v>
      </x:c>
      <x:c r="D5128" t="str">
        <x:v>SI1</x:v>
      </x:c>
      <x:c r="E5128" s="36" t="n">
        <x:v>260882</x:v>
      </x:c>
      <x:c r="F5128" s="36" t="n">
        <x:v>3762</x:v>
      </x:c>
      <x:c r="G5128" s="42" t="n">
        <x:v>0.806949806949807</x:v>
      </x:c>
      <x:c r="H5128" s="36" t="n">
        <x:f>E5128*G5128</x:f>
        <x:v>210518.67953667956</x:v>
      </x:c>
      <x:c r="I5128" s="36" t="n">
        <x:f>IFERROR(H5128/A5128,0)</x:f>
        <x:v>23390.964392964393</x:v>
      </x:c>
      <x:c r="J5128" s="67" t="str">
        <x:v>Modeled from live base + Sep-2026 quality ratio</x:v>
      </x:c>
      <x:c r="K5128" s="67" t="str">
        <x:v>https://www.stonealgo.com/diamond-prices/</x:v>
      </x:c>
      <x:c r="L5128" s="67" t="str">
        <x:v>https://www.pricescope.com/blog/natural-diamond-prices-september-2026</x:v>
      </x:c>
    </x:row>
    <x:row r="5129">
      <x:c r="A5129" t="n">
        <x:v>9</x:v>
      </x:c>
      <x:c r="B5129" t="str">
        <x:v>Round</x:v>
      </x:c>
      <x:c r="C5129" t="str">
        <x:v>D</x:v>
      </x:c>
      <x:c r="D5129" t="str">
        <x:v>SI2</x:v>
      </x:c>
      <x:c r="E5129" s="36" t="n">
        <x:v>260882</x:v>
      </x:c>
      <x:c r="F5129" s="36" t="n">
        <x:v>3026</x:v>
      </x:c>
      <x:c r="G5129" s="42" t="n">
        <x:v>0.6490776490776491</x:v>
      </x:c>
      <x:c r="H5129" s="36" t="n">
        <x:f>E5129*G5129</x:f>
        <x:v>169332.67524667524</x:v>
      </x:c>
      <x:c r="I5129" s="36" t="n">
        <x:f>IFERROR(H5129/A5129,0)</x:f>
        <x:v>18814.741694075026</x:v>
      </x:c>
      <x:c r="J5129" s="67" t="str">
        <x:v>Modeled from live base + Sep-2026 quality ratio</x:v>
      </x:c>
      <x:c r="K5129" s="67" t="str">
        <x:v>https://www.stonealgo.com/diamond-prices/</x:v>
      </x:c>
      <x:c r="L5129" s="67" t="str">
        <x:v>https://www.pricescope.com/blog/natural-diamond-prices-september-2026</x:v>
      </x:c>
    </x:row>
    <x:row r="5130">
      <x:c r="A5130" t="n">
        <x:v>9</x:v>
      </x:c>
      <x:c r="B5130" t="str">
        <x:v>Round</x:v>
      </x:c>
      <x:c r="C5130" t="str">
        <x:v>E</x:v>
      </x:c>
      <x:c r="D5130" t="str">
        <x:v>FL</x:v>
      </x:c>
      <x:c r="E5130" s="36" t="n">
        <x:v>260882</x:v>
      </x:c>
      <x:c r="F5130" s="36" t="n">
        <x:v>10072</x:v>
      </x:c>
      <x:c r="G5130" s="42" t="n">
        <x:v>2.1604461604461602</x:v>
      </x:c>
      <x:c r="H5130" s="36" t="n">
        <x:f>E5130*G5130</x:f>
        <x:v>563621.5152295151</x:v>
      </x:c>
      <x:c r="I5130" s="36" t="n">
        <x:f>IFERROR(H5130/A5130,0)</x:f>
        <x:v>62624.61280327946</x:v>
      </x:c>
      <x:c r="J5130" s="67" t="str">
        <x:v>Modeled from live base + Sep-2026 quality ratio</x:v>
      </x:c>
      <x:c r="K5130" s="67" t="str">
        <x:v>https://www.stonealgo.com/diamond-prices/</x:v>
      </x:c>
      <x:c r="L5130" s="67" t="str">
        <x:v>https://www.pricescope.com/blog/natural-diamond-prices-september-2026</x:v>
      </x:c>
    </x:row>
    <x:row r="5131">
      <x:c r="A5131" t="n">
        <x:v>9</x:v>
      </x:c>
      <x:c r="B5131" t="str">
        <x:v>Round</x:v>
      </x:c>
      <x:c r="C5131" t="str">
        <x:v>E</x:v>
      </x:c>
      <x:c r="D5131" t="str">
        <x:v>IF</x:v>
      </x:c>
      <x:c r="E5131" s="36" t="n">
        <x:v>260882</x:v>
      </x:c>
      <x:c r="F5131" s="36" t="n">
        <x:v>8672</x:v>
      </x:c>
      <x:c r="G5131" s="42" t="n">
        <x:v>1.8601458601458603</x:v>
      </x:c>
      <x:c r="H5131" s="36" t="n">
        <x:f>E5131*G5131</x:f>
        <x:v>485278.5722865723</x:v>
      </x:c>
      <x:c r="I5131" s="36" t="n">
        <x:f>IFERROR(H5131/A5131,0)</x:f>
        <x:v>53919.8413651747</x:v>
      </x:c>
      <x:c r="J5131" s="67" t="str">
        <x:v>Modeled from live base + Sep-2026 quality ratio</x:v>
      </x:c>
      <x:c r="K5131" s="67" t="str">
        <x:v>https://www.stonealgo.com/diamond-prices/</x:v>
      </x:c>
      <x:c r="L5131" s="67" t="str">
        <x:v>https://www.pricescope.com/blog/natural-diamond-prices-september-2026</x:v>
      </x:c>
    </x:row>
    <x:row r="5132">
      <x:c r="A5132" t="n">
        <x:v>9</x:v>
      </x:c>
      <x:c r="B5132" t="str">
        <x:v>Round</x:v>
      </x:c>
      <x:c r="C5132" t="str">
        <x:v>E</x:v>
      </x:c>
      <x:c r="D5132" t="str">
        <x:v>VVS1</x:v>
      </x:c>
      <x:c r="E5132" s="36" t="n">
        <x:v>260882</x:v>
      </x:c>
      <x:c r="F5132" s="36" t="n">
        <x:v>7842</x:v>
      </x:c>
      <x:c r="G5132" s="42" t="n">
        <x:v>1.6821106821106822</x:v>
      </x:c>
      <x:c r="H5132" s="36" t="n">
        <x:f>E5132*G5132</x:f>
        <x:v>438832.398970399</x:v>
      </x:c>
      <x:c r="I5132" s="36" t="n">
        <x:f>IFERROR(H5132/A5132,0)</x:f>
        <x:v>48759.155441155446</x:v>
      </x:c>
      <x:c r="J5132" s="67" t="str">
        <x:v>Modeled from live base + Sep-2026 quality ratio</x:v>
      </x:c>
      <x:c r="K5132" s="67" t="str">
        <x:v>https://www.stonealgo.com/diamond-prices/</x:v>
      </x:c>
      <x:c r="L5132" s="67" t="str">
        <x:v>https://www.pricescope.com/blog/natural-diamond-prices-september-2026</x:v>
      </x:c>
    </x:row>
    <x:row r="5133">
      <x:c r="A5133" t="n">
        <x:v>9</x:v>
      </x:c>
      <x:c r="B5133" t="str">
        <x:v>Round</x:v>
      </x:c>
      <x:c r="C5133" t="str">
        <x:v>E</x:v>
      </x:c>
      <x:c r="D5133" t="str">
        <x:v>VVS2</x:v>
      </x:c>
      <x:c r="E5133" s="36" t="n">
        <x:v>260882</x:v>
      </x:c>
      <x:c r="F5133" s="36" t="n">
        <x:v>6880</x:v>
      </x:c>
      <x:c r="G5133" s="42" t="n">
        <x:v>1.4757614757614759</x:v>
      </x:c>
      <x:c r="H5133" s="36" t="n">
        <x:f>E5133*G5133</x:f>
        <x:v>384999.6053196053</x:v>
      </x:c>
      <x:c r="I5133" s="36" t="n">
        <x:f>IFERROR(H5133/A5133,0)</x:f>
        <x:v>42777.73392440059</x:v>
      </x:c>
      <x:c r="J5133" s="67" t="str">
        <x:v>Modeled from live base + Sep-2026 quality ratio</x:v>
      </x:c>
      <x:c r="K5133" s="67" t="str">
        <x:v>https://www.stonealgo.com/diamond-prices/</x:v>
      </x:c>
      <x:c r="L5133" s="67" t="str">
        <x:v>https://www.pricescope.com/blog/natural-diamond-prices-september-2026</x:v>
      </x:c>
    </x:row>
    <x:row r="5134">
      <x:c r="A5134" t="n">
        <x:v>9</x:v>
      </x:c>
      <x:c r="B5134" t="str">
        <x:v>Round</x:v>
      </x:c>
      <x:c r="C5134" t="str">
        <x:v>E</x:v>
      </x:c>
      <x:c r="D5134" t="str">
        <x:v>VS1</x:v>
      </x:c>
      <x:c r="E5134" s="36" t="n">
        <x:v>260882</x:v>
      </x:c>
      <x:c r="F5134" s="36" t="n">
        <x:v>6307</x:v>
      </x:c>
      <x:c r="G5134" s="42" t="n">
        <x:v>1.352852852852853</x:v>
      </x:c>
      <x:c r="H5134" s="36" t="n">
        <x:f>E5134*G5134</x:f>
        <x:v>352934.957957958</x:v>
      </x:c>
      <x:c r="I5134" s="36" t="n">
        <x:f>IFERROR(H5134/A5134,0)</x:f>
        <x:v>39214.995328662</x:v>
      </x:c>
      <x:c r="J5134" s="67" t="str">
        <x:v>Modeled from live base + Sep-2026 quality ratio</x:v>
      </x:c>
      <x:c r="K5134" s="67" t="str">
        <x:v>https://www.stonealgo.com/diamond-prices/</x:v>
      </x:c>
      <x:c r="L5134" s="67" t="str">
        <x:v>https://www.pricescope.com/blog/natural-diamond-prices-september-2026</x:v>
      </x:c>
    </x:row>
    <x:row r="5135">
      <x:c r="A5135" t="n">
        <x:v>9</x:v>
      </x:c>
      <x:c r="B5135" t="str">
        <x:v>Round</x:v>
      </x:c>
      <x:c r="C5135" t="str">
        <x:v>E</x:v>
      </x:c>
      <x:c r="D5135" t="str">
        <x:v>VS2</x:v>
      </x:c>
      <x:c r="E5135" s="36" t="n">
        <x:v>260882</x:v>
      </x:c>
      <x:c r="F5135" s="36" t="n">
        <x:v>5249</x:v>
      </x:c>
      <x:c r="G5135" s="42" t="n">
        <x:v>1.125911625911626</x:v>
      </x:c>
      <x:c r="H5135" s="36" t="n">
        <x:f>E5135*G5135</x:f>
        <x:v>293730.0767910768</x:v>
      </x:c>
      <x:c r="I5135" s="36" t="n">
        <x:f>IFERROR(H5135/A5135,0)</x:f>
        <x:v>32636.675199008532</x:v>
      </x:c>
      <x:c r="J5135" s="67" t="str">
        <x:v>Modeled from live base + Sep-2026 quality ratio</x:v>
      </x:c>
      <x:c r="K5135" s="67" t="str">
        <x:v>https://www.stonealgo.com/diamond-prices/</x:v>
      </x:c>
      <x:c r="L5135" s="67" t="str">
        <x:v>https://www.pricescope.com/blog/natural-diamond-prices-september-2026</x:v>
      </x:c>
    </x:row>
    <x:row r="5136">
      <x:c r="A5136" t="n">
        <x:v>9</x:v>
      </x:c>
      <x:c r="B5136" t="str">
        <x:v>Round</x:v>
      </x:c>
      <x:c r="C5136" t="str">
        <x:v>E</x:v>
      </x:c>
      <x:c r="D5136" t="str">
        <x:v>SI1</x:v>
      </x:c>
      <x:c r="E5136" s="36" t="n">
        <x:v>260882</x:v>
      </x:c>
      <x:c r="F5136" s="36" t="n">
        <x:v>3551</x:v>
      </x:c>
      <x:c r="G5136" s="42" t="n">
        <x:v>0.7616902616902617</x:v>
      </x:c>
      <x:c r="H5136" s="36" t="n">
        <x:f>E5136*G5136</x:f>
        <x:v>198711.27885027885</x:v>
      </x:c>
      <x:c r="I5136" s="36" t="n">
        <x:f>IFERROR(H5136/A5136,0)</x:f>
        <x:v>22079.030983364315</x:v>
      </x:c>
      <x:c r="J5136" s="67" t="str">
        <x:v>Modeled from live base + Sep-2026 quality ratio</x:v>
      </x:c>
      <x:c r="K5136" s="67" t="str">
        <x:v>https://www.stonealgo.com/diamond-prices/</x:v>
      </x:c>
      <x:c r="L5136" s="67" t="str">
        <x:v>https://www.pricescope.com/blog/natural-diamond-prices-september-2026</x:v>
      </x:c>
    </x:row>
    <x:row r="5137">
      <x:c r="A5137" t="n">
        <x:v>9</x:v>
      </x:c>
      <x:c r="B5137" t="str">
        <x:v>Round</x:v>
      </x:c>
      <x:c r="C5137" t="str">
        <x:v>E</x:v>
      </x:c>
      <x:c r="D5137" t="str">
        <x:v>SI2</x:v>
      </x:c>
      <x:c r="E5137" s="36" t="n">
        <x:v>260882</x:v>
      </x:c>
      <x:c r="F5137" s="36" t="n">
        <x:v>2993</x:v>
      </x:c>
      <x:c r="G5137" s="42" t="n">
        <x:v>0.641999141999142</x:v>
      </x:c>
      <x:c r="H5137" s="36" t="n">
        <x:f>E5137*G5137</x:f>
        <x:v>167486.02016302015</x:v>
      </x:c>
      <x:c r="I5137" s="36" t="n">
        <x:f>IFERROR(H5137/A5137,0)</x:f>
        <x:v>18609.557795891127</x:v>
      </x:c>
      <x:c r="J5137" s="67" t="str">
        <x:v>Modeled from live base + Sep-2026 quality ratio</x:v>
      </x:c>
      <x:c r="K5137" s="67" t="str">
        <x:v>https://www.stonealgo.com/diamond-prices/</x:v>
      </x:c>
      <x:c r="L5137" s="67" t="str">
        <x:v>https://www.pricescope.com/blog/natural-diamond-prices-september-2026</x:v>
      </x:c>
    </x:row>
    <x:row r="5138">
      <x:c r="A5138" t="n">
        <x:v>9</x:v>
      </x:c>
      <x:c r="B5138" t="str">
        <x:v>Round</x:v>
      </x:c>
      <x:c r="C5138" t="str">
        <x:v>F</x:v>
      </x:c>
      <x:c r="D5138" t="str">
        <x:v>FL</x:v>
      </x:c>
      <x:c r="E5138" s="36" t="n">
        <x:v>260882</x:v>
      </x:c>
      <x:c r="F5138" s="36" t="n">
        <x:v>6830</x:v>
      </x:c>
      <x:c r="G5138" s="42" t="n">
        <x:v>1.4650364650364651</x:v>
      </x:c>
      <x:c r="H5138" s="36" t="n">
        <x:f>E5138*G5138</x:f>
        <x:v>382201.6430716431</x:v>
      </x:c>
      <x:c r="I5138" s="36" t="n">
        <x:f>IFERROR(H5138/A5138,0)</x:f>
        <x:v>42466.84923018256</x:v>
      </x:c>
      <x:c r="J5138" s="67" t="str">
        <x:v>Modeled from live base + Sep-2026 quality ratio</x:v>
      </x:c>
      <x:c r="K5138" s="67" t="str">
        <x:v>https://www.stonealgo.com/diamond-prices/</x:v>
      </x:c>
      <x:c r="L5138" s="67" t="str">
        <x:v>https://www.pricescope.com/blog/natural-diamond-prices-september-2026</x:v>
      </x:c>
    </x:row>
    <x:row r="5139">
      <x:c r="A5139" t="n">
        <x:v>9</x:v>
      </x:c>
      <x:c r="B5139" t="str">
        <x:v>Round</x:v>
      </x:c>
      <x:c r="C5139" t="str">
        <x:v>F</x:v>
      </x:c>
      <x:c r="D5139" t="str">
        <x:v>IF</x:v>
      </x:c>
      <x:c r="E5139" s="36" t="n">
        <x:v>260882</x:v>
      </x:c>
      <x:c r="F5139" s="36" t="n">
        <x:v>7302</x:v>
      </x:c>
      <x:c r="G5139" s="42" t="n">
        <x:v>1.5662805662805663</x:v>
      </x:c>
      <x:c r="H5139" s="36" t="n">
        <x:f>E5139*G5139</x:f>
        <x:v>408614.4066924067</x:v>
      </x:c>
      <x:c r="I5139" s="36" t="n">
        <x:f>IFERROR(H5139/A5139,0)</x:f>
        <x:v>45401.60074360074</x:v>
      </x:c>
      <x:c r="J5139" s="67" t="str">
        <x:v>Modeled from live base + Sep-2026 quality ratio</x:v>
      </x:c>
      <x:c r="K5139" s="67" t="str">
        <x:v>https://www.stonealgo.com/diamond-prices/</x:v>
      </x:c>
      <x:c r="L5139" s="67" t="str">
        <x:v>https://www.pricescope.com/blog/natural-diamond-prices-september-2026</x:v>
      </x:c>
    </x:row>
    <x:row r="5140">
      <x:c r="A5140" t="n">
        <x:v>9</x:v>
      </x:c>
      <x:c r="B5140" t="str">
        <x:v>Round</x:v>
      </x:c>
      <x:c r="C5140" t="str">
        <x:v>F</x:v>
      </x:c>
      <x:c r="D5140" t="str">
        <x:v>VVS1</x:v>
      </x:c>
      <x:c r="E5140" s="36" t="n">
        <x:v>260882</x:v>
      </x:c>
      <x:c r="F5140" s="36" t="n">
        <x:v>7542</x:v>
      </x:c>
      <x:c r="G5140" s="42" t="n">
        <x:v>1.6177606177606179</x:v>
      </x:c>
      <x:c r="H5140" s="36" t="n">
        <x:f>E5140*G5140</x:f>
        <x:v>422044.6254826255</x:v>
      </x:c>
      <x:c r="I5140" s="36" t="n">
        <x:f>IFERROR(H5140/A5140,0)</x:f>
        <x:v>46893.84727584728</x:v>
      </x:c>
      <x:c r="J5140" s="67" t="str">
        <x:v>Modeled from live base + Sep-2026 quality ratio</x:v>
      </x:c>
      <x:c r="K5140" s="67" t="str">
        <x:v>https://www.stonealgo.com/diamond-prices/</x:v>
      </x:c>
      <x:c r="L5140" s="67" t="str">
        <x:v>https://www.pricescope.com/blog/natural-diamond-prices-september-2026</x:v>
      </x:c>
    </x:row>
    <x:row r="5141">
      <x:c r="A5141" t="n">
        <x:v>9</x:v>
      </x:c>
      <x:c r="B5141" t="str">
        <x:v>Round</x:v>
      </x:c>
      <x:c r="C5141" t="str">
        <x:v>F</x:v>
      </x:c>
      <x:c r="D5141" t="str">
        <x:v>VVS2</x:v>
      </x:c>
      <x:c r="E5141" s="36" t="n">
        <x:v>260882</x:v>
      </x:c>
      <x:c r="F5141" s="36" t="n">
        <x:v>6352</x:v>
      </x:c>
      <x:c r="G5141" s="42" t="n">
        <x:v>1.3625053625053625</x:v>
      </x:c>
      <x:c r="H5141" s="36" t="n">
        <x:f>E5141*G5141</x:f>
        <x:v>355453.12398112396</x:v>
      </x:c>
      <x:c r="I5141" s="36" t="n">
        <x:f>IFERROR(H5141/A5141,0)</x:f>
        <x:v>39494.79155345822</x:v>
      </x:c>
      <x:c r="J5141" s="67" t="str">
        <x:v>Modeled from live base + Sep-2026 quality ratio</x:v>
      </x:c>
      <x:c r="K5141" s="67" t="str">
        <x:v>https://www.stonealgo.com/diamond-prices/</x:v>
      </x:c>
      <x:c r="L5141" s="67" t="str">
        <x:v>https://www.pricescope.com/blog/natural-diamond-prices-september-2026</x:v>
      </x:c>
    </x:row>
    <x:row r="5142">
      <x:c r="A5142" t="n">
        <x:v>9</x:v>
      </x:c>
      <x:c r="B5142" t="str">
        <x:v>Round</x:v>
      </x:c>
      <x:c r="C5142" t="str">
        <x:v>F</x:v>
      </x:c>
      <x:c r="D5142" t="str">
        <x:v>VS1</x:v>
      </x:c>
      <x:c r="E5142" s="36" t="n">
        <x:v>260882</x:v>
      </x:c>
      <x:c r="F5142" s="36" t="n">
        <x:v>5647</x:v>
      </x:c>
      <x:c r="G5142" s="42" t="n">
        <x:v>1.2112827112827114</x:v>
      </x:c>
      <x:c r="H5142" s="36" t="n">
        <x:f>E5142*G5142</x:f>
        <x:v>316001.85628485633</x:v>
      </x:c>
      <x:c r="I5142" s="36" t="n">
        <x:f>IFERROR(H5142/A5142,0)</x:f>
        <x:v>35111.31736498404</x:v>
      </x:c>
      <x:c r="J5142" s="67" t="str">
        <x:v>Modeled from live base + Sep-2026 quality ratio</x:v>
      </x:c>
      <x:c r="K5142" s="67" t="str">
        <x:v>https://www.stonealgo.com/diamond-prices/</x:v>
      </x:c>
      <x:c r="L5142" s="67" t="str">
        <x:v>https://www.pricescope.com/blog/natural-diamond-prices-september-2026</x:v>
      </x:c>
    </x:row>
    <x:row r="5143">
      <x:c r="A5143" t="n">
        <x:v>9</x:v>
      </x:c>
      <x:c r="B5143" t="str">
        <x:v>Round</x:v>
      </x:c>
      <x:c r="C5143" t="str">
        <x:v>F</x:v>
      </x:c>
      <x:c r="D5143" t="str">
        <x:v>VS2</x:v>
      </x:c>
      <x:c r="E5143" s="36" t="n">
        <x:v>260882</x:v>
      </x:c>
      <x:c r="F5143" s="36" t="n">
        <x:v>4730</x:v>
      </x:c>
      <x:c r="G5143" s="42" t="n">
        <x:v>1.0145860145860146</x:v>
      </x:c>
      <x:c r="H5143" s="36" t="n">
        <x:f>E5143*G5143</x:f>
        <x:v>264687.22865722864</x:v>
      </x:c>
      <x:c r="I5143" s="36" t="n">
        <x:f>IFERROR(H5143/A5143,0)</x:f>
        <x:v>29409.692073025406</x:v>
      </x:c>
      <x:c r="J5143" s="67" t="str">
        <x:v>Modeled from live base + Sep-2026 quality ratio</x:v>
      </x:c>
      <x:c r="K5143" s="67" t="str">
        <x:v>https://www.stonealgo.com/diamond-prices/</x:v>
      </x:c>
      <x:c r="L5143" s="67" t="str">
        <x:v>https://www.pricescope.com/blog/natural-diamond-prices-september-2026</x:v>
      </x:c>
    </x:row>
    <x:row r="5144">
      <x:c r="A5144" t="n">
        <x:v>9</x:v>
      </x:c>
      <x:c r="B5144" t="str">
        <x:v>Round</x:v>
      </x:c>
      <x:c r="C5144" t="str">
        <x:v>F</x:v>
      </x:c>
      <x:c r="D5144" t="str">
        <x:v>SI1</x:v>
      </x:c>
      <x:c r="E5144" s="36" t="n">
        <x:v>260882</x:v>
      </x:c>
      <x:c r="F5144" s="36" t="n">
        <x:v>3331</x:v>
      </x:c>
      <x:c r="G5144" s="42" t="n">
        <x:v>0.7145002145002145</x:v>
      </x:c>
      <x:c r="H5144" s="36" t="n">
        <x:f>E5144*G5144</x:f>
        <x:v>186400.24495924497</x:v>
      </x:c>
      <x:c r="I5144" s="36" t="n">
        <x:f>IFERROR(H5144/A5144,0)</x:f>
        <x:v>20711.138328805</x:v>
      </x:c>
      <x:c r="J5144" s="67" t="str">
        <x:v>Modeled from live base + Sep-2026 quality ratio</x:v>
      </x:c>
      <x:c r="K5144" s="67" t="str">
        <x:v>https://www.stonealgo.com/diamond-prices/</x:v>
      </x:c>
      <x:c r="L5144" s="67" t="str">
        <x:v>https://www.pricescope.com/blog/natural-diamond-prices-september-2026</x:v>
      </x:c>
    </x:row>
    <x:row r="5145">
      <x:c r="A5145" t="n">
        <x:v>9</x:v>
      </x:c>
      <x:c r="B5145" t="str">
        <x:v>Round</x:v>
      </x:c>
      <x:c r="C5145" t="str">
        <x:v>F</x:v>
      </x:c>
      <x:c r="D5145" t="str">
        <x:v>SI2</x:v>
      </x:c>
      <x:c r="E5145" s="36" t="n">
        <x:v>260882</x:v>
      </x:c>
      <x:c r="F5145" s="36" t="n">
        <x:v>2733</x:v>
      </x:c>
      <x:c r="G5145" s="42" t="n">
        <x:v>0.5862290862290862</x:v>
      </x:c>
      <x:c r="H5145" s="36" t="n">
        <x:f>E5145*G5145</x:f>
        <x:v>152936.61647361648</x:v>
      </x:c>
      <x:c r="I5145" s="36" t="n">
        <x:f>IFERROR(H5145/A5145,0)</x:f>
        <x:v>16992.957385957387</x:v>
      </x:c>
      <x:c r="J5145" s="67" t="str">
        <x:v>Modeled from live base + Sep-2026 quality ratio</x:v>
      </x:c>
      <x:c r="K5145" s="67" t="str">
        <x:v>https://www.stonealgo.com/diamond-prices/</x:v>
      </x:c>
      <x:c r="L5145" s="67" t="str">
        <x:v>https://www.pricescope.com/blog/natural-diamond-prices-september-2026</x:v>
      </x:c>
    </x:row>
    <x:row r="5146">
      <x:c r="A5146" t="n">
        <x:v>9</x:v>
      </x:c>
      <x:c r="B5146" t="str">
        <x:v>Round</x:v>
      </x:c>
      <x:c r="C5146" t="str">
        <x:v>G</x:v>
      </x:c>
      <x:c r="D5146" t="str">
        <x:v>FL</x:v>
      </x:c>
      <x:c r="E5146" s="36" t="n">
        <x:v>260882</x:v>
      </x:c>
      <x:c r="F5146" s="36" t="n">
        <x:v>5905</x:v>
      </x:c>
      <x:c r="G5146" s="42" t="n">
        <x:v>1.2666237666237665</x:v>
      </x:c>
      <x:c r="H5146" s="36" t="n">
        <x:f>E5146*G5146</x:f>
        <x:v>330439.3414843415</x:v>
      </x:c>
      <x:c r="I5146" s="36" t="n">
        <x:f>IFERROR(H5146/A5146,0)</x:f>
        <x:v>36715.48238714905</x:v>
      </x:c>
      <x:c r="J5146" s="67" t="str">
        <x:v>Modeled from live base + Sep-2026 quality ratio</x:v>
      </x:c>
      <x:c r="K5146" s="67" t="str">
        <x:v>https://www.stonealgo.com/diamond-prices/</x:v>
      </x:c>
      <x:c r="L5146" s="67" t="str">
        <x:v>https://www.pricescope.com/blog/natural-diamond-prices-september-2026</x:v>
      </x:c>
    </x:row>
    <x:row r="5147">
      <x:c r="A5147" t="n">
        <x:v>9</x:v>
      </x:c>
      <x:c r="B5147" t="str">
        <x:v>Round</x:v>
      </x:c>
      <x:c r="C5147" t="str">
        <x:v>G</x:v>
      </x:c>
      <x:c r="D5147" t="str">
        <x:v>IF</x:v>
      </x:c>
      <x:c r="E5147" s="36" t="n">
        <x:v>260882</x:v>
      </x:c>
      <x:c r="F5147" s="36" t="n">
        <x:v>5601</x:v>
      </x:c>
      <x:c r="G5147" s="42" t="n">
        <x:v>1.2014157014157014</x:v>
      </x:c>
      <x:c r="H5147" s="36" t="n">
        <x:f>E5147*G5147</x:f>
        <x:v>313427.731016731</x:v>
      </x:c>
      <x:c r="I5147" s="36" t="n">
        <x:f>IFERROR(H5147/A5147,0)</x:f>
        <x:v>34825.30344630344</x:v>
      </x:c>
      <x:c r="J5147" s="67" t="str">
        <x:v>Modeled from live base + Sep-2026 quality ratio</x:v>
      </x:c>
      <x:c r="K5147" s="67" t="str">
        <x:v>https://www.stonealgo.com/diamond-prices/</x:v>
      </x:c>
      <x:c r="L5147" s="67" t="str">
        <x:v>https://www.pricescope.com/blog/natural-diamond-prices-september-2026</x:v>
      </x:c>
    </x:row>
    <x:row r="5148">
      <x:c r="A5148" t="n">
        <x:v>9</x:v>
      </x:c>
      <x:c r="B5148" t="str">
        <x:v>Round</x:v>
      </x:c>
      <x:c r="C5148" t="str">
        <x:v>G</x:v>
      </x:c>
      <x:c r="D5148" t="str">
        <x:v>VVS1</x:v>
      </x:c>
      <x:c r="E5148" s="36" t="n">
        <x:v>260882</x:v>
      </x:c>
      <x:c r="F5148" s="36" t="n">
        <x:v>5124</x:v>
      </x:c>
      <x:c r="G5148" s="42" t="n">
        <x:v>1.0990990990990992</x:v>
      </x:c>
      <x:c r="H5148" s="36" t="n">
        <x:f>E5148*G5148</x:f>
        <x:v>286735.1711711712</x:v>
      </x:c>
      <x:c r="I5148" s="36" t="n">
        <x:f>IFERROR(H5148/A5148,0)</x:f>
        <x:v>31859.463463463464</x:v>
      </x:c>
      <x:c r="J5148" s="67" t="str">
        <x:v>Modeled from live base + Sep-2026 quality ratio</x:v>
      </x:c>
      <x:c r="K5148" s="67" t="str">
        <x:v>https://www.stonealgo.com/diamond-prices/</x:v>
      </x:c>
      <x:c r="L5148" s="67" t="str">
        <x:v>https://www.pricescope.com/blog/natural-diamond-prices-september-2026</x:v>
      </x:c>
    </x:row>
    <x:row r="5149">
      <x:c r="A5149" t="n">
        <x:v>9</x:v>
      </x:c>
      <x:c r="B5149" t="str">
        <x:v>Round</x:v>
      </x:c>
      <x:c r="C5149" t="str">
        <x:v>G</x:v>
      </x:c>
      <x:c r="D5149" t="str">
        <x:v>VVS2</x:v>
      </x:c>
      <x:c r="E5149" s="36" t="n">
        <x:v>260882</x:v>
      </x:c>
      <x:c r="F5149" s="36" t="n">
        <x:v>4962</x:v>
      </x:c>
      <x:c r="G5149" s="42" t="n">
        <x:v>1.0643500643500643</x:v>
      </x:c>
      <x:c r="H5149" s="36" t="n">
        <x:f>E5149*G5149</x:f>
        <x:v>277669.7734877735</x:v>
      </x:c>
      <x:c r="I5149" s="36" t="n">
        <x:f>IFERROR(H5149/A5149,0)</x:f>
        <x:v>30852.197054197055</x:v>
      </x:c>
      <x:c r="J5149" s="67" t="str">
        <x:v>Modeled from live base + Sep-2026 quality ratio</x:v>
      </x:c>
      <x:c r="K5149" s="67" t="str">
        <x:v>https://www.stonealgo.com/diamond-prices/</x:v>
      </x:c>
      <x:c r="L5149" s="67" t="str">
        <x:v>https://www.pricescope.com/blog/natural-diamond-prices-september-2026</x:v>
      </x:c>
    </x:row>
    <x:row r="5150">
      <x:c r="A5150" t="n">
        <x:v>9</x:v>
      </x:c>
      <x:c r="B5150" t="str">
        <x:v>Round</x:v>
      </x:c>
      <x:c r="C5150" t="str">
        <x:v>G</x:v>
      </x:c>
      <x:c r="D5150" t="str">
        <x:v>VS1</x:v>
      </x:c>
      <x:c r="E5150" s="36" t="n">
        <x:v>260882</x:v>
      </x:c>
      <x:c r="F5150" s="36" t="n">
        <x:v>4615</x:v>
      </x:c>
      <x:c r="G5150" s="42" t="n">
        <x:v>0.98991848991849</x:v>
      </x:c>
      <x:c r="H5150" s="36" t="n">
        <x:f>E5150*G5150</x:f>
        <x:v>258251.9154869155</x:v>
      </x:c>
      <x:c r="I5150" s="36" t="n">
        <x:f>IFERROR(H5150/A5150,0)</x:f>
        <x:v>28694.657276323946</x:v>
      </x:c>
      <x:c r="J5150" s="67" t="str">
        <x:v>Modeled from live base + Sep-2026 quality ratio</x:v>
      </x:c>
      <x:c r="K5150" s="67" t="str">
        <x:v>https://www.stonealgo.com/diamond-prices/</x:v>
      </x:c>
      <x:c r="L5150" s="67" t="str">
        <x:v>https://www.pricescope.com/blog/natural-diamond-prices-september-2026</x:v>
      </x:c>
    </x:row>
    <x:row r="5151">
      <x:c r="A5151" t="n">
        <x:v>9</x:v>
      </x:c>
      <x:c r="B5151" t="str">
        <x:v>Round</x:v>
      </x:c>
      <x:c r="C5151" t="str">
        <x:v>G</x:v>
      </x:c>
      <x:c r="D5151" t="str">
        <x:v>VS2</x:v>
      </x:c>
      <x:c r="E5151" s="36" t="n">
        <x:v>260882</x:v>
      </x:c>
      <x:c r="F5151" s="36" t="n">
        <x:v>4585</x:v>
      </x:c>
      <x:c r="G5151" s="42" t="n">
        <x:v>0.9834834834834835</x:v>
      </x:c>
      <x:c r="H5151" s="36" t="n">
        <x:f>E5151*G5151</x:f>
        <x:v>256573.13813813814</x:v>
      </x:c>
      <x:c r="I5151" s="36" t="n">
        <x:f>IFERROR(H5151/A5151,0)</x:f>
        <x:v>28508.126459793126</x:v>
      </x:c>
      <x:c r="J5151" s="67" t="str">
        <x:v>Modeled from live base + Sep-2026 quality ratio</x:v>
      </x:c>
      <x:c r="K5151" s="67" t="str">
        <x:v>https://www.stonealgo.com/diamond-prices/</x:v>
      </x:c>
      <x:c r="L5151" s="67" t="str">
        <x:v>https://www.pricescope.com/blog/natural-diamond-prices-september-2026</x:v>
      </x:c>
    </x:row>
    <x:row r="5152">
      <x:c r="A5152" t="n">
        <x:v>9</x:v>
      </x:c>
      <x:c r="B5152" t="str">
        <x:v>Round</x:v>
      </x:c>
      <x:c r="C5152" t="str">
        <x:v>G</x:v>
      </x:c>
      <x:c r="D5152" t="str">
        <x:v>SI1</x:v>
      </x:c>
      <x:c r="E5152" s="36" t="n">
        <x:v>260882</x:v>
      </x:c>
      <x:c r="F5152" s="36" t="n">
        <x:v>3664</x:v>
      </x:c>
      <x:c r="G5152" s="42" t="n">
        <x:v>0.7859287859287859</x:v>
      </x:c>
      <x:c r="H5152" s="36" t="n">
        <x:f>E5152*G5152</x:f>
        <x:v>205034.67353067352</x:v>
      </x:c>
      <x:c r="I5152" s="36" t="n">
        <x:f>IFERROR(H5152/A5152,0)</x:f>
        <x:v>22781.63039229706</x:v>
      </x:c>
      <x:c r="J5152" s="67" t="str">
        <x:v>Modeled from live base + Sep-2026 quality ratio</x:v>
      </x:c>
      <x:c r="K5152" s="67" t="str">
        <x:v>https://www.stonealgo.com/diamond-prices/</x:v>
      </x:c>
      <x:c r="L5152" s="67" t="str">
        <x:v>https://www.pricescope.com/blog/natural-diamond-prices-september-2026</x:v>
      </x:c>
    </x:row>
    <x:row r="5153">
      <x:c r="A5153" t="n">
        <x:v>9</x:v>
      </x:c>
      <x:c r="B5153" t="str">
        <x:v>Round</x:v>
      </x:c>
      <x:c r="C5153" t="str">
        <x:v>G</x:v>
      </x:c>
      <x:c r="D5153" t="str">
        <x:v>SI2</x:v>
      </x:c>
      <x:c r="E5153" s="36" t="n">
        <x:v>260882</x:v>
      </x:c>
      <x:c r="F5153" s="36" t="n">
        <x:v>2537</x:v>
      </x:c>
      <x:c r="G5153" s="42" t="n">
        <x:v>0.5441870441870442</x:v>
      </x:c>
      <x:c r="H5153" s="36" t="n">
        <x:f>E5153*G5153</x:f>
        <x:v>141968.60446160447</x:v>
      </x:c>
      <x:c r="I5153" s="36" t="n">
        <x:f>IFERROR(H5153/A5153,0)</x:f>
        <x:v>15774.289384622718</x:v>
      </x:c>
      <x:c r="J5153" s="67" t="str">
        <x:v>Modeled from live base + Sep-2026 quality ratio</x:v>
      </x:c>
      <x:c r="K5153" s="67" t="str">
        <x:v>https://www.stonealgo.com/diamond-prices/</x:v>
      </x:c>
      <x:c r="L5153" s="67" t="str">
        <x:v>https://www.pricescope.com/blog/natural-diamond-prices-september-2026</x:v>
      </x:c>
    </x:row>
    <x:row r="5154">
      <x:c r="A5154" t="n">
        <x:v>9</x:v>
      </x:c>
      <x:c r="B5154" t="str">
        <x:v>Round</x:v>
      </x:c>
      <x:c r="C5154" t="str">
        <x:v>H</x:v>
      </x:c>
      <x:c r="D5154" t="str">
        <x:v>FL</x:v>
      </x:c>
      <x:c r="E5154" s="36" t="n">
        <x:v>260882</x:v>
      </x:c>
      <x:c r="F5154" s="36" t="n">
        <x:v>4563</x:v>
      </x:c>
      <x:c r="G5154" s="42" t="n">
        <x:v>0.9787644787644788</x:v>
      </x:c>
      <x:c r="H5154" s="36" t="n">
        <x:f>E5154*G5154</x:f>
        <x:v>255342.03474903476</x:v>
      </x:c>
      <x:c r="I5154" s="36" t="n">
        <x:f>IFERROR(H5154/A5154,0)</x:f>
        <x:v>28371.337194337197</x:v>
      </x:c>
      <x:c r="J5154" s="67" t="str">
        <x:v>Modeled from live base + Sep-2026 quality ratio</x:v>
      </x:c>
      <x:c r="K5154" s="67" t="str">
        <x:v>https://www.stonealgo.com/diamond-prices/</x:v>
      </x:c>
      <x:c r="L5154" s="67" t="str">
        <x:v>https://www.pricescope.com/blog/natural-diamond-prices-september-2026</x:v>
      </x:c>
    </x:row>
    <x:row r="5155">
      <x:c r="A5155" t="n">
        <x:v>9</x:v>
      </x:c>
      <x:c r="B5155" t="str">
        <x:v>Round</x:v>
      </x:c>
      <x:c r="C5155" t="str">
        <x:v>H</x:v>
      </x:c>
      <x:c r="D5155" t="str">
        <x:v>IF</x:v>
      </x:c>
      <x:c r="E5155" s="36" t="n">
        <x:v>260882</x:v>
      </x:c>
      <x:c r="F5155" s="36" t="n">
        <x:v>4809</x:v>
      </x:c>
      <x:c r="G5155" s="42" t="n">
        <x:v>1.0315315315315314</x:v>
      </x:c>
      <x:c r="H5155" s="36" t="n">
        <x:f>E5155*G5155</x:f>
        <x:v>269108.009009009</x:v>
      </x:c>
      <x:c r="I5155" s="36" t="n">
        <x:f>IFERROR(H5155/A5155,0)</x:f>
        <x:v>29900.889889889888</x:v>
      </x:c>
      <x:c r="J5155" s="67" t="str">
        <x:v>Modeled from live base + Sep-2026 quality ratio</x:v>
      </x:c>
      <x:c r="K5155" s="67" t="str">
        <x:v>https://www.stonealgo.com/diamond-prices/</x:v>
      </x:c>
      <x:c r="L5155" s="67" t="str">
        <x:v>https://www.pricescope.com/blog/natural-diamond-prices-september-2026</x:v>
      </x:c>
    </x:row>
    <x:row r="5156">
      <x:c r="A5156" t="n">
        <x:v>9</x:v>
      </x:c>
      <x:c r="B5156" t="str">
        <x:v>Round</x:v>
      </x:c>
      <x:c r="C5156" t="str">
        <x:v>H</x:v>
      </x:c>
      <x:c r="D5156" t="str">
        <x:v>VVS1</x:v>
      </x:c>
      <x:c r="E5156" s="36" t="n">
        <x:v>260882</x:v>
      </x:c>
      <x:c r="F5156" s="36" t="n">
        <x:v>4911</x:v>
      </x:c>
      <x:c r="G5156" s="42" t="n">
        <x:v>1.0534105534105533</x:v>
      </x:c>
      <x:c r="H5156" s="36" t="n">
        <x:f>E5156*G5156</x:f>
        <x:v>274815.85199485195</x:v>
      </x:c>
      <x:c r="I5156" s="36" t="n">
        <x:f>IFERROR(H5156/A5156,0)</x:f>
        <x:v>30535.09466609466</x:v>
      </x:c>
      <x:c r="J5156" s="67" t="str">
        <x:v>Modeled from live base + Sep-2026 quality ratio</x:v>
      </x:c>
      <x:c r="K5156" s="67" t="str">
        <x:v>https://www.stonealgo.com/diamond-prices/</x:v>
      </x:c>
      <x:c r="L5156" s="67" t="str">
        <x:v>https://www.pricescope.com/blog/natural-diamond-prices-september-2026</x:v>
      </x:c>
    </x:row>
    <x:row r="5157">
      <x:c r="A5157" t="n">
        <x:v>9</x:v>
      </x:c>
      <x:c r="B5157" t="str">
        <x:v>Round</x:v>
      </x:c>
      <x:c r="C5157" t="str">
        <x:v>H</x:v>
      </x:c>
      <x:c r="D5157" t="str">
        <x:v>VVS2</x:v>
      </x:c>
      <x:c r="E5157" s="36" t="n">
        <x:v>260882</x:v>
      </x:c>
      <x:c r="F5157" s="36" t="n">
        <x:v>4046</x:v>
      </x:c>
      <x:c r="G5157" s="42" t="n">
        <x:v>0.8678678678678678</x:v>
      </x:c>
      <x:c r="H5157" s="36" t="n">
        <x:f>E5157*G5157</x:f>
        <x:v>226411.1051051051</x:v>
      </x:c>
      <x:c r="I5157" s="36" t="n">
        <x:f>IFERROR(H5157/A5157,0)</x:f>
        <x:v>25156.789456122788</x:v>
      </x:c>
      <x:c r="J5157" s="67" t="str">
        <x:v>Modeled from live base + Sep-2026 quality ratio</x:v>
      </x:c>
      <x:c r="K5157" s="67" t="str">
        <x:v>https://www.stonealgo.com/diamond-prices/</x:v>
      </x:c>
      <x:c r="L5157" s="67" t="str">
        <x:v>https://www.pricescope.com/blog/natural-diamond-prices-september-2026</x:v>
      </x:c>
    </x:row>
    <x:row r="5158">
      <x:c r="A5158" t="n">
        <x:v>9</x:v>
      </x:c>
      <x:c r="B5158" t="str">
        <x:v>Round</x:v>
      </x:c>
      <x:c r="C5158" t="str">
        <x:v>H</x:v>
      </x:c>
      <x:c r="D5158" t="str">
        <x:v>VS1</x:v>
      </x:c>
      <x:c r="E5158" s="36" t="n">
        <x:v>260882</x:v>
      </x:c>
      <x:c r="F5158" s="36" t="n">
        <x:v>3893</x:v>
      </x:c>
      <x:c r="G5158" s="42" t="n">
        <x:v>0.8350493350493351</x:v>
      </x:c>
      <x:c r="H5158" s="36" t="n">
        <x:f>E5158*G5158</x:f>
        <x:v>217849.34062634065</x:v>
      </x:c>
      <x:c r="I5158" s="36" t="n">
        <x:f>IFERROR(H5158/A5158,0)</x:f>
        <x:v>24205.482291815628</x:v>
      </x:c>
      <x:c r="J5158" s="67" t="str">
        <x:v>Modeled from live base + Sep-2026 quality ratio</x:v>
      </x:c>
      <x:c r="K5158" s="67" t="str">
        <x:v>https://www.stonealgo.com/diamond-prices/</x:v>
      </x:c>
      <x:c r="L5158" s="67" t="str">
        <x:v>https://www.pricescope.com/blog/natural-diamond-prices-september-2026</x:v>
      </x:c>
    </x:row>
    <x:row r="5159">
      <x:c r="A5159" t="n">
        <x:v>9</x:v>
      </x:c>
      <x:c r="B5159" t="str">
        <x:v>Round</x:v>
      </x:c>
      <x:c r="C5159" t="str">
        <x:v>H</x:v>
      </x:c>
      <x:c r="D5159" t="str">
        <x:v>VS2</x:v>
      </x:c>
      <x:c r="E5159" s="36" t="n">
        <x:v>260882</x:v>
      </x:c>
      <x:c r="F5159" s="36" t="n">
        <x:v>3989</x:v>
      </x:c>
      <x:c r="G5159" s="42" t="n">
        <x:v>0.8556413556413557</x:v>
      </x:c>
      <x:c r="H5159" s="36" t="n">
        <x:f>E5159*G5159</x:f>
        <x:v>223221.42814242817</x:v>
      </x:c>
      <x:c r="I5159" s="36" t="n">
        <x:f>IFERROR(H5159/A5159,0)</x:f>
        <x:v>24802.380904714242</x:v>
      </x:c>
      <x:c r="J5159" s="67" t="str">
        <x:v>Modeled from live base + Sep-2026 quality ratio</x:v>
      </x:c>
      <x:c r="K5159" s="67" t="str">
        <x:v>https://www.stonealgo.com/diamond-prices/</x:v>
      </x:c>
      <x:c r="L5159" s="67" t="str">
        <x:v>https://www.pricescope.com/blog/natural-diamond-prices-september-2026</x:v>
      </x:c>
    </x:row>
    <x:row r="5160">
      <x:c r="A5160" t="n">
        <x:v>9</x:v>
      </x:c>
      <x:c r="B5160" t="str">
        <x:v>Round</x:v>
      </x:c>
      <x:c r="C5160" t="str">
        <x:v>H</x:v>
      </x:c>
      <x:c r="D5160" t="str">
        <x:v>SI1</x:v>
      </x:c>
      <x:c r="E5160" s="36" t="n">
        <x:v>260882</x:v>
      </x:c>
      <x:c r="F5160" s="36" t="n">
        <x:v>2828</x:v>
      </x:c>
      <x:c r="G5160" s="42" t="n">
        <x:v>0.6066066066066066</x:v>
      </x:c>
      <x:c r="H5160" s="36" t="n">
        <x:f>E5160*G5160</x:f>
        <x:v>158252.74474474473</x:v>
      </x:c>
      <x:c r="I5160" s="36" t="n">
        <x:f>IFERROR(H5160/A5160,0)</x:f>
        <x:v>17583.63830497164</x:v>
      </x:c>
      <x:c r="J5160" s="67" t="str">
        <x:v>Modeled from live base + Sep-2026 quality ratio</x:v>
      </x:c>
      <x:c r="K5160" s="67" t="str">
        <x:v>https://www.stonealgo.com/diamond-prices/</x:v>
      </x:c>
      <x:c r="L5160" s="67" t="str">
        <x:v>https://www.pricescope.com/blog/natural-diamond-prices-september-2026</x:v>
      </x:c>
    </x:row>
    <x:row r="5161">
      <x:c r="A5161" t="n">
        <x:v>9</x:v>
      </x:c>
      <x:c r="B5161" t="str">
        <x:v>Round</x:v>
      </x:c>
      <x:c r="C5161" t="str">
        <x:v>H</x:v>
      </x:c>
      <x:c r="D5161" t="str">
        <x:v>SI2</x:v>
      </x:c>
      <x:c r="E5161" s="36" t="n">
        <x:v>260882</x:v>
      </x:c>
      <x:c r="F5161" s="36" t="n">
        <x:v>2328</x:v>
      </x:c>
      <x:c r="G5161" s="42" t="n">
        <x:v>0.49935649935649934</x:v>
      </x:c>
      <x:c r="H5161" s="36" t="n">
        <x:f>E5161*G5161</x:f>
        <x:v>130273.12226512226</x:v>
      </x:c>
      <x:c r="I5161" s="36" t="n">
        <x:f>IFERROR(H5161/A5161,0)</x:f>
        <x:v>14474.791362791362</x:v>
      </x:c>
      <x:c r="J5161" s="67" t="str">
        <x:v>Modeled from live base + Sep-2026 quality ratio</x:v>
      </x:c>
      <x:c r="K5161" s="67" t="str">
        <x:v>https://www.stonealgo.com/diamond-prices/</x:v>
      </x:c>
      <x:c r="L5161" s="67" t="str">
        <x:v>https://www.pricescope.com/blog/natural-diamond-prices-september-2026</x:v>
      </x:c>
    </x:row>
    <x:row r="5162">
      <x:c r="A5162" t="n">
        <x:v>9</x:v>
      </x:c>
      <x:c r="B5162" t="str">
        <x:v>Round</x:v>
      </x:c>
      <x:c r="C5162" t="str">
        <x:v>I</x:v>
      </x:c>
      <x:c r="D5162" t="str">
        <x:v>FL</x:v>
      </x:c>
      <x:c r="E5162" s="36" t="n">
        <x:v>260882</x:v>
      </x:c>
      <x:c r="F5162" s="36" t="n">
        <x:v>4623</x:v>
      </x:c>
      <x:c r="G5162" s="42" t="n">
        <x:v>0.9916344916344917</x:v>
      </x:c>
      <x:c r="H5162" s="36" t="n">
        <x:f>E5162*G5162</x:f>
        <x:v>258699.58944658947</x:v>
      </x:c>
      <x:c r="I5162" s="36" t="n">
        <x:f>IFERROR(H5162/A5162,0)</x:f>
        <x:v>28744.39882739883</x:v>
      </x:c>
      <x:c r="J5162" s="67" t="str">
        <x:v>Modeled from live base + Sep-2026 quality ratio</x:v>
      </x:c>
      <x:c r="K5162" s="67" t="str">
        <x:v>https://www.stonealgo.com/diamond-prices/</x:v>
      </x:c>
      <x:c r="L5162" s="67" t="str">
        <x:v>https://www.pricescope.com/blog/natural-diamond-prices-september-2026</x:v>
      </x:c>
    </x:row>
    <x:row r="5163">
      <x:c r="A5163" t="n">
        <x:v>9</x:v>
      </x:c>
      <x:c r="B5163" t="str">
        <x:v>Round</x:v>
      </x:c>
      <x:c r="C5163" t="str">
        <x:v>I</x:v>
      </x:c>
      <x:c r="D5163" t="str">
        <x:v>IF</x:v>
      </x:c>
      <x:c r="E5163" s="36" t="n">
        <x:v>260882</x:v>
      </x:c>
      <x:c r="F5163" s="36" t="n">
        <x:v>4005</x:v>
      </x:c>
      <x:c r="G5163" s="42" t="n">
        <x:v>0.859073359073359</x:v>
      </x:c>
      <x:c r="H5163" s="36" t="n">
        <x:f>E5163*G5163</x:f>
        <x:v>224116.77606177604</x:v>
      </x:c>
      <x:c r="I5163" s="36" t="n">
        <x:f>IFERROR(H5163/A5163,0)</x:f>
        <x:v>24901.864006864005</x:v>
      </x:c>
      <x:c r="J5163" s="67" t="str">
        <x:v>Modeled from live base + Sep-2026 quality ratio</x:v>
      </x:c>
      <x:c r="K5163" s="67" t="str">
        <x:v>https://www.stonealgo.com/diamond-prices/</x:v>
      </x:c>
      <x:c r="L5163" s="67" t="str">
        <x:v>https://www.pricescope.com/blog/natural-diamond-prices-september-2026</x:v>
      </x:c>
    </x:row>
    <x:row r="5164">
      <x:c r="A5164" t="n">
        <x:v>9</x:v>
      </x:c>
      <x:c r="B5164" t="str">
        <x:v>Round</x:v>
      </x:c>
      <x:c r="C5164" t="str">
        <x:v>I</x:v>
      </x:c>
      <x:c r="D5164" t="str">
        <x:v>VVS1</x:v>
      </x:c>
      <x:c r="E5164" s="36" t="n">
        <x:v>260882</x:v>
      </x:c>
      <x:c r="F5164" s="36" t="n">
        <x:v>3670</x:v>
      </x:c>
      <x:c r="G5164" s="42" t="n">
        <x:v>0.7872157872157872</x:v>
      </x:c>
      <x:c r="H5164" s="36" t="n">
        <x:f>E5164*G5164</x:f>
        <x:v>205370.429000429</x:v>
      </x:c>
      <x:c r="I5164" s="36" t="n">
        <x:f>IFERROR(H5164/A5164,0)</x:f>
        <x:v>22818.93655560322</x:v>
      </x:c>
      <x:c r="J5164" s="67" t="str">
        <x:v>Modeled from live base + Sep-2026 quality ratio</x:v>
      </x:c>
      <x:c r="K5164" s="67" t="str">
        <x:v>https://www.stonealgo.com/diamond-prices/</x:v>
      </x:c>
      <x:c r="L5164" s="67" t="str">
        <x:v>https://www.pricescope.com/blog/natural-diamond-prices-september-2026</x:v>
      </x:c>
    </x:row>
    <x:row r="5165">
      <x:c r="A5165" t="n">
        <x:v>9</x:v>
      </x:c>
      <x:c r="B5165" t="str">
        <x:v>Round</x:v>
      </x:c>
      <x:c r="C5165" t="str">
        <x:v>I</x:v>
      </x:c>
      <x:c r="D5165" t="str">
        <x:v>VVS2</x:v>
      </x:c>
      <x:c r="E5165" s="36" t="n">
        <x:v>260882</x:v>
      </x:c>
      <x:c r="F5165" s="36" t="n">
        <x:v>3447</x:v>
      </x:c>
      <x:c r="G5165" s="42" t="n">
        <x:v>0.7393822393822393</x:v>
      </x:c>
      <x:c r="H5165" s="36" t="n">
        <x:f>E5165*G5165</x:f>
        <x:v>192891.51737451737</x:v>
      </x:c>
      <x:c r="I5165" s="36" t="n">
        <x:f>IFERROR(H5165/A5165,0)</x:f>
        <x:v>21432.390819390817</x:v>
      </x:c>
      <x:c r="J5165" s="67" t="str">
        <x:v>Modeled from live base + Sep-2026 quality ratio</x:v>
      </x:c>
      <x:c r="K5165" s="67" t="str">
        <x:v>https://www.stonealgo.com/diamond-prices/</x:v>
      </x:c>
      <x:c r="L5165" s="67" t="str">
        <x:v>https://www.pricescope.com/blog/natural-diamond-prices-september-2026</x:v>
      </x:c>
    </x:row>
    <x:row r="5166">
      <x:c r="A5166" t="n">
        <x:v>9</x:v>
      </x:c>
      <x:c r="B5166" t="str">
        <x:v>Round</x:v>
      </x:c>
      <x:c r="C5166" t="str">
        <x:v>I</x:v>
      </x:c>
      <x:c r="D5166" t="str">
        <x:v>VS1</x:v>
      </x:c>
      <x:c r="E5166" s="36" t="n">
        <x:v>260882</x:v>
      </x:c>
      <x:c r="F5166" s="36" t="n">
        <x:v>3313</x:v>
      </x:c>
      <x:c r="G5166" s="42" t="n">
        <x:v>0.7106392106392107</x:v>
      </x:c>
      <x:c r="H5166" s="36" t="n">
        <x:f>E5166*G5166</x:f>
        <x:v>185392.97854997855</x:v>
      </x:c>
      <x:c r="I5166" s="36" t="n">
        <x:f>IFERROR(H5166/A5166,0)</x:f>
        <x:v>20599.219838886507</x:v>
      </x:c>
      <x:c r="J5166" s="67" t="str">
        <x:v>Modeled from live base + Sep-2026 quality ratio</x:v>
      </x:c>
      <x:c r="K5166" s="67" t="str">
        <x:v>https://www.stonealgo.com/diamond-prices/</x:v>
      </x:c>
      <x:c r="L5166" s="67" t="str">
        <x:v>https://www.pricescope.com/blog/natural-diamond-prices-september-2026</x:v>
      </x:c>
    </x:row>
    <x:row r="5167">
      <x:c r="A5167" t="n">
        <x:v>9</x:v>
      </x:c>
      <x:c r="B5167" t="str">
        <x:v>Round</x:v>
      </x:c>
      <x:c r="C5167" t="str">
        <x:v>I</x:v>
      </x:c>
      <x:c r="D5167" t="str">
        <x:v>VS2</x:v>
      </x:c>
      <x:c r="E5167" s="36" t="n">
        <x:v>260882</x:v>
      </x:c>
      <x:c r="F5167" s="36" t="n">
        <x:v>3240</x:v>
      </x:c>
      <x:c r="G5167" s="42" t="n">
        <x:v>0.694980694980695</x:v>
      </x:c>
      <x:c r="H5167" s="36" t="n">
        <x:f>E5167*G5167</x:f>
        <x:v>181307.95366795367</x:v>
      </x:c>
      <x:c r="I5167" s="36" t="n">
        <x:f>IFERROR(H5167/A5167,0)</x:f>
        <x:v>20145.328185328184</x:v>
      </x:c>
      <x:c r="J5167" s="67" t="str">
        <x:v>Modeled from live base + Sep-2026 quality ratio</x:v>
      </x:c>
      <x:c r="K5167" s="67" t="str">
        <x:v>https://www.stonealgo.com/diamond-prices/</x:v>
      </x:c>
      <x:c r="L5167" s="67" t="str">
        <x:v>https://www.pricescope.com/blog/natural-diamond-prices-september-2026</x:v>
      </x:c>
    </x:row>
    <x:row r="5168">
      <x:c r="A5168" t="n">
        <x:v>9</x:v>
      </x:c>
      <x:c r="B5168" t="str">
        <x:v>Round</x:v>
      </x:c>
      <x:c r="C5168" t="str">
        <x:v>I</x:v>
      </x:c>
      <x:c r="D5168" t="str">
        <x:v>SI1</x:v>
      </x:c>
      <x:c r="E5168" s="36" t="n">
        <x:v>260882</x:v>
      </x:c>
      <x:c r="F5168" s="36" t="n">
        <x:v>3199</x:v>
      </x:c>
      <x:c r="G5168" s="42" t="n">
        <x:v>0.6861861861861862</x:v>
      </x:c>
      <x:c r="H5168" s="36" t="n">
        <x:f>E5168*G5168</x:f>
        <x:v>179013.62462462464</x:v>
      </x:c>
      <x:c r="I5168" s="36" t="n">
        <x:f>IFERROR(H5168/A5168,0)</x:f>
        <x:v>19890.402736069405</x:v>
      </x:c>
      <x:c r="J5168" s="67" t="str">
        <x:v>Modeled from live base + Sep-2026 quality ratio</x:v>
      </x:c>
      <x:c r="K5168" s="67" t="str">
        <x:v>https://www.stonealgo.com/diamond-prices/</x:v>
      </x:c>
      <x:c r="L5168" s="67" t="str">
        <x:v>https://www.pricescope.com/blog/natural-diamond-prices-september-2026</x:v>
      </x:c>
    </x:row>
    <x:row r="5169">
      <x:c r="A5169" t="n">
        <x:v>9</x:v>
      </x:c>
      <x:c r="B5169" t="str">
        <x:v>Round</x:v>
      </x:c>
      <x:c r="C5169" t="str">
        <x:v>I</x:v>
      </x:c>
      <x:c r="D5169" t="str">
        <x:v>SI2</x:v>
      </x:c>
      <x:c r="E5169" s="36" t="n">
        <x:v>260882</x:v>
      </x:c>
      <x:c r="F5169" s="36" t="n">
        <x:v>2874</x:v>
      </x:c>
      <x:c r="G5169" s="42" t="n">
        <x:v>0.6164736164736164</x:v>
      </x:c>
      <x:c r="H5169" s="36" t="n">
        <x:f>E5169*G5169</x:f>
        <x:v>160826.87001287</x:v>
      </x:c>
      <x:c r="I5169" s="36" t="n">
        <x:f>IFERROR(H5169/A5169,0)</x:f>
        <x:v>17869.65222365222</x:v>
      </x:c>
      <x:c r="J5169" s="67" t="str">
        <x:v>Modeled from live base + Sep-2026 quality ratio</x:v>
      </x:c>
      <x:c r="K5169" s="67" t="str">
        <x:v>https://www.stonealgo.com/diamond-prices/</x:v>
      </x:c>
      <x:c r="L5169" s="67" t="str">
        <x:v>https://www.pricescope.com/blog/natural-diamond-prices-september-2026</x:v>
      </x:c>
    </x:row>
    <x:row r="5170">
      <x:c r="A5170" t="n">
        <x:v>9</x:v>
      </x:c>
      <x:c r="B5170" t="str">
        <x:v>Round</x:v>
      </x:c>
      <x:c r="C5170" t="str">
        <x:v>J</x:v>
      </x:c>
      <x:c r="D5170" t="str">
        <x:v>FL</x:v>
      </x:c>
      <x:c r="E5170" s="36" t="n">
        <x:v>260882</x:v>
      </x:c>
      <x:c r="F5170" s="36" t="n">
        <x:v>3646</x:v>
      </x:c>
      <x:c r="G5170" s="42" t="n">
        <x:v>0.782067782067782</x:v>
      </x:c>
      <x:c r="H5170" s="36" t="n">
        <x:f>E5170*G5170</x:f>
        <x:v>204027.40712140713</x:v>
      </x:c>
      <x:c r="I5170" s="36" t="n">
        <x:f>IFERROR(H5170/A5170,0)</x:f>
        <x:v>22669.71190237857</x:v>
      </x:c>
      <x:c r="J5170" s="67" t="str">
        <x:v>Modeled from live base + Sep-2026 quality ratio</x:v>
      </x:c>
      <x:c r="K5170" s="67" t="str">
        <x:v>https://www.stonealgo.com/diamond-prices/</x:v>
      </x:c>
      <x:c r="L5170" s="67" t="str">
        <x:v>https://www.pricescope.com/blog/natural-diamond-prices-september-2026</x:v>
      </x:c>
    </x:row>
    <x:row r="5171">
      <x:c r="A5171" t="n">
        <x:v>9</x:v>
      </x:c>
      <x:c r="B5171" t="str">
        <x:v>Round</x:v>
      </x:c>
      <x:c r="C5171" t="str">
        <x:v>J</x:v>
      </x:c>
      <x:c r="D5171" t="str">
        <x:v>IF</x:v>
      </x:c>
      <x:c r="E5171" s="36" t="n">
        <x:v>260882</x:v>
      </x:c>
      <x:c r="F5171" s="36" t="n">
        <x:v>3368</x:v>
      </x:c>
      <x:c r="G5171" s="42" t="n">
        <x:v>0.7224367224367224</x:v>
      </x:c>
      <x:c r="H5171" s="36" t="n">
        <x:f>E5171*G5171</x:f>
        <x:v>188470.737022737</x:v>
      </x:c>
      <x:c r="I5171" s="36" t="n">
        <x:f>IFERROR(H5171/A5171,0)</x:f>
        <x:v>20941.193002526335</x:v>
      </x:c>
      <x:c r="J5171" s="67" t="str">
        <x:v>Modeled from live base + Sep-2026 quality ratio</x:v>
      </x:c>
      <x:c r="K5171" s="67" t="str">
        <x:v>https://www.stonealgo.com/diamond-prices/</x:v>
      </x:c>
      <x:c r="L5171" s="67" t="str">
        <x:v>https://www.pricescope.com/blog/natural-diamond-prices-september-2026</x:v>
      </x:c>
    </x:row>
    <x:row r="5172">
      <x:c r="A5172" t="n">
        <x:v>9</x:v>
      </x:c>
      <x:c r="B5172" t="str">
        <x:v>Round</x:v>
      </x:c>
      <x:c r="C5172" t="str">
        <x:v>J</x:v>
      </x:c>
      <x:c r="D5172" t="str">
        <x:v>VVS1</x:v>
      </x:c>
      <x:c r="E5172" s="36" t="n">
        <x:v>260882</x:v>
      </x:c>
      <x:c r="F5172" s="36" t="n">
        <x:v>2956</x:v>
      </x:c>
      <x:c r="G5172" s="42" t="n">
        <x:v>0.6340626340626341</x:v>
      </x:c>
      <x:c r="H5172" s="36" t="n">
        <x:f>E5172*G5172</x:f>
        <x:v>165415.5280995281</x:v>
      </x:c>
      <x:c r="I5172" s="36" t="n">
        <x:f>IFERROR(H5172/A5172,0)</x:f>
        <x:v>18379.50312216979</x:v>
      </x:c>
      <x:c r="J5172" s="67" t="str">
        <x:v>Modeled from live base + Sep-2026 quality ratio</x:v>
      </x:c>
      <x:c r="K5172" s="67" t="str">
        <x:v>https://www.stonealgo.com/diamond-prices/</x:v>
      </x:c>
      <x:c r="L5172" s="67" t="str">
        <x:v>https://www.pricescope.com/blog/natural-diamond-prices-september-2026</x:v>
      </x:c>
    </x:row>
    <x:row r="5173">
      <x:c r="A5173" t="n">
        <x:v>9</x:v>
      </x:c>
      <x:c r="B5173" t="str">
        <x:v>Round</x:v>
      </x:c>
      <x:c r="C5173" t="str">
        <x:v>J</x:v>
      </x:c>
      <x:c r="D5173" t="str">
        <x:v>VVS2</x:v>
      </x:c>
      <x:c r="E5173" s="36" t="n">
        <x:v>260882</x:v>
      </x:c>
      <x:c r="F5173" s="36" t="n">
        <x:v>2612</x:v>
      </x:c>
      <x:c r="G5173" s="42" t="n">
        <x:v>0.5602745602745602</x:v>
      </x:c>
      <x:c r="H5173" s="36" t="n">
        <x:f>E5173*G5173</x:f>
        <x:v>146165.5478335478</x:v>
      </x:c>
      <x:c r="I5173" s="36" t="n">
        <x:f>IFERROR(H5173/A5173,0)</x:f>
        <x:v>16240.616425949756</x:v>
      </x:c>
      <x:c r="J5173" s="67" t="str">
        <x:v>Modeled from live base + Sep-2026 quality ratio</x:v>
      </x:c>
      <x:c r="K5173" s="67" t="str">
        <x:v>https://www.stonealgo.com/diamond-prices/</x:v>
      </x:c>
      <x:c r="L5173" s="67" t="str">
        <x:v>https://www.pricescope.com/blog/natural-diamond-prices-september-2026</x:v>
      </x:c>
    </x:row>
    <x:row r="5174">
      <x:c r="A5174" t="n">
        <x:v>9</x:v>
      </x:c>
      <x:c r="B5174" t="str">
        <x:v>Round</x:v>
      </x:c>
      <x:c r="C5174" t="str">
        <x:v>J</x:v>
      </x:c>
      <x:c r="D5174" t="str">
        <x:v>VS1</x:v>
      </x:c>
      <x:c r="E5174" s="36" t="n">
        <x:v>260882</x:v>
      </x:c>
      <x:c r="F5174" s="36" t="n">
        <x:v>3002</x:v>
      </x:c>
      <x:c r="G5174" s="42" t="n">
        <x:v>0.6439296439296439</x:v>
      </x:c>
      <x:c r="H5174" s="36" t="n">
        <x:f>E5174*G5174</x:f>
        <x:v>167989.65336765337</x:v>
      </x:c>
      <x:c r="I5174" s="36" t="n">
        <x:f>IFERROR(H5174/A5174,0)</x:f>
        <x:v>18665.517040850376</x:v>
      </x:c>
      <x:c r="J5174" s="67" t="str">
        <x:v>Modeled from live base + Sep-2026 quality ratio</x:v>
      </x:c>
      <x:c r="K5174" s="67" t="str">
        <x:v>https://www.stonealgo.com/diamond-prices/</x:v>
      </x:c>
      <x:c r="L5174" s="67" t="str">
        <x:v>https://www.pricescope.com/blog/natural-diamond-prices-september-2026</x:v>
      </x:c>
    </x:row>
    <x:row r="5175">
      <x:c r="A5175" t="n">
        <x:v>9</x:v>
      </x:c>
      <x:c r="B5175" t="str">
        <x:v>Round</x:v>
      </x:c>
      <x:c r="C5175" t="str">
        <x:v>J</x:v>
      </x:c>
      <x:c r="D5175" t="str">
        <x:v>VS2</x:v>
      </x:c>
      <x:c r="E5175" s="36" t="n">
        <x:v>260882</x:v>
      </x:c>
      <x:c r="F5175" s="36" t="n">
        <x:v>2559</x:v>
      </x:c>
      <x:c r="G5175" s="42" t="n">
        <x:v>0.5489060489060489</x:v>
      </x:c>
      <x:c r="H5175" s="36" t="n">
        <x:f>E5175*G5175</x:f>
        <x:v>143199.70785070784</x:v>
      </x:c>
      <x:c r="I5175" s="36" t="n">
        <x:f>IFERROR(H5175/A5175,0)</x:f>
        <x:v>15911.078650078649</x:v>
      </x:c>
      <x:c r="J5175" s="67" t="str">
        <x:v>Modeled from live base + Sep-2026 quality ratio</x:v>
      </x:c>
      <x:c r="K5175" s="67" t="str">
        <x:v>https://www.stonealgo.com/diamond-prices/</x:v>
      </x:c>
      <x:c r="L5175" s="67" t="str">
        <x:v>https://www.pricescope.com/blog/natural-diamond-prices-september-2026</x:v>
      </x:c>
    </x:row>
    <x:row r="5176">
      <x:c r="A5176" t="n">
        <x:v>9</x:v>
      </x:c>
      <x:c r="B5176" t="str">
        <x:v>Round</x:v>
      </x:c>
      <x:c r="C5176" t="str">
        <x:v>J</x:v>
      </x:c>
      <x:c r="D5176" t="str">
        <x:v>SI1</x:v>
      </x:c>
      <x:c r="E5176" s="36" t="n">
        <x:v>260882</x:v>
      </x:c>
      <x:c r="F5176" s="36" t="n">
        <x:v>2195</x:v>
      </x:c>
      <x:c r="G5176" s="42" t="n">
        <x:v>0.47082797082797084</x:v>
      </x:c>
      <x:c r="H5176" s="36" t="n">
        <x:f>E5176*G5176</x:f>
        <x:v>122830.54268554269</x:v>
      </x:c>
      <x:c r="I5176" s="36" t="n">
        <x:f>IFERROR(H5176/A5176,0)</x:f>
        <x:v>13647.83807617141</x:v>
      </x:c>
      <x:c r="J5176" s="67" t="str">
        <x:v>Modeled from live base + Sep-2026 quality ratio</x:v>
      </x:c>
      <x:c r="K5176" s="67" t="str">
        <x:v>https://www.stonealgo.com/diamond-prices/</x:v>
      </x:c>
      <x:c r="L5176" s="67" t="str">
        <x:v>https://www.pricescope.com/blog/natural-diamond-prices-september-2026</x:v>
      </x:c>
    </x:row>
    <x:row r="5177">
      <x:c r="A5177" t="n">
        <x:v>9</x:v>
      </x:c>
      <x:c r="B5177" t="str">
        <x:v>Round</x:v>
      </x:c>
      <x:c r="C5177" t="str">
        <x:v>J</x:v>
      </x:c>
      <x:c r="D5177" t="str">
        <x:v>SI2</x:v>
      </x:c>
      <x:c r="E5177" s="36" t="n">
        <x:v>260882</x:v>
      </x:c>
      <x:c r="F5177" s="36" t="n">
        <x:v>2079</x:v>
      </x:c>
      <x:c r="G5177" s="42" t="n">
        <x:v>0.44594594594594594</x:v>
      </x:c>
      <x:c r="H5177" s="36" t="n">
        <x:f>E5177*G5177</x:f>
        <x:v>116339.27027027027</x:v>
      </x:c>
      <x:c r="I5177" s="36" t="n">
        <x:f>IFERROR(H5177/A5177,0)</x:f>
        <x:v>12926.585585585584</x:v>
      </x:c>
      <x:c r="J5177" s="67" t="str">
        <x:v>Modeled from live base + Sep-2026 quality ratio</x:v>
      </x:c>
      <x:c r="K5177" s="67" t="str">
        <x:v>https://www.stonealgo.com/diamond-prices/</x:v>
      </x:c>
      <x:c r="L5177" s="67" t="str">
        <x:v>https://www.pricescope.com/blog/natural-diamond-prices-september-2026</x:v>
      </x:c>
    </x:row>
    <x:row r="5178">
      <x:c r="A5178" t="n">
        <x:v>9</x:v>
      </x:c>
      <x:c r="B5178" t="str">
        <x:v>Round</x:v>
      </x:c>
      <x:c r="C5178" t="str">
        <x:v>K</x:v>
      </x:c>
      <x:c r="D5178" t="str">
        <x:v>FL</x:v>
      </x:c>
      <x:c r="E5178" s="36" t="n">
        <x:v>260882</x:v>
      </x:c>
      <x:c r="F5178" s="36" t="n">
        <x:v>2858</x:v>
      </x:c>
      <x:c r="G5178" s="42" t="n">
        <x:v>0.6130416130416131</x:v>
      </x:c>
      <x:c r="H5178" s="36" t="n">
        <x:f>E5178*G5178</x:f>
        <x:v>159931.5220935221</x:v>
      </x:c>
      <x:c r="I5178" s="36" t="n">
        <x:f>IFERROR(H5178/A5178,0)</x:f>
        <x:v>17770.169121502455</x:v>
      </x:c>
      <x:c r="J5178" s="67" t="str">
        <x:v>Modeled from live base + Sep-2026 quality ratio; K/FL quality cell modeled</x:v>
      </x:c>
      <x:c r="K5178" s="67" t="str">
        <x:v>https://www.stonealgo.com/diamond-prices/</x:v>
      </x:c>
      <x:c r="L5178" s="67" t="str">
        <x:v>https://www.pricescope.com/blog/natural-diamond-prices-september-2026</x:v>
      </x:c>
    </x:row>
    <x:row r="5179">
      <x:c r="A5179" t="n">
        <x:v>9</x:v>
      </x:c>
      <x:c r="B5179" t="str">
        <x:v>Round</x:v>
      </x:c>
      <x:c r="C5179" t="str">
        <x:v>K</x:v>
      </x:c>
      <x:c r="D5179" t="str">
        <x:v>IF</x:v>
      </x:c>
      <x:c r="E5179" s="36" t="n">
        <x:v>260882</x:v>
      </x:c>
      <x:c r="F5179" s="36" t="n">
        <x:v>2743</x:v>
      </x:c>
      <x:c r="G5179" s="42" t="n">
        <x:v>0.5883740883740883</x:v>
      </x:c>
      <x:c r="H5179" s="36" t="n">
        <x:f>E5179*G5179</x:f>
        <x:v>153496.2089232089</x:v>
      </x:c>
      <x:c r="I5179" s="36" t="n">
        <x:f>IFERROR(H5179/A5179,0)</x:f>
        <x:v>17055.13432480099</x:v>
      </x:c>
      <x:c r="J5179" s="67" t="str">
        <x:v>Modeled from live base + Sep-2026 quality ratio</x:v>
      </x:c>
      <x:c r="K5179" s="67" t="str">
        <x:v>https://www.stonealgo.com/diamond-prices/</x:v>
      </x:c>
      <x:c r="L5179" s="67" t="str">
        <x:v>https://www.pricescope.com/blog/natural-diamond-prices-september-2026</x:v>
      </x:c>
    </x:row>
    <x:row r="5180">
      <x:c r="A5180" t="n">
        <x:v>9</x:v>
      </x:c>
      <x:c r="B5180" t="str">
        <x:v>Round</x:v>
      </x:c>
      <x:c r="C5180" t="str">
        <x:v>K</x:v>
      </x:c>
      <x:c r="D5180" t="str">
        <x:v>VVS1</x:v>
      </x:c>
      <x:c r="E5180" s="36" t="n">
        <x:v>260882</x:v>
      </x:c>
      <x:c r="F5180" s="36" t="n">
        <x:v>2529</x:v>
      </x:c>
      <x:c r="G5180" s="42" t="n">
        <x:v>0.5424710424710425</x:v>
      </x:c>
      <x:c r="H5180" s="36" t="n">
        <x:f>E5180*G5180</x:f>
        <x:v>141520.9305019305</x:v>
      </x:c>
      <x:c r="I5180" s="36" t="n">
        <x:f>IFERROR(H5180/A5180,0)</x:f>
        <x:v>15724.547833547833</x:v>
      </x:c>
      <x:c r="J5180" s="67" t="str">
        <x:v>Modeled from live base + Sep-2026 quality ratio</x:v>
      </x:c>
      <x:c r="K5180" s="67" t="str">
        <x:v>https://www.stonealgo.com/diamond-prices/</x:v>
      </x:c>
      <x:c r="L5180" s="67" t="str">
        <x:v>https://www.pricescope.com/blog/natural-diamond-prices-september-2026</x:v>
      </x:c>
    </x:row>
    <x:row r="5181">
      <x:c r="A5181" t="n">
        <x:v>9</x:v>
      </x:c>
      <x:c r="B5181" t="str">
        <x:v>Round</x:v>
      </x:c>
      <x:c r="C5181" t="str">
        <x:v>K</x:v>
      </x:c>
      <x:c r="D5181" t="str">
        <x:v>VVS2</x:v>
      </x:c>
      <x:c r="E5181" s="36" t="n">
        <x:v>260882</x:v>
      </x:c>
      <x:c r="F5181" s="36" t="n">
        <x:v>2374</x:v>
      </x:c>
      <x:c r="G5181" s="42" t="n">
        <x:v>0.5092235092235092</x:v>
      </x:c>
      <x:c r="H5181" s="36" t="n">
        <x:f>E5181*G5181</x:f>
        <x:v>132847.24753324754</x:v>
      </x:c>
      <x:c r="I5181" s="36" t="n">
        <x:f>IFERROR(H5181/A5181,0)</x:f>
        <x:v>14760.805281471949</x:v>
      </x:c>
      <x:c r="J5181" s="67" t="str">
        <x:v>Modeled from live base + Sep-2026 quality ratio</x:v>
      </x:c>
      <x:c r="K5181" s="67" t="str">
        <x:v>https://www.stonealgo.com/diamond-prices/</x:v>
      </x:c>
      <x:c r="L5181" s="67" t="str">
        <x:v>https://www.pricescope.com/blog/natural-diamond-prices-september-2026</x:v>
      </x:c>
    </x:row>
    <x:row r="5182">
      <x:c r="A5182" t="n">
        <x:v>9</x:v>
      </x:c>
      <x:c r="B5182" t="str">
        <x:v>Round</x:v>
      </x:c>
      <x:c r="C5182" t="str">
        <x:v>K</x:v>
      </x:c>
      <x:c r="D5182" t="str">
        <x:v>VS1</x:v>
      </x:c>
      <x:c r="E5182" s="36" t="n">
        <x:v>260882</x:v>
      </x:c>
      <x:c r="F5182" s="36" t="n">
        <x:v>2223</x:v>
      </x:c>
      <x:c r="G5182" s="42" t="n">
        <x:v>0.4768339768339768</x:v>
      </x:c>
      <x:c r="H5182" s="36" t="n">
        <x:f>E5182*G5182</x:f>
        <x:v>124397.40154440154</x:v>
      </x:c>
      <x:c r="I5182" s="36" t="n">
        <x:f>IFERROR(H5182/A5182,0)</x:f>
        <x:v>13821.933504933504</x:v>
      </x:c>
      <x:c r="J5182" s="67" t="str">
        <x:v>Modeled from live base + Sep-2026 quality ratio</x:v>
      </x:c>
      <x:c r="K5182" s="67" t="str">
        <x:v>https://www.stonealgo.com/diamond-prices/</x:v>
      </x:c>
      <x:c r="L5182" s="67" t="str">
        <x:v>https://www.pricescope.com/blog/natural-diamond-prices-september-2026</x:v>
      </x:c>
    </x:row>
    <x:row r="5183">
      <x:c r="A5183" t="n">
        <x:v>9</x:v>
      </x:c>
      <x:c r="B5183" t="str">
        <x:v>Round</x:v>
      </x:c>
      <x:c r="C5183" t="str">
        <x:v>K</x:v>
      </x:c>
      <x:c r="D5183" t="str">
        <x:v>VS2</x:v>
      </x:c>
      <x:c r="E5183" s="36" t="n">
        <x:v>260882</x:v>
      </x:c>
      <x:c r="F5183" s="36" t="n">
        <x:v>2098</x:v>
      </x:c>
      <x:c r="G5183" s="42" t="n">
        <x:v>0.45002145002145</x:v>
      </x:c>
      <x:c r="H5183" s="36" t="n">
        <x:f>E5183*G5183</x:f>
        <x:v>117402.49592449592</x:v>
      </x:c>
      <x:c r="I5183" s="36" t="n">
        <x:f>IFERROR(H5183/A5183,0)</x:f>
        <x:v>13044.721769388436</x:v>
      </x:c>
      <x:c r="J5183" s="67" t="str">
        <x:v>Modeled from live base + Sep-2026 quality ratio</x:v>
      </x:c>
      <x:c r="K5183" s="67" t="str">
        <x:v>https://www.stonealgo.com/diamond-prices/</x:v>
      </x:c>
      <x:c r="L5183" s="67" t="str">
        <x:v>https://www.pricescope.com/blog/natural-diamond-prices-september-2026</x:v>
      </x:c>
    </x:row>
    <x:row r="5184">
      <x:c r="A5184" t="n">
        <x:v>9</x:v>
      </x:c>
      <x:c r="B5184" t="str">
        <x:v>Round</x:v>
      </x:c>
      <x:c r="C5184" t="str">
        <x:v>K</x:v>
      </x:c>
      <x:c r="D5184" t="str">
        <x:v>SI1</x:v>
      </x:c>
      <x:c r="E5184" s="36" t="n">
        <x:v>260882</x:v>
      </x:c>
      <x:c r="F5184" s="36" t="n">
        <x:v>1922</x:v>
      </x:c>
      <x:c r="G5184" s="42" t="n">
        <x:v>0.41226941226941227</x:v>
      </x:c>
      <x:c r="H5184" s="36" t="n">
        <x:f>E5184*G5184</x:f>
        <x:v>107553.66881166882</x:v>
      </x:c>
      <x:c r="I5184" s="36" t="n">
        <x:f>IFERROR(H5184/A5184,0)</x:f>
        <x:v>11950.40764574098</x:v>
      </x:c>
      <x:c r="J5184" s="67" t="str">
        <x:v>Modeled from live base + Sep-2026 quality ratio</x:v>
      </x:c>
      <x:c r="K5184" s="67" t="str">
        <x:v>https://www.stonealgo.com/diamond-prices/</x:v>
      </x:c>
      <x:c r="L5184" s="67" t="str">
        <x:v>https://www.pricescope.com/blog/natural-diamond-prices-september-2026</x:v>
      </x:c>
    </x:row>
    <x:row r="5185">
      <x:c r="A5185" t="n">
        <x:v>9</x:v>
      </x:c>
      <x:c r="B5185" t="str">
        <x:v>Round</x:v>
      </x:c>
      <x:c r="C5185" t="str">
        <x:v>K</x:v>
      </x:c>
      <x:c r="D5185" t="str">
        <x:v>SI2</x:v>
      </x:c>
      <x:c r="E5185" s="36" t="n">
        <x:v>260882</x:v>
      </x:c>
      <x:c r="F5185" s="36" t="n">
        <x:v>1764</x:v>
      </x:c>
      <x:c r="G5185" s="42" t="n">
        <x:v>0.3783783783783784</x:v>
      </x:c>
      <x:c r="H5185" s="36" t="n">
        <x:f>E5185*G5185</x:f>
        <x:v>98712.1081081081</x:v>
      </x:c>
      <x:c r="I5185" s="36" t="n">
        <x:f>IFERROR(H5185/A5185,0)</x:f>
        <x:v>10968.012012012012</x:v>
      </x:c>
      <x:c r="J5185" s="67" t="str">
        <x:v>Modeled from live base + Sep-2026 quality ratio</x:v>
      </x:c>
      <x:c r="K5185" s="67" t="str">
        <x:v>https://www.stonealgo.com/diamond-prices/</x:v>
      </x:c>
      <x:c r="L5185" s="67" t="str">
        <x:v>https://www.pricescope.com/blog/natural-diamond-prices-september-2026</x:v>
      </x:c>
    </x:row>
    <x:row r="5186">
      <x:c r="A5186" t="n">
        <x:v>9</x:v>
      </x:c>
      <x:c r="B5186" t="str">
        <x:v>Oval</x:v>
      </x:c>
      <x:c r="C5186" t="str">
        <x:v>D</x:v>
      </x:c>
      <x:c r="D5186" t="str">
        <x:v>FL</x:v>
      </x:c>
      <x:c r="E5186" s="36" t="n">
        <x:v>307261</x:v>
      </x:c>
      <x:c r="F5186" s="36" t="n">
        <x:v>12665</x:v>
      </x:c>
      <x:c r="G5186" s="42" t="n">
        <x:v>2.7166452166452166</x:v>
      </x:c>
      <x:c r="H5186" s="36" t="n">
        <x:f>E5186*G5186</x:f>
        <x:v>834719.1259116259</x:v>
      </x:c>
      <x:c r="I5186" s="36" t="n">
        <x:f>IFERROR(H5186/A5186,0)</x:f>
        <x:v>92746.56954573622</x:v>
      </x:c>
      <x:c r="J5186" s="67" t="str">
        <x:v>Modeled from live base + Sep-2026 quality ratio</x:v>
      </x:c>
      <x:c r="K5186" s="67" t="str">
        <x:v>https://www.stonealgo.com/diamond-prices/</x:v>
      </x:c>
      <x:c r="L5186" s="67" t="str">
        <x:v>https://www.pricescope.com/blog/natural-diamond-prices-september-2026</x:v>
      </x:c>
    </x:row>
    <x:row r="5187">
      <x:c r="A5187" t="n">
        <x:v>9</x:v>
      </x:c>
      <x:c r="B5187" t="str">
        <x:v>Oval</x:v>
      </x:c>
      <x:c r="C5187" t="str">
        <x:v>D</x:v>
      </x:c>
      <x:c r="D5187" t="str">
        <x:v>IF</x:v>
      </x:c>
      <x:c r="E5187" s="36" t="n">
        <x:v>307261</x:v>
      </x:c>
      <x:c r="F5187" s="36" t="n">
        <x:v>13240</x:v>
      </x:c>
      <x:c r="G5187" s="42" t="n">
        <x:v>2.83998283998284</x:v>
      </x:c>
      <x:c r="H5187" s="36" t="n">
        <x:f>E5187*G5187</x:f>
        <x:v>872615.9673959675</x:v>
      </x:c>
      <x:c r="I5187" s="36" t="n">
        <x:f>IFERROR(H5187/A5187,0)</x:f>
        <x:v>96957.32971066305</x:v>
      </x:c>
      <x:c r="J5187" s="67" t="str">
        <x:v>Modeled from live base + Sep-2026 quality ratio</x:v>
      </x:c>
      <x:c r="K5187" s="67" t="str">
        <x:v>https://www.stonealgo.com/diamond-prices/</x:v>
      </x:c>
      <x:c r="L5187" s="67" t="str">
        <x:v>https://www.pricescope.com/blog/natural-diamond-prices-september-2026</x:v>
      </x:c>
    </x:row>
    <x:row r="5188">
      <x:c r="A5188" t="n">
        <x:v>9</x:v>
      </x:c>
      <x:c r="B5188" t="str">
        <x:v>Oval</x:v>
      </x:c>
      <x:c r="C5188" t="str">
        <x:v>D</x:v>
      </x:c>
      <x:c r="D5188" t="str">
        <x:v>VVS1</x:v>
      </x:c>
      <x:c r="E5188" s="36" t="n">
        <x:v>307261</x:v>
      </x:c>
      <x:c r="F5188" s="36" t="n">
        <x:v>9555</x:v>
      </x:c>
      <x:c r="G5188" s="42" t="n">
        <x:v>2.0495495495495497</x:v>
      </x:c>
      <x:c r="H5188" s="36" t="n">
        <x:f>E5188*G5188</x:f>
        <x:v>629746.6441441441</x:v>
      </x:c>
      <x:c r="I5188" s="36" t="n">
        <x:f>IFERROR(H5188/A5188,0)</x:f>
        <x:v>69971.84934934934</x:v>
      </x:c>
      <x:c r="J5188" s="67" t="str">
        <x:v>Modeled from live base + Sep-2026 quality ratio</x:v>
      </x:c>
      <x:c r="K5188" s="67" t="str">
        <x:v>https://www.stonealgo.com/diamond-prices/</x:v>
      </x:c>
      <x:c r="L5188" s="67" t="str">
        <x:v>https://www.pricescope.com/blog/natural-diamond-prices-september-2026</x:v>
      </x:c>
    </x:row>
    <x:row r="5189">
      <x:c r="A5189" t="n">
        <x:v>9</x:v>
      </x:c>
      <x:c r="B5189" t="str">
        <x:v>Oval</x:v>
      </x:c>
      <x:c r="C5189" t="str">
        <x:v>D</x:v>
      </x:c>
      <x:c r="D5189" t="str">
        <x:v>VVS2</x:v>
      </x:c>
      <x:c r="E5189" s="36" t="n">
        <x:v>307261</x:v>
      </x:c>
      <x:c r="F5189" s="36" t="n">
        <x:v>6660</x:v>
      </x:c>
      <x:c r="G5189" s="42" t="n">
        <x:v>1.4285714285714286</x:v>
      </x:c>
      <x:c r="H5189" s="36" t="n">
        <x:f>E5189*G5189</x:f>
        <x:v>438944.28571428574</x:v>
      </x:c>
      <x:c r="I5189" s="36" t="n">
        <x:f>IFERROR(H5189/A5189,0)</x:f>
        <x:v>48771.58730158731</x:v>
      </x:c>
      <x:c r="J5189" s="67" t="str">
        <x:v>Modeled from live base + Sep-2026 quality ratio</x:v>
      </x:c>
      <x:c r="K5189" s="67" t="str">
        <x:v>https://www.stonealgo.com/diamond-prices/</x:v>
      </x:c>
      <x:c r="L5189" s="67" t="str">
        <x:v>https://www.pricescope.com/blog/natural-diamond-prices-september-2026</x:v>
      </x:c>
    </x:row>
    <x:row r="5190">
      <x:c r="A5190" t="n">
        <x:v>9</x:v>
      </x:c>
      <x:c r="B5190" t="str">
        <x:v>Oval</x:v>
      </x:c>
      <x:c r="C5190" t="str">
        <x:v>D</x:v>
      </x:c>
      <x:c r="D5190" t="str">
        <x:v>VS1</x:v>
      </x:c>
      <x:c r="E5190" s="36" t="n">
        <x:v>307261</x:v>
      </x:c>
      <x:c r="F5190" s="36" t="n">
        <x:v>6247</x:v>
      </x:c>
      <x:c r="G5190" s="42" t="n">
        <x:v>1.33998283998284</x:v>
      </x:c>
      <x:c r="H5190" s="36" t="n">
        <x:f>E5190*G5190</x:f>
        <x:v>411724.4673959674</x:v>
      </x:c>
      <x:c r="I5190" s="36" t="n">
        <x:f>IFERROR(H5190/A5190,0)</x:f>
        <x:v>45747.16304399638</x:v>
      </x:c>
      <x:c r="J5190" s="67" t="str">
        <x:v>Modeled from live base + Sep-2026 quality ratio</x:v>
      </x:c>
      <x:c r="K5190" s="67" t="str">
        <x:v>https://www.stonealgo.com/diamond-prices/</x:v>
      </x:c>
      <x:c r="L5190" s="67" t="str">
        <x:v>https://www.pricescope.com/blog/natural-diamond-prices-september-2026</x:v>
      </x:c>
    </x:row>
    <x:row r="5191">
      <x:c r="A5191" t="n">
        <x:v>9</x:v>
      </x:c>
      <x:c r="B5191" t="str">
        <x:v>Oval</x:v>
      </x:c>
      <x:c r="C5191" t="str">
        <x:v>D</x:v>
      </x:c>
      <x:c r="D5191" t="str">
        <x:v>VS2</x:v>
      </x:c>
      <x:c r="E5191" s="36" t="n">
        <x:v>307261</x:v>
      </x:c>
      <x:c r="F5191" s="36" t="n">
        <x:v>5841</x:v>
      </x:c>
      <x:c r="G5191" s="42" t="n">
        <x:v>1.252895752895753</x:v>
      </x:c>
      <x:c r="H5191" s="36" t="n">
        <x:f>E5191*G5191</x:f>
        <x:v>384966.00193050195</x:v>
      </x:c>
      <x:c r="I5191" s="36" t="n">
        <x:f>IFERROR(H5191/A5191,0)</x:f>
        <x:v>42774.000214500214</x:v>
      </x:c>
      <x:c r="J5191" s="67" t="str">
        <x:v>Modeled from live base + Sep-2026 quality ratio</x:v>
      </x:c>
      <x:c r="K5191" s="67" t="str">
        <x:v>https://www.stonealgo.com/diamond-prices/</x:v>
      </x:c>
      <x:c r="L5191" s="67" t="str">
        <x:v>https://www.pricescope.com/blog/natural-diamond-prices-september-2026</x:v>
      </x:c>
    </x:row>
    <x:row r="5192">
      <x:c r="A5192" t="n">
        <x:v>9</x:v>
      </x:c>
      <x:c r="B5192" t="str">
        <x:v>Oval</x:v>
      </x:c>
      <x:c r="C5192" t="str">
        <x:v>D</x:v>
      </x:c>
      <x:c r="D5192" t="str">
        <x:v>SI1</x:v>
      </x:c>
      <x:c r="E5192" s="36" t="n">
        <x:v>307261</x:v>
      </x:c>
      <x:c r="F5192" s="36" t="n">
        <x:v>3762</x:v>
      </x:c>
      <x:c r="G5192" s="42" t="n">
        <x:v>0.806949806949807</x:v>
      </x:c>
      <x:c r="H5192" s="36" t="n">
        <x:f>E5192*G5192</x:f>
        <x:v>247944.20463320464</x:v>
      </x:c>
      <x:c r="I5192" s="36" t="n">
        <x:f>IFERROR(H5192/A5192,0)</x:f>
        <x:v>27549.356070356072</x:v>
      </x:c>
      <x:c r="J5192" s="67" t="str">
        <x:v>Modeled from live base + Sep-2026 quality ratio</x:v>
      </x:c>
      <x:c r="K5192" s="67" t="str">
        <x:v>https://www.stonealgo.com/diamond-prices/</x:v>
      </x:c>
      <x:c r="L5192" s="67" t="str">
        <x:v>https://www.pricescope.com/blog/natural-diamond-prices-september-2026</x:v>
      </x:c>
    </x:row>
    <x:row r="5193">
      <x:c r="A5193" t="n">
        <x:v>9</x:v>
      </x:c>
      <x:c r="B5193" t="str">
        <x:v>Oval</x:v>
      </x:c>
      <x:c r="C5193" t="str">
        <x:v>D</x:v>
      </x:c>
      <x:c r="D5193" t="str">
        <x:v>SI2</x:v>
      </x:c>
      <x:c r="E5193" s="36" t="n">
        <x:v>307261</x:v>
      </x:c>
      <x:c r="F5193" s="36" t="n">
        <x:v>3026</x:v>
      </x:c>
      <x:c r="G5193" s="42" t="n">
        <x:v>0.6490776490776491</x:v>
      </x:c>
      <x:c r="H5193" s="36" t="n">
        <x:f>E5193*G5193</x:f>
        <x:v>199436.24753324754</x:v>
      </x:c>
      <x:c r="I5193" s="36" t="n">
        <x:f>IFERROR(H5193/A5193,0)</x:f>
        <x:v>22159.583059249726</x:v>
      </x:c>
      <x:c r="J5193" s="67" t="str">
        <x:v>Modeled from live base + Sep-2026 quality ratio</x:v>
      </x:c>
      <x:c r="K5193" s="67" t="str">
        <x:v>https://www.stonealgo.com/diamond-prices/</x:v>
      </x:c>
      <x:c r="L5193" s="67" t="str">
        <x:v>https://www.pricescope.com/blog/natural-diamond-prices-september-2026</x:v>
      </x:c>
    </x:row>
    <x:row r="5194">
      <x:c r="A5194" t="n">
        <x:v>9</x:v>
      </x:c>
      <x:c r="B5194" t="str">
        <x:v>Oval</x:v>
      </x:c>
      <x:c r="C5194" t="str">
        <x:v>E</x:v>
      </x:c>
      <x:c r="D5194" t="str">
        <x:v>FL</x:v>
      </x:c>
      <x:c r="E5194" s="36" t="n">
        <x:v>307261</x:v>
      </x:c>
      <x:c r="F5194" s="36" t="n">
        <x:v>10072</x:v>
      </x:c>
      <x:c r="G5194" s="42" t="n">
        <x:v>2.1604461604461602</x:v>
      </x:c>
      <x:c r="H5194" s="36" t="n">
        <x:f>E5194*G5194</x:f>
        <x:v>663820.8477048477</x:v>
      </x:c>
      <x:c r="I5194" s="36" t="n">
        <x:f>IFERROR(H5194/A5194,0)</x:f>
        <x:v>73757.8719672053</x:v>
      </x:c>
      <x:c r="J5194" s="67" t="str">
        <x:v>Modeled from live base + Sep-2026 quality ratio</x:v>
      </x:c>
      <x:c r="K5194" s="67" t="str">
        <x:v>https://www.stonealgo.com/diamond-prices/</x:v>
      </x:c>
      <x:c r="L5194" s="67" t="str">
        <x:v>https://www.pricescope.com/blog/natural-diamond-prices-september-2026</x:v>
      </x:c>
    </x:row>
    <x:row r="5195">
      <x:c r="A5195" t="n">
        <x:v>9</x:v>
      </x:c>
      <x:c r="B5195" t="str">
        <x:v>Oval</x:v>
      </x:c>
      <x:c r="C5195" t="str">
        <x:v>E</x:v>
      </x:c>
      <x:c r="D5195" t="str">
        <x:v>IF</x:v>
      </x:c>
      <x:c r="E5195" s="36" t="n">
        <x:v>307261</x:v>
      </x:c>
      <x:c r="F5195" s="36" t="n">
        <x:v>8672</x:v>
      </x:c>
      <x:c r="G5195" s="42" t="n">
        <x:v>1.8601458601458603</x:v>
      </x:c>
      <x:c r="H5195" s="36" t="n">
        <x:f>E5195*G5195</x:f>
        <x:v>571550.2771342772</x:v>
      </x:c>
      <x:c r="I5195" s="36" t="n">
        <x:f>IFERROR(H5195/A5195,0)</x:f>
        <x:v>63505.58634825302</x:v>
      </x:c>
      <x:c r="J5195" s="67" t="str">
        <x:v>Modeled from live base + Sep-2026 quality ratio</x:v>
      </x:c>
      <x:c r="K5195" s="67" t="str">
        <x:v>https://www.stonealgo.com/diamond-prices/</x:v>
      </x:c>
      <x:c r="L5195" s="67" t="str">
        <x:v>https://www.pricescope.com/blog/natural-diamond-prices-september-2026</x:v>
      </x:c>
    </x:row>
    <x:row r="5196">
      <x:c r="A5196" t="n">
        <x:v>9</x:v>
      </x:c>
      <x:c r="B5196" t="str">
        <x:v>Oval</x:v>
      </x:c>
      <x:c r="C5196" t="str">
        <x:v>E</x:v>
      </x:c>
      <x:c r="D5196" t="str">
        <x:v>VVS1</x:v>
      </x:c>
      <x:c r="E5196" s="36" t="n">
        <x:v>307261</x:v>
      </x:c>
      <x:c r="F5196" s="36" t="n">
        <x:v>7842</x:v>
      </x:c>
      <x:c r="G5196" s="42" t="n">
        <x:v>1.6821106821106822</x:v>
      </x:c>
      <x:c r="H5196" s="36" t="n">
        <x:f>E5196*G5196</x:f>
        <x:v>516847.0102960103</x:v>
      </x:c>
      <x:c r="I5196" s="36" t="n">
        <x:f>IFERROR(H5196/A5196,0)</x:f>
        <x:v>57427.44558844559</x:v>
      </x:c>
      <x:c r="J5196" s="67" t="str">
        <x:v>Modeled from live base + Sep-2026 quality ratio</x:v>
      </x:c>
      <x:c r="K5196" s="67" t="str">
        <x:v>https://www.stonealgo.com/diamond-prices/</x:v>
      </x:c>
      <x:c r="L5196" s="67" t="str">
        <x:v>https://www.pricescope.com/blog/natural-diamond-prices-september-2026</x:v>
      </x:c>
    </x:row>
    <x:row r="5197">
      <x:c r="A5197" t="n">
        <x:v>9</x:v>
      </x:c>
      <x:c r="B5197" t="str">
        <x:v>Oval</x:v>
      </x:c>
      <x:c r="C5197" t="str">
        <x:v>E</x:v>
      </x:c>
      <x:c r="D5197" t="str">
        <x:v>VVS2</x:v>
      </x:c>
      <x:c r="E5197" s="36" t="n">
        <x:v>307261</x:v>
      </x:c>
      <x:c r="F5197" s="36" t="n">
        <x:v>6880</x:v>
      </x:c>
      <x:c r="G5197" s="42" t="n">
        <x:v>1.4757614757614759</x:v>
      </x:c>
      <x:c r="H5197" s="36" t="n">
        <x:f>E5197*G5197</x:f>
        <x:v>453443.94680394686</x:v>
      </x:c>
      <x:c r="I5197" s="36" t="n">
        <x:f>IFERROR(H5197/A5197,0)</x:f>
        <x:v>50382.6607559941</x:v>
      </x:c>
      <x:c r="J5197" s="67" t="str">
        <x:v>Modeled from live base + Sep-2026 quality ratio</x:v>
      </x:c>
      <x:c r="K5197" s="67" t="str">
        <x:v>https://www.stonealgo.com/diamond-prices/</x:v>
      </x:c>
      <x:c r="L5197" s="67" t="str">
        <x:v>https://www.pricescope.com/blog/natural-diamond-prices-september-2026</x:v>
      </x:c>
    </x:row>
    <x:row r="5198">
      <x:c r="A5198" t="n">
        <x:v>9</x:v>
      </x:c>
      <x:c r="B5198" t="str">
        <x:v>Oval</x:v>
      </x:c>
      <x:c r="C5198" t="str">
        <x:v>E</x:v>
      </x:c>
      <x:c r="D5198" t="str">
        <x:v>VS1</x:v>
      </x:c>
      <x:c r="E5198" s="36" t="n">
        <x:v>307261</x:v>
      </x:c>
      <x:c r="F5198" s="36" t="n">
        <x:v>6307</x:v>
      </x:c>
      <x:c r="G5198" s="42" t="n">
        <x:v>1.352852852852853</x:v>
      </x:c>
      <x:c r="H5198" s="36" t="n">
        <x:f>E5198*G5198</x:f>
        <x:v>415678.9204204205</x:v>
      </x:c>
      <x:c r="I5198" s="36" t="n">
        <x:f>IFERROR(H5198/A5198,0)</x:f>
        <x:v>46186.546713380056</x:v>
      </x:c>
      <x:c r="J5198" s="67" t="str">
        <x:v>Modeled from live base + Sep-2026 quality ratio</x:v>
      </x:c>
      <x:c r="K5198" s="67" t="str">
        <x:v>https://www.stonealgo.com/diamond-prices/</x:v>
      </x:c>
      <x:c r="L5198" s="67" t="str">
        <x:v>https://www.pricescope.com/blog/natural-diamond-prices-september-2026</x:v>
      </x:c>
    </x:row>
    <x:row r="5199">
      <x:c r="A5199" t="n">
        <x:v>9</x:v>
      </x:c>
      <x:c r="B5199" t="str">
        <x:v>Oval</x:v>
      </x:c>
      <x:c r="C5199" t="str">
        <x:v>E</x:v>
      </x:c>
      <x:c r="D5199" t="str">
        <x:v>VS2</x:v>
      </x:c>
      <x:c r="E5199" s="36" t="n">
        <x:v>307261</x:v>
      </x:c>
      <x:c r="F5199" s="36" t="n">
        <x:v>5249</x:v>
      </x:c>
      <x:c r="G5199" s="42" t="n">
        <x:v>1.125911625911626</x:v>
      </x:c>
      <x:c r="H5199" s="36" t="n">
        <x:f>E5199*G5199</x:f>
        <x:v>345948.73208923213</x:v>
      </x:c>
      <x:c r="I5199" s="36" t="n">
        <x:f>IFERROR(H5199/A5199,0)</x:f>
        <x:v>38438.74800991468</x:v>
      </x:c>
      <x:c r="J5199" s="67" t="str">
        <x:v>Modeled from live base + Sep-2026 quality ratio</x:v>
      </x:c>
      <x:c r="K5199" s="67" t="str">
        <x:v>https://www.stonealgo.com/diamond-prices/</x:v>
      </x:c>
      <x:c r="L5199" s="67" t="str">
        <x:v>https://www.pricescope.com/blog/natural-diamond-prices-september-2026</x:v>
      </x:c>
    </x:row>
    <x:row r="5200">
      <x:c r="A5200" t="n">
        <x:v>9</x:v>
      </x:c>
      <x:c r="B5200" t="str">
        <x:v>Oval</x:v>
      </x:c>
      <x:c r="C5200" t="str">
        <x:v>E</x:v>
      </x:c>
      <x:c r="D5200" t="str">
        <x:v>SI1</x:v>
      </x:c>
      <x:c r="E5200" s="36" t="n">
        <x:v>307261</x:v>
      </x:c>
      <x:c r="F5200" s="36" t="n">
        <x:v>3551</x:v>
      </x:c>
      <x:c r="G5200" s="42" t="n">
        <x:v>0.7616902616902617</x:v>
      </x:c>
      <x:c r="H5200" s="36" t="n">
        <x:f>E5200*G5200</x:f>
        <x:v>234037.71149721148</x:v>
      </x:c>
      <x:c r="I5200" s="36" t="n">
        <x:f>IFERROR(H5200/A5200,0)</x:f>
        <x:v>26004.19016635683</x:v>
      </x:c>
      <x:c r="J5200" s="67" t="str">
        <x:v>Modeled from live base + Sep-2026 quality ratio</x:v>
      </x:c>
      <x:c r="K5200" s="67" t="str">
        <x:v>https://www.stonealgo.com/diamond-prices/</x:v>
      </x:c>
      <x:c r="L5200" s="67" t="str">
        <x:v>https://www.pricescope.com/blog/natural-diamond-prices-september-2026</x:v>
      </x:c>
    </x:row>
    <x:row r="5201">
      <x:c r="A5201" t="n">
        <x:v>9</x:v>
      </x:c>
      <x:c r="B5201" t="str">
        <x:v>Oval</x:v>
      </x:c>
      <x:c r="C5201" t="str">
        <x:v>E</x:v>
      </x:c>
      <x:c r="D5201" t="str">
        <x:v>SI2</x:v>
      </x:c>
      <x:c r="E5201" s="36" t="n">
        <x:v>307261</x:v>
      </x:c>
      <x:c r="F5201" s="36" t="n">
        <x:v>2993</x:v>
      </x:c>
      <x:c r="G5201" s="42" t="n">
        <x:v>0.641999141999142</x:v>
      </x:c>
      <x:c r="H5201" s="36" t="n">
        <x:f>E5201*G5201</x:f>
        <x:v>197261.29836979837</x:v>
      </x:c>
      <x:c r="I5201" s="36" t="n">
        <x:f>IFERROR(H5201/A5201,0)</x:f>
        <x:v>21917.922041088706</x:v>
      </x:c>
      <x:c r="J5201" s="67" t="str">
        <x:v>Modeled from live base + Sep-2026 quality ratio</x:v>
      </x:c>
      <x:c r="K5201" s="67" t="str">
        <x:v>https://www.stonealgo.com/diamond-prices/</x:v>
      </x:c>
      <x:c r="L5201" s="67" t="str">
        <x:v>https://www.pricescope.com/blog/natural-diamond-prices-september-2026</x:v>
      </x:c>
    </x:row>
    <x:row r="5202">
      <x:c r="A5202" t="n">
        <x:v>9</x:v>
      </x:c>
      <x:c r="B5202" t="str">
        <x:v>Oval</x:v>
      </x:c>
      <x:c r="C5202" t="str">
        <x:v>F</x:v>
      </x:c>
      <x:c r="D5202" t="str">
        <x:v>FL</x:v>
      </x:c>
      <x:c r="E5202" s="36" t="n">
        <x:v>307261</x:v>
      </x:c>
      <x:c r="F5202" s="36" t="n">
        <x:v>6830</x:v>
      </x:c>
      <x:c r="G5202" s="42" t="n">
        <x:v>1.4650364650364651</x:v>
      </x:c>
      <x:c r="H5202" s="36" t="n">
        <x:f>E5202*G5202</x:f>
        <x:v>450148.5692835693</x:v>
      </x:c>
      <x:c r="I5202" s="36" t="n">
        <x:f>IFERROR(H5202/A5202,0)</x:f>
        <x:v>50016.50769817436</x:v>
      </x:c>
      <x:c r="J5202" s="67" t="str">
        <x:v>Modeled from live base + Sep-2026 quality ratio</x:v>
      </x:c>
      <x:c r="K5202" s="67" t="str">
        <x:v>https://www.stonealgo.com/diamond-prices/</x:v>
      </x:c>
      <x:c r="L5202" s="67" t="str">
        <x:v>https://www.pricescope.com/blog/natural-diamond-prices-september-2026</x:v>
      </x:c>
    </x:row>
    <x:row r="5203">
      <x:c r="A5203" t="n">
        <x:v>9</x:v>
      </x:c>
      <x:c r="B5203" t="str">
        <x:v>Oval</x:v>
      </x:c>
      <x:c r="C5203" t="str">
        <x:v>F</x:v>
      </x:c>
      <x:c r="D5203" t="str">
        <x:v>IF</x:v>
      </x:c>
      <x:c r="E5203" s="36" t="n">
        <x:v>307261</x:v>
      </x:c>
      <x:c r="F5203" s="36" t="n">
        <x:v>7302</x:v>
      </x:c>
      <x:c r="G5203" s="42" t="n">
        <x:v>1.5662805662805663</x:v>
      </x:c>
      <x:c r="H5203" s="36" t="n">
        <x:f>E5203*G5203</x:f>
        <x:v>481256.9330759331</x:v>
      </x:c>
      <x:c r="I5203" s="36" t="n">
        <x:f>IFERROR(H5203/A5203,0)</x:f>
        <x:v>53472.992563992564</x:v>
      </x:c>
      <x:c r="J5203" s="67" t="str">
        <x:v>Modeled from live base + Sep-2026 quality ratio</x:v>
      </x:c>
      <x:c r="K5203" s="67" t="str">
        <x:v>https://www.stonealgo.com/diamond-prices/</x:v>
      </x:c>
      <x:c r="L5203" s="67" t="str">
        <x:v>https://www.pricescope.com/blog/natural-diamond-prices-september-2026</x:v>
      </x:c>
    </x:row>
    <x:row r="5204">
      <x:c r="A5204" t="n">
        <x:v>9</x:v>
      </x:c>
      <x:c r="B5204" t="str">
        <x:v>Oval</x:v>
      </x:c>
      <x:c r="C5204" t="str">
        <x:v>F</x:v>
      </x:c>
      <x:c r="D5204" t="str">
        <x:v>VVS1</x:v>
      </x:c>
      <x:c r="E5204" s="36" t="n">
        <x:v>307261</x:v>
      </x:c>
      <x:c r="F5204" s="36" t="n">
        <x:v>7542</x:v>
      </x:c>
      <x:c r="G5204" s="42" t="n">
        <x:v>1.6177606177606179</x:v>
      </x:c>
      <x:c r="H5204" s="36" t="n">
        <x:f>E5204*G5204</x:f>
        <x:v>497074.7451737452</x:v>
      </x:c>
      <x:c r="I5204" s="36" t="n">
        <x:f>IFERROR(H5204/A5204,0)</x:f>
        <x:v>55230.52724152725</x:v>
      </x:c>
      <x:c r="J5204" s="67" t="str">
        <x:v>Modeled from live base + Sep-2026 quality ratio</x:v>
      </x:c>
      <x:c r="K5204" s="67" t="str">
        <x:v>https://www.stonealgo.com/diamond-prices/</x:v>
      </x:c>
      <x:c r="L5204" s="67" t="str">
        <x:v>https://www.pricescope.com/blog/natural-diamond-prices-september-2026</x:v>
      </x:c>
    </x:row>
    <x:row r="5205">
      <x:c r="A5205" t="n">
        <x:v>9</x:v>
      </x:c>
      <x:c r="B5205" t="str">
        <x:v>Oval</x:v>
      </x:c>
      <x:c r="C5205" t="str">
        <x:v>F</x:v>
      </x:c>
      <x:c r="D5205" t="str">
        <x:v>VVS2</x:v>
      </x:c>
      <x:c r="E5205" s="36" t="n">
        <x:v>307261</x:v>
      </x:c>
      <x:c r="F5205" s="36" t="n">
        <x:v>6352</x:v>
      </x:c>
      <x:c r="G5205" s="42" t="n">
        <x:v>1.3625053625053625</x:v>
      </x:c>
      <x:c r="H5205" s="36" t="n">
        <x:f>E5205*G5205</x:f>
        <x:v>418644.7601887602</x:v>
      </x:c>
      <x:c r="I5205" s="36" t="n">
        <x:f>IFERROR(H5205/A5205,0)</x:f>
        <x:v>46516.0844654178</x:v>
      </x:c>
      <x:c r="J5205" s="67" t="str">
        <x:v>Modeled from live base + Sep-2026 quality ratio</x:v>
      </x:c>
      <x:c r="K5205" s="67" t="str">
        <x:v>https://www.stonealgo.com/diamond-prices/</x:v>
      </x:c>
      <x:c r="L5205" s="67" t="str">
        <x:v>https://www.pricescope.com/blog/natural-diamond-prices-september-2026</x:v>
      </x:c>
    </x:row>
    <x:row r="5206">
      <x:c r="A5206" t="n">
        <x:v>9</x:v>
      </x:c>
      <x:c r="B5206" t="str">
        <x:v>Oval</x:v>
      </x:c>
      <x:c r="C5206" t="str">
        <x:v>F</x:v>
      </x:c>
      <x:c r="D5206" t="str">
        <x:v>VS1</x:v>
      </x:c>
      <x:c r="E5206" s="36" t="n">
        <x:v>307261</x:v>
      </x:c>
      <x:c r="F5206" s="36" t="n">
        <x:v>5647</x:v>
      </x:c>
      <x:c r="G5206" s="42" t="n">
        <x:v>1.2112827112827114</x:v>
      </x:c>
      <x:c r="H5206" s="36" t="n">
        <x:f>E5206*G5206</x:f>
        <x:v>372179.93715143716</x:v>
      </x:c>
      <x:c r="I5206" s="36" t="n">
        <x:f>IFERROR(H5206/A5206,0)</x:f>
        <x:v>41353.32635015968</x:v>
      </x:c>
      <x:c r="J5206" s="67" t="str">
        <x:v>Modeled from live base + Sep-2026 quality ratio</x:v>
      </x:c>
      <x:c r="K5206" s="67" t="str">
        <x:v>https://www.stonealgo.com/diamond-prices/</x:v>
      </x:c>
      <x:c r="L5206" s="67" t="str">
        <x:v>https://www.pricescope.com/blog/natural-diamond-prices-september-2026</x:v>
      </x:c>
    </x:row>
    <x:row r="5207">
      <x:c r="A5207" t="n">
        <x:v>9</x:v>
      </x:c>
      <x:c r="B5207" t="str">
        <x:v>Oval</x:v>
      </x:c>
      <x:c r="C5207" t="str">
        <x:v>F</x:v>
      </x:c>
      <x:c r="D5207" t="str">
        <x:v>VS2</x:v>
      </x:c>
      <x:c r="E5207" s="36" t="n">
        <x:v>307261</x:v>
      </x:c>
      <x:c r="F5207" s="36" t="n">
        <x:v>4730</x:v>
      </x:c>
      <x:c r="G5207" s="42" t="n">
        <x:v>1.0145860145860146</x:v>
      </x:c>
      <x:c r="H5207" s="36" t="n">
        <x:f>E5207*G5207</x:f>
        <x:v>311742.71342771343</x:v>
      </x:c>
      <x:c r="I5207" s="36" t="n">
        <x:f>IFERROR(H5207/A5207,0)</x:f>
        <x:v>34638.07926974594</x:v>
      </x:c>
      <x:c r="J5207" s="67" t="str">
        <x:v>Modeled from live base + Sep-2026 quality ratio</x:v>
      </x:c>
      <x:c r="K5207" s="67" t="str">
        <x:v>https://www.stonealgo.com/diamond-prices/</x:v>
      </x:c>
      <x:c r="L5207" s="67" t="str">
        <x:v>https://www.pricescope.com/blog/natural-diamond-prices-september-2026</x:v>
      </x:c>
    </x:row>
    <x:row r="5208">
      <x:c r="A5208" t="n">
        <x:v>9</x:v>
      </x:c>
      <x:c r="B5208" t="str">
        <x:v>Oval</x:v>
      </x:c>
      <x:c r="C5208" t="str">
        <x:v>F</x:v>
      </x:c>
      <x:c r="D5208" t="str">
        <x:v>SI1</x:v>
      </x:c>
      <x:c r="E5208" s="36" t="n">
        <x:v>307261</x:v>
      </x:c>
      <x:c r="F5208" s="36" t="n">
        <x:v>3331</x:v>
      </x:c>
      <x:c r="G5208" s="42" t="n">
        <x:v>0.7145002145002145</x:v>
      </x:c>
      <x:c r="H5208" s="36" t="n">
        <x:f>E5208*G5208</x:f>
        <x:v>219538.0504075504</x:v>
      </x:c>
      <x:c r="I5208" s="36" t="n">
        <x:f>IFERROR(H5208/A5208,0)</x:f>
        <x:v>24393.116711950046</x:v>
      </x:c>
      <x:c r="J5208" s="67" t="str">
        <x:v>Modeled from live base + Sep-2026 quality ratio</x:v>
      </x:c>
      <x:c r="K5208" s="67" t="str">
        <x:v>https://www.stonealgo.com/diamond-prices/</x:v>
      </x:c>
      <x:c r="L5208" s="67" t="str">
        <x:v>https://www.pricescope.com/blog/natural-diamond-prices-september-2026</x:v>
      </x:c>
    </x:row>
    <x:row r="5209">
      <x:c r="A5209" t="n">
        <x:v>9</x:v>
      </x:c>
      <x:c r="B5209" t="str">
        <x:v>Oval</x:v>
      </x:c>
      <x:c r="C5209" t="str">
        <x:v>F</x:v>
      </x:c>
      <x:c r="D5209" t="str">
        <x:v>SI2</x:v>
      </x:c>
      <x:c r="E5209" s="36" t="n">
        <x:v>307261</x:v>
      </x:c>
      <x:c r="F5209" s="36" t="n">
        <x:v>2733</x:v>
      </x:c>
      <x:c r="G5209" s="42" t="n">
        <x:v>0.5862290862290862</x:v>
      </x:c>
      <x:c r="H5209" s="36" t="n">
        <x:f>E5209*G5209</x:f>
        <x:v>180125.33526383527</x:v>
      </x:c>
      <x:c r="I5209" s="36" t="n">
        <x:f>IFERROR(H5209/A5209,0)</x:f>
        <x:v>20013.92614042614</x:v>
      </x:c>
      <x:c r="J5209" s="67" t="str">
        <x:v>Modeled from live base + Sep-2026 quality ratio</x:v>
      </x:c>
      <x:c r="K5209" s="67" t="str">
        <x:v>https://www.stonealgo.com/diamond-prices/</x:v>
      </x:c>
      <x:c r="L5209" s="67" t="str">
        <x:v>https://www.pricescope.com/blog/natural-diamond-prices-september-2026</x:v>
      </x:c>
    </x:row>
    <x:row r="5210">
      <x:c r="A5210" t="n">
        <x:v>9</x:v>
      </x:c>
      <x:c r="B5210" t="str">
        <x:v>Oval</x:v>
      </x:c>
      <x:c r="C5210" t="str">
        <x:v>G</x:v>
      </x:c>
      <x:c r="D5210" t="str">
        <x:v>FL</x:v>
      </x:c>
      <x:c r="E5210" s="36" t="n">
        <x:v>307261</x:v>
      </x:c>
      <x:c r="F5210" s="36" t="n">
        <x:v>5905</x:v>
      </x:c>
      <x:c r="G5210" s="42" t="n">
        <x:v>1.2666237666237665</x:v>
      </x:c>
      <x:c r="H5210" s="36" t="n">
        <x:f>E5210*G5210</x:f>
        <x:v>389184.08515658515</x:v>
      </x:c>
      <x:c r="I5210" s="36" t="n">
        <x:f>IFERROR(H5210/A5210,0)</x:f>
        <x:v>43242.67612850946</x:v>
      </x:c>
      <x:c r="J5210" s="67" t="str">
        <x:v>Modeled from live base + Sep-2026 quality ratio</x:v>
      </x:c>
      <x:c r="K5210" s="67" t="str">
        <x:v>https://www.stonealgo.com/diamond-prices/</x:v>
      </x:c>
      <x:c r="L5210" s="67" t="str">
        <x:v>https://www.pricescope.com/blog/natural-diamond-prices-september-2026</x:v>
      </x:c>
    </x:row>
    <x:row r="5211">
      <x:c r="A5211" t="n">
        <x:v>9</x:v>
      </x:c>
      <x:c r="B5211" t="str">
        <x:v>Oval</x:v>
      </x:c>
      <x:c r="C5211" t="str">
        <x:v>G</x:v>
      </x:c>
      <x:c r="D5211" t="str">
        <x:v>IF</x:v>
      </x:c>
      <x:c r="E5211" s="36" t="n">
        <x:v>307261</x:v>
      </x:c>
      <x:c r="F5211" s="36" t="n">
        <x:v>5601</x:v>
      </x:c>
      <x:c r="G5211" s="42" t="n">
        <x:v>1.2014157014157014</x:v>
      </x:c>
      <x:c r="H5211" s="36" t="n">
        <x:f>E5211*G5211</x:f>
        <x:v>369148.1898326898</x:v>
      </x:c>
      <x:c r="I5211" s="36" t="n">
        <x:f>IFERROR(H5211/A5211,0)</x:f>
        <x:v>41016.46553696554</x:v>
      </x:c>
      <x:c r="J5211" s="67" t="str">
        <x:v>Modeled from live base + Sep-2026 quality ratio</x:v>
      </x:c>
      <x:c r="K5211" s="67" t="str">
        <x:v>https://www.stonealgo.com/diamond-prices/</x:v>
      </x:c>
      <x:c r="L5211" s="67" t="str">
        <x:v>https://www.pricescope.com/blog/natural-diamond-prices-september-2026</x:v>
      </x:c>
    </x:row>
    <x:row r="5212">
      <x:c r="A5212" t="n">
        <x:v>9</x:v>
      </x:c>
      <x:c r="B5212" t="str">
        <x:v>Oval</x:v>
      </x:c>
      <x:c r="C5212" t="str">
        <x:v>G</x:v>
      </x:c>
      <x:c r="D5212" t="str">
        <x:v>VVS1</x:v>
      </x:c>
      <x:c r="E5212" s="36" t="n">
        <x:v>307261</x:v>
      </x:c>
      <x:c r="F5212" s="36" t="n">
        <x:v>5124</x:v>
      </x:c>
      <x:c r="G5212" s="42" t="n">
        <x:v>1.0990990990990992</x:v>
      </x:c>
      <x:c r="H5212" s="36" t="n">
        <x:f>E5212*G5212</x:f>
        <x:v>337710.28828828834</x:v>
      </x:c>
      <x:c r="I5212" s="36" t="n">
        <x:f>IFERROR(H5212/A5212,0)</x:f>
        <x:v>37523.365365365375</x:v>
      </x:c>
      <x:c r="J5212" s="67" t="str">
        <x:v>Modeled from live base + Sep-2026 quality ratio</x:v>
      </x:c>
      <x:c r="K5212" s="67" t="str">
        <x:v>https://www.stonealgo.com/diamond-prices/</x:v>
      </x:c>
      <x:c r="L5212" s="67" t="str">
        <x:v>https://www.pricescope.com/blog/natural-diamond-prices-september-2026</x:v>
      </x:c>
    </x:row>
    <x:row r="5213">
      <x:c r="A5213" t="n">
        <x:v>9</x:v>
      </x:c>
      <x:c r="B5213" t="str">
        <x:v>Oval</x:v>
      </x:c>
      <x:c r="C5213" t="str">
        <x:v>G</x:v>
      </x:c>
      <x:c r="D5213" t="str">
        <x:v>VVS2</x:v>
      </x:c>
      <x:c r="E5213" s="36" t="n">
        <x:v>307261</x:v>
      </x:c>
      <x:c r="F5213" s="36" t="n">
        <x:v>4962</x:v>
      </x:c>
      <x:c r="G5213" s="42" t="n">
        <x:v>1.0643500643500643</x:v>
      </x:c>
      <x:c r="H5213" s="36" t="n">
        <x:f>E5213*G5213</x:f>
        <x:v>327033.2651222651</x:v>
      </x:c>
      <x:c r="I5213" s="36" t="n">
        <x:f>IFERROR(H5213/A5213,0)</x:f>
        <x:v>36337.02945802946</x:v>
      </x:c>
      <x:c r="J5213" s="67" t="str">
        <x:v>Modeled from live base + Sep-2026 quality ratio</x:v>
      </x:c>
      <x:c r="K5213" s="67" t="str">
        <x:v>https://www.stonealgo.com/diamond-prices/</x:v>
      </x:c>
      <x:c r="L5213" s="67" t="str">
        <x:v>https://www.pricescope.com/blog/natural-diamond-prices-september-2026</x:v>
      </x:c>
    </x:row>
    <x:row r="5214">
      <x:c r="A5214" t="n">
        <x:v>9</x:v>
      </x:c>
      <x:c r="B5214" t="str">
        <x:v>Oval</x:v>
      </x:c>
      <x:c r="C5214" t="str">
        <x:v>G</x:v>
      </x:c>
      <x:c r="D5214" t="str">
        <x:v>VS1</x:v>
      </x:c>
      <x:c r="E5214" s="36" t="n">
        <x:v>307261</x:v>
      </x:c>
      <x:c r="F5214" s="36" t="n">
        <x:v>4615</x:v>
      </x:c>
      <x:c r="G5214" s="42" t="n">
        <x:v>0.98991848991849</x:v>
      </x:c>
      <x:c r="H5214" s="36" t="n">
        <x:f>E5214*G5214</x:f>
        <x:v>304163.34513084515</x:v>
      </x:c>
      <x:c r="I5214" s="36" t="n">
        <x:f>IFERROR(H5214/A5214,0)</x:f>
        <x:v>33795.92723676057</x:v>
      </x:c>
      <x:c r="J5214" s="67" t="str">
        <x:v>Modeled from live base + Sep-2026 quality ratio</x:v>
      </x:c>
      <x:c r="K5214" s="67" t="str">
        <x:v>https://www.stonealgo.com/diamond-prices/</x:v>
      </x:c>
      <x:c r="L5214" s="67" t="str">
        <x:v>https://www.pricescope.com/blog/natural-diamond-prices-september-2026</x:v>
      </x:c>
    </x:row>
    <x:row r="5215">
      <x:c r="A5215" t="n">
        <x:v>9</x:v>
      </x:c>
      <x:c r="B5215" t="str">
        <x:v>Oval</x:v>
      </x:c>
      <x:c r="C5215" t="str">
        <x:v>G</x:v>
      </x:c>
      <x:c r="D5215" t="str">
        <x:v>VS2</x:v>
      </x:c>
      <x:c r="E5215" s="36" t="n">
        <x:v>307261</x:v>
      </x:c>
      <x:c r="F5215" s="36" t="n">
        <x:v>4585</x:v>
      </x:c>
      <x:c r="G5215" s="42" t="n">
        <x:v>0.9834834834834835</x:v>
      </x:c>
      <x:c r="H5215" s="36" t="n">
        <x:f>E5215*G5215</x:f>
        <x:v>302186.11861861864</x:v>
      </x:c>
      <x:c r="I5215" s="36" t="n">
        <x:f>IFERROR(H5215/A5215,0)</x:f>
        <x:v>33576.235402068734</x:v>
      </x:c>
      <x:c r="J5215" s="67" t="str">
        <x:v>Modeled from live base + Sep-2026 quality ratio</x:v>
      </x:c>
      <x:c r="K5215" s="67" t="str">
        <x:v>https://www.stonealgo.com/diamond-prices/</x:v>
      </x:c>
      <x:c r="L5215" s="67" t="str">
        <x:v>https://www.pricescope.com/blog/natural-diamond-prices-september-2026</x:v>
      </x:c>
    </x:row>
    <x:row r="5216">
      <x:c r="A5216" t="n">
        <x:v>9</x:v>
      </x:c>
      <x:c r="B5216" t="str">
        <x:v>Oval</x:v>
      </x:c>
      <x:c r="C5216" t="str">
        <x:v>G</x:v>
      </x:c>
      <x:c r="D5216" t="str">
        <x:v>SI1</x:v>
      </x:c>
      <x:c r="E5216" s="36" t="n">
        <x:v>307261</x:v>
      </x:c>
      <x:c r="F5216" s="36" t="n">
        <x:v>3664</x:v>
      </x:c>
      <x:c r="G5216" s="42" t="n">
        <x:v>0.7859287859287859</x:v>
      </x:c>
      <x:c r="H5216" s="36" t="n">
        <x:f>E5216*G5216</x:f>
        <x:v>241485.26469326467</x:v>
      </x:c>
      <x:c r="I5216" s="36" t="n">
        <x:f>IFERROR(H5216/A5216,0)</x:f>
        <x:v>26831.69607702941</x:v>
      </x:c>
      <x:c r="J5216" s="67" t="str">
        <x:v>Modeled from live base + Sep-2026 quality ratio</x:v>
      </x:c>
      <x:c r="K5216" s="67" t="str">
        <x:v>https://www.stonealgo.com/diamond-prices/</x:v>
      </x:c>
      <x:c r="L5216" s="67" t="str">
        <x:v>https://www.pricescope.com/blog/natural-diamond-prices-september-2026</x:v>
      </x:c>
    </x:row>
    <x:row r="5217">
      <x:c r="A5217" t="n">
        <x:v>9</x:v>
      </x:c>
      <x:c r="B5217" t="str">
        <x:v>Oval</x:v>
      </x:c>
      <x:c r="C5217" t="str">
        <x:v>G</x:v>
      </x:c>
      <x:c r="D5217" t="str">
        <x:v>SI2</x:v>
      </x:c>
      <x:c r="E5217" s="36" t="n">
        <x:v>307261</x:v>
      </x:c>
      <x:c r="F5217" s="36" t="n">
        <x:v>2537</x:v>
      </x:c>
      <x:c r="G5217" s="42" t="n">
        <x:v>0.5441870441870442</x:v>
      </x:c>
      <x:c r="H5217" s="36" t="n">
        <x:f>E5217*G5217</x:f>
        <x:v>167207.45538395538</x:v>
      </x:c>
      <x:c r="I5217" s="36" t="n">
        <x:f>IFERROR(H5217/A5217,0)</x:f>
        <x:v>18578.60615377282</x:v>
      </x:c>
      <x:c r="J5217" s="67" t="str">
        <x:v>Modeled from live base + Sep-2026 quality ratio</x:v>
      </x:c>
      <x:c r="K5217" s="67" t="str">
        <x:v>https://www.stonealgo.com/diamond-prices/</x:v>
      </x:c>
      <x:c r="L5217" s="67" t="str">
        <x:v>https://www.pricescope.com/blog/natural-diamond-prices-september-2026</x:v>
      </x:c>
    </x:row>
    <x:row r="5218">
      <x:c r="A5218" t="n">
        <x:v>9</x:v>
      </x:c>
      <x:c r="B5218" t="str">
        <x:v>Oval</x:v>
      </x:c>
      <x:c r="C5218" t="str">
        <x:v>H</x:v>
      </x:c>
      <x:c r="D5218" t="str">
        <x:v>FL</x:v>
      </x:c>
      <x:c r="E5218" s="36" t="n">
        <x:v>307261</x:v>
      </x:c>
      <x:c r="F5218" s="36" t="n">
        <x:v>4563</x:v>
      </x:c>
      <x:c r="G5218" s="42" t="n">
        <x:v>0.9787644787644788</x:v>
      </x:c>
      <x:c r="H5218" s="36" t="n">
        <x:f>E5218*G5218</x:f>
        <x:v>300736.15250965254</x:v>
      </x:c>
      <x:c r="I5218" s="36" t="n">
        <x:f>IFERROR(H5218/A5218,0)</x:f>
        <x:v>33415.12805662806</x:v>
      </x:c>
      <x:c r="J5218" s="67" t="str">
        <x:v>Modeled from live base + Sep-2026 quality ratio</x:v>
      </x:c>
      <x:c r="K5218" s="67" t="str">
        <x:v>https://www.stonealgo.com/diamond-prices/</x:v>
      </x:c>
      <x:c r="L5218" s="67" t="str">
        <x:v>https://www.pricescope.com/blog/natural-diamond-prices-september-2026</x:v>
      </x:c>
    </x:row>
    <x:row r="5219">
      <x:c r="A5219" t="n">
        <x:v>9</x:v>
      </x:c>
      <x:c r="B5219" t="str">
        <x:v>Oval</x:v>
      </x:c>
      <x:c r="C5219" t="str">
        <x:v>H</x:v>
      </x:c>
      <x:c r="D5219" t="str">
        <x:v>IF</x:v>
      </x:c>
      <x:c r="E5219" s="36" t="n">
        <x:v>307261</x:v>
      </x:c>
      <x:c r="F5219" s="36" t="n">
        <x:v>4809</x:v>
      </x:c>
      <x:c r="G5219" s="42" t="n">
        <x:v>1.0315315315315314</x:v>
      </x:c>
      <x:c r="H5219" s="36" t="n">
        <x:f>E5219*G5219</x:f>
        <x:v>316949.4099099099</x:v>
      </x:c>
      <x:c r="I5219" s="36" t="n">
        <x:f>IFERROR(H5219/A5219,0)</x:f>
        <x:v>35216.6011011011</x:v>
      </x:c>
      <x:c r="J5219" s="67" t="str">
        <x:v>Modeled from live base + Sep-2026 quality ratio</x:v>
      </x:c>
      <x:c r="K5219" s="67" t="str">
        <x:v>https://www.stonealgo.com/diamond-prices/</x:v>
      </x:c>
      <x:c r="L5219" s="67" t="str">
        <x:v>https://www.pricescope.com/blog/natural-diamond-prices-september-2026</x:v>
      </x:c>
    </x:row>
    <x:row r="5220">
      <x:c r="A5220" t="n">
        <x:v>9</x:v>
      </x:c>
      <x:c r="B5220" t="str">
        <x:v>Oval</x:v>
      </x:c>
      <x:c r="C5220" t="str">
        <x:v>H</x:v>
      </x:c>
      <x:c r="D5220" t="str">
        <x:v>VVS1</x:v>
      </x:c>
      <x:c r="E5220" s="36" t="n">
        <x:v>307261</x:v>
      </x:c>
      <x:c r="F5220" s="36" t="n">
        <x:v>4911</x:v>
      </x:c>
      <x:c r="G5220" s="42" t="n">
        <x:v>1.0534105534105533</x:v>
      </x:c>
      <x:c r="H5220" s="36" t="n">
        <x:f>E5220*G5220</x:f>
        <x:v>323671.98005148006</x:v>
      </x:c>
      <x:c r="I5220" s="36" t="n">
        <x:f>IFERROR(H5220/A5220,0)</x:f>
        <x:v>35963.55333905334</x:v>
      </x:c>
      <x:c r="J5220" s="67" t="str">
        <x:v>Modeled from live base + Sep-2026 quality ratio</x:v>
      </x:c>
      <x:c r="K5220" s="67" t="str">
        <x:v>https://www.stonealgo.com/diamond-prices/</x:v>
      </x:c>
      <x:c r="L5220" s="67" t="str">
        <x:v>https://www.pricescope.com/blog/natural-diamond-prices-september-2026</x:v>
      </x:c>
    </x:row>
    <x:row r="5221">
      <x:c r="A5221" t="n">
        <x:v>9</x:v>
      </x:c>
      <x:c r="B5221" t="str">
        <x:v>Oval</x:v>
      </x:c>
      <x:c r="C5221" t="str">
        <x:v>H</x:v>
      </x:c>
      <x:c r="D5221" t="str">
        <x:v>VVS2</x:v>
      </x:c>
      <x:c r="E5221" s="36" t="n">
        <x:v>307261</x:v>
      </x:c>
      <x:c r="F5221" s="36" t="n">
        <x:v>4046</x:v>
      </x:c>
      <x:c r="G5221" s="42" t="n">
        <x:v>0.8678678678678678</x:v>
      </x:c>
      <x:c r="H5221" s="36" t="n">
        <x:f>E5221*G5221</x:f>
        <x:v>266661.94894894894</x:v>
      </x:c>
      <x:c r="I5221" s="36" t="n">
        <x:f>IFERROR(H5221/A5221,0)</x:f>
        <x:v>29629.105438772105</x:v>
      </x:c>
      <x:c r="J5221" s="67" t="str">
        <x:v>Modeled from live base + Sep-2026 quality ratio</x:v>
      </x:c>
      <x:c r="K5221" s="67" t="str">
        <x:v>https://www.stonealgo.com/diamond-prices/</x:v>
      </x:c>
      <x:c r="L5221" s="67" t="str">
        <x:v>https://www.pricescope.com/blog/natural-diamond-prices-september-2026</x:v>
      </x:c>
    </x:row>
    <x:row r="5222">
      <x:c r="A5222" t="n">
        <x:v>9</x:v>
      </x:c>
      <x:c r="B5222" t="str">
        <x:v>Oval</x:v>
      </x:c>
      <x:c r="C5222" t="str">
        <x:v>H</x:v>
      </x:c>
      <x:c r="D5222" t="str">
        <x:v>VS1</x:v>
      </x:c>
      <x:c r="E5222" s="36" t="n">
        <x:v>307261</x:v>
      </x:c>
      <x:c r="F5222" s="36" t="n">
        <x:v>3893</x:v>
      </x:c>
      <x:c r="G5222" s="42" t="n">
        <x:v>0.8350493350493351</x:v>
      </x:c>
      <x:c r="H5222" s="36" t="n">
        <x:f>E5222*G5222</x:f>
        <x:v>256578.09373659376</x:v>
      </x:c>
      <x:c r="I5222" s="36" t="n">
        <x:f>IFERROR(H5222/A5222,0)</x:f>
        <x:v>28508.67708184375</x:v>
      </x:c>
      <x:c r="J5222" s="67" t="str">
        <x:v>Modeled from live base + Sep-2026 quality ratio</x:v>
      </x:c>
      <x:c r="K5222" s="67" t="str">
        <x:v>https://www.stonealgo.com/diamond-prices/</x:v>
      </x:c>
      <x:c r="L5222" s="67" t="str">
        <x:v>https://www.pricescope.com/blog/natural-diamond-prices-september-2026</x:v>
      </x:c>
    </x:row>
    <x:row r="5223">
      <x:c r="A5223" t="n">
        <x:v>9</x:v>
      </x:c>
      <x:c r="B5223" t="str">
        <x:v>Oval</x:v>
      </x:c>
      <x:c r="C5223" t="str">
        <x:v>H</x:v>
      </x:c>
      <x:c r="D5223" t="str">
        <x:v>VS2</x:v>
      </x:c>
      <x:c r="E5223" s="36" t="n">
        <x:v>307261</x:v>
      </x:c>
      <x:c r="F5223" s="36" t="n">
        <x:v>3989</x:v>
      </x:c>
      <x:c r="G5223" s="42" t="n">
        <x:v>0.8556413556413557</x:v>
      </x:c>
      <x:c r="H5223" s="36" t="n">
        <x:f>E5223*G5223</x:f>
        <x:v>262905.2185757186</x:v>
      </x:c>
      <x:c r="I5223" s="36" t="n">
        <x:f>IFERROR(H5223/A5223,0)</x:f>
        <x:v>29211.69095285762</x:v>
      </x:c>
      <x:c r="J5223" s="67" t="str">
        <x:v>Modeled from live base + Sep-2026 quality ratio</x:v>
      </x:c>
      <x:c r="K5223" s="67" t="str">
        <x:v>https://www.stonealgo.com/diamond-prices/</x:v>
      </x:c>
      <x:c r="L5223" s="67" t="str">
        <x:v>https://www.pricescope.com/blog/natural-diamond-prices-september-2026</x:v>
      </x:c>
    </x:row>
    <x:row r="5224">
      <x:c r="A5224" t="n">
        <x:v>9</x:v>
      </x:c>
      <x:c r="B5224" t="str">
        <x:v>Oval</x:v>
      </x:c>
      <x:c r="C5224" t="str">
        <x:v>H</x:v>
      </x:c>
      <x:c r="D5224" t="str">
        <x:v>SI1</x:v>
      </x:c>
      <x:c r="E5224" s="36" t="n">
        <x:v>307261</x:v>
      </x:c>
      <x:c r="F5224" s="36" t="n">
        <x:v>2828</x:v>
      </x:c>
      <x:c r="G5224" s="42" t="n">
        <x:v>0.6066066066066066</x:v>
      </x:c>
      <x:c r="H5224" s="36" t="n">
        <x:f>E5224*G5224</x:f>
        <x:v>186386.55255255254</x:v>
      </x:c>
      <x:c r="I5224" s="36" t="n">
        <x:f>IFERROR(H5224/A5224,0)</x:f>
        <x:v>20709.616950283616</x:v>
      </x:c>
      <x:c r="J5224" s="67" t="str">
        <x:v>Modeled from live base + Sep-2026 quality ratio</x:v>
      </x:c>
      <x:c r="K5224" s="67" t="str">
        <x:v>https://www.stonealgo.com/diamond-prices/</x:v>
      </x:c>
      <x:c r="L5224" s="67" t="str">
        <x:v>https://www.pricescope.com/blog/natural-diamond-prices-september-2026</x:v>
      </x:c>
    </x:row>
    <x:row r="5225">
      <x:c r="A5225" t="n">
        <x:v>9</x:v>
      </x:c>
      <x:c r="B5225" t="str">
        <x:v>Oval</x:v>
      </x:c>
      <x:c r="C5225" t="str">
        <x:v>H</x:v>
      </x:c>
      <x:c r="D5225" t="str">
        <x:v>SI2</x:v>
      </x:c>
      <x:c r="E5225" s="36" t="n">
        <x:v>307261</x:v>
      </x:c>
      <x:c r="F5225" s="36" t="n">
        <x:v>2328</x:v>
      </x:c>
      <x:c r="G5225" s="42" t="n">
        <x:v>0.49935649935649934</x:v>
      </x:c>
      <x:c r="H5225" s="36" t="n">
        <x:f>E5225*G5225</x:f>
        <x:v>153432.77734877734</x:v>
      </x:c>
      <x:c r="I5225" s="36" t="n">
        <x:f>IFERROR(H5225/A5225,0)</x:f>
        <x:v>17048.08637208637</x:v>
      </x:c>
      <x:c r="J5225" s="67" t="str">
        <x:v>Modeled from live base + Sep-2026 quality ratio</x:v>
      </x:c>
      <x:c r="K5225" s="67" t="str">
        <x:v>https://www.stonealgo.com/diamond-prices/</x:v>
      </x:c>
      <x:c r="L5225" s="67" t="str">
        <x:v>https://www.pricescope.com/blog/natural-diamond-prices-september-2026</x:v>
      </x:c>
    </x:row>
    <x:row r="5226">
      <x:c r="A5226" t="n">
        <x:v>9</x:v>
      </x:c>
      <x:c r="B5226" t="str">
        <x:v>Oval</x:v>
      </x:c>
      <x:c r="C5226" t="str">
        <x:v>I</x:v>
      </x:c>
      <x:c r="D5226" t="str">
        <x:v>FL</x:v>
      </x:c>
      <x:c r="E5226" s="36" t="n">
        <x:v>307261</x:v>
      </x:c>
      <x:c r="F5226" s="36" t="n">
        <x:v>4623</x:v>
      </x:c>
      <x:c r="G5226" s="42" t="n">
        <x:v>0.9916344916344917</x:v>
      </x:c>
      <x:c r="H5226" s="36" t="n">
        <x:f>E5226*G5226</x:f>
        <x:v>304690.60553410556</x:v>
      </x:c>
      <x:c r="I5226" s="36" t="n">
        <x:f>IFERROR(H5226/A5226,0)</x:f>
        <x:v>33854.511726011726</x:v>
      </x:c>
      <x:c r="J5226" s="67" t="str">
        <x:v>Modeled from live base + Sep-2026 quality ratio</x:v>
      </x:c>
      <x:c r="K5226" s="67" t="str">
        <x:v>https://www.stonealgo.com/diamond-prices/</x:v>
      </x:c>
      <x:c r="L5226" s="67" t="str">
        <x:v>https://www.pricescope.com/blog/natural-diamond-prices-september-2026</x:v>
      </x:c>
    </x:row>
    <x:row r="5227">
      <x:c r="A5227" t="n">
        <x:v>9</x:v>
      </x:c>
      <x:c r="B5227" t="str">
        <x:v>Oval</x:v>
      </x:c>
      <x:c r="C5227" t="str">
        <x:v>I</x:v>
      </x:c>
      <x:c r="D5227" t="str">
        <x:v>IF</x:v>
      </x:c>
      <x:c r="E5227" s="36" t="n">
        <x:v>307261</x:v>
      </x:c>
      <x:c r="F5227" s="36" t="n">
        <x:v>4005</x:v>
      </x:c>
      <x:c r="G5227" s="42" t="n">
        <x:v>0.859073359073359</x:v>
      </x:c>
      <x:c r="H5227" s="36" t="n">
        <x:f>E5227*G5227</x:f>
        <x:v>263959.73938223935</x:v>
      </x:c>
      <x:c r="I5227" s="36" t="n">
        <x:f>IFERROR(H5227/A5227,0)</x:f>
        <x:v>29328.859931359926</x:v>
      </x:c>
      <x:c r="J5227" s="67" t="str">
        <x:v>Modeled from live base + Sep-2026 quality ratio</x:v>
      </x:c>
      <x:c r="K5227" s="67" t="str">
        <x:v>https://www.stonealgo.com/diamond-prices/</x:v>
      </x:c>
      <x:c r="L5227" s="67" t="str">
        <x:v>https://www.pricescope.com/blog/natural-diamond-prices-september-2026</x:v>
      </x:c>
    </x:row>
    <x:row r="5228">
      <x:c r="A5228" t="n">
        <x:v>9</x:v>
      </x:c>
      <x:c r="B5228" t="str">
        <x:v>Oval</x:v>
      </x:c>
      <x:c r="C5228" t="str">
        <x:v>I</x:v>
      </x:c>
      <x:c r="D5228" t="str">
        <x:v>VVS1</x:v>
      </x:c>
      <x:c r="E5228" s="36" t="n">
        <x:v>307261</x:v>
      </x:c>
      <x:c r="F5228" s="36" t="n">
        <x:v>3670</x:v>
      </x:c>
      <x:c r="G5228" s="42" t="n">
        <x:v>0.7872157872157872</x:v>
      </x:c>
      <x:c r="H5228" s="36" t="n">
        <x:f>E5228*G5228</x:f>
        <x:v>241880.70999571</x:v>
      </x:c>
      <x:c r="I5228" s="36" t="n">
        <x:f>IFERROR(H5228/A5228,0)</x:f>
        <x:v>26875.634443967778</x:v>
      </x:c>
      <x:c r="J5228" s="67" t="str">
        <x:v>Modeled from live base + Sep-2026 quality ratio</x:v>
      </x:c>
      <x:c r="K5228" s="67" t="str">
        <x:v>https://www.stonealgo.com/diamond-prices/</x:v>
      </x:c>
      <x:c r="L5228" s="67" t="str">
        <x:v>https://www.pricescope.com/blog/natural-diamond-prices-september-2026</x:v>
      </x:c>
    </x:row>
    <x:row r="5229">
      <x:c r="A5229" t="n">
        <x:v>9</x:v>
      </x:c>
      <x:c r="B5229" t="str">
        <x:v>Oval</x:v>
      </x:c>
      <x:c r="C5229" t="str">
        <x:v>I</x:v>
      </x:c>
      <x:c r="D5229" t="str">
        <x:v>VVS2</x:v>
      </x:c>
      <x:c r="E5229" s="36" t="n">
        <x:v>307261</x:v>
      </x:c>
      <x:c r="F5229" s="36" t="n">
        <x:v>3447</x:v>
      </x:c>
      <x:c r="G5229" s="42" t="n">
        <x:v>0.7393822393822393</x:v>
      </x:c>
      <x:c r="H5229" s="36" t="n">
        <x:f>E5229*G5229</x:f>
        <x:v>227183.32625482624</x:v>
      </x:c>
      <x:c r="I5229" s="36" t="n">
        <x:f>IFERROR(H5229/A5229,0)</x:f>
        <x:v>25242.591806091805</x:v>
      </x:c>
      <x:c r="J5229" s="67" t="str">
        <x:v>Modeled from live base + Sep-2026 quality ratio</x:v>
      </x:c>
      <x:c r="K5229" s="67" t="str">
        <x:v>https://www.stonealgo.com/diamond-prices/</x:v>
      </x:c>
      <x:c r="L5229" s="67" t="str">
        <x:v>https://www.pricescope.com/blog/natural-diamond-prices-september-2026</x:v>
      </x:c>
    </x:row>
    <x:row r="5230">
      <x:c r="A5230" t="n">
        <x:v>9</x:v>
      </x:c>
      <x:c r="B5230" t="str">
        <x:v>Oval</x:v>
      </x:c>
      <x:c r="C5230" t="str">
        <x:v>I</x:v>
      </x:c>
      <x:c r="D5230" t="str">
        <x:v>VS1</x:v>
      </x:c>
      <x:c r="E5230" s="36" t="n">
        <x:v>307261</x:v>
      </x:c>
      <x:c r="F5230" s="36" t="n">
        <x:v>3313</x:v>
      </x:c>
      <x:c r="G5230" s="42" t="n">
        <x:v>0.7106392106392107</x:v>
      </x:c>
      <x:c r="H5230" s="36" t="n">
        <x:f>E5230*G5230</x:f>
        <x:v>218351.7145002145</x:v>
      </x:c>
      <x:c r="I5230" s="36" t="n">
        <x:f>IFERROR(H5230/A5230,0)</x:f>
        <x:v>24261.301611134943</x:v>
      </x:c>
      <x:c r="J5230" s="67" t="str">
        <x:v>Modeled from live base + Sep-2026 quality ratio</x:v>
      </x:c>
      <x:c r="K5230" s="67" t="str">
        <x:v>https://www.stonealgo.com/diamond-prices/</x:v>
      </x:c>
      <x:c r="L5230" s="67" t="str">
        <x:v>https://www.pricescope.com/blog/natural-diamond-prices-september-2026</x:v>
      </x:c>
    </x:row>
    <x:row r="5231">
      <x:c r="A5231" t="n">
        <x:v>9</x:v>
      </x:c>
      <x:c r="B5231" t="str">
        <x:v>Oval</x:v>
      </x:c>
      <x:c r="C5231" t="str">
        <x:v>I</x:v>
      </x:c>
      <x:c r="D5231" t="str">
        <x:v>VS2</x:v>
      </x:c>
      <x:c r="E5231" s="36" t="n">
        <x:v>307261</x:v>
      </x:c>
      <x:c r="F5231" s="36" t="n">
        <x:v>3240</x:v>
      </x:c>
      <x:c r="G5231" s="42" t="n">
        <x:v>0.694980694980695</x:v>
      </x:c>
      <x:c r="H5231" s="36" t="n">
        <x:f>E5231*G5231</x:f>
        <x:v>213540.46332046334</x:v>
      </x:c>
      <x:c r="I5231" s="36" t="n">
        <x:f>IFERROR(H5231/A5231,0)</x:f>
        <x:v>23726.71814671815</x:v>
      </x:c>
      <x:c r="J5231" s="67" t="str">
        <x:v>Modeled from live base + Sep-2026 quality ratio</x:v>
      </x:c>
      <x:c r="K5231" s="67" t="str">
        <x:v>https://www.stonealgo.com/diamond-prices/</x:v>
      </x:c>
      <x:c r="L5231" s="67" t="str">
        <x:v>https://www.pricescope.com/blog/natural-diamond-prices-september-2026</x:v>
      </x:c>
    </x:row>
    <x:row r="5232">
      <x:c r="A5232" t="n">
        <x:v>9</x:v>
      </x:c>
      <x:c r="B5232" t="str">
        <x:v>Oval</x:v>
      </x:c>
      <x:c r="C5232" t="str">
        <x:v>I</x:v>
      </x:c>
      <x:c r="D5232" t="str">
        <x:v>SI1</x:v>
      </x:c>
      <x:c r="E5232" s="36" t="n">
        <x:v>307261</x:v>
      </x:c>
      <x:c r="F5232" s="36" t="n">
        <x:v>3199</x:v>
      </x:c>
      <x:c r="G5232" s="42" t="n">
        <x:v>0.6861861861861862</x:v>
      </x:c>
      <x:c r="H5232" s="36" t="n">
        <x:f>E5232*G5232</x:f>
        <x:v>210838.25375375376</x:v>
      </x:c>
      <x:c r="I5232" s="36" t="n">
        <x:f>IFERROR(H5232/A5232,0)</x:f>
        <x:v>23426.472639305972</x:v>
      </x:c>
      <x:c r="J5232" s="67" t="str">
        <x:v>Modeled from live base + Sep-2026 quality ratio</x:v>
      </x:c>
      <x:c r="K5232" s="67" t="str">
        <x:v>https://www.stonealgo.com/diamond-prices/</x:v>
      </x:c>
      <x:c r="L5232" s="67" t="str">
        <x:v>https://www.pricescope.com/blog/natural-diamond-prices-september-2026</x:v>
      </x:c>
    </x:row>
    <x:row r="5233">
      <x:c r="A5233" t="n">
        <x:v>9</x:v>
      </x:c>
      <x:c r="B5233" t="str">
        <x:v>Oval</x:v>
      </x:c>
      <x:c r="C5233" t="str">
        <x:v>I</x:v>
      </x:c>
      <x:c r="D5233" t="str">
        <x:v>SI2</x:v>
      </x:c>
      <x:c r="E5233" s="36" t="n">
        <x:v>307261</x:v>
      </x:c>
      <x:c r="F5233" s="36" t="n">
        <x:v>2874</x:v>
      </x:c>
      <x:c r="G5233" s="42" t="n">
        <x:v>0.6164736164736164</x:v>
      </x:c>
      <x:c r="H5233" s="36" t="n">
        <x:f>E5233*G5233</x:f>
        <x:v>189418.29987129985</x:v>
      </x:c>
      <x:c r="I5233" s="36" t="n">
        <x:f>IFERROR(H5233/A5233,0)</x:f>
        <x:v>21046.47776347776</x:v>
      </x:c>
      <x:c r="J5233" s="67" t="str">
        <x:v>Modeled from live base + Sep-2026 quality ratio</x:v>
      </x:c>
      <x:c r="K5233" s="67" t="str">
        <x:v>https://www.stonealgo.com/diamond-prices/</x:v>
      </x:c>
      <x:c r="L5233" s="67" t="str">
        <x:v>https://www.pricescope.com/blog/natural-diamond-prices-september-2026</x:v>
      </x:c>
    </x:row>
    <x:row r="5234">
      <x:c r="A5234" t="n">
        <x:v>9</x:v>
      </x:c>
      <x:c r="B5234" t="str">
        <x:v>Oval</x:v>
      </x:c>
      <x:c r="C5234" t="str">
        <x:v>J</x:v>
      </x:c>
      <x:c r="D5234" t="str">
        <x:v>FL</x:v>
      </x:c>
      <x:c r="E5234" s="36" t="n">
        <x:v>307261</x:v>
      </x:c>
      <x:c r="F5234" s="36" t="n">
        <x:v>3646</x:v>
      </x:c>
      <x:c r="G5234" s="42" t="n">
        <x:v>0.782067782067782</x:v>
      </x:c>
      <x:c r="H5234" s="36" t="n">
        <x:f>E5234*G5234</x:f>
        <x:v>240298.9287859288</x:v>
      </x:c>
      <x:c r="I5234" s="36" t="n">
        <x:f>IFERROR(H5234/A5234,0)</x:f>
        <x:v>26699.88097621431</x:v>
      </x:c>
      <x:c r="J5234" s="67" t="str">
        <x:v>Modeled from live base + Sep-2026 quality ratio</x:v>
      </x:c>
      <x:c r="K5234" s="67" t="str">
        <x:v>https://www.stonealgo.com/diamond-prices/</x:v>
      </x:c>
      <x:c r="L5234" s="67" t="str">
        <x:v>https://www.pricescope.com/blog/natural-diamond-prices-september-2026</x:v>
      </x:c>
    </x:row>
    <x:row r="5235">
      <x:c r="A5235" t="n">
        <x:v>9</x:v>
      </x:c>
      <x:c r="B5235" t="str">
        <x:v>Oval</x:v>
      </x:c>
      <x:c r="C5235" t="str">
        <x:v>J</x:v>
      </x:c>
      <x:c r="D5235" t="str">
        <x:v>IF</x:v>
      </x:c>
      <x:c r="E5235" s="36" t="n">
        <x:v>307261</x:v>
      </x:c>
      <x:c r="F5235" s="36" t="n">
        <x:v>3368</x:v>
      </x:c>
      <x:c r="G5235" s="42" t="n">
        <x:v>0.7224367224367224</x:v>
      </x:c>
      <x:c r="H5235" s="36" t="n">
        <x:f>E5235*G5235</x:f>
        <x:v>221976.62977262976</x:v>
      </x:c>
      <x:c r="I5235" s="36" t="n">
        <x:f>IFERROR(H5235/A5235,0)</x:f>
        <x:v>24664.06997473664</x:v>
      </x:c>
      <x:c r="J5235" s="67" t="str">
        <x:v>Modeled from live base + Sep-2026 quality ratio</x:v>
      </x:c>
      <x:c r="K5235" s="67" t="str">
        <x:v>https://www.stonealgo.com/diamond-prices/</x:v>
      </x:c>
      <x:c r="L5235" s="67" t="str">
        <x:v>https://www.pricescope.com/blog/natural-diamond-prices-september-2026</x:v>
      </x:c>
    </x:row>
    <x:row r="5236">
      <x:c r="A5236" t="n">
        <x:v>9</x:v>
      </x:c>
      <x:c r="B5236" t="str">
        <x:v>Oval</x:v>
      </x:c>
      <x:c r="C5236" t="str">
        <x:v>J</x:v>
      </x:c>
      <x:c r="D5236" t="str">
        <x:v>VVS1</x:v>
      </x:c>
      <x:c r="E5236" s="36" t="n">
        <x:v>307261</x:v>
      </x:c>
      <x:c r="F5236" s="36" t="n">
        <x:v>2956</x:v>
      </x:c>
      <x:c r="G5236" s="42" t="n">
        <x:v>0.6340626340626341</x:v>
      </x:c>
      <x:c r="H5236" s="36" t="n">
        <x:f>E5236*G5236</x:f>
        <x:v>194822.71900471902</x:v>
      </x:c>
      <x:c r="I5236" s="36" t="n">
        <x:f>IFERROR(H5236/A5236,0)</x:f>
        <x:v>21646.968778302115</x:v>
      </x:c>
      <x:c r="J5236" s="67" t="str">
        <x:v>Modeled from live base + Sep-2026 quality ratio</x:v>
      </x:c>
      <x:c r="K5236" s="67" t="str">
        <x:v>https://www.stonealgo.com/diamond-prices/</x:v>
      </x:c>
      <x:c r="L5236" s="67" t="str">
        <x:v>https://www.pricescope.com/blog/natural-diamond-prices-september-2026</x:v>
      </x:c>
    </x:row>
    <x:row r="5237">
      <x:c r="A5237" t="n">
        <x:v>9</x:v>
      </x:c>
      <x:c r="B5237" t="str">
        <x:v>Oval</x:v>
      </x:c>
      <x:c r="C5237" t="str">
        <x:v>J</x:v>
      </x:c>
      <x:c r="D5237" t="str">
        <x:v>VVS2</x:v>
      </x:c>
      <x:c r="E5237" s="36" t="n">
        <x:v>307261</x:v>
      </x:c>
      <x:c r="F5237" s="36" t="n">
        <x:v>2612</x:v>
      </x:c>
      <x:c r="G5237" s="42" t="n">
        <x:v>0.5602745602745602</x:v>
      </x:c>
      <x:c r="H5237" s="36" t="n">
        <x:f>E5237*G5237</x:f>
        <x:v>172150.52166452166</x:v>
      </x:c>
      <x:c r="I5237" s="36" t="n">
        <x:f>IFERROR(H5237/A5237,0)</x:f>
        <x:v>19127.835740502407</x:v>
      </x:c>
      <x:c r="J5237" s="67" t="str">
        <x:v>Modeled from live base + Sep-2026 quality ratio</x:v>
      </x:c>
      <x:c r="K5237" s="67" t="str">
        <x:v>https://www.stonealgo.com/diamond-prices/</x:v>
      </x:c>
      <x:c r="L5237" s="67" t="str">
        <x:v>https://www.pricescope.com/blog/natural-diamond-prices-september-2026</x:v>
      </x:c>
    </x:row>
    <x:row r="5238">
      <x:c r="A5238" t="n">
        <x:v>9</x:v>
      </x:c>
      <x:c r="B5238" t="str">
        <x:v>Oval</x:v>
      </x:c>
      <x:c r="C5238" t="str">
        <x:v>J</x:v>
      </x:c>
      <x:c r="D5238" t="str">
        <x:v>VS1</x:v>
      </x:c>
      <x:c r="E5238" s="36" t="n">
        <x:v>307261</x:v>
      </x:c>
      <x:c r="F5238" s="36" t="n">
        <x:v>3002</x:v>
      </x:c>
      <x:c r="G5238" s="42" t="n">
        <x:v>0.6439296439296439</x:v>
      </x:c>
      <x:c r="H5238" s="36" t="n">
        <x:f>E5238*G5238</x:f>
        <x:v>197854.46632346633</x:v>
      </x:c>
      <x:c r="I5238" s="36" t="n">
        <x:f>IFERROR(H5238/A5238,0)</x:f>
        <x:v>21983.82959149626</x:v>
      </x:c>
      <x:c r="J5238" s="67" t="str">
        <x:v>Modeled from live base + Sep-2026 quality ratio</x:v>
      </x:c>
      <x:c r="K5238" s="67" t="str">
        <x:v>https://www.stonealgo.com/diamond-prices/</x:v>
      </x:c>
      <x:c r="L5238" s="67" t="str">
        <x:v>https://www.pricescope.com/blog/natural-diamond-prices-september-2026</x:v>
      </x:c>
    </x:row>
    <x:row r="5239">
      <x:c r="A5239" t="n">
        <x:v>9</x:v>
      </x:c>
      <x:c r="B5239" t="str">
        <x:v>Oval</x:v>
      </x:c>
      <x:c r="C5239" t="str">
        <x:v>J</x:v>
      </x:c>
      <x:c r="D5239" t="str">
        <x:v>VS2</x:v>
      </x:c>
      <x:c r="E5239" s="36" t="n">
        <x:v>307261</x:v>
      </x:c>
      <x:c r="F5239" s="36" t="n">
        <x:v>2559</x:v>
      </x:c>
      <x:c r="G5239" s="42" t="n">
        <x:v>0.5489060489060489</x:v>
      </x:c>
      <x:c r="H5239" s="36" t="n">
        <x:f>E5239*G5239</x:f>
        <x:v>168657.42149292148</x:v>
      </x:c>
      <x:c r="I5239" s="36" t="n">
        <x:f>IFERROR(H5239/A5239,0)</x:f>
        <x:v>18739.713499213496</x:v>
      </x:c>
      <x:c r="J5239" s="67" t="str">
        <x:v>Modeled from live base + Sep-2026 quality ratio</x:v>
      </x:c>
      <x:c r="K5239" s="67" t="str">
        <x:v>https://www.stonealgo.com/diamond-prices/</x:v>
      </x:c>
      <x:c r="L5239" s="67" t="str">
        <x:v>https://www.pricescope.com/blog/natural-diamond-prices-september-2026</x:v>
      </x:c>
    </x:row>
    <x:row r="5240">
      <x:c r="A5240" t="n">
        <x:v>9</x:v>
      </x:c>
      <x:c r="B5240" t="str">
        <x:v>Oval</x:v>
      </x:c>
      <x:c r="C5240" t="str">
        <x:v>J</x:v>
      </x:c>
      <x:c r="D5240" t="str">
        <x:v>SI1</x:v>
      </x:c>
      <x:c r="E5240" s="36" t="n">
        <x:v>307261</x:v>
      </x:c>
      <x:c r="F5240" s="36" t="n">
        <x:v>2195</x:v>
      </x:c>
      <x:c r="G5240" s="42" t="n">
        <x:v>0.47082797082797084</x:v>
      </x:c>
      <x:c r="H5240" s="36" t="n">
        <x:f>E5240*G5240</x:f>
        <x:v>144667.07314457314</x:v>
      </x:c>
      <x:c r="I5240" s="36" t="n">
        <x:f>IFERROR(H5240/A5240,0)</x:f>
        <x:v>16074.119238285904</x:v>
      </x:c>
      <x:c r="J5240" s="67" t="str">
        <x:v>Modeled from live base + Sep-2026 quality ratio</x:v>
      </x:c>
      <x:c r="K5240" s="67" t="str">
        <x:v>https://www.stonealgo.com/diamond-prices/</x:v>
      </x:c>
      <x:c r="L5240" s="67" t="str">
        <x:v>https://www.pricescope.com/blog/natural-diamond-prices-september-2026</x:v>
      </x:c>
    </x:row>
    <x:row r="5241">
      <x:c r="A5241" t="n">
        <x:v>9</x:v>
      </x:c>
      <x:c r="B5241" t="str">
        <x:v>Oval</x:v>
      </x:c>
      <x:c r="C5241" t="str">
        <x:v>J</x:v>
      </x:c>
      <x:c r="D5241" t="str">
        <x:v>SI2</x:v>
      </x:c>
      <x:c r="E5241" s="36" t="n">
        <x:v>307261</x:v>
      </x:c>
      <x:c r="F5241" s="36" t="n">
        <x:v>2079</x:v>
      </x:c>
      <x:c r="G5241" s="42" t="n">
        <x:v>0.44594594594594594</x:v>
      </x:c>
      <x:c r="H5241" s="36" t="n">
        <x:f>E5241*G5241</x:f>
        <x:v>137021.7972972973</x:v>
      </x:c>
      <x:c r="I5241" s="36" t="n">
        <x:f>IFERROR(H5241/A5241,0)</x:f>
        <x:v>15224.644144144146</x:v>
      </x:c>
      <x:c r="J5241" s="67" t="str">
        <x:v>Modeled from live base + Sep-2026 quality ratio</x:v>
      </x:c>
      <x:c r="K5241" s="67" t="str">
        <x:v>https://www.stonealgo.com/diamond-prices/</x:v>
      </x:c>
      <x:c r="L5241" s="67" t="str">
        <x:v>https://www.pricescope.com/blog/natural-diamond-prices-september-2026</x:v>
      </x:c>
    </x:row>
    <x:row r="5242">
      <x:c r="A5242" t="n">
        <x:v>9</x:v>
      </x:c>
      <x:c r="B5242" t="str">
        <x:v>Oval</x:v>
      </x:c>
      <x:c r="C5242" t="str">
        <x:v>K</x:v>
      </x:c>
      <x:c r="D5242" t="str">
        <x:v>FL</x:v>
      </x:c>
      <x:c r="E5242" s="36" t="n">
        <x:v>307261</x:v>
      </x:c>
      <x:c r="F5242" s="36" t="n">
        <x:v>2858</x:v>
      </x:c>
      <x:c r="G5242" s="42" t="n">
        <x:v>0.6130416130416131</x:v>
      </x:c>
      <x:c r="H5242" s="36" t="n">
        <x:f>E5242*G5242</x:f>
        <x:v>188363.77906477908</x:v>
      </x:c>
      <x:c r="I5242" s="36" t="n">
        <x:f>IFERROR(H5242/A5242,0)</x:f>
        <x:v>20929.308784975452</x:v>
      </x:c>
      <x:c r="J5242" s="67" t="str">
        <x:v>Modeled from live base + Sep-2026 quality ratio; K/FL quality cell modeled</x:v>
      </x:c>
      <x:c r="K5242" s="67" t="str">
        <x:v>https://www.stonealgo.com/diamond-prices/</x:v>
      </x:c>
      <x:c r="L5242" s="67" t="str">
        <x:v>https://www.pricescope.com/blog/natural-diamond-prices-september-2026</x:v>
      </x:c>
    </x:row>
    <x:row r="5243">
      <x:c r="A5243" t="n">
        <x:v>9</x:v>
      </x:c>
      <x:c r="B5243" t="str">
        <x:v>Oval</x:v>
      </x:c>
      <x:c r="C5243" t="str">
        <x:v>K</x:v>
      </x:c>
      <x:c r="D5243" t="str">
        <x:v>IF</x:v>
      </x:c>
      <x:c r="E5243" s="36" t="n">
        <x:v>307261</x:v>
      </x:c>
      <x:c r="F5243" s="36" t="n">
        <x:v>2743</x:v>
      </x:c>
      <x:c r="G5243" s="42" t="n">
        <x:v>0.5883740883740883</x:v>
      </x:c>
      <x:c r="H5243" s="36" t="n">
        <x:f>E5243*G5243</x:f>
        <x:v>180784.41076791077</x:v>
      </x:c>
      <x:c r="I5243" s="36" t="n">
        <x:f>IFERROR(H5243/A5243,0)</x:f>
        <x:v>20087.156751990085</x:v>
      </x:c>
      <x:c r="J5243" s="67" t="str">
        <x:v>Modeled from live base + Sep-2026 quality ratio</x:v>
      </x:c>
      <x:c r="K5243" s="67" t="str">
        <x:v>https://www.stonealgo.com/diamond-prices/</x:v>
      </x:c>
      <x:c r="L5243" s="67" t="str">
        <x:v>https://www.pricescope.com/blog/natural-diamond-prices-september-2026</x:v>
      </x:c>
    </x:row>
    <x:row r="5244">
      <x:c r="A5244" t="n">
        <x:v>9</x:v>
      </x:c>
      <x:c r="B5244" t="str">
        <x:v>Oval</x:v>
      </x:c>
      <x:c r="C5244" t="str">
        <x:v>K</x:v>
      </x:c>
      <x:c r="D5244" t="str">
        <x:v>VVS1</x:v>
      </x:c>
      <x:c r="E5244" s="36" t="n">
        <x:v>307261</x:v>
      </x:c>
      <x:c r="F5244" s="36" t="n">
        <x:v>2529</x:v>
      </x:c>
      <x:c r="G5244" s="42" t="n">
        <x:v>0.5424710424710425</x:v>
      </x:c>
      <x:c r="H5244" s="36" t="n">
        <x:f>E5244*G5244</x:f>
        <x:v>166680.194980695</x:v>
      </x:c>
      <x:c r="I5244" s="36" t="n">
        <x:f>IFERROR(H5244/A5244,0)</x:f>
        <x:v>18520.021664521668</x:v>
      </x:c>
      <x:c r="J5244" s="67" t="str">
        <x:v>Modeled from live base + Sep-2026 quality ratio</x:v>
      </x:c>
      <x:c r="K5244" s="67" t="str">
        <x:v>https://www.stonealgo.com/diamond-prices/</x:v>
      </x:c>
      <x:c r="L5244" s="67" t="str">
        <x:v>https://www.pricescope.com/blog/natural-diamond-prices-september-2026</x:v>
      </x:c>
    </x:row>
    <x:row r="5245">
      <x:c r="A5245" t="n">
        <x:v>9</x:v>
      </x:c>
      <x:c r="B5245" t="str">
        <x:v>Oval</x:v>
      </x:c>
      <x:c r="C5245" t="str">
        <x:v>K</x:v>
      </x:c>
      <x:c r="D5245" t="str">
        <x:v>VVS2</x:v>
      </x:c>
      <x:c r="E5245" s="36" t="n">
        <x:v>307261</x:v>
      </x:c>
      <x:c r="F5245" s="36" t="n">
        <x:v>2374</x:v>
      </x:c>
      <x:c r="G5245" s="42" t="n">
        <x:v>0.5092235092235092</x:v>
      </x:c>
      <x:c r="H5245" s="36" t="n">
        <x:f>E5245*G5245</x:f>
        <x:v>156464.52466752467</x:v>
      </x:c>
      <x:c r="I5245" s="36" t="n">
        <x:f>IFERROR(H5245/A5245,0)</x:f>
        <x:v>17384.947185280518</x:v>
      </x:c>
      <x:c r="J5245" s="67" t="str">
        <x:v>Modeled from live base + Sep-2026 quality ratio</x:v>
      </x:c>
      <x:c r="K5245" s="67" t="str">
        <x:v>https://www.stonealgo.com/diamond-prices/</x:v>
      </x:c>
      <x:c r="L5245" s="67" t="str">
        <x:v>https://www.pricescope.com/blog/natural-diamond-prices-september-2026</x:v>
      </x:c>
    </x:row>
    <x:row r="5246">
      <x:c r="A5246" t="n">
        <x:v>9</x:v>
      </x:c>
      <x:c r="B5246" t="str">
        <x:v>Oval</x:v>
      </x:c>
      <x:c r="C5246" t="str">
        <x:v>K</x:v>
      </x:c>
      <x:c r="D5246" t="str">
        <x:v>VS1</x:v>
      </x:c>
      <x:c r="E5246" s="36" t="n">
        <x:v>307261</x:v>
      </x:c>
      <x:c r="F5246" s="36" t="n">
        <x:v>2223</x:v>
      </x:c>
      <x:c r="G5246" s="42" t="n">
        <x:v>0.4768339768339768</x:v>
      </x:c>
      <x:c r="H5246" s="36" t="n">
        <x:f>E5246*G5246</x:f>
        <x:v>146512.48455598456</x:v>
      </x:c>
      <x:c r="I5246" s="36" t="n">
        <x:f>IFERROR(H5246/A5246,0)</x:f>
        <x:v>16279.16495066495</x:v>
      </x:c>
      <x:c r="J5246" s="67" t="str">
        <x:v>Modeled from live base + Sep-2026 quality ratio</x:v>
      </x:c>
      <x:c r="K5246" s="67" t="str">
        <x:v>https://www.stonealgo.com/diamond-prices/</x:v>
      </x:c>
      <x:c r="L5246" s="67" t="str">
        <x:v>https://www.pricescope.com/blog/natural-diamond-prices-september-2026</x:v>
      </x:c>
    </x:row>
    <x:row r="5247">
      <x:c r="A5247" t="n">
        <x:v>9</x:v>
      </x:c>
      <x:c r="B5247" t="str">
        <x:v>Oval</x:v>
      </x:c>
      <x:c r="C5247" t="str">
        <x:v>K</x:v>
      </x:c>
      <x:c r="D5247" t="str">
        <x:v>VS2</x:v>
      </x:c>
      <x:c r="E5247" s="36" t="n">
        <x:v>307261</x:v>
      </x:c>
      <x:c r="F5247" s="36" t="n">
        <x:v>2098</x:v>
      </x:c>
      <x:c r="G5247" s="42" t="n">
        <x:v>0.45002145002145</x:v>
      </x:c>
      <x:c r="H5247" s="36" t="n">
        <x:f>E5247*G5247</x:f>
        <x:v>138274.04075504074</x:v>
      </x:c>
      <x:c r="I5247" s="36" t="n">
        <x:f>IFERROR(H5247/A5247,0)</x:f>
        <x:v>15363.782306115638</x:v>
      </x:c>
      <x:c r="J5247" s="67" t="str">
        <x:v>Modeled from live base + Sep-2026 quality ratio</x:v>
      </x:c>
      <x:c r="K5247" s="67" t="str">
        <x:v>https://www.stonealgo.com/diamond-prices/</x:v>
      </x:c>
      <x:c r="L5247" s="67" t="str">
        <x:v>https://www.pricescope.com/blog/natural-diamond-prices-september-2026</x:v>
      </x:c>
    </x:row>
    <x:row r="5248">
      <x:c r="A5248" t="n">
        <x:v>9</x:v>
      </x:c>
      <x:c r="B5248" t="str">
        <x:v>Oval</x:v>
      </x:c>
      <x:c r="C5248" t="str">
        <x:v>K</x:v>
      </x:c>
      <x:c r="D5248" t="str">
        <x:v>SI1</x:v>
      </x:c>
      <x:c r="E5248" s="36" t="n">
        <x:v>307261</x:v>
      </x:c>
      <x:c r="F5248" s="36" t="n">
        <x:v>1922</x:v>
      </x:c>
      <x:c r="G5248" s="42" t="n">
        <x:v>0.41226941226941227</x:v>
      </x:c>
      <x:c r="H5248" s="36" t="n">
        <x:f>E5248*G5248</x:f>
        <x:v>126674.31188331188</x:v>
      </x:c>
      <x:c r="I5248" s="36" t="n">
        <x:f>IFERROR(H5248/A5248,0)</x:f>
        <x:v>14074.923542590208</x:v>
      </x:c>
      <x:c r="J5248" s="67" t="str">
        <x:v>Modeled from live base + Sep-2026 quality ratio</x:v>
      </x:c>
      <x:c r="K5248" s="67" t="str">
        <x:v>https://www.stonealgo.com/diamond-prices/</x:v>
      </x:c>
      <x:c r="L5248" s="67" t="str">
        <x:v>https://www.pricescope.com/blog/natural-diamond-prices-september-2026</x:v>
      </x:c>
    </x:row>
    <x:row r="5249">
      <x:c r="A5249" t="n">
        <x:v>9</x:v>
      </x:c>
      <x:c r="B5249" t="str">
        <x:v>Oval</x:v>
      </x:c>
      <x:c r="C5249" t="str">
        <x:v>K</x:v>
      </x:c>
      <x:c r="D5249" t="str">
        <x:v>SI2</x:v>
      </x:c>
      <x:c r="E5249" s="36" t="n">
        <x:v>307261</x:v>
      </x:c>
      <x:c r="F5249" s="36" t="n">
        <x:v>1764</x:v>
      </x:c>
      <x:c r="G5249" s="42" t="n">
        <x:v>0.3783783783783784</x:v>
      </x:c>
      <x:c r="H5249" s="36" t="n">
        <x:f>E5249*G5249</x:f>
        <x:v>116260.91891891892</x:v>
      </x:c>
      <x:c r="I5249" s="36" t="n">
        <x:f>IFERROR(H5249/A5249,0)</x:f>
        <x:v>12917.87987987988</x:v>
      </x:c>
      <x:c r="J5249" s="67" t="str">
        <x:v>Modeled from live base + Sep-2026 quality ratio</x:v>
      </x:c>
      <x:c r="K5249" s="67" t="str">
        <x:v>https://www.stonealgo.com/diamond-prices/</x:v>
      </x:c>
      <x:c r="L5249" s="67" t="str">
        <x:v>https://www.pricescope.com/blog/natural-diamond-prices-september-2026</x:v>
      </x:c>
    </x:row>
    <x:row r="5250">
      <x:c r="A5250" t="n">
        <x:v>9</x:v>
      </x:c>
      <x:c r="B5250" t="str">
        <x:v>Princess</x:v>
      </x:c>
      <x:c r="C5250" t="str">
        <x:v>D</x:v>
      </x:c>
      <x:c r="D5250" t="str">
        <x:v>FL</x:v>
      </x:c>
      <x:c r="E5250" s="36" t="n">
        <x:v>123000</x:v>
      </x:c>
      <x:c r="F5250" s="36" t="n">
        <x:v>12665</x:v>
      </x:c>
      <x:c r="G5250" s="42" t="n">
        <x:v>2.7166452166452166</x:v>
      </x:c>
      <x:c r="H5250" s="36" t="n">
        <x:f>E5250*G5250</x:f>
        <x:v>334147.36164736166</x:v>
      </x:c>
      <x:c r="I5250" s="36" t="n">
        <x:f>IFERROR(H5250/A5250,0)</x:f>
        <x:v>37127.48462748463</x:v>
      </x:c>
      <x:c r="J5250" s="67" t="str">
        <x:v>Modeled from live base + Sep-2026 quality ratio</x:v>
      </x:c>
      <x:c r="K5250" s="67" t="str">
        <x:v>https://www.stonealgo.com/diamond-prices/</x:v>
      </x:c>
      <x:c r="L5250" s="67" t="str">
        <x:v>https://www.pricescope.com/blog/natural-diamond-prices-september-2026</x:v>
      </x:c>
    </x:row>
    <x:row r="5251">
      <x:c r="A5251" t="n">
        <x:v>9</x:v>
      </x:c>
      <x:c r="B5251" t="str">
        <x:v>Princess</x:v>
      </x:c>
      <x:c r="C5251" t="str">
        <x:v>D</x:v>
      </x:c>
      <x:c r="D5251" t="str">
        <x:v>IF</x:v>
      </x:c>
      <x:c r="E5251" s="36" t="n">
        <x:v>123000</x:v>
      </x:c>
      <x:c r="F5251" s="36" t="n">
        <x:v>13240</x:v>
      </x:c>
      <x:c r="G5251" s="42" t="n">
        <x:v>2.83998283998284</x:v>
      </x:c>
      <x:c r="H5251" s="36" t="n">
        <x:f>E5251*G5251</x:f>
        <x:v>349317.88931788935</x:v>
      </x:c>
      <x:c r="I5251" s="36" t="n">
        <x:f>IFERROR(H5251/A5251,0)</x:f>
        <x:v>38813.09881309882</x:v>
      </x:c>
      <x:c r="J5251" s="67" t="str">
        <x:v>Modeled from live base + Sep-2026 quality ratio</x:v>
      </x:c>
      <x:c r="K5251" s="67" t="str">
        <x:v>https://www.stonealgo.com/diamond-prices/</x:v>
      </x:c>
      <x:c r="L5251" s="67" t="str">
        <x:v>https://www.pricescope.com/blog/natural-diamond-prices-september-2026</x:v>
      </x:c>
    </x:row>
    <x:row r="5252">
      <x:c r="A5252" t="n">
        <x:v>9</x:v>
      </x:c>
      <x:c r="B5252" t="str">
        <x:v>Princess</x:v>
      </x:c>
      <x:c r="C5252" t="str">
        <x:v>D</x:v>
      </x:c>
      <x:c r="D5252" t="str">
        <x:v>VVS1</x:v>
      </x:c>
      <x:c r="E5252" s="36" t="n">
        <x:v>123000</x:v>
      </x:c>
      <x:c r="F5252" s="36" t="n">
        <x:v>9555</x:v>
      </x:c>
      <x:c r="G5252" s="42" t="n">
        <x:v>2.0495495495495497</x:v>
      </x:c>
      <x:c r="H5252" s="36" t="n">
        <x:f>E5252*G5252</x:f>
        <x:v>252094.59459459462</x:v>
      </x:c>
      <x:c r="I5252" s="36" t="n">
        <x:f>IFERROR(H5252/A5252,0)</x:f>
        <x:v>28010.510510510514</x:v>
      </x:c>
      <x:c r="J5252" s="67" t="str">
        <x:v>Modeled from live base + Sep-2026 quality ratio</x:v>
      </x:c>
      <x:c r="K5252" s="67" t="str">
        <x:v>https://www.stonealgo.com/diamond-prices/</x:v>
      </x:c>
      <x:c r="L5252" s="67" t="str">
        <x:v>https://www.pricescope.com/blog/natural-diamond-prices-september-2026</x:v>
      </x:c>
    </x:row>
    <x:row r="5253">
      <x:c r="A5253" t="n">
        <x:v>9</x:v>
      </x:c>
      <x:c r="B5253" t="str">
        <x:v>Princess</x:v>
      </x:c>
      <x:c r="C5253" t="str">
        <x:v>D</x:v>
      </x:c>
      <x:c r="D5253" t="str">
        <x:v>VVS2</x:v>
      </x:c>
      <x:c r="E5253" s="36" t="n">
        <x:v>123000</x:v>
      </x:c>
      <x:c r="F5253" s="36" t="n">
        <x:v>6660</x:v>
      </x:c>
      <x:c r="G5253" s="42" t="n">
        <x:v>1.4285714285714286</x:v>
      </x:c>
      <x:c r="H5253" s="36" t="n">
        <x:f>E5253*G5253</x:f>
        <x:v>175714.2857142857</x:v>
      </x:c>
      <x:c r="I5253" s="36" t="n">
        <x:f>IFERROR(H5253/A5253,0)</x:f>
        <x:v>19523.809523809523</x:v>
      </x:c>
      <x:c r="J5253" s="67" t="str">
        <x:v>Modeled from live base + Sep-2026 quality ratio</x:v>
      </x:c>
      <x:c r="K5253" s="67" t="str">
        <x:v>https://www.stonealgo.com/diamond-prices/</x:v>
      </x:c>
      <x:c r="L5253" s="67" t="str">
        <x:v>https://www.pricescope.com/blog/natural-diamond-prices-september-2026</x:v>
      </x:c>
    </x:row>
    <x:row r="5254">
      <x:c r="A5254" t="n">
        <x:v>9</x:v>
      </x:c>
      <x:c r="B5254" t="str">
        <x:v>Princess</x:v>
      </x:c>
      <x:c r="C5254" t="str">
        <x:v>D</x:v>
      </x:c>
      <x:c r="D5254" t="str">
        <x:v>VS1</x:v>
      </x:c>
      <x:c r="E5254" s="36" t="n">
        <x:v>123000</x:v>
      </x:c>
      <x:c r="F5254" s="36" t="n">
        <x:v>6247</x:v>
      </x:c>
      <x:c r="G5254" s="42" t="n">
        <x:v>1.33998283998284</x:v>
      </x:c>
      <x:c r="H5254" s="36" t="n">
        <x:f>E5254*G5254</x:f>
        <x:v>164817.88931788932</x:v>
      </x:c>
      <x:c r="I5254" s="36" t="n">
        <x:f>IFERROR(H5254/A5254,0)</x:f>
        <x:v>18313.09881309881</x:v>
      </x:c>
      <x:c r="J5254" s="67" t="str">
        <x:v>Modeled from live base + Sep-2026 quality ratio</x:v>
      </x:c>
      <x:c r="K5254" s="67" t="str">
        <x:v>https://www.stonealgo.com/diamond-prices/</x:v>
      </x:c>
      <x:c r="L5254" s="67" t="str">
        <x:v>https://www.pricescope.com/blog/natural-diamond-prices-september-2026</x:v>
      </x:c>
    </x:row>
    <x:row r="5255">
      <x:c r="A5255" t="n">
        <x:v>9</x:v>
      </x:c>
      <x:c r="B5255" t="str">
        <x:v>Princess</x:v>
      </x:c>
      <x:c r="C5255" t="str">
        <x:v>D</x:v>
      </x:c>
      <x:c r="D5255" t="str">
        <x:v>VS2</x:v>
      </x:c>
      <x:c r="E5255" s="36" t="n">
        <x:v>123000</x:v>
      </x:c>
      <x:c r="F5255" s="36" t="n">
        <x:v>5841</x:v>
      </x:c>
      <x:c r="G5255" s="42" t="n">
        <x:v>1.252895752895753</x:v>
      </x:c>
      <x:c r="H5255" s="36" t="n">
        <x:f>E5255*G5255</x:f>
        <x:v>154106.1776061776</x:v>
      </x:c>
      <x:c r="I5255" s="36" t="n">
        <x:f>IFERROR(H5255/A5255,0)</x:f>
        <x:v>17122.908622908624</x:v>
      </x:c>
      <x:c r="J5255" s="67" t="str">
        <x:v>Modeled from live base + Sep-2026 quality ratio</x:v>
      </x:c>
      <x:c r="K5255" s="67" t="str">
        <x:v>https://www.stonealgo.com/diamond-prices/</x:v>
      </x:c>
      <x:c r="L5255" s="67" t="str">
        <x:v>https://www.pricescope.com/blog/natural-diamond-prices-september-2026</x:v>
      </x:c>
    </x:row>
    <x:row r="5256">
      <x:c r="A5256" t="n">
        <x:v>9</x:v>
      </x:c>
      <x:c r="B5256" t="str">
        <x:v>Princess</x:v>
      </x:c>
      <x:c r="C5256" t="str">
        <x:v>D</x:v>
      </x:c>
      <x:c r="D5256" t="str">
        <x:v>SI1</x:v>
      </x:c>
      <x:c r="E5256" s="36" t="n">
        <x:v>123000</x:v>
      </x:c>
      <x:c r="F5256" s="36" t="n">
        <x:v>3762</x:v>
      </x:c>
      <x:c r="G5256" s="42" t="n">
        <x:v>0.806949806949807</x:v>
      </x:c>
      <x:c r="H5256" s="36" t="n">
        <x:f>E5256*G5256</x:f>
        <x:v>99254.82625482626</x:v>
      </x:c>
      <x:c r="I5256" s="36" t="n">
        <x:f>IFERROR(H5256/A5256,0)</x:f>
        <x:v>11028.31402831403</x:v>
      </x:c>
      <x:c r="J5256" s="67" t="str">
        <x:v>Modeled from live base + Sep-2026 quality ratio</x:v>
      </x:c>
      <x:c r="K5256" s="67" t="str">
        <x:v>https://www.stonealgo.com/diamond-prices/</x:v>
      </x:c>
      <x:c r="L5256" s="67" t="str">
        <x:v>https://www.pricescope.com/blog/natural-diamond-prices-september-2026</x:v>
      </x:c>
    </x:row>
    <x:row r="5257">
      <x:c r="A5257" t="n">
        <x:v>9</x:v>
      </x:c>
      <x:c r="B5257" t="str">
        <x:v>Princess</x:v>
      </x:c>
      <x:c r="C5257" t="str">
        <x:v>D</x:v>
      </x:c>
      <x:c r="D5257" t="str">
        <x:v>SI2</x:v>
      </x:c>
      <x:c r="E5257" s="36" t="n">
        <x:v>123000</x:v>
      </x:c>
      <x:c r="F5257" s="36" t="n">
        <x:v>3026</x:v>
      </x:c>
      <x:c r="G5257" s="42" t="n">
        <x:v>0.6490776490776491</x:v>
      </x:c>
      <x:c r="H5257" s="36" t="n">
        <x:f>E5257*G5257</x:f>
        <x:v>79836.55083655084</x:v>
      </x:c>
      <x:c r="I5257" s="36" t="n">
        <x:f>IFERROR(H5257/A5257,0)</x:f>
        <x:v>8870.727870727871</x:v>
      </x:c>
      <x:c r="J5257" s="67" t="str">
        <x:v>Modeled from live base + Sep-2026 quality ratio</x:v>
      </x:c>
      <x:c r="K5257" s="67" t="str">
        <x:v>https://www.stonealgo.com/diamond-prices/</x:v>
      </x:c>
      <x:c r="L5257" s="67" t="str">
        <x:v>https://www.pricescope.com/blog/natural-diamond-prices-september-2026</x:v>
      </x:c>
    </x:row>
    <x:row r="5258">
      <x:c r="A5258" t="n">
        <x:v>9</x:v>
      </x:c>
      <x:c r="B5258" t="str">
        <x:v>Princess</x:v>
      </x:c>
      <x:c r="C5258" t="str">
        <x:v>E</x:v>
      </x:c>
      <x:c r="D5258" t="str">
        <x:v>FL</x:v>
      </x:c>
      <x:c r="E5258" s="36" t="n">
        <x:v>123000</x:v>
      </x:c>
      <x:c r="F5258" s="36" t="n">
        <x:v>10072</x:v>
      </x:c>
      <x:c r="G5258" s="42" t="n">
        <x:v>2.1604461604461602</x:v>
      </x:c>
      <x:c r="H5258" s="36" t="n">
        <x:f>E5258*G5258</x:f>
        <x:v>265734.8777348777</x:v>
      </x:c>
      <x:c r="I5258" s="36" t="n">
        <x:f>IFERROR(H5258/A5258,0)</x:f>
        <x:v>29526.09752609752</x:v>
      </x:c>
      <x:c r="J5258" s="67" t="str">
        <x:v>Modeled from live base + Sep-2026 quality ratio</x:v>
      </x:c>
      <x:c r="K5258" s="67" t="str">
        <x:v>https://www.stonealgo.com/diamond-prices/</x:v>
      </x:c>
      <x:c r="L5258" s="67" t="str">
        <x:v>https://www.pricescope.com/blog/natural-diamond-prices-september-2026</x:v>
      </x:c>
    </x:row>
    <x:row r="5259">
      <x:c r="A5259" t="n">
        <x:v>9</x:v>
      </x:c>
      <x:c r="B5259" t="str">
        <x:v>Princess</x:v>
      </x:c>
      <x:c r="C5259" t="str">
        <x:v>E</x:v>
      </x:c>
      <x:c r="D5259" t="str">
        <x:v>IF</x:v>
      </x:c>
      <x:c r="E5259" s="36" t="n">
        <x:v>123000</x:v>
      </x:c>
      <x:c r="F5259" s="36" t="n">
        <x:v>8672</x:v>
      </x:c>
      <x:c r="G5259" s="42" t="n">
        <x:v>1.8601458601458603</x:v>
      </x:c>
      <x:c r="H5259" s="36" t="n">
        <x:f>E5259*G5259</x:f>
        <x:v>228797.9407979408</x:v>
      </x:c>
      <x:c r="I5259" s="36" t="n">
        <x:f>IFERROR(H5259/A5259,0)</x:f>
        <x:v>25421.993421993422</x:v>
      </x:c>
      <x:c r="J5259" s="67" t="str">
        <x:v>Modeled from live base + Sep-2026 quality ratio</x:v>
      </x:c>
      <x:c r="K5259" s="67" t="str">
        <x:v>https://www.stonealgo.com/diamond-prices/</x:v>
      </x:c>
      <x:c r="L5259" s="67" t="str">
        <x:v>https://www.pricescope.com/blog/natural-diamond-prices-september-2026</x:v>
      </x:c>
    </x:row>
    <x:row r="5260">
      <x:c r="A5260" t="n">
        <x:v>9</x:v>
      </x:c>
      <x:c r="B5260" t="str">
        <x:v>Princess</x:v>
      </x:c>
      <x:c r="C5260" t="str">
        <x:v>E</x:v>
      </x:c>
      <x:c r="D5260" t="str">
        <x:v>VVS1</x:v>
      </x:c>
      <x:c r="E5260" s="36" t="n">
        <x:v>123000</x:v>
      </x:c>
      <x:c r="F5260" s="36" t="n">
        <x:v>7842</x:v>
      </x:c>
      <x:c r="G5260" s="42" t="n">
        <x:v>1.6821106821106822</x:v>
      </x:c>
      <x:c r="H5260" s="36" t="n">
        <x:f>E5260*G5260</x:f>
        <x:v>206899.6138996139</x:v>
      </x:c>
      <x:c r="I5260" s="36" t="n">
        <x:f>IFERROR(H5260/A5260,0)</x:f>
        <x:v>22988.84598884599</x:v>
      </x:c>
      <x:c r="J5260" s="67" t="str">
        <x:v>Modeled from live base + Sep-2026 quality ratio</x:v>
      </x:c>
      <x:c r="K5260" s="67" t="str">
        <x:v>https://www.stonealgo.com/diamond-prices/</x:v>
      </x:c>
      <x:c r="L5260" s="67" t="str">
        <x:v>https://www.pricescope.com/blog/natural-diamond-prices-september-2026</x:v>
      </x:c>
    </x:row>
    <x:row r="5261">
      <x:c r="A5261" t="n">
        <x:v>9</x:v>
      </x:c>
      <x:c r="B5261" t="str">
        <x:v>Princess</x:v>
      </x:c>
      <x:c r="C5261" t="str">
        <x:v>E</x:v>
      </x:c>
      <x:c r="D5261" t="str">
        <x:v>VVS2</x:v>
      </x:c>
      <x:c r="E5261" s="36" t="n">
        <x:v>123000</x:v>
      </x:c>
      <x:c r="F5261" s="36" t="n">
        <x:v>6880</x:v>
      </x:c>
      <x:c r="G5261" s="42" t="n">
        <x:v>1.4757614757614759</x:v>
      </x:c>
      <x:c r="H5261" s="36" t="n">
        <x:f>E5261*G5261</x:f>
        <x:v>181518.66151866154</x:v>
      </x:c>
      <x:c r="I5261" s="36" t="n">
        <x:f>IFERROR(H5261/A5261,0)</x:f>
        <x:v>20168.740168740173</x:v>
      </x:c>
      <x:c r="J5261" s="67" t="str">
        <x:v>Modeled from live base + Sep-2026 quality ratio</x:v>
      </x:c>
      <x:c r="K5261" s="67" t="str">
        <x:v>https://www.stonealgo.com/diamond-prices/</x:v>
      </x:c>
      <x:c r="L5261" s="67" t="str">
        <x:v>https://www.pricescope.com/blog/natural-diamond-prices-september-2026</x:v>
      </x:c>
    </x:row>
    <x:row r="5262">
      <x:c r="A5262" t="n">
        <x:v>9</x:v>
      </x:c>
      <x:c r="B5262" t="str">
        <x:v>Princess</x:v>
      </x:c>
      <x:c r="C5262" t="str">
        <x:v>E</x:v>
      </x:c>
      <x:c r="D5262" t="str">
        <x:v>VS1</x:v>
      </x:c>
      <x:c r="E5262" s="36" t="n">
        <x:v>123000</x:v>
      </x:c>
      <x:c r="F5262" s="36" t="n">
        <x:v>6307</x:v>
      </x:c>
      <x:c r="G5262" s="42" t="n">
        <x:v>1.352852852852853</x:v>
      </x:c>
      <x:c r="H5262" s="36" t="n">
        <x:f>E5262*G5262</x:f>
        <x:v>166400.90090090092</x:v>
      </x:c>
      <x:c r="I5262" s="36" t="n">
        <x:f>IFERROR(H5262/A5262,0)</x:f>
        <x:v>18488.98898898899</x:v>
      </x:c>
      <x:c r="J5262" s="67" t="str">
        <x:v>Modeled from live base + Sep-2026 quality ratio</x:v>
      </x:c>
      <x:c r="K5262" s="67" t="str">
        <x:v>https://www.stonealgo.com/diamond-prices/</x:v>
      </x:c>
      <x:c r="L5262" s="67" t="str">
        <x:v>https://www.pricescope.com/blog/natural-diamond-prices-september-2026</x:v>
      </x:c>
    </x:row>
    <x:row r="5263">
      <x:c r="A5263" t="n">
        <x:v>9</x:v>
      </x:c>
      <x:c r="B5263" t="str">
        <x:v>Princess</x:v>
      </x:c>
      <x:c r="C5263" t="str">
        <x:v>E</x:v>
      </x:c>
      <x:c r="D5263" t="str">
        <x:v>VS2</x:v>
      </x:c>
      <x:c r="E5263" s="36" t="n">
        <x:v>123000</x:v>
      </x:c>
      <x:c r="F5263" s="36" t="n">
        <x:v>5249</x:v>
      </x:c>
      <x:c r="G5263" s="42" t="n">
        <x:v>1.125911625911626</x:v>
      </x:c>
      <x:c r="H5263" s="36" t="n">
        <x:f>E5263*G5263</x:f>
        <x:v>138487.12998713</x:v>
      </x:c>
      <x:c r="I5263" s="36" t="n">
        <x:f>IFERROR(H5263/A5263,0)</x:f>
        <x:v>15387.458887458888</x:v>
      </x:c>
      <x:c r="J5263" s="67" t="str">
        <x:v>Modeled from live base + Sep-2026 quality ratio</x:v>
      </x:c>
      <x:c r="K5263" s="67" t="str">
        <x:v>https://www.stonealgo.com/diamond-prices/</x:v>
      </x:c>
      <x:c r="L5263" s="67" t="str">
        <x:v>https://www.pricescope.com/blog/natural-diamond-prices-september-2026</x:v>
      </x:c>
    </x:row>
    <x:row r="5264">
      <x:c r="A5264" t="n">
        <x:v>9</x:v>
      </x:c>
      <x:c r="B5264" t="str">
        <x:v>Princess</x:v>
      </x:c>
      <x:c r="C5264" t="str">
        <x:v>E</x:v>
      </x:c>
      <x:c r="D5264" t="str">
        <x:v>SI1</x:v>
      </x:c>
      <x:c r="E5264" s="36" t="n">
        <x:v>123000</x:v>
      </x:c>
      <x:c r="F5264" s="36" t="n">
        <x:v>3551</x:v>
      </x:c>
      <x:c r="G5264" s="42" t="n">
        <x:v>0.7616902616902617</x:v>
      </x:c>
      <x:c r="H5264" s="36" t="n">
        <x:f>E5264*G5264</x:f>
        <x:v>93687.90218790219</x:v>
      </x:c>
      <x:c r="I5264" s="36" t="n">
        <x:f>IFERROR(H5264/A5264,0)</x:f>
        <x:v>10409.76690976691</x:v>
      </x:c>
      <x:c r="J5264" s="67" t="str">
        <x:v>Modeled from live base + Sep-2026 quality ratio</x:v>
      </x:c>
      <x:c r="K5264" s="67" t="str">
        <x:v>https://www.stonealgo.com/diamond-prices/</x:v>
      </x:c>
      <x:c r="L5264" s="67" t="str">
        <x:v>https://www.pricescope.com/blog/natural-diamond-prices-september-2026</x:v>
      </x:c>
    </x:row>
    <x:row r="5265">
      <x:c r="A5265" t="n">
        <x:v>9</x:v>
      </x:c>
      <x:c r="B5265" t="str">
        <x:v>Princess</x:v>
      </x:c>
      <x:c r="C5265" t="str">
        <x:v>E</x:v>
      </x:c>
      <x:c r="D5265" t="str">
        <x:v>SI2</x:v>
      </x:c>
      <x:c r="E5265" s="36" t="n">
        <x:v>123000</x:v>
      </x:c>
      <x:c r="F5265" s="36" t="n">
        <x:v>2993</x:v>
      </x:c>
      <x:c r="G5265" s="42" t="n">
        <x:v>0.641999141999142</x:v>
      </x:c>
      <x:c r="H5265" s="36" t="n">
        <x:f>E5265*G5265</x:f>
        <x:v>78965.89446589447</x:v>
      </x:c>
      <x:c r="I5265" s="36" t="n">
        <x:f>IFERROR(H5265/A5265,0)</x:f>
        <x:v>8773.988273988274</x:v>
      </x:c>
      <x:c r="J5265" s="67" t="str">
        <x:v>Modeled from live base + Sep-2026 quality ratio</x:v>
      </x:c>
      <x:c r="K5265" s="67" t="str">
        <x:v>https://www.stonealgo.com/diamond-prices/</x:v>
      </x:c>
      <x:c r="L5265" s="67" t="str">
        <x:v>https://www.pricescope.com/blog/natural-diamond-prices-september-2026</x:v>
      </x:c>
    </x:row>
    <x:row r="5266">
      <x:c r="A5266" t="n">
        <x:v>9</x:v>
      </x:c>
      <x:c r="B5266" t="str">
        <x:v>Princess</x:v>
      </x:c>
      <x:c r="C5266" t="str">
        <x:v>F</x:v>
      </x:c>
      <x:c r="D5266" t="str">
        <x:v>FL</x:v>
      </x:c>
      <x:c r="E5266" s="36" t="n">
        <x:v>123000</x:v>
      </x:c>
      <x:c r="F5266" s="36" t="n">
        <x:v>6830</x:v>
      </x:c>
      <x:c r="G5266" s="42" t="n">
        <x:v>1.4650364650364651</x:v>
      </x:c>
      <x:c r="H5266" s="36" t="n">
        <x:f>E5266*G5266</x:f>
        <x:v>180199.4851994852</x:v>
      </x:c>
      <x:c r="I5266" s="36" t="n">
        <x:f>IFERROR(H5266/A5266,0)</x:f>
        <x:v>20022.165022165023</x:v>
      </x:c>
      <x:c r="J5266" s="67" t="str">
        <x:v>Modeled from live base + Sep-2026 quality ratio</x:v>
      </x:c>
      <x:c r="K5266" s="67" t="str">
        <x:v>https://www.stonealgo.com/diamond-prices/</x:v>
      </x:c>
      <x:c r="L5266" s="67" t="str">
        <x:v>https://www.pricescope.com/blog/natural-diamond-prices-september-2026</x:v>
      </x:c>
    </x:row>
    <x:row r="5267">
      <x:c r="A5267" t="n">
        <x:v>9</x:v>
      </x:c>
      <x:c r="B5267" t="str">
        <x:v>Princess</x:v>
      </x:c>
      <x:c r="C5267" t="str">
        <x:v>F</x:v>
      </x:c>
      <x:c r="D5267" t="str">
        <x:v>IF</x:v>
      </x:c>
      <x:c r="E5267" s="36" t="n">
        <x:v>123000</x:v>
      </x:c>
      <x:c r="F5267" s="36" t="n">
        <x:v>7302</x:v>
      </x:c>
      <x:c r="G5267" s="42" t="n">
        <x:v>1.5662805662805663</x:v>
      </x:c>
      <x:c r="H5267" s="36" t="n">
        <x:f>E5267*G5267</x:f>
        <x:v>192652.50965250965</x:v>
      </x:c>
      <x:c r="I5267" s="36" t="n">
        <x:f>IFERROR(H5267/A5267,0)</x:f>
        <x:v>21405.834405834405</x:v>
      </x:c>
      <x:c r="J5267" s="67" t="str">
        <x:v>Modeled from live base + Sep-2026 quality ratio</x:v>
      </x:c>
      <x:c r="K5267" s="67" t="str">
        <x:v>https://www.stonealgo.com/diamond-prices/</x:v>
      </x:c>
      <x:c r="L5267" s="67" t="str">
        <x:v>https://www.pricescope.com/blog/natural-diamond-prices-september-2026</x:v>
      </x:c>
    </x:row>
    <x:row r="5268">
      <x:c r="A5268" t="n">
        <x:v>9</x:v>
      </x:c>
      <x:c r="B5268" t="str">
        <x:v>Princess</x:v>
      </x:c>
      <x:c r="C5268" t="str">
        <x:v>F</x:v>
      </x:c>
      <x:c r="D5268" t="str">
        <x:v>VVS1</x:v>
      </x:c>
      <x:c r="E5268" s="36" t="n">
        <x:v>123000</x:v>
      </x:c>
      <x:c r="F5268" s="36" t="n">
        <x:v>7542</x:v>
      </x:c>
      <x:c r="G5268" s="42" t="n">
        <x:v>1.6177606177606179</x:v>
      </x:c>
      <x:c r="H5268" s="36" t="n">
        <x:f>E5268*G5268</x:f>
        <x:v>198984.555984556</x:v>
      </x:c>
      <x:c r="I5268" s="36" t="n">
        <x:f>IFERROR(H5268/A5268,0)</x:f>
        <x:v>22109.39510939511</x:v>
      </x:c>
      <x:c r="J5268" s="67" t="str">
        <x:v>Modeled from live base + Sep-2026 quality ratio</x:v>
      </x:c>
      <x:c r="K5268" s="67" t="str">
        <x:v>https://www.stonealgo.com/diamond-prices/</x:v>
      </x:c>
      <x:c r="L5268" s="67" t="str">
        <x:v>https://www.pricescope.com/blog/natural-diamond-prices-september-2026</x:v>
      </x:c>
    </x:row>
    <x:row r="5269">
      <x:c r="A5269" t="n">
        <x:v>9</x:v>
      </x:c>
      <x:c r="B5269" t="str">
        <x:v>Princess</x:v>
      </x:c>
      <x:c r="C5269" t="str">
        <x:v>F</x:v>
      </x:c>
      <x:c r="D5269" t="str">
        <x:v>VVS2</x:v>
      </x:c>
      <x:c r="E5269" s="36" t="n">
        <x:v>123000</x:v>
      </x:c>
      <x:c r="F5269" s="36" t="n">
        <x:v>6352</x:v>
      </x:c>
      <x:c r="G5269" s="42" t="n">
        <x:v>1.3625053625053625</x:v>
      </x:c>
      <x:c r="H5269" s="36" t="n">
        <x:f>E5269*G5269</x:f>
        <x:v>167588.1595881596</x:v>
      </x:c>
      <x:c r="I5269" s="36" t="n">
        <x:f>IFERROR(H5269/A5269,0)</x:f>
        <x:v>18620.906620906622</x:v>
      </x:c>
      <x:c r="J5269" s="67" t="str">
        <x:v>Modeled from live base + Sep-2026 quality ratio</x:v>
      </x:c>
      <x:c r="K5269" s="67" t="str">
        <x:v>https://www.stonealgo.com/diamond-prices/</x:v>
      </x:c>
      <x:c r="L5269" s="67" t="str">
        <x:v>https://www.pricescope.com/blog/natural-diamond-prices-september-2026</x:v>
      </x:c>
    </x:row>
    <x:row r="5270">
      <x:c r="A5270" t="n">
        <x:v>9</x:v>
      </x:c>
      <x:c r="B5270" t="str">
        <x:v>Princess</x:v>
      </x:c>
      <x:c r="C5270" t="str">
        <x:v>F</x:v>
      </x:c>
      <x:c r="D5270" t="str">
        <x:v>VS1</x:v>
      </x:c>
      <x:c r="E5270" s="36" t="n">
        <x:v>123000</x:v>
      </x:c>
      <x:c r="F5270" s="36" t="n">
        <x:v>5647</x:v>
      </x:c>
      <x:c r="G5270" s="42" t="n">
        <x:v>1.2112827112827114</x:v>
      </x:c>
      <x:c r="H5270" s="36" t="n">
        <x:f>E5270*G5270</x:f>
        <x:v>148987.7734877735</x:v>
      </x:c>
      <x:c r="I5270" s="36" t="n">
        <x:f>IFERROR(H5270/A5270,0)</x:f>
        <x:v>16554.197054197055</x:v>
      </x:c>
      <x:c r="J5270" s="67" t="str">
        <x:v>Modeled from live base + Sep-2026 quality ratio</x:v>
      </x:c>
      <x:c r="K5270" s="67" t="str">
        <x:v>https://www.stonealgo.com/diamond-prices/</x:v>
      </x:c>
      <x:c r="L5270" s="67" t="str">
        <x:v>https://www.pricescope.com/blog/natural-diamond-prices-september-2026</x:v>
      </x:c>
    </x:row>
    <x:row r="5271">
      <x:c r="A5271" t="n">
        <x:v>9</x:v>
      </x:c>
      <x:c r="B5271" t="str">
        <x:v>Princess</x:v>
      </x:c>
      <x:c r="C5271" t="str">
        <x:v>F</x:v>
      </x:c>
      <x:c r="D5271" t="str">
        <x:v>VS2</x:v>
      </x:c>
      <x:c r="E5271" s="36" t="n">
        <x:v>123000</x:v>
      </x:c>
      <x:c r="F5271" s="36" t="n">
        <x:v>4730</x:v>
      </x:c>
      <x:c r="G5271" s="42" t="n">
        <x:v>1.0145860145860146</x:v>
      </x:c>
      <x:c r="H5271" s="36" t="n">
        <x:f>E5271*G5271</x:f>
        <x:v>124794.0797940798</x:v>
      </x:c>
      <x:c r="I5271" s="36" t="n">
        <x:f>IFERROR(H5271/A5271,0)</x:f>
        <x:v>13866.008866008866</x:v>
      </x:c>
      <x:c r="J5271" s="67" t="str">
        <x:v>Modeled from live base + Sep-2026 quality ratio</x:v>
      </x:c>
      <x:c r="K5271" s="67" t="str">
        <x:v>https://www.stonealgo.com/diamond-prices/</x:v>
      </x:c>
      <x:c r="L5271" s="67" t="str">
        <x:v>https://www.pricescope.com/blog/natural-diamond-prices-september-2026</x:v>
      </x:c>
    </x:row>
    <x:row r="5272">
      <x:c r="A5272" t="n">
        <x:v>9</x:v>
      </x:c>
      <x:c r="B5272" t="str">
        <x:v>Princess</x:v>
      </x:c>
      <x:c r="C5272" t="str">
        <x:v>F</x:v>
      </x:c>
      <x:c r="D5272" t="str">
        <x:v>SI1</x:v>
      </x:c>
      <x:c r="E5272" s="36" t="n">
        <x:v>123000</x:v>
      </x:c>
      <x:c r="F5272" s="36" t="n">
        <x:v>3331</x:v>
      </x:c>
      <x:c r="G5272" s="42" t="n">
        <x:v>0.7145002145002145</x:v>
      </x:c>
      <x:c r="H5272" s="36" t="n">
        <x:f>E5272*G5272</x:f>
        <x:v>87883.52638352639</x:v>
      </x:c>
      <x:c r="I5272" s="36" t="n">
        <x:f>IFERROR(H5272/A5272,0)</x:f>
        <x:v>9764.836264836265</x:v>
      </x:c>
      <x:c r="J5272" s="67" t="str">
        <x:v>Modeled from live base + Sep-2026 quality ratio</x:v>
      </x:c>
      <x:c r="K5272" s="67" t="str">
        <x:v>https://www.stonealgo.com/diamond-prices/</x:v>
      </x:c>
      <x:c r="L5272" s="67" t="str">
        <x:v>https://www.pricescope.com/blog/natural-diamond-prices-september-2026</x:v>
      </x:c>
    </x:row>
    <x:row r="5273">
      <x:c r="A5273" t="n">
        <x:v>9</x:v>
      </x:c>
      <x:c r="B5273" t="str">
        <x:v>Princess</x:v>
      </x:c>
      <x:c r="C5273" t="str">
        <x:v>F</x:v>
      </x:c>
      <x:c r="D5273" t="str">
        <x:v>SI2</x:v>
      </x:c>
      <x:c r="E5273" s="36" t="n">
        <x:v>123000</x:v>
      </x:c>
      <x:c r="F5273" s="36" t="n">
        <x:v>2733</x:v>
      </x:c>
      <x:c r="G5273" s="42" t="n">
        <x:v>0.5862290862290862</x:v>
      </x:c>
      <x:c r="H5273" s="36" t="n">
        <x:f>E5273*G5273</x:f>
        <x:v>72106.1776061776</x:v>
      </x:c>
      <x:c r="I5273" s="36" t="n">
        <x:f>IFERROR(H5273/A5273,0)</x:f>
        <x:v>8011.797511797511</x:v>
      </x:c>
      <x:c r="J5273" s="67" t="str">
        <x:v>Modeled from live base + Sep-2026 quality ratio</x:v>
      </x:c>
      <x:c r="K5273" s="67" t="str">
        <x:v>https://www.stonealgo.com/diamond-prices/</x:v>
      </x:c>
      <x:c r="L5273" s="67" t="str">
        <x:v>https://www.pricescope.com/blog/natural-diamond-prices-september-2026</x:v>
      </x:c>
    </x:row>
    <x:row r="5274">
      <x:c r="A5274" t="n">
        <x:v>9</x:v>
      </x:c>
      <x:c r="B5274" t="str">
        <x:v>Princess</x:v>
      </x:c>
      <x:c r="C5274" t="str">
        <x:v>G</x:v>
      </x:c>
      <x:c r="D5274" t="str">
        <x:v>FL</x:v>
      </x:c>
      <x:c r="E5274" s="36" t="n">
        <x:v>123000</x:v>
      </x:c>
      <x:c r="F5274" s="36" t="n">
        <x:v>5905</x:v>
      </x:c>
      <x:c r="G5274" s="42" t="n">
        <x:v>1.2666237666237665</x:v>
      </x:c>
      <x:c r="H5274" s="36" t="n">
        <x:f>E5274*G5274</x:f>
        <x:v>155794.72329472328</x:v>
      </x:c>
      <x:c r="I5274" s="36" t="n">
        <x:f>IFERROR(H5274/A5274,0)</x:f>
        <x:v>17310.52481052481</x:v>
      </x:c>
      <x:c r="J5274" s="67" t="str">
        <x:v>Modeled from live base + Sep-2026 quality ratio</x:v>
      </x:c>
      <x:c r="K5274" s="67" t="str">
        <x:v>https://www.stonealgo.com/diamond-prices/</x:v>
      </x:c>
      <x:c r="L5274" s="67" t="str">
        <x:v>https://www.pricescope.com/blog/natural-diamond-prices-september-2026</x:v>
      </x:c>
    </x:row>
    <x:row r="5275">
      <x:c r="A5275" t="n">
        <x:v>9</x:v>
      </x:c>
      <x:c r="B5275" t="str">
        <x:v>Princess</x:v>
      </x:c>
      <x:c r="C5275" t="str">
        <x:v>G</x:v>
      </x:c>
      <x:c r="D5275" t="str">
        <x:v>IF</x:v>
      </x:c>
      <x:c r="E5275" s="36" t="n">
        <x:v>123000</x:v>
      </x:c>
      <x:c r="F5275" s="36" t="n">
        <x:v>5601</x:v>
      </x:c>
      <x:c r="G5275" s="42" t="n">
        <x:v>1.2014157014157014</x:v>
      </x:c>
      <x:c r="H5275" s="36" t="n">
        <x:f>E5275*G5275</x:f>
        <x:v>147774.13127413127</x:v>
      </x:c>
      <x:c r="I5275" s="36" t="n">
        <x:f>IFERROR(H5275/A5275,0)</x:f>
        <x:v>16419.347919347918</x:v>
      </x:c>
      <x:c r="J5275" s="67" t="str">
        <x:v>Modeled from live base + Sep-2026 quality ratio</x:v>
      </x:c>
      <x:c r="K5275" s="67" t="str">
        <x:v>https://www.stonealgo.com/diamond-prices/</x:v>
      </x:c>
      <x:c r="L5275" s="67" t="str">
        <x:v>https://www.pricescope.com/blog/natural-diamond-prices-september-2026</x:v>
      </x:c>
    </x:row>
    <x:row r="5276">
      <x:c r="A5276" t="n">
        <x:v>9</x:v>
      </x:c>
      <x:c r="B5276" t="str">
        <x:v>Princess</x:v>
      </x:c>
      <x:c r="C5276" t="str">
        <x:v>G</x:v>
      </x:c>
      <x:c r="D5276" t="str">
        <x:v>VVS1</x:v>
      </x:c>
      <x:c r="E5276" s="36" t="n">
        <x:v>123000</x:v>
      </x:c>
      <x:c r="F5276" s="36" t="n">
        <x:v>5124</x:v>
      </x:c>
      <x:c r="G5276" s="42" t="n">
        <x:v>1.0990990990990992</x:v>
      </x:c>
      <x:c r="H5276" s="36" t="n">
        <x:f>E5276*G5276</x:f>
        <x:v>135189.1891891892</x:v>
      </x:c>
      <x:c r="I5276" s="36" t="n">
        <x:f>IFERROR(H5276/A5276,0)</x:f>
        <x:v>15021.021021021023</x:v>
      </x:c>
      <x:c r="J5276" s="67" t="str">
        <x:v>Modeled from live base + Sep-2026 quality ratio</x:v>
      </x:c>
      <x:c r="K5276" s="67" t="str">
        <x:v>https://www.stonealgo.com/diamond-prices/</x:v>
      </x:c>
      <x:c r="L5276" s="67" t="str">
        <x:v>https://www.pricescope.com/blog/natural-diamond-prices-september-2026</x:v>
      </x:c>
    </x:row>
    <x:row r="5277">
      <x:c r="A5277" t="n">
        <x:v>9</x:v>
      </x:c>
      <x:c r="B5277" t="str">
        <x:v>Princess</x:v>
      </x:c>
      <x:c r="C5277" t="str">
        <x:v>G</x:v>
      </x:c>
      <x:c r="D5277" t="str">
        <x:v>VVS2</x:v>
      </x:c>
      <x:c r="E5277" s="36" t="n">
        <x:v>123000</x:v>
      </x:c>
      <x:c r="F5277" s="36" t="n">
        <x:v>4962</x:v>
      </x:c>
      <x:c r="G5277" s="42" t="n">
        <x:v>1.0643500643500643</x:v>
      </x:c>
      <x:c r="H5277" s="36" t="n">
        <x:f>E5277*G5277</x:f>
        <x:v>130915.05791505791</x:v>
      </x:c>
      <x:c r="I5277" s="36" t="n">
        <x:f>IFERROR(H5277/A5277,0)</x:f>
        <x:v>14546.117546117546</x:v>
      </x:c>
      <x:c r="J5277" s="67" t="str">
        <x:v>Modeled from live base + Sep-2026 quality ratio</x:v>
      </x:c>
      <x:c r="K5277" s="67" t="str">
        <x:v>https://www.stonealgo.com/diamond-prices/</x:v>
      </x:c>
      <x:c r="L5277" s="67" t="str">
        <x:v>https://www.pricescope.com/blog/natural-diamond-prices-september-2026</x:v>
      </x:c>
    </x:row>
    <x:row r="5278">
      <x:c r="A5278" t="n">
        <x:v>9</x:v>
      </x:c>
      <x:c r="B5278" t="str">
        <x:v>Princess</x:v>
      </x:c>
      <x:c r="C5278" t="str">
        <x:v>G</x:v>
      </x:c>
      <x:c r="D5278" t="str">
        <x:v>VS1</x:v>
      </x:c>
      <x:c r="E5278" s="36" t="n">
        <x:v>123000</x:v>
      </x:c>
      <x:c r="F5278" s="36" t="n">
        <x:v>4615</x:v>
      </x:c>
      <x:c r="G5278" s="42" t="n">
        <x:v>0.98991848991849</x:v>
      </x:c>
      <x:c r="H5278" s="36" t="n">
        <x:f>E5278*G5278</x:f>
        <x:v>121759.97425997426</x:v>
      </x:c>
      <x:c r="I5278" s="36" t="n">
        <x:f>IFERROR(H5278/A5278,0)</x:f>
        <x:v>13528.886028886029</x:v>
      </x:c>
      <x:c r="J5278" s="67" t="str">
        <x:v>Modeled from live base + Sep-2026 quality ratio</x:v>
      </x:c>
      <x:c r="K5278" s="67" t="str">
        <x:v>https://www.stonealgo.com/diamond-prices/</x:v>
      </x:c>
      <x:c r="L5278" s="67" t="str">
        <x:v>https://www.pricescope.com/blog/natural-diamond-prices-september-2026</x:v>
      </x:c>
    </x:row>
    <x:row r="5279">
      <x:c r="A5279" t="n">
        <x:v>9</x:v>
      </x:c>
      <x:c r="B5279" t="str">
        <x:v>Princess</x:v>
      </x:c>
      <x:c r="C5279" t="str">
        <x:v>G</x:v>
      </x:c>
      <x:c r="D5279" t="str">
        <x:v>VS2</x:v>
      </x:c>
      <x:c r="E5279" s="36" t="n">
        <x:v>123000</x:v>
      </x:c>
      <x:c r="F5279" s="36" t="n">
        <x:v>4585</x:v>
      </x:c>
      <x:c r="G5279" s="42" t="n">
        <x:v>0.9834834834834835</x:v>
      </x:c>
      <x:c r="H5279" s="36" t="n">
        <x:f>E5279*G5279</x:f>
        <x:v>120968.46846846846</x:v>
      </x:c>
      <x:c r="I5279" s="36" t="n">
        <x:f>IFERROR(H5279/A5279,0)</x:f>
        <x:v>13440.94094094094</x:v>
      </x:c>
      <x:c r="J5279" s="67" t="str">
        <x:v>Modeled from live base + Sep-2026 quality ratio</x:v>
      </x:c>
      <x:c r="K5279" s="67" t="str">
        <x:v>https://www.stonealgo.com/diamond-prices/</x:v>
      </x:c>
      <x:c r="L5279" s="67" t="str">
        <x:v>https://www.pricescope.com/blog/natural-diamond-prices-september-2026</x:v>
      </x:c>
    </x:row>
    <x:row r="5280">
      <x:c r="A5280" t="n">
        <x:v>9</x:v>
      </x:c>
      <x:c r="B5280" t="str">
        <x:v>Princess</x:v>
      </x:c>
      <x:c r="C5280" t="str">
        <x:v>G</x:v>
      </x:c>
      <x:c r="D5280" t="str">
        <x:v>SI1</x:v>
      </x:c>
      <x:c r="E5280" s="36" t="n">
        <x:v>123000</x:v>
      </x:c>
      <x:c r="F5280" s="36" t="n">
        <x:v>3664</x:v>
      </x:c>
      <x:c r="G5280" s="42" t="n">
        <x:v>0.7859287859287859</x:v>
      </x:c>
      <x:c r="H5280" s="36" t="n">
        <x:f>E5280*G5280</x:f>
        <x:v>96669.24066924067</x:v>
      </x:c>
      <x:c r="I5280" s="36" t="n">
        <x:f>IFERROR(H5280/A5280,0)</x:f>
        <x:v>10741.02674102674</x:v>
      </x:c>
      <x:c r="J5280" s="67" t="str">
        <x:v>Modeled from live base + Sep-2026 quality ratio</x:v>
      </x:c>
      <x:c r="K5280" s="67" t="str">
        <x:v>https://www.stonealgo.com/diamond-prices/</x:v>
      </x:c>
      <x:c r="L5280" s="67" t="str">
        <x:v>https://www.pricescope.com/blog/natural-diamond-prices-september-2026</x:v>
      </x:c>
    </x:row>
    <x:row r="5281">
      <x:c r="A5281" t="n">
        <x:v>9</x:v>
      </x:c>
      <x:c r="B5281" t="str">
        <x:v>Princess</x:v>
      </x:c>
      <x:c r="C5281" t="str">
        <x:v>G</x:v>
      </x:c>
      <x:c r="D5281" t="str">
        <x:v>SI2</x:v>
      </x:c>
      <x:c r="E5281" s="36" t="n">
        <x:v>123000</x:v>
      </x:c>
      <x:c r="F5281" s="36" t="n">
        <x:v>2537</x:v>
      </x:c>
      <x:c r="G5281" s="42" t="n">
        <x:v>0.5441870441870442</x:v>
      </x:c>
      <x:c r="H5281" s="36" t="n">
        <x:f>E5281*G5281</x:f>
        <x:v>66935.00643500643</x:v>
      </x:c>
      <x:c r="I5281" s="36" t="n">
        <x:f>IFERROR(H5281/A5281,0)</x:f>
        <x:v>7437.222937222938</x:v>
      </x:c>
      <x:c r="J5281" s="67" t="str">
        <x:v>Modeled from live base + Sep-2026 quality ratio</x:v>
      </x:c>
      <x:c r="K5281" s="67" t="str">
        <x:v>https://www.stonealgo.com/diamond-prices/</x:v>
      </x:c>
      <x:c r="L5281" s="67" t="str">
        <x:v>https://www.pricescope.com/blog/natural-diamond-prices-september-2026</x:v>
      </x:c>
    </x:row>
    <x:row r="5282">
      <x:c r="A5282" t="n">
        <x:v>9</x:v>
      </x:c>
      <x:c r="B5282" t="str">
        <x:v>Princess</x:v>
      </x:c>
      <x:c r="C5282" t="str">
        <x:v>H</x:v>
      </x:c>
      <x:c r="D5282" t="str">
        <x:v>FL</x:v>
      </x:c>
      <x:c r="E5282" s="36" t="n">
        <x:v>123000</x:v>
      </x:c>
      <x:c r="F5282" s="36" t="n">
        <x:v>4563</x:v>
      </x:c>
      <x:c r="G5282" s="42" t="n">
        <x:v>0.9787644787644788</x:v>
      </x:c>
      <x:c r="H5282" s="36" t="n">
        <x:f>E5282*G5282</x:f>
        <x:v>120388.03088803089</x:v>
      </x:c>
      <x:c r="I5282" s="36" t="n">
        <x:f>IFERROR(H5282/A5282,0)</x:f>
        <x:v>13376.447876447877</x:v>
      </x:c>
      <x:c r="J5282" s="67" t="str">
        <x:v>Modeled from live base + Sep-2026 quality ratio</x:v>
      </x:c>
      <x:c r="K5282" s="67" t="str">
        <x:v>https://www.stonealgo.com/diamond-prices/</x:v>
      </x:c>
      <x:c r="L5282" s="67" t="str">
        <x:v>https://www.pricescope.com/blog/natural-diamond-prices-september-2026</x:v>
      </x:c>
    </x:row>
    <x:row r="5283">
      <x:c r="A5283" t="n">
        <x:v>9</x:v>
      </x:c>
      <x:c r="B5283" t="str">
        <x:v>Princess</x:v>
      </x:c>
      <x:c r="C5283" t="str">
        <x:v>H</x:v>
      </x:c>
      <x:c r="D5283" t="str">
        <x:v>IF</x:v>
      </x:c>
      <x:c r="E5283" s="36" t="n">
        <x:v>123000</x:v>
      </x:c>
      <x:c r="F5283" s="36" t="n">
        <x:v>4809</x:v>
      </x:c>
      <x:c r="G5283" s="42" t="n">
        <x:v>1.0315315315315314</x:v>
      </x:c>
      <x:c r="H5283" s="36" t="n">
        <x:f>E5283*G5283</x:f>
        <x:v>126878.37837837837</x:v>
      </x:c>
      <x:c r="I5283" s="36" t="n">
        <x:f>IFERROR(H5283/A5283,0)</x:f>
        <x:v>14097.597597597596</x:v>
      </x:c>
      <x:c r="J5283" s="67" t="str">
        <x:v>Modeled from live base + Sep-2026 quality ratio</x:v>
      </x:c>
      <x:c r="K5283" s="67" t="str">
        <x:v>https://www.stonealgo.com/diamond-prices/</x:v>
      </x:c>
      <x:c r="L5283" s="67" t="str">
        <x:v>https://www.pricescope.com/blog/natural-diamond-prices-september-2026</x:v>
      </x:c>
    </x:row>
    <x:row r="5284">
      <x:c r="A5284" t="n">
        <x:v>9</x:v>
      </x:c>
      <x:c r="B5284" t="str">
        <x:v>Princess</x:v>
      </x:c>
      <x:c r="C5284" t="str">
        <x:v>H</x:v>
      </x:c>
      <x:c r="D5284" t="str">
        <x:v>VVS1</x:v>
      </x:c>
      <x:c r="E5284" s="36" t="n">
        <x:v>123000</x:v>
      </x:c>
      <x:c r="F5284" s="36" t="n">
        <x:v>4911</x:v>
      </x:c>
      <x:c r="G5284" s="42" t="n">
        <x:v>1.0534105534105533</x:v>
      </x:c>
      <x:c r="H5284" s="36" t="n">
        <x:f>E5284*G5284</x:f>
        <x:v>129569.49806949806</x:v>
      </x:c>
      <x:c r="I5284" s="36" t="n">
        <x:f>IFERROR(H5284/A5284,0)</x:f>
        <x:v>14396.610896610895</x:v>
      </x:c>
      <x:c r="J5284" s="67" t="str">
        <x:v>Modeled from live base + Sep-2026 quality ratio</x:v>
      </x:c>
      <x:c r="K5284" s="67" t="str">
        <x:v>https://www.stonealgo.com/diamond-prices/</x:v>
      </x:c>
      <x:c r="L5284" s="67" t="str">
        <x:v>https://www.pricescope.com/blog/natural-diamond-prices-september-2026</x:v>
      </x:c>
    </x:row>
    <x:row r="5285">
      <x:c r="A5285" t="n">
        <x:v>9</x:v>
      </x:c>
      <x:c r="B5285" t="str">
        <x:v>Princess</x:v>
      </x:c>
      <x:c r="C5285" t="str">
        <x:v>H</x:v>
      </x:c>
      <x:c r="D5285" t="str">
        <x:v>VVS2</x:v>
      </x:c>
      <x:c r="E5285" s="36" t="n">
        <x:v>123000</x:v>
      </x:c>
      <x:c r="F5285" s="36" t="n">
        <x:v>4046</x:v>
      </x:c>
      <x:c r="G5285" s="42" t="n">
        <x:v>0.8678678678678678</x:v>
      </x:c>
      <x:c r="H5285" s="36" t="n">
        <x:f>E5285*G5285</x:f>
        <x:v>106747.74774774775</x:v>
      </x:c>
      <x:c r="I5285" s="36" t="n">
        <x:f>IFERROR(H5285/A5285,0)</x:f>
        <x:v>11860.860860860861</x:v>
      </x:c>
      <x:c r="J5285" s="67" t="str">
        <x:v>Modeled from live base + Sep-2026 quality ratio</x:v>
      </x:c>
      <x:c r="K5285" s="67" t="str">
        <x:v>https://www.stonealgo.com/diamond-prices/</x:v>
      </x:c>
      <x:c r="L5285" s="67" t="str">
        <x:v>https://www.pricescope.com/blog/natural-diamond-prices-september-2026</x:v>
      </x:c>
    </x:row>
    <x:row r="5286">
      <x:c r="A5286" t="n">
        <x:v>9</x:v>
      </x:c>
      <x:c r="B5286" t="str">
        <x:v>Princess</x:v>
      </x:c>
      <x:c r="C5286" t="str">
        <x:v>H</x:v>
      </x:c>
      <x:c r="D5286" t="str">
        <x:v>VS1</x:v>
      </x:c>
      <x:c r="E5286" s="36" t="n">
        <x:v>123000</x:v>
      </x:c>
      <x:c r="F5286" s="36" t="n">
        <x:v>3893</x:v>
      </x:c>
      <x:c r="G5286" s="42" t="n">
        <x:v>0.8350493350493351</x:v>
      </x:c>
      <x:c r="H5286" s="36" t="n">
        <x:f>E5286*G5286</x:f>
        <x:v>102711.06821106821</x:v>
      </x:c>
      <x:c r="I5286" s="36" t="n">
        <x:f>IFERROR(H5286/A5286,0)</x:f>
        <x:v>11412.340912340913</x:v>
      </x:c>
      <x:c r="J5286" s="67" t="str">
        <x:v>Modeled from live base + Sep-2026 quality ratio</x:v>
      </x:c>
      <x:c r="K5286" s="67" t="str">
        <x:v>https://www.stonealgo.com/diamond-prices/</x:v>
      </x:c>
      <x:c r="L5286" s="67" t="str">
        <x:v>https://www.pricescope.com/blog/natural-diamond-prices-september-2026</x:v>
      </x:c>
    </x:row>
    <x:row r="5287">
      <x:c r="A5287" t="n">
        <x:v>9</x:v>
      </x:c>
      <x:c r="B5287" t="str">
        <x:v>Princess</x:v>
      </x:c>
      <x:c r="C5287" t="str">
        <x:v>H</x:v>
      </x:c>
      <x:c r="D5287" t="str">
        <x:v>VS2</x:v>
      </x:c>
      <x:c r="E5287" s="36" t="n">
        <x:v>123000</x:v>
      </x:c>
      <x:c r="F5287" s="36" t="n">
        <x:v>3989</x:v>
      </x:c>
      <x:c r="G5287" s="42" t="n">
        <x:v>0.8556413556413557</x:v>
      </x:c>
      <x:c r="H5287" s="36" t="n">
        <x:f>E5287*G5287</x:f>
        <x:v>105243.88674388675</x:v>
      </x:c>
      <x:c r="I5287" s="36" t="n">
        <x:f>IFERROR(H5287/A5287,0)</x:f>
        <x:v>11693.765193765194</x:v>
      </x:c>
      <x:c r="J5287" s="67" t="str">
        <x:v>Modeled from live base + Sep-2026 quality ratio</x:v>
      </x:c>
      <x:c r="K5287" s="67" t="str">
        <x:v>https://www.stonealgo.com/diamond-prices/</x:v>
      </x:c>
      <x:c r="L5287" s="67" t="str">
        <x:v>https://www.pricescope.com/blog/natural-diamond-prices-september-2026</x:v>
      </x:c>
    </x:row>
    <x:row r="5288">
      <x:c r="A5288" t="n">
        <x:v>9</x:v>
      </x:c>
      <x:c r="B5288" t="str">
        <x:v>Princess</x:v>
      </x:c>
      <x:c r="C5288" t="str">
        <x:v>H</x:v>
      </x:c>
      <x:c r="D5288" t="str">
        <x:v>SI1</x:v>
      </x:c>
      <x:c r="E5288" s="36" t="n">
        <x:v>123000</x:v>
      </x:c>
      <x:c r="F5288" s="36" t="n">
        <x:v>2828</x:v>
      </x:c>
      <x:c r="G5288" s="42" t="n">
        <x:v>0.6066066066066066</x:v>
      </x:c>
      <x:c r="H5288" s="36" t="n">
        <x:f>E5288*G5288</x:f>
        <x:v>74612.6126126126</x:v>
      </x:c>
      <x:c r="I5288" s="36" t="n">
        <x:f>IFERROR(H5288/A5288,0)</x:f>
        <x:v>8290.29029029029</x:v>
      </x:c>
      <x:c r="J5288" s="67" t="str">
        <x:v>Modeled from live base + Sep-2026 quality ratio</x:v>
      </x:c>
      <x:c r="K5288" s="67" t="str">
        <x:v>https://www.stonealgo.com/diamond-prices/</x:v>
      </x:c>
      <x:c r="L5288" s="67" t="str">
        <x:v>https://www.pricescope.com/blog/natural-diamond-prices-september-2026</x:v>
      </x:c>
    </x:row>
    <x:row r="5289">
      <x:c r="A5289" t="n">
        <x:v>9</x:v>
      </x:c>
      <x:c r="B5289" t="str">
        <x:v>Princess</x:v>
      </x:c>
      <x:c r="C5289" t="str">
        <x:v>H</x:v>
      </x:c>
      <x:c r="D5289" t="str">
        <x:v>SI2</x:v>
      </x:c>
      <x:c r="E5289" s="36" t="n">
        <x:v>123000</x:v>
      </x:c>
      <x:c r="F5289" s="36" t="n">
        <x:v>2328</x:v>
      </x:c>
      <x:c r="G5289" s="42" t="n">
        <x:v>0.49935649935649934</x:v>
      </x:c>
      <x:c r="H5289" s="36" t="n">
        <x:f>E5289*G5289</x:f>
        <x:v>61420.849420849416</x:v>
      </x:c>
      <x:c r="I5289" s="36" t="n">
        <x:f>IFERROR(H5289/A5289,0)</x:f>
        <x:v>6824.538824538824</x:v>
      </x:c>
      <x:c r="J5289" s="67" t="str">
        <x:v>Modeled from live base + Sep-2026 quality ratio</x:v>
      </x:c>
      <x:c r="K5289" s="67" t="str">
        <x:v>https://www.stonealgo.com/diamond-prices/</x:v>
      </x:c>
      <x:c r="L5289" s="67" t="str">
        <x:v>https://www.pricescope.com/blog/natural-diamond-prices-september-2026</x:v>
      </x:c>
    </x:row>
    <x:row r="5290">
      <x:c r="A5290" t="n">
        <x:v>9</x:v>
      </x:c>
      <x:c r="B5290" t="str">
        <x:v>Princess</x:v>
      </x:c>
      <x:c r="C5290" t="str">
        <x:v>I</x:v>
      </x:c>
      <x:c r="D5290" t="str">
        <x:v>FL</x:v>
      </x:c>
      <x:c r="E5290" s="36" t="n">
        <x:v>123000</x:v>
      </x:c>
      <x:c r="F5290" s="36" t="n">
        <x:v>4623</x:v>
      </x:c>
      <x:c r="G5290" s="42" t="n">
        <x:v>0.9916344916344917</x:v>
      </x:c>
      <x:c r="H5290" s="36" t="n">
        <x:f>E5290*G5290</x:f>
        <x:v>121971.04247104247</x:v>
      </x:c>
      <x:c r="I5290" s="36" t="n">
        <x:f>IFERROR(H5290/A5290,0)</x:f>
        <x:v>13552.338052338053</x:v>
      </x:c>
      <x:c r="J5290" s="67" t="str">
        <x:v>Modeled from live base + Sep-2026 quality ratio</x:v>
      </x:c>
      <x:c r="K5290" s="67" t="str">
        <x:v>https://www.stonealgo.com/diamond-prices/</x:v>
      </x:c>
      <x:c r="L5290" s="67" t="str">
        <x:v>https://www.pricescope.com/blog/natural-diamond-prices-september-2026</x:v>
      </x:c>
    </x:row>
    <x:row r="5291">
      <x:c r="A5291" t="n">
        <x:v>9</x:v>
      </x:c>
      <x:c r="B5291" t="str">
        <x:v>Princess</x:v>
      </x:c>
      <x:c r="C5291" t="str">
        <x:v>I</x:v>
      </x:c>
      <x:c r="D5291" t="str">
        <x:v>IF</x:v>
      </x:c>
      <x:c r="E5291" s="36" t="n">
        <x:v>123000</x:v>
      </x:c>
      <x:c r="F5291" s="36" t="n">
        <x:v>4005</x:v>
      </x:c>
      <x:c r="G5291" s="42" t="n">
        <x:v>0.859073359073359</x:v>
      </x:c>
      <x:c r="H5291" s="36" t="n">
        <x:f>E5291*G5291</x:f>
        <x:v>105666.02316602317</x:v>
      </x:c>
      <x:c r="I5291" s="36" t="n">
        <x:f>IFERROR(H5291/A5291,0)</x:f>
        <x:v>11740.66924066924</x:v>
      </x:c>
      <x:c r="J5291" s="67" t="str">
        <x:v>Modeled from live base + Sep-2026 quality ratio</x:v>
      </x:c>
      <x:c r="K5291" s="67" t="str">
        <x:v>https://www.stonealgo.com/diamond-prices/</x:v>
      </x:c>
      <x:c r="L5291" s="67" t="str">
        <x:v>https://www.pricescope.com/blog/natural-diamond-prices-september-2026</x:v>
      </x:c>
    </x:row>
    <x:row r="5292">
      <x:c r="A5292" t="n">
        <x:v>9</x:v>
      </x:c>
      <x:c r="B5292" t="str">
        <x:v>Princess</x:v>
      </x:c>
      <x:c r="C5292" t="str">
        <x:v>I</x:v>
      </x:c>
      <x:c r="D5292" t="str">
        <x:v>VVS1</x:v>
      </x:c>
      <x:c r="E5292" s="36" t="n">
        <x:v>123000</x:v>
      </x:c>
      <x:c r="F5292" s="36" t="n">
        <x:v>3670</x:v>
      </x:c>
      <x:c r="G5292" s="42" t="n">
        <x:v>0.7872157872157872</x:v>
      </x:c>
      <x:c r="H5292" s="36" t="n">
        <x:f>E5292*G5292</x:f>
        <x:v>96827.54182754183</x:v>
      </x:c>
      <x:c r="I5292" s="36" t="n">
        <x:f>IFERROR(H5292/A5292,0)</x:f>
        <x:v>10758.615758615759</x:v>
      </x:c>
      <x:c r="J5292" s="67" t="str">
        <x:v>Modeled from live base + Sep-2026 quality ratio</x:v>
      </x:c>
      <x:c r="K5292" s="67" t="str">
        <x:v>https://www.stonealgo.com/diamond-prices/</x:v>
      </x:c>
      <x:c r="L5292" s="67" t="str">
        <x:v>https://www.pricescope.com/blog/natural-diamond-prices-september-2026</x:v>
      </x:c>
    </x:row>
    <x:row r="5293">
      <x:c r="A5293" t="n">
        <x:v>9</x:v>
      </x:c>
      <x:c r="B5293" t="str">
        <x:v>Princess</x:v>
      </x:c>
      <x:c r="C5293" t="str">
        <x:v>I</x:v>
      </x:c>
      <x:c r="D5293" t="str">
        <x:v>VVS2</x:v>
      </x:c>
      <x:c r="E5293" s="36" t="n">
        <x:v>123000</x:v>
      </x:c>
      <x:c r="F5293" s="36" t="n">
        <x:v>3447</x:v>
      </x:c>
      <x:c r="G5293" s="42" t="n">
        <x:v>0.7393822393822393</x:v>
      </x:c>
      <x:c r="H5293" s="36" t="n">
        <x:f>E5293*G5293</x:f>
        <x:v>90944.01544401544</x:v>
      </x:c>
      <x:c r="I5293" s="36" t="n">
        <x:f>IFERROR(H5293/A5293,0)</x:f>
        <x:v>10104.890604890605</x:v>
      </x:c>
      <x:c r="J5293" s="67" t="str">
        <x:v>Modeled from live base + Sep-2026 quality ratio</x:v>
      </x:c>
      <x:c r="K5293" s="67" t="str">
        <x:v>https://www.stonealgo.com/diamond-prices/</x:v>
      </x:c>
      <x:c r="L5293" s="67" t="str">
        <x:v>https://www.pricescope.com/blog/natural-diamond-prices-september-2026</x:v>
      </x:c>
    </x:row>
    <x:row r="5294">
      <x:c r="A5294" t="n">
        <x:v>9</x:v>
      </x:c>
      <x:c r="B5294" t="str">
        <x:v>Princess</x:v>
      </x:c>
      <x:c r="C5294" t="str">
        <x:v>I</x:v>
      </x:c>
      <x:c r="D5294" t="str">
        <x:v>VS1</x:v>
      </x:c>
      <x:c r="E5294" s="36" t="n">
        <x:v>123000</x:v>
      </x:c>
      <x:c r="F5294" s="36" t="n">
        <x:v>3313</x:v>
      </x:c>
      <x:c r="G5294" s="42" t="n">
        <x:v>0.7106392106392107</x:v>
      </x:c>
      <x:c r="H5294" s="36" t="n">
        <x:f>E5294*G5294</x:f>
        <x:v>87408.62290862291</x:v>
      </x:c>
      <x:c r="I5294" s="36" t="n">
        <x:f>IFERROR(H5294/A5294,0)</x:f>
        <x:v>9712.069212069213</x:v>
      </x:c>
      <x:c r="J5294" s="67" t="str">
        <x:v>Modeled from live base + Sep-2026 quality ratio</x:v>
      </x:c>
      <x:c r="K5294" s="67" t="str">
        <x:v>https://www.stonealgo.com/diamond-prices/</x:v>
      </x:c>
      <x:c r="L5294" s="67" t="str">
        <x:v>https://www.pricescope.com/blog/natural-diamond-prices-september-2026</x:v>
      </x:c>
    </x:row>
    <x:row r="5295">
      <x:c r="A5295" t="n">
        <x:v>9</x:v>
      </x:c>
      <x:c r="B5295" t="str">
        <x:v>Princess</x:v>
      </x:c>
      <x:c r="C5295" t="str">
        <x:v>I</x:v>
      </x:c>
      <x:c r="D5295" t="str">
        <x:v>VS2</x:v>
      </x:c>
      <x:c r="E5295" s="36" t="n">
        <x:v>123000</x:v>
      </x:c>
      <x:c r="F5295" s="36" t="n">
        <x:v>3240</x:v>
      </x:c>
      <x:c r="G5295" s="42" t="n">
        <x:v>0.694980694980695</x:v>
      </x:c>
      <x:c r="H5295" s="36" t="n">
        <x:f>E5295*G5295</x:f>
        <x:v>85482.62548262549</x:v>
      </x:c>
      <x:c r="I5295" s="36" t="n">
        <x:f>IFERROR(H5295/A5295,0)</x:f>
        <x:v>9498.069498069499</x:v>
      </x:c>
      <x:c r="J5295" s="67" t="str">
        <x:v>Modeled from live base + Sep-2026 quality ratio</x:v>
      </x:c>
      <x:c r="K5295" s="67" t="str">
        <x:v>https://www.stonealgo.com/diamond-prices/</x:v>
      </x:c>
      <x:c r="L5295" s="67" t="str">
        <x:v>https://www.pricescope.com/blog/natural-diamond-prices-september-2026</x:v>
      </x:c>
    </x:row>
    <x:row r="5296">
      <x:c r="A5296" t="n">
        <x:v>9</x:v>
      </x:c>
      <x:c r="B5296" t="str">
        <x:v>Princess</x:v>
      </x:c>
      <x:c r="C5296" t="str">
        <x:v>I</x:v>
      </x:c>
      <x:c r="D5296" t="str">
        <x:v>SI1</x:v>
      </x:c>
      <x:c r="E5296" s="36" t="n">
        <x:v>123000</x:v>
      </x:c>
      <x:c r="F5296" s="36" t="n">
        <x:v>3199</x:v>
      </x:c>
      <x:c r="G5296" s="42" t="n">
        <x:v>0.6861861861861862</x:v>
      </x:c>
      <x:c r="H5296" s="36" t="n">
        <x:f>E5296*G5296</x:f>
        <x:v>84400.9009009009</x:v>
      </x:c>
      <x:c r="I5296" s="36" t="n">
        <x:f>IFERROR(H5296/A5296,0)</x:f>
        <x:v>9377.877877877878</x:v>
      </x:c>
      <x:c r="J5296" s="67" t="str">
        <x:v>Modeled from live base + Sep-2026 quality ratio</x:v>
      </x:c>
      <x:c r="K5296" s="67" t="str">
        <x:v>https://www.stonealgo.com/diamond-prices/</x:v>
      </x:c>
      <x:c r="L5296" s="67" t="str">
        <x:v>https://www.pricescope.com/blog/natural-diamond-prices-september-2026</x:v>
      </x:c>
    </x:row>
    <x:row r="5297">
      <x:c r="A5297" t="n">
        <x:v>9</x:v>
      </x:c>
      <x:c r="B5297" t="str">
        <x:v>Princess</x:v>
      </x:c>
      <x:c r="C5297" t="str">
        <x:v>I</x:v>
      </x:c>
      <x:c r="D5297" t="str">
        <x:v>SI2</x:v>
      </x:c>
      <x:c r="E5297" s="36" t="n">
        <x:v>123000</x:v>
      </x:c>
      <x:c r="F5297" s="36" t="n">
        <x:v>2874</x:v>
      </x:c>
      <x:c r="G5297" s="42" t="n">
        <x:v>0.6164736164736164</x:v>
      </x:c>
      <x:c r="H5297" s="36" t="n">
        <x:f>E5297*G5297</x:f>
        <x:v>75826.25482625482</x:v>
      </x:c>
      <x:c r="I5297" s="36" t="n">
        <x:f>IFERROR(H5297/A5297,0)</x:f>
        <x:v>8425.139425139425</x:v>
      </x:c>
      <x:c r="J5297" s="67" t="str">
        <x:v>Modeled from live base + Sep-2026 quality ratio</x:v>
      </x:c>
      <x:c r="K5297" s="67" t="str">
        <x:v>https://www.stonealgo.com/diamond-prices/</x:v>
      </x:c>
      <x:c r="L5297" s="67" t="str">
        <x:v>https://www.pricescope.com/blog/natural-diamond-prices-september-2026</x:v>
      </x:c>
    </x:row>
    <x:row r="5298">
      <x:c r="A5298" t="n">
        <x:v>9</x:v>
      </x:c>
      <x:c r="B5298" t="str">
        <x:v>Princess</x:v>
      </x:c>
      <x:c r="C5298" t="str">
        <x:v>J</x:v>
      </x:c>
      <x:c r="D5298" t="str">
        <x:v>FL</x:v>
      </x:c>
      <x:c r="E5298" s="36" t="n">
        <x:v>123000</x:v>
      </x:c>
      <x:c r="F5298" s="36" t="n">
        <x:v>3646</x:v>
      </x:c>
      <x:c r="G5298" s="42" t="n">
        <x:v>0.782067782067782</x:v>
      </x:c>
      <x:c r="H5298" s="36" t="n">
        <x:f>E5298*G5298</x:f>
        <x:v>96194.33719433719</x:v>
      </x:c>
      <x:c r="I5298" s="36" t="n">
        <x:f>IFERROR(H5298/A5298,0)</x:f>
        <x:v>10688.259688259688</x:v>
      </x:c>
      <x:c r="J5298" s="67" t="str">
        <x:v>Modeled from live base + Sep-2026 quality ratio</x:v>
      </x:c>
      <x:c r="K5298" s="67" t="str">
        <x:v>https://www.stonealgo.com/diamond-prices/</x:v>
      </x:c>
      <x:c r="L5298" s="67" t="str">
        <x:v>https://www.pricescope.com/blog/natural-diamond-prices-september-2026</x:v>
      </x:c>
    </x:row>
    <x:row r="5299">
      <x:c r="A5299" t="n">
        <x:v>9</x:v>
      </x:c>
      <x:c r="B5299" t="str">
        <x:v>Princess</x:v>
      </x:c>
      <x:c r="C5299" t="str">
        <x:v>J</x:v>
      </x:c>
      <x:c r="D5299" t="str">
        <x:v>IF</x:v>
      </x:c>
      <x:c r="E5299" s="36" t="n">
        <x:v>123000</x:v>
      </x:c>
      <x:c r="F5299" s="36" t="n">
        <x:v>3368</x:v>
      </x:c>
      <x:c r="G5299" s="42" t="n">
        <x:v>0.7224367224367224</x:v>
      </x:c>
      <x:c r="H5299" s="36" t="n">
        <x:f>E5299*G5299</x:f>
        <x:v>88859.71685971686</x:v>
      </x:c>
      <x:c r="I5299" s="36" t="n">
        <x:f>IFERROR(H5299/A5299,0)</x:f>
        <x:v>9873.301873301874</x:v>
      </x:c>
      <x:c r="J5299" s="67" t="str">
        <x:v>Modeled from live base + Sep-2026 quality ratio</x:v>
      </x:c>
      <x:c r="K5299" s="67" t="str">
        <x:v>https://www.stonealgo.com/diamond-prices/</x:v>
      </x:c>
      <x:c r="L5299" s="67" t="str">
        <x:v>https://www.pricescope.com/blog/natural-diamond-prices-september-2026</x:v>
      </x:c>
    </x:row>
    <x:row r="5300">
      <x:c r="A5300" t="n">
        <x:v>9</x:v>
      </x:c>
      <x:c r="B5300" t="str">
        <x:v>Princess</x:v>
      </x:c>
      <x:c r="C5300" t="str">
        <x:v>J</x:v>
      </x:c>
      <x:c r="D5300" t="str">
        <x:v>VVS1</x:v>
      </x:c>
      <x:c r="E5300" s="36" t="n">
        <x:v>123000</x:v>
      </x:c>
      <x:c r="F5300" s="36" t="n">
        <x:v>2956</x:v>
      </x:c>
      <x:c r="G5300" s="42" t="n">
        <x:v>0.6340626340626341</x:v>
      </x:c>
      <x:c r="H5300" s="36" t="n">
        <x:f>E5300*G5300</x:f>
        <x:v>77989.703989704</x:v>
      </x:c>
      <x:c r="I5300" s="36" t="n">
        <x:f>IFERROR(H5300/A5300,0)</x:f>
        <x:v>8665.522665522665</x:v>
      </x:c>
      <x:c r="J5300" s="67" t="str">
        <x:v>Modeled from live base + Sep-2026 quality ratio</x:v>
      </x:c>
      <x:c r="K5300" s="67" t="str">
        <x:v>https://www.stonealgo.com/diamond-prices/</x:v>
      </x:c>
      <x:c r="L5300" s="67" t="str">
        <x:v>https://www.pricescope.com/blog/natural-diamond-prices-september-2026</x:v>
      </x:c>
    </x:row>
    <x:row r="5301">
      <x:c r="A5301" t="n">
        <x:v>9</x:v>
      </x:c>
      <x:c r="B5301" t="str">
        <x:v>Princess</x:v>
      </x:c>
      <x:c r="C5301" t="str">
        <x:v>J</x:v>
      </x:c>
      <x:c r="D5301" t="str">
        <x:v>VVS2</x:v>
      </x:c>
      <x:c r="E5301" s="36" t="n">
        <x:v>123000</x:v>
      </x:c>
      <x:c r="F5301" s="36" t="n">
        <x:v>2612</x:v>
      </x:c>
      <x:c r="G5301" s="42" t="n">
        <x:v>0.5602745602745602</x:v>
      </x:c>
      <x:c r="H5301" s="36" t="n">
        <x:f>E5301*G5301</x:f>
        <x:v>68913.7709137709</x:v>
      </x:c>
      <x:c r="I5301" s="36" t="n">
        <x:f>IFERROR(H5301/A5301,0)</x:f>
        <x:v>7657.085657085656</x:v>
      </x:c>
      <x:c r="J5301" s="67" t="str">
        <x:v>Modeled from live base + Sep-2026 quality ratio</x:v>
      </x:c>
      <x:c r="K5301" s="67" t="str">
        <x:v>https://www.stonealgo.com/diamond-prices/</x:v>
      </x:c>
      <x:c r="L5301" s="67" t="str">
        <x:v>https://www.pricescope.com/blog/natural-diamond-prices-september-2026</x:v>
      </x:c>
    </x:row>
    <x:row r="5302">
      <x:c r="A5302" t="n">
        <x:v>9</x:v>
      </x:c>
      <x:c r="B5302" t="str">
        <x:v>Princess</x:v>
      </x:c>
      <x:c r="C5302" t="str">
        <x:v>J</x:v>
      </x:c>
      <x:c r="D5302" t="str">
        <x:v>VS1</x:v>
      </x:c>
      <x:c r="E5302" s="36" t="n">
        <x:v>123000</x:v>
      </x:c>
      <x:c r="F5302" s="36" t="n">
        <x:v>3002</x:v>
      </x:c>
      <x:c r="G5302" s="42" t="n">
        <x:v>0.6439296439296439</x:v>
      </x:c>
      <x:c r="H5302" s="36" t="n">
        <x:f>E5302*G5302</x:f>
        <x:v>79203.3462033462</x:v>
      </x:c>
      <x:c r="I5302" s="36" t="n">
        <x:f>IFERROR(H5302/A5302,0)</x:f>
        <x:v>8800.3718003718</x:v>
      </x:c>
      <x:c r="J5302" s="67" t="str">
        <x:v>Modeled from live base + Sep-2026 quality ratio</x:v>
      </x:c>
      <x:c r="K5302" s="67" t="str">
        <x:v>https://www.stonealgo.com/diamond-prices/</x:v>
      </x:c>
      <x:c r="L5302" s="67" t="str">
        <x:v>https://www.pricescope.com/blog/natural-diamond-prices-september-2026</x:v>
      </x:c>
    </x:row>
    <x:row r="5303">
      <x:c r="A5303" t="n">
        <x:v>9</x:v>
      </x:c>
      <x:c r="B5303" t="str">
        <x:v>Princess</x:v>
      </x:c>
      <x:c r="C5303" t="str">
        <x:v>J</x:v>
      </x:c>
      <x:c r="D5303" t="str">
        <x:v>VS2</x:v>
      </x:c>
      <x:c r="E5303" s="36" t="n">
        <x:v>123000</x:v>
      </x:c>
      <x:c r="F5303" s="36" t="n">
        <x:v>2559</x:v>
      </x:c>
      <x:c r="G5303" s="42" t="n">
        <x:v>0.5489060489060489</x:v>
      </x:c>
      <x:c r="H5303" s="36" t="n">
        <x:f>E5303*G5303</x:f>
        <x:v>67515.44401544401</x:v>
      </x:c>
      <x:c r="I5303" s="36" t="n">
        <x:f>IFERROR(H5303/A5303,0)</x:f>
        <x:v>7501.716001716001</x:v>
      </x:c>
      <x:c r="J5303" s="67" t="str">
        <x:v>Modeled from live base + Sep-2026 quality ratio</x:v>
      </x:c>
      <x:c r="K5303" s="67" t="str">
        <x:v>https://www.stonealgo.com/diamond-prices/</x:v>
      </x:c>
      <x:c r="L5303" s="67" t="str">
        <x:v>https://www.pricescope.com/blog/natural-diamond-prices-september-2026</x:v>
      </x:c>
    </x:row>
    <x:row r="5304">
      <x:c r="A5304" t="n">
        <x:v>9</x:v>
      </x:c>
      <x:c r="B5304" t="str">
        <x:v>Princess</x:v>
      </x:c>
      <x:c r="C5304" t="str">
        <x:v>J</x:v>
      </x:c>
      <x:c r="D5304" t="str">
        <x:v>SI1</x:v>
      </x:c>
      <x:c r="E5304" s="36" t="n">
        <x:v>123000</x:v>
      </x:c>
      <x:c r="F5304" s="36" t="n">
        <x:v>2195</x:v>
      </x:c>
      <x:c r="G5304" s="42" t="n">
        <x:v>0.47082797082797084</x:v>
      </x:c>
      <x:c r="H5304" s="36" t="n">
        <x:f>E5304*G5304</x:f>
        <x:v>57911.840411840414</x:v>
      </x:c>
      <x:c r="I5304" s="36" t="n">
        <x:f>IFERROR(H5304/A5304,0)</x:f>
        <x:v>6434.648934648935</x:v>
      </x:c>
      <x:c r="J5304" s="67" t="str">
        <x:v>Modeled from live base + Sep-2026 quality ratio</x:v>
      </x:c>
      <x:c r="K5304" s="67" t="str">
        <x:v>https://www.stonealgo.com/diamond-prices/</x:v>
      </x:c>
      <x:c r="L5304" s="67" t="str">
        <x:v>https://www.pricescope.com/blog/natural-diamond-prices-september-2026</x:v>
      </x:c>
    </x:row>
    <x:row r="5305">
      <x:c r="A5305" t="n">
        <x:v>9</x:v>
      </x:c>
      <x:c r="B5305" t="str">
        <x:v>Princess</x:v>
      </x:c>
      <x:c r="C5305" t="str">
        <x:v>J</x:v>
      </x:c>
      <x:c r="D5305" t="str">
        <x:v>SI2</x:v>
      </x:c>
      <x:c r="E5305" s="36" t="n">
        <x:v>123000</x:v>
      </x:c>
      <x:c r="F5305" s="36" t="n">
        <x:v>2079</x:v>
      </x:c>
      <x:c r="G5305" s="42" t="n">
        <x:v>0.44594594594594594</x:v>
      </x:c>
      <x:c r="H5305" s="36" t="n">
        <x:f>E5305*G5305</x:f>
        <x:v>54851.35135135135</x:v>
      </x:c>
      <x:c r="I5305" s="36" t="n">
        <x:f>IFERROR(H5305/A5305,0)</x:f>
        <x:v>6094.594594594595</x:v>
      </x:c>
      <x:c r="J5305" s="67" t="str">
        <x:v>Modeled from live base + Sep-2026 quality ratio</x:v>
      </x:c>
      <x:c r="K5305" s="67" t="str">
        <x:v>https://www.stonealgo.com/diamond-prices/</x:v>
      </x:c>
      <x:c r="L5305" s="67" t="str">
        <x:v>https://www.pricescope.com/blog/natural-diamond-prices-september-2026</x:v>
      </x:c>
    </x:row>
    <x:row r="5306">
      <x:c r="A5306" t="n">
        <x:v>9</x:v>
      </x:c>
      <x:c r="B5306" t="str">
        <x:v>Princess</x:v>
      </x:c>
      <x:c r="C5306" t="str">
        <x:v>K</x:v>
      </x:c>
      <x:c r="D5306" t="str">
        <x:v>FL</x:v>
      </x:c>
      <x:c r="E5306" s="36" t="n">
        <x:v>123000</x:v>
      </x:c>
      <x:c r="F5306" s="36" t="n">
        <x:v>2858</x:v>
      </x:c>
      <x:c r="G5306" s="42" t="n">
        <x:v>0.6130416130416131</x:v>
      </x:c>
      <x:c r="H5306" s="36" t="n">
        <x:f>E5306*G5306</x:f>
        <x:v>75404.11840411842</x:v>
      </x:c>
      <x:c r="I5306" s="36" t="n">
        <x:f>IFERROR(H5306/A5306,0)</x:f>
        <x:v>8378.23537823538</x:v>
      </x:c>
      <x:c r="J5306" s="67" t="str">
        <x:v>Modeled from live base + Sep-2026 quality ratio; K/FL quality cell modeled</x:v>
      </x:c>
      <x:c r="K5306" s="67" t="str">
        <x:v>https://www.stonealgo.com/diamond-prices/</x:v>
      </x:c>
      <x:c r="L5306" s="67" t="str">
        <x:v>https://www.pricescope.com/blog/natural-diamond-prices-september-2026</x:v>
      </x:c>
    </x:row>
    <x:row r="5307">
      <x:c r="A5307" t="n">
        <x:v>9</x:v>
      </x:c>
      <x:c r="B5307" t="str">
        <x:v>Princess</x:v>
      </x:c>
      <x:c r="C5307" t="str">
        <x:v>K</x:v>
      </x:c>
      <x:c r="D5307" t="str">
        <x:v>IF</x:v>
      </x:c>
      <x:c r="E5307" s="36" t="n">
        <x:v>123000</x:v>
      </x:c>
      <x:c r="F5307" s="36" t="n">
        <x:v>2743</x:v>
      </x:c>
      <x:c r="G5307" s="42" t="n">
        <x:v>0.5883740883740883</x:v>
      </x:c>
      <x:c r="H5307" s="36" t="n">
        <x:f>E5307*G5307</x:f>
        <x:v>72370.01287001287</x:v>
      </x:c>
      <x:c r="I5307" s="36" t="n">
        <x:f>IFERROR(H5307/A5307,0)</x:f>
        <x:v>8041.112541112541</x:v>
      </x:c>
      <x:c r="J5307" s="67" t="str">
        <x:v>Modeled from live base + Sep-2026 quality ratio</x:v>
      </x:c>
      <x:c r="K5307" s="67" t="str">
        <x:v>https://www.stonealgo.com/diamond-prices/</x:v>
      </x:c>
      <x:c r="L5307" s="67" t="str">
        <x:v>https://www.pricescope.com/blog/natural-diamond-prices-september-2026</x:v>
      </x:c>
    </x:row>
    <x:row r="5308">
      <x:c r="A5308" t="n">
        <x:v>9</x:v>
      </x:c>
      <x:c r="B5308" t="str">
        <x:v>Princess</x:v>
      </x:c>
      <x:c r="C5308" t="str">
        <x:v>K</x:v>
      </x:c>
      <x:c r="D5308" t="str">
        <x:v>VVS1</x:v>
      </x:c>
      <x:c r="E5308" s="36" t="n">
        <x:v>123000</x:v>
      </x:c>
      <x:c r="F5308" s="36" t="n">
        <x:v>2529</x:v>
      </x:c>
      <x:c r="G5308" s="42" t="n">
        <x:v>0.5424710424710425</x:v>
      </x:c>
      <x:c r="H5308" s="36" t="n">
        <x:f>E5308*G5308</x:f>
        <x:v>66723.93822393822</x:v>
      </x:c>
      <x:c r="I5308" s="36" t="n">
        <x:f>IFERROR(H5308/A5308,0)</x:f>
        <x:v>7413.7709137709135</x:v>
      </x:c>
      <x:c r="J5308" s="67" t="str">
        <x:v>Modeled from live base + Sep-2026 quality ratio</x:v>
      </x:c>
      <x:c r="K5308" s="67" t="str">
        <x:v>https://www.stonealgo.com/diamond-prices/</x:v>
      </x:c>
      <x:c r="L5308" s="67" t="str">
        <x:v>https://www.pricescope.com/blog/natural-diamond-prices-september-2026</x:v>
      </x:c>
    </x:row>
    <x:row r="5309">
      <x:c r="A5309" t="n">
        <x:v>9</x:v>
      </x:c>
      <x:c r="B5309" t="str">
        <x:v>Princess</x:v>
      </x:c>
      <x:c r="C5309" t="str">
        <x:v>K</x:v>
      </x:c>
      <x:c r="D5309" t="str">
        <x:v>VVS2</x:v>
      </x:c>
      <x:c r="E5309" s="36" t="n">
        <x:v>123000</x:v>
      </x:c>
      <x:c r="F5309" s="36" t="n">
        <x:v>2374</x:v>
      </x:c>
      <x:c r="G5309" s="42" t="n">
        <x:v>0.5092235092235092</x:v>
      </x:c>
      <x:c r="H5309" s="36" t="n">
        <x:f>E5309*G5309</x:f>
        <x:v>62634.491634491635</x:v>
      </x:c>
      <x:c r="I5309" s="36" t="n">
        <x:f>IFERROR(H5309/A5309,0)</x:f>
        <x:v>6959.387959387959</x:v>
      </x:c>
      <x:c r="J5309" s="67" t="str">
        <x:v>Modeled from live base + Sep-2026 quality ratio</x:v>
      </x:c>
      <x:c r="K5309" s="67" t="str">
        <x:v>https://www.stonealgo.com/diamond-prices/</x:v>
      </x:c>
      <x:c r="L5309" s="67" t="str">
        <x:v>https://www.pricescope.com/blog/natural-diamond-prices-september-2026</x:v>
      </x:c>
    </x:row>
    <x:row r="5310">
      <x:c r="A5310" t="n">
        <x:v>9</x:v>
      </x:c>
      <x:c r="B5310" t="str">
        <x:v>Princess</x:v>
      </x:c>
      <x:c r="C5310" t="str">
        <x:v>K</x:v>
      </x:c>
      <x:c r="D5310" t="str">
        <x:v>VS1</x:v>
      </x:c>
      <x:c r="E5310" s="36" t="n">
        <x:v>123000</x:v>
      </x:c>
      <x:c r="F5310" s="36" t="n">
        <x:v>2223</x:v>
      </x:c>
      <x:c r="G5310" s="42" t="n">
        <x:v>0.4768339768339768</x:v>
      </x:c>
      <x:c r="H5310" s="36" t="n">
        <x:f>E5310*G5310</x:f>
        <x:v>58650.57915057915</x:v>
      </x:c>
      <x:c r="I5310" s="36" t="n">
        <x:f>IFERROR(H5310/A5310,0)</x:f>
        <x:v>6516.731016731017</x:v>
      </x:c>
      <x:c r="J5310" s="67" t="str">
        <x:v>Modeled from live base + Sep-2026 quality ratio</x:v>
      </x:c>
      <x:c r="K5310" s="67" t="str">
        <x:v>https://www.stonealgo.com/diamond-prices/</x:v>
      </x:c>
      <x:c r="L5310" s="67" t="str">
        <x:v>https://www.pricescope.com/blog/natural-diamond-prices-september-2026</x:v>
      </x:c>
    </x:row>
    <x:row r="5311">
      <x:c r="A5311" t="n">
        <x:v>9</x:v>
      </x:c>
      <x:c r="B5311" t="str">
        <x:v>Princess</x:v>
      </x:c>
      <x:c r="C5311" t="str">
        <x:v>K</x:v>
      </x:c>
      <x:c r="D5311" t="str">
        <x:v>VS2</x:v>
      </x:c>
      <x:c r="E5311" s="36" t="n">
        <x:v>123000</x:v>
      </x:c>
      <x:c r="F5311" s="36" t="n">
        <x:v>2098</x:v>
      </x:c>
      <x:c r="G5311" s="42" t="n">
        <x:v>0.45002145002145</x:v>
      </x:c>
      <x:c r="H5311" s="36" t="n">
        <x:f>E5311*G5311</x:f>
        <x:v>55352.63835263835</x:v>
      </x:c>
      <x:c r="I5311" s="36" t="n">
        <x:f>IFERROR(H5311/A5311,0)</x:f>
        <x:v>6150.29315029315</x:v>
      </x:c>
      <x:c r="J5311" s="67" t="str">
        <x:v>Modeled from live base + Sep-2026 quality ratio</x:v>
      </x:c>
      <x:c r="K5311" s="67" t="str">
        <x:v>https://www.stonealgo.com/diamond-prices/</x:v>
      </x:c>
      <x:c r="L5311" s="67" t="str">
        <x:v>https://www.pricescope.com/blog/natural-diamond-prices-september-2026</x:v>
      </x:c>
    </x:row>
    <x:row r="5312">
      <x:c r="A5312" t="n">
        <x:v>9</x:v>
      </x:c>
      <x:c r="B5312" t="str">
        <x:v>Princess</x:v>
      </x:c>
      <x:c r="C5312" t="str">
        <x:v>K</x:v>
      </x:c>
      <x:c r="D5312" t="str">
        <x:v>SI1</x:v>
      </x:c>
      <x:c r="E5312" s="36" t="n">
        <x:v>123000</x:v>
      </x:c>
      <x:c r="F5312" s="36" t="n">
        <x:v>1922</x:v>
      </x:c>
      <x:c r="G5312" s="42" t="n">
        <x:v>0.41226941226941227</x:v>
      </x:c>
      <x:c r="H5312" s="36" t="n">
        <x:f>E5312*G5312</x:f>
        <x:v>50709.13770913771</x:v>
      </x:c>
      <x:c r="I5312" s="36" t="n">
        <x:f>IFERROR(H5312/A5312,0)</x:f>
        <x:v>5634.348634348634</x:v>
      </x:c>
      <x:c r="J5312" s="67" t="str">
        <x:v>Modeled from live base + Sep-2026 quality ratio</x:v>
      </x:c>
      <x:c r="K5312" s="67" t="str">
        <x:v>https://www.stonealgo.com/diamond-prices/</x:v>
      </x:c>
      <x:c r="L5312" s="67" t="str">
        <x:v>https://www.pricescope.com/blog/natural-diamond-prices-september-2026</x:v>
      </x:c>
    </x:row>
    <x:row r="5313">
      <x:c r="A5313" t="n">
        <x:v>9</x:v>
      </x:c>
      <x:c r="B5313" t="str">
        <x:v>Princess</x:v>
      </x:c>
      <x:c r="C5313" t="str">
        <x:v>K</x:v>
      </x:c>
      <x:c r="D5313" t="str">
        <x:v>SI2</x:v>
      </x:c>
      <x:c r="E5313" s="36" t="n">
        <x:v>123000</x:v>
      </x:c>
      <x:c r="F5313" s="36" t="n">
        <x:v>1764</x:v>
      </x:c>
      <x:c r="G5313" s="42" t="n">
        <x:v>0.3783783783783784</x:v>
      </x:c>
      <x:c r="H5313" s="36" t="n">
        <x:f>E5313*G5313</x:f>
        <x:v>46540.54054054054</x:v>
      </x:c>
      <x:c r="I5313" s="36" t="n">
        <x:f>IFERROR(H5313/A5313,0)</x:f>
        <x:v>5171.171171171171</x:v>
      </x:c>
      <x:c r="J5313" s="67" t="str">
        <x:v>Modeled from live base + Sep-2026 quality ratio</x:v>
      </x:c>
      <x:c r="K5313" s="67" t="str">
        <x:v>https://www.stonealgo.com/diamond-prices/</x:v>
      </x:c>
      <x:c r="L5313" s="67" t="str">
        <x:v>https://www.pricescope.com/blog/natural-diamond-prices-september-2026</x:v>
      </x:c>
    </x:row>
    <x:row r="5314">
      <x:c r="A5314" t="n">
        <x:v>9</x:v>
      </x:c>
      <x:c r="B5314" t="str">
        <x:v>Emerald</x:v>
      </x:c>
      <x:c r="C5314" t="str">
        <x:v>D</x:v>
      </x:c>
      <x:c r="D5314" t="str">
        <x:v>FL</x:v>
      </x:c>
      <x:c r="E5314" s="36" t="n">
        <x:v>250000</x:v>
      </x:c>
      <x:c r="F5314" s="36" t="n">
        <x:v>12665</x:v>
      </x:c>
      <x:c r="G5314" s="42" t="n">
        <x:v>2.7166452166452166</x:v>
      </x:c>
      <x:c r="H5314" s="36" t="n">
        <x:f>E5314*G5314</x:f>
        <x:v>679161.3041613041</x:v>
      </x:c>
      <x:c r="I5314" s="36" t="n">
        <x:f>IFERROR(H5314/A5314,0)</x:f>
        <x:v>75462.3671290338</x:v>
      </x:c>
      <x:c r="J5314" s="67" t="str">
        <x:v>Modeled from live base + Sep-2026 quality ratio</x:v>
      </x:c>
      <x:c r="K5314" s="67" t="str">
        <x:v>https://www.stonealgo.com/diamond-prices/</x:v>
      </x:c>
      <x:c r="L5314" s="67" t="str">
        <x:v>https://www.pricescope.com/blog/natural-diamond-prices-september-2026</x:v>
      </x:c>
    </x:row>
    <x:row r="5315">
      <x:c r="A5315" t="n">
        <x:v>9</x:v>
      </x:c>
      <x:c r="B5315" t="str">
        <x:v>Emerald</x:v>
      </x:c>
      <x:c r="C5315" t="str">
        <x:v>D</x:v>
      </x:c>
      <x:c r="D5315" t="str">
        <x:v>IF</x:v>
      </x:c>
      <x:c r="E5315" s="36" t="n">
        <x:v>250000</x:v>
      </x:c>
      <x:c r="F5315" s="36" t="n">
        <x:v>13240</x:v>
      </x:c>
      <x:c r="G5315" s="42" t="n">
        <x:v>2.83998283998284</x:v>
      </x:c>
      <x:c r="H5315" s="36" t="n">
        <x:f>E5315*G5315</x:f>
        <x:v>709995.70999571</x:v>
      </x:c>
      <x:c r="I5315" s="36" t="n">
        <x:f>IFERROR(H5315/A5315,0)</x:f>
        <x:v>78888.41222174556</x:v>
      </x:c>
      <x:c r="J5315" s="67" t="str">
        <x:v>Modeled from live base + Sep-2026 quality ratio</x:v>
      </x:c>
      <x:c r="K5315" s="67" t="str">
        <x:v>https://www.stonealgo.com/diamond-prices/</x:v>
      </x:c>
      <x:c r="L5315" s="67" t="str">
        <x:v>https://www.pricescope.com/blog/natural-diamond-prices-september-2026</x:v>
      </x:c>
    </x:row>
    <x:row r="5316">
      <x:c r="A5316" t="n">
        <x:v>9</x:v>
      </x:c>
      <x:c r="B5316" t="str">
        <x:v>Emerald</x:v>
      </x:c>
      <x:c r="C5316" t="str">
        <x:v>D</x:v>
      </x:c>
      <x:c r="D5316" t="str">
        <x:v>VVS1</x:v>
      </x:c>
      <x:c r="E5316" s="36" t="n">
        <x:v>250000</x:v>
      </x:c>
      <x:c r="F5316" s="36" t="n">
        <x:v>9555</x:v>
      </x:c>
      <x:c r="G5316" s="42" t="n">
        <x:v>2.0495495495495497</x:v>
      </x:c>
      <x:c r="H5316" s="36" t="n">
        <x:f>E5316*G5316</x:f>
        <x:v>512387.38738738745</x:v>
      </x:c>
      <x:c r="I5316" s="36" t="n">
        <x:f>IFERROR(H5316/A5316,0)</x:f>
        <x:v>56931.93193193194</x:v>
      </x:c>
      <x:c r="J5316" s="67" t="str">
        <x:v>Modeled from live base + Sep-2026 quality ratio</x:v>
      </x:c>
      <x:c r="K5316" s="67" t="str">
        <x:v>https://www.stonealgo.com/diamond-prices/</x:v>
      </x:c>
      <x:c r="L5316" s="67" t="str">
        <x:v>https://www.pricescope.com/blog/natural-diamond-prices-september-2026</x:v>
      </x:c>
    </x:row>
    <x:row r="5317">
      <x:c r="A5317" t="n">
        <x:v>9</x:v>
      </x:c>
      <x:c r="B5317" t="str">
        <x:v>Emerald</x:v>
      </x:c>
      <x:c r="C5317" t="str">
        <x:v>D</x:v>
      </x:c>
      <x:c r="D5317" t="str">
        <x:v>VVS2</x:v>
      </x:c>
      <x:c r="E5317" s="36" t="n">
        <x:v>250000</x:v>
      </x:c>
      <x:c r="F5317" s="36" t="n">
        <x:v>6660</x:v>
      </x:c>
      <x:c r="G5317" s="42" t="n">
        <x:v>1.4285714285714286</x:v>
      </x:c>
      <x:c r="H5317" s="36" t="n">
        <x:f>E5317*G5317</x:f>
        <x:v>357142.85714285716</x:v>
      </x:c>
      <x:c r="I5317" s="36" t="n">
        <x:f>IFERROR(H5317/A5317,0)</x:f>
        <x:v>39682.53968253968</x:v>
      </x:c>
      <x:c r="J5317" s="67" t="str">
        <x:v>Modeled from live base + Sep-2026 quality ratio</x:v>
      </x:c>
      <x:c r="K5317" s="67" t="str">
        <x:v>https://www.stonealgo.com/diamond-prices/</x:v>
      </x:c>
      <x:c r="L5317" s="67" t="str">
        <x:v>https://www.pricescope.com/blog/natural-diamond-prices-september-2026</x:v>
      </x:c>
    </x:row>
    <x:row r="5318">
      <x:c r="A5318" t="n">
        <x:v>9</x:v>
      </x:c>
      <x:c r="B5318" t="str">
        <x:v>Emerald</x:v>
      </x:c>
      <x:c r="C5318" t="str">
        <x:v>D</x:v>
      </x:c>
      <x:c r="D5318" t="str">
        <x:v>VS1</x:v>
      </x:c>
      <x:c r="E5318" s="36" t="n">
        <x:v>250000</x:v>
      </x:c>
      <x:c r="F5318" s="36" t="n">
        <x:v>6247</x:v>
      </x:c>
      <x:c r="G5318" s="42" t="n">
        <x:v>1.33998283998284</x:v>
      </x:c>
      <x:c r="H5318" s="36" t="n">
        <x:f>E5318*G5318</x:f>
        <x:v>334995.70999571</x:v>
      </x:c>
      <x:c r="I5318" s="36" t="n">
        <x:f>IFERROR(H5318/A5318,0)</x:f>
        <x:v>37221.74555507889</x:v>
      </x:c>
      <x:c r="J5318" s="67" t="str">
        <x:v>Modeled from live base + Sep-2026 quality ratio</x:v>
      </x:c>
      <x:c r="K5318" s="67" t="str">
        <x:v>https://www.stonealgo.com/diamond-prices/</x:v>
      </x:c>
      <x:c r="L5318" s="67" t="str">
        <x:v>https://www.pricescope.com/blog/natural-diamond-prices-september-2026</x:v>
      </x:c>
    </x:row>
    <x:row r="5319">
      <x:c r="A5319" t="n">
        <x:v>9</x:v>
      </x:c>
      <x:c r="B5319" t="str">
        <x:v>Emerald</x:v>
      </x:c>
      <x:c r="C5319" t="str">
        <x:v>D</x:v>
      </x:c>
      <x:c r="D5319" t="str">
        <x:v>VS2</x:v>
      </x:c>
      <x:c r="E5319" s="36" t="n">
        <x:v>250000</x:v>
      </x:c>
      <x:c r="F5319" s="36" t="n">
        <x:v>5841</x:v>
      </x:c>
      <x:c r="G5319" s="42" t="n">
        <x:v>1.252895752895753</x:v>
      </x:c>
      <x:c r="H5319" s="36" t="n">
        <x:f>E5319*G5319</x:f>
        <x:v>313223.9382239382</x:v>
      </x:c>
      <x:c r="I5319" s="36" t="n">
        <x:f>IFERROR(H5319/A5319,0)</x:f>
        <x:v>34802.6598026598</x:v>
      </x:c>
      <x:c r="J5319" s="67" t="str">
        <x:v>Modeled from live base + Sep-2026 quality ratio</x:v>
      </x:c>
      <x:c r="K5319" s="67" t="str">
        <x:v>https://www.stonealgo.com/diamond-prices/</x:v>
      </x:c>
      <x:c r="L5319" s="67" t="str">
        <x:v>https://www.pricescope.com/blog/natural-diamond-prices-september-2026</x:v>
      </x:c>
    </x:row>
    <x:row r="5320">
      <x:c r="A5320" t="n">
        <x:v>9</x:v>
      </x:c>
      <x:c r="B5320" t="str">
        <x:v>Emerald</x:v>
      </x:c>
      <x:c r="C5320" t="str">
        <x:v>D</x:v>
      </x:c>
      <x:c r="D5320" t="str">
        <x:v>SI1</x:v>
      </x:c>
      <x:c r="E5320" s="36" t="n">
        <x:v>250000</x:v>
      </x:c>
      <x:c r="F5320" s="36" t="n">
        <x:v>3762</x:v>
      </x:c>
      <x:c r="G5320" s="42" t="n">
        <x:v>0.806949806949807</x:v>
      </x:c>
      <x:c r="H5320" s="36" t="n">
        <x:f>E5320*G5320</x:f>
        <x:v>201737.45173745175</x:v>
      </x:c>
      <x:c r="I5320" s="36" t="n">
        <x:f>IFERROR(H5320/A5320,0)</x:f>
        <x:v>22415.272415272415</x:v>
      </x:c>
      <x:c r="J5320" s="67" t="str">
        <x:v>Modeled from live base + Sep-2026 quality ratio</x:v>
      </x:c>
      <x:c r="K5320" s="67" t="str">
        <x:v>https://www.stonealgo.com/diamond-prices/</x:v>
      </x:c>
      <x:c r="L5320" s="67" t="str">
        <x:v>https://www.pricescope.com/blog/natural-diamond-prices-september-2026</x:v>
      </x:c>
    </x:row>
    <x:row r="5321">
      <x:c r="A5321" t="n">
        <x:v>9</x:v>
      </x:c>
      <x:c r="B5321" t="str">
        <x:v>Emerald</x:v>
      </x:c>
      <x:c r="C5321" t="str">
        <x:v>D</x:v>
      </x:c>
      <x:c r="D5321" t="str">
        <x:v>SI2</x:v>
      </x:c>
      <x:c r="E5321" s="36" t="n">
        <x:v>250000</x:v>
      </x:c>
      <x:c r="F5321" s="36" t="n">
        <x:v>3026</x:v>
      </x:c>
      <x:c r="G5321" s="42" t="n">
        <x:v>0.6490776490776491</x:v>
      </x:c>
      <x:c r="H5321" s="36" t="n">
        <x:f>E5321*G5321</x:f>
        <x:v>162269.41226941228</x:v>
      </x:c>
      <x:c r="I5321" s="36" t="n">
        <x:f>IFERROR(H5321/A5321,0)</x:f>
        <x:v>18029.934696601365</x:v>
      </x:c>
      <x:c r="J5321" s="67" t="str">
        <x:v>Modeled from live base + Sep-2026 quality ratio</x:v>
      </x:c>
      <x:c r="K5321" s="67" t="str">
        <x:v>https://www.stonealgo.com/diamond-prices/</x:v>
      </x:c>
      <x:c r="L5321" s="67" t="str">
        <x:v>https://www.pricescope.com/blog/natural-diamond-prices-september-2026</x:v>
      </x:c>
    </x:row>
    <x:row r="5322">
      <x:c r="A5322" t="n">
        <x:v>9</x:v>
      </x:c>
      <x:c r="B5322" t="str">
        <x:v>Emerald</x:v>
      </x:c>
      <x:c r="C5322" t="str">
        <x:v>E</x:v>
      </x:c>
      <x:c r="D5322" t="str">
        <x:v>FL</x:v>
      </x:c>
      <x:c r="E5322" s="36" t="n">
        <x:v>250000</x:v>
      </x:c>
      <x:c r="F5322" s="36" t="n">
        <x:v>10072</x:v>
      </x:c>
      <x:c r="G5322" s="42" t="n">
        <x:v>2.1604461604461602</x:v>
      </x:c>
      <x:c r="H5322" s="36" t="n">
        <x:f>E5322*G5322</x:f>
        <x:v>540111.54011154</x:v>
      </x:c>
      <x:c r="I5322" s="36" t="n">
        <x:f>IFERROR(H5322/A5322,0)</x:f>
        <x:v>60012.39334572667</x:v>
      </x:c>
      <x:c r="J5322" s="67" t="str">
        <x:v>Modeled from live base + Sep-2026 quality ratio</x:v>
      </x:c>
      <x:c r="K5322" s="67" t="str">
        <x:v>https://www.stonealgo.com/diamond-prices/</x:v>
      </x:c>
      <x:c r="L5322" s="67" t="str">
        <x:v>https://www.pricescope.com/blog/natural-diamond-prices-september-2026</x:v>
      </x:c>
    </x:row>
    <x:row r="5323">
      <x:c r="A5323" t="n">
        <x:v>9</x:v>
      </x:c>
      <x:c r="B5323" t="str">
        <x:v>Emerald</x:v>
      </x:c>
      <x:c r="C5323" t="str">
        <x:v>E</x:v>
      </x:c>
      <x:c r="D5323" t="str">
        <x:v>IF</x:v>
      </x:c>
      <x:c r="E5323" s="36" t="n">
        <x:v>250000</x:v>
      </x:c>
      <x:c r="F5323" s="36" t="n">
        <x:v>8672</x:v>
      </x:c>
      <x:c r="G5323" s="42" t="n">
        <x:v>1.8601458601458603</x:v>
      </x:c>
      <x:c r="H5323" s="36" t="n">
        <x:f>E5323*G5323</x:f>
        <x:v>465036.4650364651</x:v>
      </x:c>
      <x:c r="I5323" s="36" t="n">
        <x:f>IFERROR(H5323/A5323,0)</x:f>
        <x:v>51670.71833738501</x:v>
      </x:c>
      <x:c r="J5323" s="67" t="str">
        <x:v>Modeled from live base + Sep-2026 quality ratio</x:v>
      </x:c>
      <x:c r="K5323" s="67" t="str">
        <x:v>https://www.stonealgo.com/diamond-prices/</x:v>
      </x:c>
      <x:c r="L5323" s="67" t="str">
        <x:v>https://www.pricescope.com/blog/natural-diamond-prices-september-2026</x:v>
      </x:c>
    </x:row>
    <x:row r="5324">
      <x:c r="A5324" t="n">
        <x:v>9</x:v>
      </x:c>
      <x:c r="B5324" t="str">
        <x:v>Emerald</x:v>
      </x:c>
      <x:c r="C5324" t="str">
        <x:v>E</x:v>
      </x:c>
      <x:c r="D5324" t="str">
        <x:v>VVS1</x:v>
      </x:c>
      <x:c r="E5324" s="36" t="n">
        <x:v>250000</x:v>
      </x:c>
      <x:c r="F5324" s="36" t="n">
        <x:v>7842</x:v>
      </x:c>
      <x:c r="G5324" s="42" t="n">
        <x:v>1.6821106821106822</x:v>
      </x:c>
      <x:c r="H5324" s="36" t="n">
        <x:f>E5324*G5324</x:f>
        <x:v>420527.67052767053</x:v>
      </x:c>
      <x:c r="I5324" s="36" t="n">
        <x:f>IFERROR(H5324/A5324,0)</x:f>
        <x:v>46725.29672529673</x:v>
      </x:c>
      <x:c r="J5324" s="67" t="str">
        <x:v>Modeled from live base + Sep-2026 quality ratio</x:v>
      </x:c>
      <x:c r="K5324" s="67" t="str">
        <x:v>https://www.stonealgo.com/diamond-prices/</x:v>
      </x:c>
      <x:c r="L5324" s="67" t="str">
        <x:v>https://www.pricescope.com/blog/natural-diamond-prices-september-2026</x:v>
      </x:c>
    </x:row>
    <x:row r="5325">
      <x:c r="A5325" t="n">
        <x:v>9</x:v>
      </x:c>
      <x:c r="B5325" t="str">
        <x:v>Emerald</x:v>
      </x:c>
      <x:c r="C5325" t="str">
        <x:v>E</x:v>
      </x:c>
      <x:c r="D5325" t="str">
        <x:v>VVS2</x:v>
      </x:c>
      <x:c r="E5325" s="36" t="n">
        <x:v>250000</x:v>
      </x:c>
      <x:c r="F5325" s="36" t="n">
        <x:v>6880</x:v>
      </x:c>
      <x:c r="G5325" s="42" t="n">
        <x:v>1.4757614757614759</x:v>
      </x:c>
      <x:c r="H5325" s="36" t="n">
        <x:f>E5325*G5325</x:f>
        <x:v>368940.368940369</x:v>
      </x:c>
      <x:c r="I5325" s="36" t="n">
        <x:f>IFERROR(H5325/A5325,0)</x:f>
        <x:v>40993.374326707664</x:v>
      </x:c>
      <x:c r="J5325" s="67" t="str">
        <x:v>Modeled from live base + Sep-2026 quality ratio</x:v>
      </x:c>
      <x:c r="K5325" s="67" t="str">
        <x:v>https://www.stonealgo.com/diamond-prices/</x:v>
      </x:c>
      <x:c r="L5325" s="67" t="str">
        <x:v>https://www.pricescope.com/blog/natural-diamond-prices-september-2026</x:v>
      </x:c>
    </x:row>
    <x:row r="5326">
      <x:c r="A5326" t="n">
        <x:v>9</x:v>
      </x:c>
      <x:c r="B5326" t="str">
        <x:v>Emerald</x:v>
      </x:c>
      <x:c r="C5326" t="str">
        <x:v>E</x:v>
      </x:c>
      <x:c r="D5326" t="str">
        <x:v>VS1</x:v>
      </x:c>
      <x:c r="E5326" s="36" t="n">
        <x:v>250000</x:v>
      </x:c>
      <x:c r="F5326" s="36" t="n">
        <x:v>6307</x:v>
      </x:c>
      <x:c r="G5326" s="42" t="n">
        <x:v>1.352852852852853</x:v>
      </x:c>
      <x:c r="H5326" s="36" t="n">
        <x:f>E5326*G5326</x:f>
        <x:v>338213.21321321325</x:v>
      </x:c>
      <x:c r="I5326" s="36" t="n">
        <x:f>IFERROR(H5326/A5326,0)</x:f>
        <x:v>37579.24591257925</x:v>
      </x:c>
      <x:c r="J5326" s="67" t="str">
        <x:v>Modeled from live base + Sep-2026 quality ratio</x:v>
      </x:c>
      <x:c r="K5326" s="67" t="str">
        <x:v>https://www.stonealgo.com/diamond-prices/</x:v>
      </x:c>
      <x:c r="L5326" s="67" t="str">
        <x:v>https://www.pricescope.com/blog/natural-diamond-prices-september-2026</x:v>
      </x:c>
    </x:row>
    <x:row r="5327">
      <x:c r="A5327" t="n">
        <x:v>9</x:v>
      </x:c>
      <x:c r="B5327" t="str">
        <x:v>Emerald</x:v>
      </x:c>
      <x:c r="C5327" t="str">
        <x:v>E</x:v>
      </x:c>
      <x:c r="D5327" t="str">
        <x:v>VS2</x:v>
      </x:c>
      <x:c r="E5327" s="36" t="n">
        <x:v>250000</x:v>
      </x:c>
      <x:c r="F5327" s="36" t="n">
        <x:v>5249</x:v>
      </x:c>
      <x:c r="G5327" s="42" t="n">
        <x:v>1.125911625911626</x:v>
      </x:c>
      <x:c r="H5327" s="36" t="n">
        <x:f>E5327*G5327</x:f>
        <x:v>281477.9064779065</x:v>
      </x:c>
      <x:c r="I5327" s="36" t="n">
        <x:f>IFERROR(H5327/A5327,0)</x:f>
        <x:v>31275.322941989612</x:v>
      </x:c>
      <x:c r="J5327" s="67" t="str">
        <x:v>Modeled from live base + Sep-2026 quality ratio</x:v>
      </x:c>
      <x:c r="K5327" s="67" t="str">
        <x:v>https://www.stonealgo.com/diamond-prices/</x:v>
      </x:c>
      <x:c r="L5327" s="67" t="str">
        <x:v>https://www.pricescope.com/blog/natural-diamond-prices-september-2026</x:v>
      </x:c>
    </x:row>
    <x:row r="5328">
      <x:c r="A5328" t="n">
        <x:v>9</x:v>
      </x:c>
      <x:c r="B5328" t="str">
        <x:v>Emerald</x:v>
      </x:c>
      <x:c r="C5328" t="str">
        <x:v>E</x:v>
      </x:c>
      <x:c r="D5328" t="str">
        <x:v>SI1</x:v>
      </x:c>
      <x:c r="E5328" s="36" t="n">
        <x:v>250000</x:v>
      </x:c>
      <x:c r="F5328" s="36" t="n">
        <x:v>3551</x:v>
      </x:c>
      <x:c r="G5328" s="42" t="n">
        <x:v>0.7616902616902617</x:v>
      </x:c>
      <x:c r="H5328" s="36" t="n">
        <x:f>E5328*G5328</x:f>
        <x:v>190422.5654225654</x:v>
      </x:c>
      <x:c r="I5328" s="36" t="n">
        <x:f>IFERROR(H5328/A5328,0)</x:f>
        <x:v>21158.06282472949</x:v>
      </x:c>
      <x:c r="J5328" s="67" t="str">
        <x:v>Modeled from live base + Sep-2026 quality ratio</x:v>
      </x:c>
      <x:c r="K5328" s="67" t="str">
        <x:v>https://www.stonealgo.com/diamond-prices/</x:v>
      </x:c>
      <x:c r="L5328" s="67" t="str">
        <x:v>https://www.pricescope.com/blog/natural-diamond-prices-september-2026</x:v>
      </x:c>
    </x:row>
    <x:row r="5329">
      <x:c r="A5329" t="n">
        <x:v>9</x:v>
      </x:c>
      <x:c r="B5329" t="str">
        <x:v>Emerald</x:v>
      </x:c>
      <x:c r="C5329" t="str">
        <x:v>E</x:v>
      </x:c>
      <x:c r="D5329" t="str">
        <x:v>SI2</x:v>
      </x:c>
      <x:c r="E5329" s="36" t="n">
        <x:v>250000</x:v>
      </x:c>
      <x:c r="F5329" s="36" t="n">
        <x:v>2993</x:v>
      </x:c>
      <x:c r="G5329" s="42" t="n">
        <x:v>0.641999141999142</x:v>
      </x:c>
      <x:c r="H5329" s="36" t="n">
        <x:f>E5329*G5329</x:f>
        <x:v>160499.7854997855</x:v>
      </x:c>
      <x:c r="I5329" s="36" t="n">
        <x:f>IFERROR(H5329/A5329,0)</x:f>
        <x:v>17833.309499976167</x:v>
      </x:c>
      <x:c r="J5329" s="67" t="str">
        <x:v>Modeled from live base + Sep-2026 quality ratio</x:v>
      </x:c>
      <x:c r="K5329" s="67" t="str">
        <x:v>https://www.stonealgo.com/diamond-prices/</x:v>
      </x:c>
      <x:c r="L5329" s="67" t="str">
        <x:v>https://www.pricescope.com/blog/natural-diamond-prices-september-2026</x:v>
      </x:c>
    </x:row>
    <x:row r="5330">
      <x:c r="A5330" t="n">
        <x:v>9</x:v>
      </x:c>
      <x:c r="B5330" t="str">
        <x:v>Emerald</x:v>
      </x:c>
      <x:c r="C5330" t="str">
        <x:v>F</x:v>
      </x:c>
      <x:c r="D5330" t="str">
        <x:v>FL</x:v>
      </x:c>
      <x:c r="E5330" s="36" t="n">
        <x:v>250000</x:v>
      </x:c>
      <x:c r="F5330" s="36" t="n">
        <x:v>6830</x:v>
      </x:c>
      <x:c r="G5330" s="42" t="n">
        <x:v>1.4650364650364651</x:v>
      </x:c>
      <x:c r="H5330" s="36" t="n">
        <x:f>E5330*G5330</x:f>
        <x:v>366259.1162591163</x:v>
      </x:c>
      <x:c r="I5330" s="36" t="n">
        <x:f>IFERROR(H5330/A5330,0)</x:f>
        <x:v>40695.45736212403</x:v>
      </x:c>
      <x:c r="J5330" s="67" t="str">
        <x:v>Modeled from live base + Sep-2026 quality ratio</x:v>
      </x:c>
      <x:c r="K5330" s="67" t="str">
        <x:v>https://www.stonealgo.com/diamond-prices/</x:v>
      </x:c>
      <x:c r="L5330" s="67" t="str">
        <x:v>https://www.pricescope.com/blog/natural-diamond-prices-september-2026</x:v>
      </x:c>
    </x:row>
    <x:row r="5331">
      <x:c r="A5331" t="n">
        <x:v>9</x:v>
      </x:c>
      <x:c r="B5331" t="str">
        <x:v>Emerald</x:v>
      </x:c>
      <x:c r="C5331" t="str">
        <x:v>F</x:v>
      </x:c>
      <x:c r="D5331" t="str">
        <x:v>IF</x:v>
      </x:c>
      <x:c r="E5331" s="36" t="n">
        <x:v>250000</x:v>
      </x:c>
      <x:c r="F5331" s="36" t="n">
        <x:v>7302</x:v>
      </x:c>
      <x:c r="G5331" s="42" t="n">
        <x:v>1.5662805662805663</x:v>
      </x:c>
      <x:c r="H5331" s="36" t="n">
        <x:f>E5331*G5331</x:f>
        <x:v>391570.1415701416</x:v>
      </x:c>
      <x:c r="I5331" s="36" t="n">
        <x:f>IFERROR(H5331/A5331,0)</x:f>
        <x:v>43507.79350779351</x:v>
      </x:c>
      <x:c r="J5331" s="67" t="str">
        <x:v>Modeled from live base + Sep-2026 quality ratio</x:v>
      </x:c>
      <x:c r="K5331" s="67" t="str">
        <x:v>https://www.stonealgo.com/diamond-prices/</x:v>
      </x:c>
      <x:c r="L5331" s="67" t="str">
        <x:v>https://www.pricescope.com/blog/natural-diamond-prices-september-2026</x:v>
      </x:c>
    </x:row>
    <x:row r="5332">
      <x:c r="A5332" t="n">
        <x:v>9</x:v>
      </x:c>
      <x:c r="B5332" t="str">
        <x:v>Emerald</x:v>
      </x:c>
      <x:c r="C5332" t="str">
        <x:v>F</x:v>
      </x:c>
      <x:c r="D5332" t="str">
        <x:v>VVS1</x:v>
      </x:c>
      <x:c r="E5332" s="36" t="n">
        <x:v>250000</x:v>
      </x:c>
      <x:c r="F5332" s="36" t="n">
        <x:v>7542</x:v>
      </x:c>
      <x:c r="G5332" s="42" t="n">
        <x:v>1.6177606177606179</x:v>
      </x:c>
      <x:c r="H5332" s="36" t="n">
        <x:f>E5332*G5332</x:f>
        <x:v>404440.15444015444</x:v>
      </x:c>
      <x:c r="I5332" s="36" t="n">
        <x:f>IFERROR(H5332/A5332,0)</x:f>
        <x:v>44937.79493779494</x:v>
      </x:c>
      <x:c r="J5332" s="67" t="str">
        <x:v>Modeled from live base + Sep-2026 quality ratio</x:v>
      </x:c>
      <x:c r="K5332" s="67" t="str">
        <x:v>https://www.stonealgo.com/diamond-prices/</x:v>
      </x:c>
      <x:c r="L5332" s="67" t="str">
        <x:v>https://www.pricescope.com/blog/natural-diamond-prices-september-2026</x:v>
      </x:c>
    </x:row>
    <x:row r="5333">
      <x:c r="A5333" t="n">
        <x:v>9</x:v>
      </x:c>
      <x:c r="B5333" t="str">
        <x:v>Emerald</x:v>
      </x:c>
      <x:c r="C5333" t="str">
        <x:v>F</x:v>
      </x:c>
      <x:c r="D5333" t="str">
        <x:v>VVS2</x:v>
      </x:c>
      <x:c r="E5333" s="36" t="n">
        <x:v>250000</x:v>
      </x:c>
      <x:c r="F5333" s="36" t="n">
        <x:v>6352</x:v>
      </x:c>
      <x:c r="G5333" s="42" t="n">
        <x:v>1.3625053625053625</x:v>
      </x:c>
      <x:c r="H5333" s="36" t="n">
        <x:f>E5333*G5333</x:f>
        <x:v>340626.3406263406</x:v>
      </x:c>
      <x:c r="I5333" s="36" t="n">
        <x:f>IFERROR(H5333/A5333,0)</x:f>
        <x:v>37847.37118070451</x:v>
      </x:c>
      <x:c r="J5333" s="67" t="str">
        <x:v>Modeled from live base + Sep-2026 quality ratio</x:v>
      </x:c>
      <x:c r="K5333" s="67" t="str">
        <x:v>https://www.stonealgo.com/diamond-prices/</x:v>
      </x:c>
      <x:c r="L5333" s="67" t="str">
        <x:v>https://www.pricescope.com/blog/natural-diamond-prices-september-2026</x:v>
      </x:c>
    </x:row>
    <x:row r="5334">
      <x:c r="A5334" t="n">
        <x:v>9</x:v>
      </x:c>
      <x:c r="B5334" t="str">
        <x:v>Emerald</x:v>
      </x:c>
      <x:c r="C5334" t="str">
        <x:v>F</x:v>
      </x:c>
      <x:c r="D5334" t="str">
        <x:v>VS1</x:v>
      </x:c>
      <x:c r="E5334" s="36" t="n">
        <x:v>250000</x:v>
      </x:c>
      <x:c r="F5334" s="36" t="n">
        <x:v>5647</x:v>
      </x:c>
      <x:c r="G5334" s="42" t="n">
        <x:v>1.2112827112827114</x:v>
      </x:c>
      <x:c r="H5334" s="36" t="n">
        <x:f>E5334*G5334</x:f>
        <x:v>302820.67782067787</x:v>
      </x:c>
      <x:c r="I5334" s="36" t="n">
        <x:f>IFERROR(H5334/A5334,0)</x:f>
        <x:v>33646.74198007532</x:v>
      </x:c>
      <x:c r="J5334" s="67" t="str">
        <x:v>Modeled from live base + Sep-2026 quality ratio</x:v>
      </x:c>
      <x:c r="K5334" s="67" t="str">
        <x:v>https://www.stonealgo.com/diamond-prices/</x:v>
      </x:c>
      <x:c r="L5334" s="67" t="str">
        <x:v>https://www.pricescope.com/blog/natural-diamond-prices-september-2026</x:v>
      </x:c>
    </x:row>
    <x:row r="5335">
      <x:c r="A5335" t="n">
        <x:v>9</x:v>
      </x:c>
      <x:c r="B5335" t="str">
        <x:v>Emerald</x:v>
      </x:c>
      <x:c r="C5335" t="str">
        <x:v>F</x:v>
      </x:c>
      <x:c r="D5335" t="str">
        <x:v>VS2</x:v>
      </x:c>
      <x:c r="E5335" s="36" t="n">
        <x:v>250000</x:v>
      </x:c>
      <x:c r="F5335" s="36" t="n">
        <x:v>4730</x:v>
      </x:c>
      <x:c r="G5335" s="42" t="n">
        <x:v>1.0145860145860146</x:v>
      </x:c>
      <x:c r="H5335" s="36" t="n">
        <x:f>E5335*G5335</x:f>
        <x:v>253646.50364650364</x:v>
      </x:c>
      <x:c r="I5335" s="36" t="n">
        <x:f>IFERROR(H5335/A5335,0)</x:f>
        <x:v>28182.944849611515</x:v>
      </x:c>
      <x:c r="J5335" s="67" t="str">
        <x:v>Modeled from live base + Sep-2026 quality ratio</x:v>
      </x:c>
      <x:c r="K5335" s="67" t="str">
        <x:v>https://www.stonealgo.com/diamond-prices/</x:v>
      </x:c>
      <x:c r="L5335" s="67" t="str">
        <x:v>https://www.pricescope.com/blog/natural-diamond-prices-september-2026</x:v>
      </x:c>
    </x:row>
    <x:row r="5336">
      <x:c r="A5336" t="n">
        <x:v>9</x:v>
      </x:c>
      <x:c r="B5336" t="str">
        <x:v>Emerald</x:v>
      </x:c>
      <x:c r="C5336" t="str">
        <x:v>F</x:v>
      </x:c>
      <x:c r="D5336" t="str">
        <x:v>SI1</x:v>
      </x:c>
      <x:c r="E5336" s="36" t="n">
        <x:v>250000</x:v>
      </x:c>
      <x:c r="F5336" s="36" t="n">
        <x:v>3331</x:v>
      </x:c>
      <x:c r="G5336" s="42" t="n">
        <x:v>0.7145002145002145</x:v>
      </x:c>
      <x:c r="H5336" s="36" t="n">
        <x:f>E5336*G5336</x:f>
        <x:v>178625.05362505364</x:v>
      </x:c>
      <x:c r="I5336" s="36" t="n">
        <x:f>IFERROR(H5336/A5336,0)</x:f>
        <x:v>19847.228180561517</x:v>
      </x:c>
      <x:c r="J5336" s="67" t="str">
        <x:v>Modeled from live base + Sep-2026 quality ratio</x:v>
      </x:c>
      <x:c r="K5336" s="67" t="str">
        <x:v>https://www.stonealgo.com/diamond-prices/</x:v>
      </x:c>
      <x:c r="L5336" s="67" t="str">
        <x:v>https://www.pricescope.com/blog/natural-diamond-prices-september-2026</x:v>
      </x:c>
    </x:row>
    <x:row r="5337">
      <x:c r="A5337" t="n">
        <x:v>9</x:v>
      </x:c>
      <x:c r="B5337" t="str">
        <x:v>Emerald</x:v>
      </x:c>
      <x:c r="C5337" t="str">
        <x:v>F</x:v>
      </x:c>
      <x:c r="D5337" t="str">
        <x:v>SI2</x:v>
      </x:c>
      <x:c r="E5337" s="36" t="n">
        <x:v>250000</x:v>
      </x:c>
      <x:c r="F5337" s="36" t="n">
        <x:v>2733</x:v>
      </x:c>
      <x:c r="G5337" s="42" t="n">
        <x:v>0.5862290862290862</x:v>
      </x:c>
      <x:c r="H5337" s="36" t="n">
        <x:f>E5337*G5337</x:f>
        <x:v>146557.27155727154</x:v>
      </x:c>
      <x:c r="I5337" s="36" t="n">
        <x:f>IFERROR(H5337/A5337,0)</x:f>
        <x:v>16284.141284141282</x:v>
      </x:c>
      <x:c r="J5337" s="67" t="str">
        <x:v>Modeled from live base + Sep-2026 quality ratio</x:v>
      </x:c>
      <x:c r="K5337" s="67" t="str">
        <x:v>https://www.stonealgo.com/diamond-prices/</x:v>
      </x:c>
      <x:c r="L5337" s="67" t="str">
        <x:v>https://www.pricescope.com/blog/natural-diamond-prices-september-2026</x:v>
      </x:c>
    </x:row>
    <x:row r="5338">
      <x:c r="A5338" t="n">
        <x:v>9</x:v>
      </x:c>
      <x:c r="B5338" t="str">
        <x:v>Emerald</x:v>
      </x:c>
      <x:c r="C5338" t="str">
        <x:v>G</x:v>
      </x:c>
      <x:c r="D5338" t="str">
        <x:v>FL</x:v>
      </x:c>
      <x:c r="E5338" s="36" t="n">
        <x:v>250000</x:v>
      </x:c>
      <x:c r="F5338" s="36" t="n">
        <x:v>5905</x:v>
      </x:c>
      <x:c r="G5338" s="42" t="n">
        <x:v>1.2666237666237665</x:v>
      </x:c>
      <x:c r="H5338" s="36" t="n">
        <x:f>E5338*G5338</x:f>
        <x:v>316655.94165594166</x:v>
      </x:c>
      <x:c r="I5338" s="36" t="n">
        <x:f>IFERROR(H5338/A5338,0)</x:f>
        <x:v>35183.99351732685</x:v>
      </x:c>
      <x:c r="J5338" s="67" t="str">
        <x:v>Modeled from live base + Sep-2026 quality ratio</x:v>
      </x:c>
      <x:c r="K5338" s="67" t="str">
        <x:v>https://www.stonealgo.com/diamond-prices/</x:v>
      </x:c>
      <x:c r="L5338" s="67" t="str">
        <x:v>https://www.pricescope.com/blog/natural-diamond-prices-september-2026</x:v>
      </x:c>
    </x:row>
    <x:row r="5339">
      <x:c r="A5339" t="n">
        <x:v>9</x:v>
      </x:c>
      <x:c r="B5339" t="str">
        <x:v>Emerald</x:v>
      </x:c>
      <x:c r="C5339" t="str">
        <x:v>G</x:v>
      </x:c>
      <x:c r="D5339" t="str">
        <x:v>IF</x:v>
      </x:c>
      <x:c r="E5339" s="36" t="n">
        <x:v>250000</x:v>
      </x:c>
      <x:c r="F5339" s="36" t="n">
        <x:v>5601</x:v>
      </x:c>
      <x:c r="G5339" s="42" t="n">
        <x:v>1.2014157014157014</x:v>
      </x:c>
      <x:c r="H5339" s="36" t="n">
        <x:f>E5339*G5339</x:f>
        <x:v>300353.9253539254</x:v>
      </x:c>
      <x:c r="I5339" s="36" t="n">
        <x:f>IFERROR(H5339/A5339,0)</x:f>
        <x:v>33372.65837265838</x:v>
      </x:c>
      <x:c r="J5339" s="67" t="str">
        <x:v>Modeled from live base + Sep-2026 quality ratio</x:v>
      </x:c>
      <x:c r="K5339" s="67" t="str">
        <x:v>https://www.stonealgo.com/diamond-prices/</x:v>
      </x:c>
      <x:c r="L5339" s="67" t="str">
        <x:v>https://www.pricescope.com/blog/natural-diamond-prices-september-2026</x:v>
      </x:c>
    </x:row>
    <x:row r="5340">
      <x:c r="A5340" t="n">
        <x:v>9</x:v>
      </x:c>
      <x:c r="B5340" t="str">
        <x:v>Emerald</x:v>
      </x:c>
      <x:c r="C5340" t="str">
        <x:v>G</x:v>
      </x:c>
      <x:c r="D5340" t="str">
        <x:v>VVS1</x:v>
      </x:c>
      <x:c r="E5340" s="36" t="n">
        <x:v>250000</x:v>
      </x:c>
      <x:c r="F5340" s="36" t="n">
        <x:v>5124</x:v>
      </x:c>
      <x:c r="G5340" s="42" t="n">
        <x:v>1.0990990990990992</x:v>
      </x:c>
      <x:c r="H5340" s="36" t="n">
        <x:f>E5340*G5340</x:f>
        <x:v>274774.7747747748</x:v>
      </x:c>
      <x:c r="I5340" s="36" t="n">
        <x:f>IFERROR(H5340/A5340,0)</x:f>
        <x:v>30530.530530530534</x:v>
      </x:c>
      <x:c r="J5340" s="67" t="str">
        <x:v>Modeled from live base + Sep-2026 quality ratio</x:v>
      </x:c>
      <x:c r="K5340" s="67" t="str">
        <x:v>https://www.stonealgo.com/diamond-prices/</x:v>
      </x:c>
      <x:c r="L5340" s="67" t="str">
        <x:v>https://www.pricescope.com/blog/natural-diamond-prices-september-2026</x:v>
      </x:c>
    </x:row>
    <x:row r="5341">
      <x:c r="A5341" t="n">
        <x:v>9</x:v>
      </x:c>
      <x:c r="B5341" t="str">
        <x:v>Emerald</x:v>
      </x:c>
      <x:c r="C5341" t="str">
        <x:v>G</x:v>
      </x:c>
      <x:c r="D5341" t="str">
        <x:v>VVS2</x:v>
      </x:c>
      <x:c r="E5341" s="36" t="n">
        <x:v>250000</x:v>
      </x:c>
      <x:c r="F5341" s="36" t="n">
        <x:v>4962</x:v>
      </x:c>
      <x:c r="G5341" s="42" t="n">
        <x:v>1.0643500643500643</x:v>
      </x:c>
      <x:c r="H5341" s="36" t="n">
        <x:f>E5341*G5341</x:f>
        <x:v>266087.5160875161</x:v>
      </x:c>
      <x:c r="I5341" s="36" t="n">
        <x:f>IFERROR(H5341/A5341,0)</x:f>
        <x:v>29565.279565279565</x:v>
      </x:c>
      <x:c r="J5341" s="67" t="str">
        <x:v>Modeled from live base + Sep-2026 quality ratio</x:v>
      </x:c>
      <x:c r="K5341" s="67" t="str">
        <x:v>https://www.stonealgo.com/diamond-prices/</x:v>
      </x:c>
      <x:c r="L5341" s="67" t="str">
        <x:v>https://www.pricescope.com/blog/natural-diamond-prices-september-2026</x:v>
      </x:c>
    </x:row>
    <x:row r="5342">
      <x:c r="A5342" t="n">
        <x:v>9</x:v>
      </x:c>
      <x:c r="B5342" t="str">
        <x:v>Emerald</x:v>
      </x:c>
      <x:c r="C5342" t="str">
        <x:v>G</x:v>
      </x:c>
      <x:c r="D5342" t="str">
        <x:v>VS1</x:v>
      </x:c>
      <x:c r="E5342" s="36" t="n">
        <x:v>250000</x:v>
      </x:c>
      <x:c r="F5342" s="36" t="n">
        <x:v>4615</x:v>
      </x:c>
      <x:c r="G5342" s="42" t="n">
        <x:v>0.98991848991849</x:v>
      </x:c>
      <x:c r="H5342" s="36" t="n">
        <x:f>E5342*G5342</x:f>
        <x:v>247479.62247962249</x:v>
      </x:c>
      <x:c r="I5342" s="36" t="n">
        <x:f>IFERROR(H5342/A5342,0)</x:f>
        <x:v>27497.735831069163</x:v>
      </x:c>
      <x:c r="J5342" s="67" t="str">
        <x:v>Modeled from live base + Sep-2026 quality ratio</x:v>
      </x:c>
      <x:c r="K5342" s="67" t="str">
        <x:v>https://www.stonealgo.com/diamond-prices/</x:v>
      </x:c>
      <x:c r="L5342" s="67" t="str">
        <x:v>https://www.pricescope.com/blog/natural-diamond-prices-september-2026</x:v>
      </x:c>
    </x:row>
    <x:row r="5343">
      <x:c r="A5343" t="n">
        <x:v>9</x:v>
      </x:c>
      <x:c r="B5343" t="str">
        <x:v>Emerald</x:v>
      </x:c>
      <x:c r="C5343" t="str">
        <x:v>G</x:v>
      </x:c>
      <x:c r="D5343" t="str">
        <x:v>VS2</x:v>
      </x:c>
      <x:c r="E5343" s="36" t="n">
        <x:v>250000</x:v>
      </x:c>
      <x:c r="F5343" s="36" t="n">
        <x:v>4585</x:v>
      </x:c>
      <x:c r="G5343" s="42" t="n">
        <x:v>0.9834834834834835</x:v>
      </x:c>
      <x:c r="H5343" s="36" t="n">
        <x:f>E5343*G5343</x:f>
        <x:v>245870.87087087086</x:v>
      </x:c>
      <x:c r="I5343" s="36" t="n">
        <x:f>IFERROR(H5343/A5343,0)</x:f>
        <x:v>27318.985652318985</x:v>
      </x:c>
      <x:c r="J5343" s="67" t="str">
        <x:v>Modeled from live base + Sep-2026 quality ratio</x:v>
      </x:c>
      <x:c r="K5343" s="67" t="str">
        <x:v>https://www.stonealgo.com/diamond-prices/</x:v>
      </x:c>
      <x:c r="L5343" s="67" t="str">
        <x:v>https://www.pricescope.com/blog/natural-diamond-prices-september-2026</x:v>
      </x:c>
    </x:row>
    <x:row r="5344">
      <x:c r="A5344" t="n">
        <x:v>9</x:v>
      </x:c>
      <x:c r="B5344" t="str">
        <x:v>Emerald</x:v>
      </x:c>
      <x:c r="C5344" t="str">
        <x:v>G</x:v>
      </x:c>
      <x:c r="D5344" t="str">
        <x:v>SI1</x:v>
      </x:c>
      <x:c r="E5344" s="36" t="n">
        <x:v>250000</x:v>
      </x:c>
      <x:c r="F5344" s="36" t="n">
        <x:v>3664</x:v>
      </x:c>
      <x:c r="G5344" s="42" t="n">
        <x:v>0.7859287859287859</x:v>
      </x:c>
      <x:c r="H5344" s="36" t="n">
        <x:f>E5344*G5344</x:f>
        <x:v>196482.19648219648</x:v>
      </x:c>
      <x:c r="I5344" s="36" t="n">
        <x:f>IFERROR(H5344/A5344,0)</x:f>
        <x:v>21831.3551646885</x:v>
      </x:c>
      <x:c r="J5344" s="67" t="str">
        <x:v>Modeled from live base + Sep-2026 quality ratio</x:v>
      </x:c>
      <x:c r="K5344" s="67" t="str">
        <x:v>https://www.stonealgo.com/diamond-prices/</x:v>
      </x:c>
      <x:c r="L5344" s="67" t="str">
        <x:v>https://www.pricescope.com/blog/natural-diamond-prices-september-2026</x:v>
      </x:c>
    </x:row>
    <x:row r="5345">
      <x:c r="A5345" t="n">
        <x:v>9</x:v>
      </x:c>
      <x:c r="B5345" t="str">
        <x:v>Emerald</x:v>
      </x:c>
      <x:c r="C5345" t="str">
        <x:v>G</x:v>
      </x:c>
      <x:c r="D5345" t="str">
        <x:v>SI2</x:v>
      </x:c>
      <x:c r="E5345" s="36" t="n">
        <x:v>250000</x:v>
      </x:c>
      <x:c r="F5345" s="36" t="n">
        <x:v>2537</x:v>
      </x:c>
      <x:c r="G5345" s="42" t="n">
        <x:v>0.5441870441870442</x:v>
      </x:c>
      <x:c r="H5345" s="36" t="n">
        <x:f>E5345*G5345</x:f>
        <x:v>136046.76104676106</x:v>
      </x:c>
      <x:c r="I5345" s="36" t="n">
        <x:f>IFERROR(H5345/A5345,0)</x:f>
        <x:v>15116.306782973452</x:v>
      </x:c>
      <x:c r="J5345" s="67" t="str">
        <x:v>Modeled from live base + Sep-2026 quality ratio</x:v>
      </x:c>
      <x:c r="K5345" s="67" t="str">
        <x:v>https://www.stonealgo.com/diamond-prices/</x:v>
      </x:c>
      <x:c r="L5345" s="67" t="str">
        <x:v>https://www.pricescope.com/blog/natural-diamond-prices-september-2026</x:v>
      </x:c>
    </x:row>
    <x:row r="5346">
      <x:c r="A5346" t="n">
        <x:v>9</x:v>
      </x:c>
      <x:c r="B5346" t="str">
        <x:v>Emerald</x:v>
      </x:c>
      <x:c r="C5346" t="str">
        <x:v>H</x:v>
      </x:c>
      <x:c r="D5346" t="str">
        <x:v>FL</x:v>
      </x:c>
      <x:c r="E5346" s="36" t="n">
        <x:v>250000</x:v>
      </x:c>
      <x:c r="F5346" s="36" t="n">
        <x:v>4563</x:v>
      </x:c>
      <x:c r="G5346" s="42" t="n">
        <x:v>0.9787644787644788</x:v>
      </x:c>
      <x:c r="H5346" s="36" t="n">
        <x:f>E5346*G5346</x:f>
        <x:v>244691.1196911197</x:v>
      </x:c>
      <x:c r="I5346" s="36" t="n">
        <x:f>IFERROR(H5346/A5346,0)</x:f>
        <x:v>27187.90218790219</x:v>
      </x:c>
      <x:c r="J5346" s="67" t="str">
        <x:v>Modeled from live base + Sep-2026 quality ratio</x:v>
      </x:c>
      <x:c r="K5346" s="67" t="str">
        <x:v>https://www.stonealgo.com/diamond-prices/</x:v>
      </x:c>
      <x:c r="L5346" s="67" t="str">
        <x:v>https://www.pricescope.com/blog/natural-diamond-prices-september-2026</x:v>
      </x:c>
    </x:row>
    <x:row r="5347">
      <x:c r="A5347" t="n">
        <x:v>9</x:v>
      </x:c>
      <x:c r="B5347" t="str">
        <x:v>Emerald</x:v>
      </x:c>
      <x:c r="C5347" t="str">
        <x:v>H</x:v>
      </x:c>
      <x:c r="D5347" t="str">
        <x:v>IF</x:v>
      </x:c>
      <x:c r="E5347" s="36" t="n">
        <x:v>250000</x:v>
      </x:c>
      <x:c r="F5347" s="36" t="n">
        <x:v>4809</x:v>
      </x:c>
      <x:c r="G5347" s="42" t="n">
        <x:v>1.0315315315315314</x:v>
      </x:c>
      <x:c r="H5347" s="36" t="n">
        <x:f>E5347*G5347</x:f>
        <x:v>257882.88288288287</x:v>
      </x:c>
      <x:c r="I5347" s="36" t="n">
        <x:f>IFERROR(H5347/A5347,0)</x:f>
        <x:v>28653.65365365365</x:v>
      </x:c>
      <x:c r="J5347" s="67" t="str">
        <x:v>Modeled from live base + Sep-2026 quality ratio</x:v>
      </x:c>
      <x:c r="K5347" s="67" t="str">
        <x:v>https://www.stonealgo.com/diamond-prices/</x:v>
      </x:c>
      <x:c r="L5347" s="67" t="str">
        <x:v>https://www.pricescope.com/blog/natural-diamond-prices-september-2026</x:v>
      </x:c>
    </x:row>
    <x:row r="5348">
      <x:c r="A5348" t="n">
        <x:v>9</x:v>
      </x:c>
      <x:c r="B5348" t="str">
        <x:v>Emerald</x:v>
      </x:c>
      <x:c r="C5348" t="str">
        <x:v>H</x:v>
      </x:c>
      <x:c r="D5348" t="str">
        <x:v>VVS1</x:v>
      </x:c>
      <x:c r="E5348" s="36" t="n">
        <x:v>250000</x:v>
      </x:c>
      <x:c r="F5348" s="36" t="n">
        <x:v>4911</x:v>
      </x:c>
      <x:c r="G5348" s="42" t="n">
        <x:v>1.0534105534105533</x:v>
      </x:c>
      <x:c r="H5348" s="36" t="n">
        <x:f>E5348*G5348</x:f>
        <x:v>263352.63835263834</x:v>
      </x:c>
      <x:c r="I5348" s="36" t="n">
        <x:f>IFERROR(H5348/A5348,0)</x:f>
        <x:v>29261.40426140426</x:v>
      </x:c>
      <x:c r="J5348" s="67" t="str">
        <x:v>Modeled from live base + Sep-2026 quality ratio</x:v>
      </x:c>
      <x:c r="K5348" s="67" t="str">
        <x:v>https://www.stonealgo.com/diamond-prices/</x:v>
      </x:c>
      <x:c r="L5348" s="67" t="str">
        <x:v>https://www.pricescope.com/blog/natural-diamond-prices-september-2026</x:v>
      </x:c>
    </x:row>
    <x:row r="5349">
      <x:c r="A5349" t="n">
        <x:v>9</x:v>
      </x:c>
      <x:c r="B5349" t="str">
        <x:v>Emerald</x:v>
      </x:c>
      <x:c r="C5349" t="str">
        <x:v>H</x:v>
      </x:c>
      <x:c r="D5349" t="str">
        <x:v>VVS2</x:v>
      </x:c>
      <x:c r="E5349" s="36" t="n">
        <x:v>250000</x:v>
      </x:c>
      <x:c r="F5349" s="36" t="n">
        <x:v>4046</x:v>
      </x:c>
      <x:c r="G5349" s="42" t="n">
        <x:v>0.8678678678678678</x:v>
      </x:c>
      <x:c r="H5349" s="36" t="n">
        <x:f>E5349*G5349</x:f>
        <x:v>216966.96696696695</x:v>
      </x:c>
      <x:c r="I5349" s="36" t="n">
        <x:f>IFERROR(H5349/A5349,0)</x:f>
        <x:v>24107.44077410744</x:v>
      </x:c>
      <x:c r="J5349" s="67" t="str">
        <x:v>Modeled from live base + Sep-2026 quality ratio</x:v>
      </x:c>
      <x:c r="K5349" s="67" t="str">
        <x:v>https://www.stonealgo.com/diamond-prices/</x:v>
      </x:c>
      <x:c r="L5349" s="67" t="str">
        <x:v>https://www.pricescope.com/blog/natural-diamond-prices-september-2026</x:v>
      </x:c>
    </x:row>
    <x:row r="5350">
      <x:c r="A5350" t="n">
        <x:v>9</x:v>
      </x:c>
      <x:c r="B5350" t="str">
        <x:v>Emerald</x:v>
      </x:c>
      <x:c r="C5350" t="str">
        <x:v>H</x:v>
      </x:c>
      <x:c r="D5350" t="str">
        <x:v>VS1</x:v>
      </x:c>
      <x:c r="E5350" s="36" t="n">
        <x:v>250000</x:v>
      </x:c>
      <x:c r="F5350" s="36" t="n">
        <x:v>3893</x:v>
      </x:c>
      <x:c r="G5350" s="42" t="n">
        <x:v>0.8350493350493351</x:v>
      </x:c>
      <x:c r="H5350" s="36" t="n">
        <x:f>E5350*G5350</x:f>
        <x:v>208762.3337623338</x:v>
      </x:c>
      <x:c r="I5350" s="36" t="n">
        <x:f>IFERROR(H5350/A5350,0)</x:f>
        <x:v>23195.814862481533</x:v>
      </x:c>
      <x:c r="J5350" s="67" t="str">
        <x:v>Modeled from live base + Sep-2026 quality ratio</x:v>
      </x:c>
      <x:c r="K5350" s="67" t="str">
        <x:v>https://www.stonealgo.com/diamond-prices/</x:v>
      </x:c>
      <x:c r="L5350" s="67" t="str">
        <x:v>https://www.pricescope.com/blog/natural-diamond-prices-september-2026</x:v>
      </x:c>
    </x:row>
    <x:row r="5351">
      <x:c r="A5351" t="n">
        <x:v>9</x:v>
      </x:c>
      <x:c r="B5351" t="str">
        <x:v>Emerald</x:v>
      </x:c>
      <x:c r="C5351" t="str">
        <x:v>H</x:v>
      </x:c>
      <x:c r="D5351" t="str">
        <x:v>VS2</x:v>
      </x:c>
      <x:c r="E5351" s="36" t="n">
        <x:v>250000</x:v>
      </x:c>
      <x:c r="F5351" s="36" t="n">
        <x:v>3989</x:v>
      </x:c>
      <x:c r="G5351" s="42" t="n">
        <x:v>0.8556413556413557</x:v>
      </x:c>
      <x:c r="H5351" s="36" t="n">
        <x:f>E5351*G5351</x:f>
        <x:v>213910.33891033893</x:v>
      </x:c>
      <x:c r="I5351" s="36" t="n">
        <x:f>IFERROR(H5351/A5351,0)</x:f>
        <x:v>23767.815434482105</x:v>
      </x:c>
      <x:c r="J5351" s="67" t="str">
        <x:v>Modeled from live base + Sep-2026 quality ratio</x:v>
      </x:c>
      <x:c r="K5351" s="67" t="str">
        <x:v>https://www.stonealgo.com/diamond-prices/</x:v>
      </x:c>
      <x:c r="L5351" s="67" t="str">
        <x:v>https://www.pricescope.com/blog/natural-diamond-prices-september-2026</x:v>
      </x:c>
    </x:row>
    <x:row r="5352">
      <x:c r="A5352" t="n">
        <x:v>9</x:v>
      </x:c>
      <x:c r="B5352" t="str">
        <x:v>Emerald</x:v>
      </x:c>
      <x:c r="C5352" t="str">
        <x:v>H</x:v>
      </x:c>
      <x:c r="D5352" t="str">
        <x:v>SI1</x:v>
      </x:c>
      <x:c r="E5352" s="36" t="n">
        <x:v>250000</x:v>
      </x:c>
      <x:c r="F5352" s="36" t="n">
        <x:v>2828</x:v>
      </x:c>
      <x:c r="G5352" s="42" t="n">
        <x:v>0.6066066066066066</x:v>
      </x:c>
      <x:c r="H5352" s="36" t="n">
        <x:f>E5352*G5352</x:f>
        <x:v>151651.65165165166</x:v>
      </x:c>
      <x:c r="I5352" s="36" t="n">
        <x:f>IFERROR(H5352/A5352,0)</x:f>
        <x:v>16850.183516850186</x:v>
      </x:c>
      <x:c r="J5352" s="67" t="str">
        <x:v>Modeled from live base + Sep-2026 quality ratio</x:v>
      </x:c>
      <x:c r="K5352" s="67" t="str">
        <x:v>https://www.stonealgo.com/diamond-prices/</x:v>
      </x:c>
      <x:c r="L5352" s="67" t="str">
        <x:v>https://www.pricescope.com/blog/natural-diamond-prices-september-2026</x:v>
      </x:c>
    </x:row>
    <x:row r="5353">
      <x:c r="A5353" t="n">
        <x:v>9</x:v>
      </x:c>
      <x:c r="B5353" t="str">
        <x:v>Emerald</x:v>
      </x:c>
      <x:c r="C5353" t="str">
        <x:v>H</x:v>
      </x:c>
      <x:c r="D5353" t="str">
        <x:v>SI2</x:v>
      </x:c>
      <x:c r="E5353" s="36" t="n">
        <x:v>250000</x:v>
      </x:c>
      <x:c r="F5353" s="36" t="n">
        <x:v>2328</x:v>
      </x:c>
      <x:c r="G5353" s="42" t="n">
        <x:v>0.49935649935649934</x:v>
      </x:c>
      <x:c r="H5353" s="36" t="n">
        <x:f>E5353*G5353</x:f>
        <x:v>124839.12483912484</x:v>
      </x:c>
      <x:c r="I5353" s="36" t="n">
        <x:f>IFERROR(H5353/A5353,0)</x:f>
        <x:v>13871.01387101387</x:v>
      </x:c>
      <x:c r="J5353" s="67" t="str">
        <x:v>Modeled from live base + Sep-2026 quality ratio</x:v>
      </x:c>
      <x:c r="K5353" s="67" t="str">
        <x:v>https://www.stonealgo.com/diamond-prices/</x:v>
      </x:c>
      <x:c r="L5353" s="67" t="str">
        <x:v>https://www.pricescope.com/blog/natural-diamond-prices-september-2026</x:v>
      </x:c>
    </x:row>
    <x:row r="5354">
      <x:c r="A5354" t="n">
        <x:v>9</x:v>
      </x:c>
      <x:c r="B5354" t="str">
        <x:v>Emerald</x:v>
      </x:c>
      <x:c r="C5354" t="str">
        <x:v>I</x:v>
      </x:c>
      <x:c r="D5354" t="str">
        <x:v>FL</x:v>
      </x:c>
      <x:c r="E5354" s="36" t="n">
        <x:v>250000</x:v>
      </x:c>
      <x:c r="F5354" s="36" t="n">
        <x:v>4623</x:v>
      </x:c>
      <x:c r="G5354" s="42" t="n">
        <x:v>0.9916344916344917</x:v>
      </x:c>
      <x:c r="H5354" s="36" t="n">
        <x:f>E5354*G5354</x:f>
        <x:v>247908.62290862293</x:v>
      </x:c>
      <x:c r="I5354" s="36" t="n">
        <x:f>IFERROR(H5354/A5354,0)</x:f>
        <x:v>27545.402545402547</x:v>
      </x:c>
      <x:c r="J5354" s="67" t="str">
        <x:v>Modeled from live base + Sep-2026 quality ratio</x:v>
      </x:c>
      <x:c r="K5354" s="67" t="str">
        <x:v>https://www.stonealgo.com/diamond-prices/</x:v>
      </x:c>
      <x:c r="L5354" s="67" t="str">
        <x:v>https://www.pricescope.com/blog/natural-diamond-prices-september-2026</x:v>
      </x:c>
    </x:row>
    <x:row r="5355">
      <x:c r="A5355" t="n">
        <x:v>9</x:v>
      </x:c>
      <x:c r="B5355" t="str">
        <x:v>Emerald</x:v>
      </x:c>
      <x:c r="C5355" t="str">
        <x:v>I</x:v>
      </x:c>
      <x:c r="D5355" t="str">
        <x:v>IF</x:v>
      </x:c>
      <x:c r="E5355" s="36" t="n">
        <x:v>250000</x:v>
      </x:c>
      <x:c r="F5355" s="36" t="n">
        <x:v>4005</x:v>
      </x:c>
      <x:c r="G5355" s="42" t="n">
        <x:v>0.859073359073359</x:v>
      </x:c>
      <x:c r="H5355" s="36" t="n">
        <x:f>E5355*G5355</x:f>
        <x:v>214768.33976833976</x:v>
      </x:c>
      <x:c r="I5355" s="36" t="n">
        <x:f>IFERROR(H5355/A5355,0)</x:f>
        <x:v>23863.14886314886</x:v>
      </x:c>
      <x:c r="J5355" s="67" t="str">
        <x:v>Modeled from live base + Sep-2026 quality ratio</x:v>
      </x:c>
      <x:c r="K5355" s="67" t="str">
        <x:v>https://www.stonealgo.com/diamond-prices/</x:v>
      </x:c>
      <x:c r="L5355" s="67" t="str">
        <x:v>https://www.pricescope.com/blog/natural-diamond-prices-september-2026</x:v>
      </x:c>
    </x:row>
    <x:row r="5356">
      <x:c r="A5356" t="n">
        <x:v>9</x:v>
      </x:c>
      <x:c r="B5356" t="str">
        <x:v>Emerald</x:v>
      </x:c>
      <x:c r="C5356" t="str">
        <x:v>I</x:v>
      </x:c>
      <x:c r="D5356" t="str">
        <x:v>VVS1</x:v>
      </x:c>
      <x:c r="E5356" s="36" t="n">
        <x:v>250000</x:v>
      </x:c>
      <x:c r="F5356" s="36" t="n">
        <x:v>3670</x:v>
      </x:c>
      <x:c r="G5356" s="42" t="n">
        <x:v>0.7872157872157872</x:v>
      </x:c>
      <x:c r="H5356" s="36" t="n">
        <x:f>E5356*G5356</x:f>
        <x:v>196803.9468039468</x:v>
      </x:c>
      <x:c r="I5356" s="36" t="n">
        <x:f>IFERROR(H5356/A5356,0)</x:f>
        <x:v>21867.105200438535</x:v>
      </x:c>
      <x:c r="J5356" s="67" t="str">
        <x:v>Modeled from live base + Sep-2026 quality ratio</x:v>
      </x:c>
      <x:c r="K5356" s="67" t="str">
        <x:v>https://www.stonealgo.com/diamond-prices/</x:v>
      </x:c>
      <x:c r="L5356" s="67" t="str">
        <x:v>https://www.pricescope.com/blog/natural-diamond-prices-september-2026</x:v>
      </x:c>
    </x:row>
    <x:row r="5357">
      <x:c r="A5357" t="n">
        <x:v>9</x:v>
      </x:c>
      <x:c r="B5357" t="str">
        <x:v>Emerald</x:v>
      </x:c>
      <x:c r="C5357" t="str">
        <x:v>I</x:v>
      </x:c>
      <x:c r="D5357" t="str">
        <x:v>VVS2</x:v>
      </x:c>
      <x:c r="E5357" s="36" t="n">
        <x:v>250000</x:v>
      </x:c>
      <x:c r="F5357" s="36" t="n">
        <x:v>3447</x:v>
      </x:c>
      <x:c r="G5357" s="42" t="n">
        <x:v>0.7393822393822393</x:v>
      </x:c>
      <x:c r="H5357" s="36" t="n">
        <x:f>E5357*G5357</x:f>
        <x:v>184845.55984555982</x:v>
      </x:c>
      <x:c r="I5357" s="36" t="n">
        <x:f>IFERROR(H5357/A5357,0)</x:f>
        <x:v>20538.395538395536</x:v>
      </x:c>
      <x:c r="J5357" s="67" t="str">
        <x:v>Modeled from live base + Sep-2026 quality ratio</x:v>
      </x:c>
      <x:c r="K5357" s="67" t="str">
        <x:v>https://www.stonealgo.com/diamond-prices/</x:v>
      </x:c>
      <x:c r="L5357" s="67" t="str">
        <x:v>https://www.pricescope.com/blog/natural-diamond-prices-september-2026</x:v>
      </x:c>
    </x:row>
    <x:row r="5358">
      <x:c r="A5358" t="n">
        <x:v>9</x:v>
      </x:c>
      <x:c r="B5358" t="str">
        <x:v>Emerald</x:v>
      </x:c>
      <x:c r="C5358" t="str">
        <x:v>I</x:v>
      </x:c>
      <x:c r="D5358" t="str">
        <x:v>VS1</x:v>
      </x:c>
      <x:c r="E5358" s="36" t="n">
        <x:v>250000</x:v>
      </x:c>
      <x:c r="F5358" s="36" t="n">
        <x:v>3313</x:v>
      </x:c>
      <x:c r="G5358" s="42" t="n">
        <x:v>0.7106392106392107</x:v>
      </x:c>
      <x:c r="H5358" s="36" t="n">
        <x:f>E5358*G5358</x:f>
        <x:v>177659.80265980266</x:v>
      </x:c>
      <x:c r="I5358" s="36" t="n">
        <x:f>IFERROR(H5358/A5358,0)</x:f>
        <x:v>19739.978073311406</x:v>
      </x:c>
      <x:c r="J5358" s="67" t="str">
        <x:v>Modeled from live base + Sep-2026 quality ratio</x:v>
      </x:c>
      <x:c r="K5358" s="67" t="str">
        <x:v>https://www.stonealgo.com/diamond-prices/</x:v>
      </x:c>
      <x:c r="L5358" s="67" t="str">
        <x:v>https://www.pricescope.com/blog/natural-diamond-prices-september-2026</x:v>
      </x:c>
    </x:row>
    <x:row r="5359">
      <x:c r="A5359" t="n">
        <x:v>9</x:v>
      </x:c>
      <x:c r="B5359" t="str">
        <x:v>Emerald</x:v>
      </x:c>
      <x:c r="C5359" t="str">
        <x:v>I</x:v>
      </x:c>
      <x:c r="D5359" t="str">
        <x:v>VS2</x:v>
      </x:c>
      <x:c r="E5359" s="36" t="n">
        <x:v>250000</x:v>
      </x:c>
      <x:c r="F5359" s="36" t="n">
        <x:v>3240</x:v>
      </x:c>
      <x:c r="G5359" s="42" t="n">
        <x:v>0.694980694980695</x:v>
      </x:c>
      <x:c r="H5359" s="36" t="n">
        <x:f>E5359*G5359</x:f>
        <x:v>173745.17374517376</x:v>
      </x:c>
      <x:c r="I5359" s="36" t="n">
        <x:f>IFERROR(H5359/A5359,0)</x:f>
        <x:v>19305.019305019305</x:v>
      </x:c>
      <x:c r="J5359" s="67" t="str">
        <x:v>Modeled from live base + Sep-2026 quality ratio</x:v>
      </x:c>
      <x:c r="K5359" s="67" t="str">
        <x:v>https://www.stonealgo.com/diamond-prices/</x:v>
      </x:c>
      <x:c r="L5359" s="67" t="str">
        <x:v>https://www.pricescope.com/blog/natural-diamond-prices-september-2026</x:v>
      </x:c>
    </x:row>
    <x:row r="5360">
      <x:c r="A5360" t="n">
        <x:v>9</x:v>
      </x:c>
      <x:c r="B5360" t="str">
        <x:v>Emerald</x:v>
      </x:c>
      <x:c r="C5360" t="str">
        <x:v>I</x:v>
      </x:c>
      <x:c r="D5360" t="str">
        <x:v>SI1</x:v>
      </x:c>
      <x:c r="E5360" s="36" t="n">
        <x:v>250000</x:v>
      </x:c>
      <x:c r="F5360" s="36" t="n">
        <x:v>3199</x:v>
      </x:c>
      <x:c r="G5360" s="42" t="n">
        <x:v>0.6861861861861862</x:v>
      </x:c>
      <x:c r="H5360" s="36" t="n">
        <x:f>E5360*G5360</x:f>
        <x:v>171546.54654654654</x:v>
      </x:c>
      <x:c r="I5360" s="36" t="n">
        <x:f>IFERROR(H5360/A5360,0)</x:f>
        <x:v>19060.727394060727</x:v>
      </x:c>
      <x:c r="J5360" s="67" t="str">
        <x:v>Modeled from live base + Sep-2026 quality ratio</x:v>
      </x:c>
      <x:c r="K5360" s="67" t="str">
        <x:v>https://www.stonealgo.com/diamond-prices/</x:v>
      </x:c>
      <x:c r="L5360" s="67" t="str">
        <x:v>https://www.pricescope.com/blog/natural-diamond-prices-september-2026</x:v>
      </x:c>
    </x:row>
    <x:row r="5361">
      <x:c r="A5361" t="n">
        <x:v>9</x:v>
      </x:c>
      <x:c r="B5361" t="str">
        <x:v>Emerald</x:v>
      </x:c>
      <x:c r="C5361" t="str">
        <x:v>I</x:v>
      </x:c>
      <x:c r="D5361" t="str">
        <x:v>SI2</x:v>
      </x:c>
      <x:c r="E5361" s="36" t="n">
        <x:v>250000</x:v>
      </x:c>
      <x:c r="F5361" s="36" t="n">
        <x:v>2874</x:v>
      </x:c>
      <x:c r="G5361" s="42" t="n">
        <x:v>0.6164736164736164</x:v>
      </x:c>
      <x:c r="H5361" s="36" t="n">
        <x:f>E5361*G5361</x:f>
        <x:v>154118.4041184041</x:v>
      </x:c>
      <x:c r="I5361" s="36" t="n">
        <x:f>IFERROR(H5361/A5361,0)</x:f>
        <x:v>17124.267124267124</x:v>
      </x:c>
      <x:c r="J5361" s="67" t="str">
        <x:v>Modeled from live base + Sep-2026 quality ratio</x:v>
      </x:c>
      <x:c r="K5361" s="67" t="str">
        <x:v>https://www.stonealgo.com/diamond-prices/</x:v>
      </x:c>
      <x:c r="L5361" s="67" t="str">
        <x:v>https://www.pricescope.com/blog/natural-diamond-prices-september-2026</x:v>
      </x:c>
    </x:row>
    <x:row r="5362">
      <x:c r="A5362" t="n">
        <x:v>9</x:v>
      </x:c>
      <x:c r="B5362" t="str">
        <x:v>Emerald</x:v>
      </x:c>
      <x:c r="C5362" t="str">
        <x:v>J</x:v>
      </x:c>
      <x:c r="D5362" t="str">
        <x:v>FL</x:v>
      </x:c>
      <x:c r="E5362" s="36" t="n">
        <x:v>250000</x:v>
      </x:c>
      <x:c r="F5362" s="36" t="n">
        <x:v>3646</x:v>
      </x:c>
      <x:c r="G5362" s="42" t="n">
        <x:v>0.782067782067782</x:v>
      </x:c>
      <x:c r="H5362" s="36" t="n">
        <x:f>E5362*G5362</x:f>
        <x:v>195516.9455169455</x:v>
      </x:c>
      <x:c r="I5362" s="36" t="n">
        <x:f>IFERROR(H5362/A5362,0)</x:f>
        <x:v>21724.105057438388</x:v>
      </x:c>
      <x:c r="J5362" s="67" t="str">
        <x:v>Modeled from live base + Sep-2026 quality ratio</x:v>
      </x:c>
      <x:c r="K5362" s="67" t="str">
        <x:v>https://www.stonealgo.com/diamond-prices/</x:v>
      </x:c>
      <x:c r="L5362" s="67" t="str">
        <x:v>https://www.pricescope.com/blog/natural-diamond-prices-september-2026</x:v>
      </x:c>
    </x:row>
    <x:row r="5363">
      <x:c r="A5363" t="n">
        <x:v>9</x:v>
      </x:c>
      <x:c r="B5363" t="str">
        <x:v>Emerald</x:v>
      </x:c>
      <x:c r="C5363" t="str">
        <x:v>J</x:v>
      </x:c>
      <x:c r="D5363" t="str">
        <x:v>IF</x:v>
      </x:c>
      <x:c r="E5363" s="36" t="n">
        <x:v>250000</x:v>
      </x:c>
      <x:c r="F5363" s="36" t="n">
        <x:v>3368</x:v>
      </x:c>
      <x:c r="G5363" s="42" t="n">
        <x:v>0.7224367224367224</x:v>
      </x:c>
      <x:c r="H5363" s="36" t="n">
        <x:f>E5363*G5363</x:f>
        <x:v>180609.1806091806</x:v>
      </x:c>
      <x:c r="I5363" s="36" t="n">
        <x:f>IFERROR(H5363/A5363,0)</x:f>
        <x:v>20067.6867343534</x:v>
      </x:c>
      <x:c r="J5363" s="67" t="str">
        <x:v>Modeled from live base + Sep-2026 quality ratio</x:v>
      </x:c>
      <x:c r="K5363" s="67" t="str">
        <x:v>https://www.stonealgo.com/diamond-prices/</x:v>
      </x:c>
      <x:c r="L5363" s="67" t="str">
        <x:v>https://www.pricescope.com/blog/natural-diamond-prices-september-2026</x:v>
      </x:c>
    </x:row>
    <x:row r="5364">
      <x:c r="A5364" t="n">
        <x:v>9</x:v>
      </x:c>
      <x:c r="B5364" t="str">
        <x:v>Emerald</x:v>
      </x:c>
      <x:c r="C5364" t="str">
        <x:v>J</x:v>
      </x:c>
      <x:c r="D5364" t="str">
        <x:v>VVS1</x:v>
      </x:c>
      <x:c r="E5364" s="36" t="n">
        <x:v>250000</x:v>
      </x:c>
      <x:c r="F5364" s="36" t="n">
        <x:v>2956</x:v>
      </x:c>
      <x:c r="G5364" s="42" t="n">
        <x:v>0.6340626340626341</x:v>
      </x:c>
      <x:c r="H5364" s="36" t="n">
        <x:f>E5364*G5364</x:f>
        <x:v>158515.65851565852</x:v>
      </x:c>
      <x:c r="I5364" s="36" t="n">
        <x:f>IFERROR(H5364/A5364,0)</x:f>
        <x:v>17612.85094618428</x:v>
      </x:c>
      <x:c r="J5364" s="67" t="str">
        <x:v>Modeled from live base + Sep-2026 quality ratio</x:v>
      </x:c>
      <x:c r="K5364" s="67" t="str">
        <x:v>https://www.stonealgo.com/diamond-prices/</x:v>
      </x:c>
      <x:c r="L5364" s="67" t="str">
        <x:v>https://www.pricescope.com/blog/natural-diamond-prices-september-2026</x:v>
      </x:c>
    </x:row>
    <x:row r="5365">
      <x:c r="A5365" t="n">
        <x:v>9</x:v>
      </x:c>
      <x:c r="B5365" t="str">
        <x:v>Emerald</x:v>
      </x:c>
      <x:c r="C5365" t="str">
        <x:v>J</x:v>
      </x:c>
      <x:c r="D5365" t="str">
        <x:v>VVS2</x:v>
      </x:c>
      <x:c r="E5365" s="36" t="n">
        <x:v>250000</x:v>
      </x:c>
      <x:c r="F5365" s="36" t="n">
        <x:v>2612</x:v>
      </x:c>
      <x:c r="G5365" s="42" t="n">
        <x:v>0.5602745602745602</x:v>
      </x:c>
      <x:c r="H5365" s="36" t="n">
        <x:f>E5365*G5365</x:f>
        <x:v>140068.64006864006</x:v>
      </x:c>
      <x:c r="I5365" s="36" t="n">
        <x:f>IFERROR(H5365/A5365,0)</x:f>
        <x:v>15563.182229848895</x:v>
      </x:c>
      <x:c r="J5365" s="67" t="str">
        <x:v>Modeled from live base + Sep-2026 quality ratio</x:v>
      </x:c>
      <x:c r="K5365" s="67" t="str">
        <x:v>https://www.stonealgo.com/diamond-prices/</x:v>
      </x:c>
      <x:c r="L5365" s="67" t="str">
        <x:v>https://www.pricescope.com/blog/natural-diamond-prices-september-2026</x:v>
      </x:c>
    </x:row>
    <x:row r="5366">
      <x:c r="A5366" t="n">
        <x:v>9</x:v>
      </x:c>
      <x:c r="B5366" t="str">
        <x:v>Emerald</x:v>
      </x:c>
      <x:c r="C5366" t="str">
        <x:v>J</x:v>
      </x:c>
      <x:c r="D5366" t="str">
        <x:v>VS1</x:v>
      </x:c>
      <x:c r="E5366" s="36" t="n">
        <x:v>250000</x:v>
      </x:c>
      <x:c r="F5366" s="36" t="n">
        <x:v>3002</x:v>
      </x:c>
      <x:c r="G5366" s="42" t="n">
        <x:v>0.6439296439296439</x:v>
      </x:c>
      <x:c r="H5366" s="36" t="n">
        <x:f>E5366*G5366</x:f>
        <x:v>160982.41098241098</x:v>
      </x:c>
      <x:c r="I5366" s="36" t="n">
        <x:f>IFERROR(H5366/A5366,0)</x:f>
        <x:v>17886.93455360122</x:v>
      </x:c>
      <x:c r="J5366" s="67" t="str">
        <x:v>Modeled from live base + Sep-2026 quality ratio</x:v>
      </x:c>
      <x:c r="K5366" s="67" t="str">
        <x:v>https://www.stonealgo.com/diamond-prices/</x:v>
      </x:c>
      <x:c r="L5366" s="67" t="str">
        <x:v>https://www.pricescope.com/blog/natural-diamond-prices-september-2026</x:v>
      </x:c>
    </x:row>
    <x:row r="5367">
      <x:c r="A5367" t="n">
        <x:v>9</x:v>
      </x:c>
      <x:c r="B5367" t="str">
        <x:v>Emerald</x:v>
      </x:c>
      <x:c r="C5367" t="str">
        <x:v>J</x:v>
      </x:c>
      <x:c r="D5367" t="str">
        <x:v>VS2</x:v>
      </x:c>
      <x:c r="E5367" s="36" t="n">
        <x:v>250000</x:v>
      </x:c>
      <x:c r="F5367" s="36" t="n">
        <x:v>2559</x:v>
      </x:c>
      <x:c r="G5367" s="42" t="n">
        <x:v>0.5489060489060489</x:v>
      </x:c>
      <x:c r="H5367" s="36" t="n">
        <x:f>E5367*G5367</x:f>
        <x:v>137226.51222651222</x:v>
      </x:c>
      <x:c r="I5367" s="36" t="n">
        <x:f>IFERROR(H5367/A5367,0)</x:f>
        <x:v>15247.390247390247</x:v>
      </x:c>
      <x:c r="J5367" s="67" t="str">
        <x:v>Modeled from live base + Sep-2026 quality ratio</x:v>
      </x:c>
      <x:c r="K5367" s="67" t="str">
        <x:v>https://www.stonealgo.com/diamond-prices/</x:v>
      </x:c>
      <x:c r="L5367" s="67" t="str">
        <x:v>https://www.pricescope.com/blog/natural-diamond-prices-september-2026</x:v>
      </x:c>
    </x:row>
    <x:row r="5368">
      <x:c r="A5368" t="n">
        <x:v>9</x:v>
      </x:c>
      <x:c r="B5368" t="str">
        <x:v>Emerald</x:v>
      </x:c>
      <x:c r="C5368" t="str">
        <x:v>J</x:v>
      </x:c>
      <x:c r="D5368" t="str">
        <x:v>SI1</x:v>
      </x:c>
      <x:c r="E5368" s="36" t="n">
        <x:v>250000</x:v>
      </x:c>
      <x:c r="F5368" s="36" t="n">
        <x:v>2195</x:v>
      </x:c>
      <x:c r="G5368" s="42" t="n">
        <x:v>0.47082797082797084</x:v>
      </x:c>
      <x:c r="H5368" s="36" t="n">
        <x:f>E5368*G5368</x:f>
        <x:v>117706.9927069927</x:v>
      </x:c>
      <x:c r="I5368" s="36" t="n">
        <x:f>IFERROR(H5368/A5368,0)</x:f>
        <x:v>13078.554745221412</x:v>
      </x:c>
      <x:c r="J5368" s="67" t="str">
        <x:v>Modeled from live base + Sep-2026 quality ratio</x:v>
      </x:c>
      <x:c r="K5368" s="67" t="str">
        <x:v>https://www.stonealgo.com/diamond-prices/</x:v>
      </x:c>
      <x:c r="L5368" s="67" t="str">
        <x:v>https://www.pricescope.com/blog/natural-diamond-prices-september-2026</x:v>
      </x:c>
    </x:row>
    <x:row r="5369">
      <x:c r="A5369" t="n">
        <x:v>9</x:v>
      </x:c>
      <x:c r="B5369" t="str">
        <x:v>Emerald</x:v>
      </x:c>
      <x:c r="C5369" t="str">
        <x:v>J</x:v>
      </x:c>
      <x:c r="D5369" t="str">
        <x:v>SI2</x:v>
      </x:c>
      <x:c r="E5369" s="36" t="n">
        <x:v>250000</x:v>
      </x:c>
      <x:c r="F5369" s="36" t="n">
        <x:v>2079</x:v>
      </x:c>
      <x:c r="G5369" s="42" t="n">
        <x:v>0.44594594594594594</x:v>
      </x:c>
      <x:c r="H5369" s="36" t="n">
        <x:f>E5369*G5369</x:f>
        <x:v>111486.48648648648</x:v>
      </x:c>
      <x:c r="I5369" s="36" t="n">
        <x:f>IFERROR(H5369/A5369,0)</x:f>
        <x:v>12387.387387387387</x:v>
      </x:c>
      <x:c r="J5369" s="67" t="str">
        <x:v>Modeled from live base + Sep-2026 quality ratio</x:v>
      </x:c>
      <x:c r="K5369" s="67" t="str">
        <x:v>https://www.stonealgo.com/diamond-prices/</x:v>
      </x:c>
      <x:c r="L5369" s="67" t="str">
        <x:v>https://www.pricescope.com/blog/natural-diamond-prices-september-2026</x:v>
      </x:c>
    </x:row>
    <x:row r="5370">
      <x:c r="A5370" t="n">
        <x:v>9</x:v>
      </x:c>
      <x:c r="B5370" t="str">
        <x:v>Emerald</x:v>
      </x:c>
      <x:c r="C5370" t="str">
        <x:v>K</x:v>
      </x:c>
      <x:c r="D5370" t="str">
        <x:v>FL</x:v>
      </x:c>
      <x:c r="E5370" s="36" t="n">
        <x:v>250000</x:v>
      </x:c>
      <x:c r="F5370" s="36" t="n">
        <x:v>2858</x:v>
      </x:c>
      <x:c r="G5370" s="42" t="n">
        <x:v>0.6130416130416131</x:v>
      </x:c>
      <x:c r="H5370" s="36" t="n">
        <x:f>E5370*G5370</x:f>
        <x:v>153260.40326040328</x:v>
      </x:c>
      <x:c r="I5370" s="36" t="n">
        <x:f>IFERROR(H5370/A5370,0)</x:f>
        <x:v>17028.933695600364</x:v>
      </x:c>
      <x:c r="J5370" s="67" t="str">
        <x:v>Modeled from live base + Sep-2026 quality ratio; K/FL quality cell modeled</x:v>
      </x:c>
      <x:c r="K5370" s="67" t="str">
        <x:v>https://www.stonealgo.com/diamond-prices/</x:v>
      </x:c>
      <x:c r="L5370" s="67" t="str">
        <x:v>https://www.pricescope.com/blog/natural-diamond-prices-september-2026</x:v>
      </x:c>
    </x:row>
    <x:row r="5371">
      <x:c r="A5371" t="n">
        <x:v>9</x:v>
      </x:c>
      <x:c r="B5371" t="str">
        <x:v>Emerald</x:v>
      </x:c>
      <x:c r="C5371" t="str">
        <x:v>K</x:v>
      </x:c>
      <x:c r="D5371" t="str">
        <x:v>IF</x:v>
      </x:c>
      <x:c r="E5371" s="36" t="n">
        <x:v>250000</x:v>
      </x:c>
      <x:c r="F5371" s="36" t="n">
        <x:v>2743</x:v>
      </x:c>
      <x:c r="G5371" s="42" t="n">
        <x:v>0.5883740883740883</x:v>
      </x:c>
      <x:c r="H5371" s="36" t="n">
        <x:f>E5371*G5371</x:f>
        <x:v>147093.52209352207</x:v>
      </x:c>
      <x:c r="I5371" s="36" t="n">
        <x:f>IFERROR(H5371/A5371,0)</x:f>
        <x:v>16343.724677058008</x:v>
      </x:c>
      <x:c r="J5371" s="67" t="str">
        <x:v>Modeled from live base + Sep-2026 quality ratio</x:v>
      </x:c>
      <x:c r="K5371" s="67" t="str">
        <x:v>https://www.stonealgo.com/diamond-prices/</x:v>
      </x:c>
      <x:c r="L5371" s="67" t="str">
        <x:v>https://www.pricescope.com/blog/natural-diamond-prices-september-2026</x:v>
      </x:c>
    </x:row>
    <x:row r="5372">
      <x:c r="A5372" t="n">
        <x:v>9</x:v>
      </x:c>
      <x:c r="B5372" t="str">
        <x:v>Emerald</x:v>
      </x:c>
      <x:c r="C5372" t="str">
        <x:v>K</x:v>
      </x:c>
      <x:c r="D5372" t="str">
        <x:v>VVS1</x:v>
      </x:c>
      <x:c r="E5372" s="36" t="n">
        <x:v>250000</x:v>
      </x:c>
      <x:c r="F5372" s="36" t="n">
        <x:v>2529</x:v>
      </x:c>
      <x:c r="G5372" s="42" t="n">
        <x:v>0.5424710424710425</x:v>
      </x:c>
      <x:c r="H5372" s="36" t="n">
        <x:f>E5372*G5372</x:f>
        <x:v>135617.76061776062</x:v>
      </x:c>
      <x:c r="I5372" s="36" t="n">
        <x:f>IFERROR(H5372/A5372,0)</x:f>
        <x:v>15068.640068640068</x:v>
      </x:c>
      <x:c r="J5372" s="67" t="str">
        <x:v>Modeled from live base + Sep-2026 quality ratio</x:v>
      </x:c>
      <x:c r="K5372" s="67" t="str">
        <x:v>https://www.stonealgo.com/diamond-prices/</x:v>
      </x:c>
      <x:c r="L5372" s="67" t="str">
        <x:v>https://www.pricescope.com/blog/natural-diamond-prices-september-2026</x:v>
      </x:c>
    </x:row>
    <x:row r="5373">
      <x:c r="A5373" t="n">
        <x:v>9</x:v>
      </x:c>
      <x:c r="B5373" t="str">
        <x:v>Emerald</x:v>
      </x:c>
      <x:c r="C5373" t="str">
        <x:v>K</x:v>
      </x:c>
      <x:c r="D5373" t="str">
        <x:v>VVS2</x:v>
      </x:c>
      <x:c r="E5373" s="36" t="n">
        <x:v>250000</x:v>
      </x:c>
      <x:c r="F5373" s="36" t="n">
        <x:v>2374</x:v>
      </x:c>
      <x:c r="G5373" s="42" t="n">
        <x:v>0.5092235092235092</x:v>
      </x:c>
      <x:c r="H5373" s="36" t="n">
        <x:f>E5373*G5373</x:f>
        <x:v>127305.87730587731</x:v>
      </x:c>
      <x:c r="I5373" s="36" t="n">
        <x:f>IFERROR(H5373/A5373,0)</x:f>
        <x:v>14145.097478430813</x:v>
      </x:c>
      <x:c r="J5373" s="67" t="str">
        <x:v>Modeled from live base + Sep-2026 quality ratio</x:v>
      </x:c>
      <x:c r="K5373" s="67" t="str">
        <x:v>https://www.stonealgo.com/diamond-prices/</x:v>
      </x:c>
      <x:c r="L5373" s="67" t="str">
        <x:v>https://www.pricescope.com/blog/natural-diamond-prices-september-2026</x:v>
      </x:c>
    </x:row>
    <x:row r="5374">
      <x:c r="A5374" t="n">
        <x:v>9</x:v>
      </x:c>
      <x:c r="B5374" t="str">
        <x:v>Emerald</x:v>
      </x:c>
      <x:c r="C5374" t="str">
        <x:v>K</x:v>
      </x:c>
      <x:c r="D5374" t="str">
        <x:v>VS1</x:v>
      </x:c>
      <x:c r="E5374" s="36" t="n">
        <x:v>250000</x:v>
      </x:c>
      <x:c r="F5374" s="36" t="n">
        <x:v>2223</x:v>
      </x:c>
      <x:c r="G5374" s="42" t="n">
        <x:v>0.4768339768339768</x:v>
      </x:c>
      <x:c r="H5374" s="36" t="n">
        <x:f>E5374*G5374</x:f>
        <x:v>119208.4942084942</x:v>
      </x:c>
      <x:c r="I5374" s="36" t="n">
        <x:f>IFERROR(H5374/A5374,0)</x:f>
        <x:v>13245.388245388245</x:v>
      </x:c>
      <x:c r="J5374" s="67" t="str">
        <x:v>Modeled from live base + Sep-2026 quality ratio</x:v>
      </x:c>
      <x:c r="K5374" s="67" t="str">
        <x:v>https://www.stonealgo.com/diamond-prices/</x:v>
      </x:c>
      <x:c r="L5374" s="67" t="str">
        <x:v>https://www.pricescope.com/blog/natural-diamond-prices-september-2026</x:v>
      </x:c>
    </x:row>
    <x:row r="5375">
      <x:c r="A5375" t="n">
        <x:v>9</x:v>
      </x:c>
      <x:c r="B5375" t="str">
        <x:v>Emerald</x:v>
      </x:c>
      <x:c r="C5375" t="str">
        <x:v>K</x:v>
      </x:c>
      <x:c r="D5375" t="str">
        <x:v>VS2</x:v>
      </x:c>
      <x:c r="E5375" s="36" t="n">
        <x:v>250000</x:v>
      </x:c>
      <x:c r="F5375" s="36" t="n">
        <x:v>2098</x:v>
      </x:c>
      <x:c r="G5375" s="42" t="n">
        <x:v>0.45002145002145</x:v>
      </x:c>
      <x:c r="H5375" s="36" t="n">
        <x:f>E5375*G5375</x:f>
        <x:v>112505.3625053625</x:v>
      </x:c>
      <x:c r="I5375" s="36" t="n">
        <x:f>IFERROR(H5375/A5375,0)</x:f>
        <x:v>12500.595833929166</x:v>
      </x:c>
      <x:c r="J5375" s="67" t="str">
        <x:v>Modeled from live base + Sep-2026 quality ratio</x:v>
      </x:c>
      <x:c r="K5375" s="67" t="str">
        <x:v>https://www.stonealgo.com/diamond-prices/</x:v>
      </x:c>
      <x:c r="L5375" s="67" t="str">
        <x:v>https://www.pricescope.com/blog/natural-diamond-prices-september-2026</x:v>
      </x:c>
    </x:row>
    <x:row r="5376">
      <x:c r="A5376" t="n">
        <x:v>9</x:v>
      </x:c>
      <x:c r="B5376" t="str">
        <x:v>Emerald</x:v>
      </x:c>
      <x:c r="C5376" t="str">
        <x:v>K</x:v>
      </x:c>
      <x:c r="D5376" t="str">
        <x:v>SI1</x:v>
      </x:c>
      <x:c r="E5376" s="36" t="n">
        <x:v>250000</x:v>
      </x:c>
      <x:c r="F5376" s="36" t="n">
        <x:v>1922</x:v>
      </x:c>
      <x:c r="G5376" s="42" t="n">
        <x:v>0.41226941226941227</x:v>
      </x:c>
      <x:c r="H5376" s="36" t="n">
        <x:f>E5376*G5376</x:f>
        <x:v>103067.35306735306</x:v>
      </x:c>
      <x:c r="I5376" s="36" t="n">
        <x:f>IFERROR(H5376/A5376,0)</x:f>
        <x:v>11451.928118594784</x:v>
      </x:c>
      <x:c r="J5376" s="67" t="str">
        <x:v>Modeled from live base + Sep-2026 quality ratio</x:v>
      </x:c>
      <x:c r="K5376" s="67" t="str">
        <x:v>https://www.stonealgo.com/diamond-prices/</x:v>
      </x:c>
      <x:c r="L5376" s="67" t="str">
        <x:v>https://www.pricescope.com/blog/natural-diamond-prices-september-2026</x:v>
      </x:c>
    </x:row>
    <x:row r="5377">
      <x:c r="A5377" t="n">
        <x:v>9</x:v>
      </x:c>
      <x:c r="B5377" t="str">
        <x:v>Emerald</x:v>
      </x:c>
      <x:c r="C5377" t="str">
        <x:v>K</x:v>
      </x:c>
      <x:c r="D5377" t="str">
        <x:v>SI2</x:v>
      </x:c>
      <x:c r="E5377" s="36" t="n">
        <x:v>250000</x:v>
      </x:c>
      <x:c r="F5377" s="36" t="n">
        <x:v>1764</x:v>
      </x:c>
      <x:c r="G5377" s="42" t="n">
        <x:v>0.3783783783783784</x:v>
      </x:c>
      <x:c r="H5377" s="36" t="n">
        <x:f>E5377*G5377</x:f>
        <x:v>94594.5945945946</x:v>
      </x:c>
      <x:c r="I5377" s="36" t="n">
        <x:f>IFERROR(H5377/A5377,0)</x:f>
        <x:v>10510.51051051051</x:v>
      </x:c>
      <x:c r="J5377" s="67" t="str">
        <x:v>Modeled from live base + Sep-2026 quality ratio</x:v>
      </x:c>
      <x:c r="K5377" s="67" t="str">
        <x:v>https://www.stonealgo.com/diamond-prices/</x:v>
      </x:c>
      <x:c r="L5377" s="67" t="str">
        <x:v>https://www.pricescope.com/blog/natural-diamond-prices-september-2026</x:v>
      </x:c>
    </x:row>
    <x:row r="5378">
      <x:c r="A5378" t="n">
        <x:v>9</x:v>
      </x:c>
      <x:c r="B5378" t="str">
        <x:v>Cushion</x:v>
      </x:c>
      <x:c r="C5378" t="str">
        <x:v>D</x:v>
      </x:c>
      <x:c r="D5378" t="str">
        <x:v>FL</x:v>
      </x:c>
      <x:c r="E5378" s="36" t="n">
        <x:v>328000</x:v>
      </x:c>
      <x:c r="F5378" s="36" t="n">
        <x:v>12665</x:v>
      </x:c>
      <x:c r="G5378" s="42" t="n">
        <x:v>2.7166452166452166</x:v>
      </x:c>
      <x:c r="H5378" s="36" t="n">
        <x:f>E5378*G5378</x:f>
        <x:v>891059.631059631</x:v>
      </x:c>
      <x:c r="I5378" s="36" t="n">
        <x:f>IFERROR(H5378/A5378,0)</x:f>
        <x:v>99006.62567329234</x:v>
      </x:c>
      <x:c r="J5378" s="67" t="str">
        <x:v>Modeled from live base + Sep-2026 quality ratio</x:v>
      </x:c>
      <x:c r="K5378" s="67" t="str">
        <x:v>https://www.stonealgo.com/diamond-prices/</x:v>
      </x:c>
      <x:c r="L5378" s="67" t="str">
        <x:v>https://www.pricescope.com/blog/natural-diamond-prices-september-2026</x:v>
      </x:c>
    </x:row>
    <x:row r="5379">
      <x:c r="A5379" t="n">
        <x:v>9</x:v>
      </x:c>
      <x:c r="B5379" t="str">
        <x:v>Cushion</x:v>
      </x:c>
      <x:c r="C5379" t="str">
        <x:v>D</x:v>
      </x:c>
      <x:c r="D5379" t="str">
        <x:v>IF</x:v>
      </x:c>
      <x:c r="E5379" s="36" t="n">
        <x:v>328000</x:v>
      </x:c>
      <x:c r="F5379" s="36" t="n">
        <x:v>13240</x:v>
      </x:c>
      <x:c r="G5379" s="42" t="n">
        <x:v>2.83998283998284</x:v>
      </x:c>
      <x:c r="H5379" s="36" t="n">
        <x:f>E5379*G5379</x:f>
        <x:v>931514.3715143716</x:v>
      </x:c>
      <x:c r="I5379" s="36" t="n">
        <x:f>IFERROR(H5379/A5379,0)</x:f>
        <x:v>103501.59683493018</x:v>
      </x:c>
      <x:c r="J5379" s="67" t="str">
        <x:v>Modeled from live base + Sep-2026 quality ratio</x:v>
      </x:c>
      <x:c r="K5379" s="67" t="str">
        <x:v>https://www.stonealgo.com/diamond-prices/</x:v>
      </x:c>
      <x:c r="L5379" s="67" t="str">
        <x:v>https://www.pricescope.com/blog/natural-diamond-prices-september-2026</x:v>
      </x:c>
    </x:row>
    <x:row r="5380">
      <x:c r="A5380" t="n">
        <x:v>9</x:v>
      </x:c>
      <x:c r="B5380" t="str">
        <x:v>Cushion</x:v>
      </x:c>
      <x:c r="C5380" t="str">
        <x:v>D</x:v>
      </x:c>
      <x:c r="D5380" t="str">
        <x:v>VVS1</x:v>
      </x:c>
      <x:c r="E5380" s="36" t="n">
        <x:v>328000</x:v>
      </x:c>
      <x:c r="F5380" s="36" t="n">
        <x:v>9555</x:v>
      </x:c>
      <x:c r="G5380" s="42" t="n">
        <x:v>2.0495495495495497</x:v>
      </x:c>
      <x:c r="H5380" s="36" t="n">
        <x:f>E5380*G5380</x:f>
        <x:v>672252.2522522523</x:v>
      </x:c>
      <x:c r="I5380" s="36" t="n">
        <x:f>IFERROR(H5380/A5380,0)</x:f>
        <x:v>74694.6946946947</x:v>
      </x:c>
      <x:c r="J5380" s="67" t="str">
        <x:v>Modeled from live base + Sep-2026 quality ratio</x:v>
      </x:c>
      <x:c r="K5380" s="67" t="str">
        <x:v>https://www.stonealgo.com/diamond-prices/</x:v>
      </x:c>
      <x:c r="L5380" s="67" t="str">
        <x:v>https://www.pricescope.com/blog/natural-diamond-prices-september-2026</x:v>
      </x:c>
    </x:row>
    <x:row r="5381">
      <x:c r="A5381" t="n">
        <x:v>9</x:v>
      </x:c>
      <x:c r="B5381" t="str">
        <x:v>Cushion</x:v>
      </x:c>
      <x:c r="C5381" t="str">
        <x:v>D</x:v>
      </x:c>
      <x:c r="D5381" t="str">
        <x:v>VVS2</x:v>
      </x:c>
      <x:c r="E5381" s="36" t="n">
        <x:v>328000</x:v>
      </x:c>
      <x:c r="F5381" s="36" t="n">
        <x:v>6660</x:v>
      </x:c>
      <x:c r="G5381" s="42" t="n">
        <x:v>1.4285714285714286</x:v>
      </x:c>
      <x:c r="H5381" s="36" t="n">
        <x:f>E5381*G5381</x:f>
        <x:v>468571.4285714286</x:v>
      </x:c>
      <x:c r="I5381" s="36" t="n">
        <x:f>IFERROR(H5381/A5381,0)</x:f>
        <x:v>52063.49206349206</x:v>
      </x:c>
      <x:c r="J5381" s="67" t="str">
        <x:v>Modeled from live base + Sep-2026 quality ratio</x:v>
      </x:c>
      <x:c r="K5381" s="67" t="str">
        <x:v>https://www.stonealgo.com/diamond-prices/</x:v>
      </x:c>
      <x:c r="L5381" s="67" t="str">
        <x:v>https://www.pricescope.com/blog/natural-diamond-prices-september-2026</x:v>
      </x:c>
    </x:row>
    <x:row r="5382">
      <x:c r="A5382" t="n">
        <x:v>9</x:v>
      </x:c>
      <x:c r="B5382" t="str">
        <x:v>Cushion</x:v>
      </x:c>
      <x:c r="C5382" t="str">
        <x:v>D</x:v>
      </x:c>
      <x:c r="D5382" t="str">
        <x:v>VS1</x:v>
      </x:c>
      <x:c r="E5382" s="36" t="n">
        <x:v>328000</x:v>
      </x:c>
      <x:c r="F5382" s="36" t="n">
        <x:v>6247</x:v>
      </x:c>
      <x:c r="G5382" s="42" t="n">
        <x:v>1.33998283998284</x:v>
      </x:c>
      <x:c r="H5382" s="36" t="n">
        <x:f>E5382*G5382</x:f>
        <x:v>439514.3715143715</x:v>
      </x:c>
      <x:c r="I5382" s="36" t="n">
        <x:f>IFERROR(H5382/A5382,0)</x:f>
        <x:v>48834.9301682635</x:v>
      </x:c>
      <x:c r="J5382" s="67" t="str">
        <x:v>Modeled from live base + Sep-2026 quality ratio</x:v>
      </x:c>
      <x:c r="K5382" s="67" t="str">
        <x:v>https://www.stonealgo.com/diamond-prices/</x:v>
      </x:c>
      <x:c r="L5382" s="67" t="str">
        <x:v>https://www.pricescope.com/blog/natural-diamond-prices-september-2026</x:v>
      </x:c>
    </x:row>
    <x:row r="5383">
      <x:c r="A5383" t="n">
        <x:v>9</x:v>
      </x:c>
      <x:c r="B5383" t="str">
        <x:v>Cushion</x:v>
      </x:c>
      <x:c r="C5383" t="str">
        <x:v>D</x:v>
      </x:c>
      <x:c r="D5383" t="str">
        <x:v>VS2</x:v>
      </x:c>
      <x:c r="E5383" s="36" t="n">
        <x:v>328000</x:v>
      </x:c>
      <x:c r="F5383" s="36" t="n">
        <x:v>5841</x:v>
      </x:c>
      <x:c r="G5383" s="42" t="n">
        <x:v>1.252895752895753</x:v>
      </x:c>
      <x:c r="H5383" s="36" t="n">
        <x:f>E5383*G5383</x:f>
        <x:v>410949.806949807</x:v>
      </x:c>
      <x:c r="I5383" s="36" t="n">
        <x:f>IFERROR(H5383/A5383,0)</x:f>
        <x:v>45661.08966108967</x:v>
      </x:c>
      <x:c r="J5383" s="67" t="str">
        <x:v>Modeled from live base + Sep-2026 quality ratio</x:v>
      </x:c>
      <x:c r="K5383" s="67" t="str">
        <x:v>https://www.stonealgo.com/diamond-prices/</x:v>
      </x:c>
      <x:c r="L5383" s="67" t="str">
        <x:v>https://www.pricescope.com/blog/natural-diamond-prices-september-2026</x:v>
      </x:c>
    </x:row>
    <x:row r="5384">
      <x:c r="A5384" t="n">
        <x:v>9</x:v>
      </x:c>
      <x:c r="B5384" t="str">
        <x:v>Cushion</x:v>
      </x:c>
      <x:c r="C5384" t="str">
        <x:v>D</x:v>
      </x:c>
      <x:c r="D5384" t="str">
        <x:v>SI1</x:v>
      </x:c>
      <x:c r="E5384" s="36" t="n">
        <x:v>328000</x:v>
      </x:c>
      <x:c r="F5384" s="36" t="n">
        <x:v>3762</x:v>
      </x:c>
      <x:c r="G5384" s="42" t="n">
        <x:v>0.806949806949807</x:v>
      </x:c>
      <x:c r="H5384" s="36" t="n">
        <x:f>E5384*G5384</x:f>
        <x:v>264679.5366795367</x:v>
      </x:c>
      <x:c r="I5384" s="36" t="n">
        <x:f>IFERROR(H5384/A5384,0)</x:f>
        <x:v>29408.83740883741</x:v>
      </x:c>
      <x:c r="J5384" s="67" t="str">
        <x:v>Modeled from live base + Sep-2026 quality ratio</x:v>
      </x:c>
      <x:c r="K5384" s="67" t="str">
        <x:v>https://www.stonealgo.com/diamond-prices/</x:v>
      </x:c>
      <x:c r="L5384" s="67" t="str">
        <x:v>https://www.pricescope.com/blog/natural-diamond-prices-september-2026</x:v>
      </x:c>
    </x:row>
    <x:row r="5385">
      <x:c r="A5385" t="n">
        <x:v>9</x:v>
      </x:c>
      <x:c r="B5385" t="str">
        <x:v>Cushion</x:v>
      </x:c>
      <x:c r="C5385" t="str">
        <x:v>D</x:v>
      </x:c>
      <x:c r="D5385" t="str">
        <x:v>SI2</x:v>
      </x:c>
      <x:c r="E5385" s="36" t="n">
        <x:v>328000</x:v>
      </x:c>
      <x:c r="F5385" s="36" t="n">
        <x:v>3026</x:v>
      </x:c>
      <x:c r="G5385" s="42" t="n">
        <x:v>0.6490776490776491</x:v>
      </x:c>
      <x:c r="H5385" s="36" t="n">
        <x:f>E5385*G5385</x:f>
        <x:v>212897.4688974689</x:v>
      </x:c>
      <x:c r="I5385" s="36" t="n">
        <x:f>IFERROR(H5385/A5385,0)</x:f>
        <x:v>23655.27432194099</x:v>
      </x:c>
      <x:c r="J5385" s="67" t="str">
        <x:v>Modeled from live base + Sep-2026 quality ratio</x:v>
      </x:c>
      <x:c r="K5385" s="67" t="str">
        <x:v>https://www.stonealgo.com/diamond-prices/</x:v>
      </x:c>
      <x:c r="L5385" s="67" t="str">
        <x:v>https://www.pricescope.com/blog/natural-diamond-prices-september-2026</x:v>
      </x:c>
    </x:row>
    <x:row r="5386">
      <x:c r="A5386" t="n">
        <x:v>9</x:v>
      </x:c>
      <x:c r="B5386" t="str">
        <x:v>Cushion</x:v>
      </x:c>
      <x:c r="C5386" t="str">
        <x:v>E</x:v>
      </x:c>
      <x:c r="D5386" t="str">
        <x:v>FL</x:v>
      </x:c>
      <x:c r="E5386" s="36" t="n">
        <x:v>328000</x:v>
      </x:c>
      <x:c r="F5386" s="36" t="n">
        <x:v>10072</x:v>
      </x:c>
      <x:c r="G5386" s="42" t="n">
        <x:v>2.1604461604461602</x:v>
      </x:c>
      <x:c r="H5386" s="36" t="n">
        <x:f>E5386*G5386</x:f>
        <x:v>708626.3406263406</x:v>
      </x:c>
      <x:c r="I5386" s="36" t="n">
        <x:f>IFERROR(H5386/A5386,0)</x:f>
        <x:v>78736.2600695934</x:v>
      </x:c>
      <x:c r="J5386" s="67" t="str">
        <x:v>Modeled from live base + Sep-2026 quality ratio</x:v>
      </x:c>
      <x:c r="K5386" s="67" t="str">
        <x:v>https://www.stonealgo.com/diamond-prices/</x:v>
      </x:c>
      <x:c r="L5386" s="67" t="str">
        <x:v>https://www.pricescope.com/blog/natural-diamond-prices-september-2026</x:v>
      </x:c>
    </x:row>
    <x:row r="5387">
      <x:c r="A5387" t="n">
        <x:v>9</x:v>
      </x:c>
      <x:c r="B5387" t="str">
        <x:v>Cushion</x:v>
      </x:c>
      <x:c r="C5387" t="str">
        <x:v>E</x:v>
      </x:c>
      <x:c r="D5387" t="str">
        <x:v>IF</x:v>
      </x:c>
      <x:c r="E5387" s="36" t="n">
        <x:v>328000</x:v>
      </x:c>
      <x:c r="F5387" s="36" t="n">
        <x:v>8672</x:v>
      </x:c>
      <x:c r="G5387" s="42" t="n">
        <x:v>1.8601458601458603</x:v>
      </x:c>
      <x:c r="H5387" s="36" t="n">
        <x:f>E5387*G5387</x:f>
        <x:v>610127.8421278421</x:v>
      </x:c>
      <x:c r="I5387" s="36" t="n">
        <x:f>IFERROR(H5387/A5387,0)</x:f>
        <x:v>67791.98245864913</x:v>
      </x:c>
      <x:c r="J5387" s="67" t="str">
        <x:v>Modeled from live base + Sep-2026 quality ratio</x:v>
      </x:c>
      <x:c r="K5387" s="67" t="str">
        <x:v>https://www.stonealgo.com/diamond-prices/</x:v>
      </x:c>
      <x:c r="L5387" s="67" t="str">
        <x:v>https://www.pricescope.com/blog/natural-diamond-prices-september-2026</x:v>
      </x:c>
    </x:row>
    <x:row r="5388">
      <x:c r="A5388" t="n">
        <x:v>9</x:v>
      </x:c>
      <x:c r="B5388" t="str">
        <x:v>Cushion</x:v>
      </x:c>
      <x:c r="C5388" t="str">
        <x:v>E</x:v>
      </x:c>
      <x:c r="D5388" t="str">
        <x:v>VVS1</x:v>
      </x:c>
      <x:c r="E5388" s="36" t="n">
        <x:v>328000</x:v>
      </x:c>
      <x:c r="F5388" s="36" t="n">
        <x:v>7842</x:v>
      </x:c>
      <x:c r="G5388" s="42" t="n">
        <x:v>1.6821106821106822</x:v>
      </x:c>
      <x:c r="H5388" s="36" t="n">
        <x:f>E5388*G5388</x:f>
        <x:v>551732.3037323038</x:v>
      </x:c>
      <x:c r="I5388" s="36" t="n">
        <x:f>IFERROR(H5388/A5388,0)</x:f>
        <x:v>61303.58930358931</x:v>
      </x:c>
      <x:c r="J5388" s="67" t="str">
        <x:v>Modeled from live base + Sep-2026 quality ratio</x:v>
      </x:c>
      <x:c r="K5388" s="67" t="str">
        <x:v>https://www.stonealgo.com/diamond-prices/</x:v>
      </x:c>
      <x:c r="L5388" s="67" t="str">
        <x:v>https://www.pricescope.com/blog/natural-diamond-prices-september-2026</x:v>
      </x:c>
    </x:row>
    <x:row r="5389">
      <x:c r="A5389" t="n">
        <x:v>9</x:v>
      </x:c>
      <x:c r="B5389" t="str">
        <x:v>Cushion</x:v>
      </x:c>
      <x:c r="C5389" t="str">
        <x:v>E</x:v>
      </x:c>
      <x:c r="D5389" t="str">
        <x:v>VVS2</x:v>
      </x:c>
      <x:c r="E5389" s="36" t="n">
        <x:v>328000</x:v>
      </x:c>
      <x:c r="F5389" s="36" t="n">
        <x:v>6880</x:v>
      </x:c>
      <x:c r="G5389" s="42" t="n">
        <x:v>1.4757614757614759</x:v>
      </x:c>
      <x:c r="H5389" s="36" t="n">
        <x:f>E5389*G5389</x:f>
        <x:v>484049.7640497641</x:v>
      </x:c>
      <x:c r="I5389" s="36" t="n">
        <x:f>IFERROR(H5389/A5389,0)</x:f>
        <x:v>53783.307116640455</x:v>
      </x:c>
      <x:c r="J5389" s="67" t="str">
        <x:v>Modeled from live base + Sep-2026 quality ratio</x:v>
      </x:c>
      <x:c r="K5389" s="67" t="str">
        <x:v>https://www.stonealgo.com/diamond-prices/</x:v>
      </x:c>
      <x:c r="L5389" s="67" t="str">
        <x:v>https://www.pricescope.com/blog/natural-diamond-prices-september-2026</x:v>
      </x:c>
    </x:row>
    <x:row r="5390">
      <x:c r="A5390" t="n">
        <x:v>9</x:v>
      </x:c>
      <x:c r="B5390" t="str">
        <x:v>Cushion</x:v>
      </x:c>
      <x:c r="C5390" t="str">
        <x:v>E</x:v>
      </x:c>
      <x:c r="D5390" t="str">
        <x:v>VS1</x:v>
      </x:c>
      <x:c r="E5390" s="36" t="n">
        <x:v>328000</x:v>
      </x:c>
      <x:c r="F5390" s="36" t="n">
        <x:v>6307</x:v>
      </x:c>
      <x:c r="G5390" s="42" t="n">
        <x:v>1.352852852852853</x:v>
      </x:c>
      <x:c r="H5390" s="36" t="n">
        <x:f>E5390*G5390</x:f>
        <x:v>443735.73573573574</x:v>
      </x:c>
      <x:c r="I5390" s="36" t="n">
        <x:f>IFERROR(H5390/A5390,0)</x:f>
        <x:v>49303.97063730397</x:v>
      </x:c>
      <x:c r="J5390" s="67" t="str">
        <x:v>Modeled from live base + Sep-2026 quality ratio</x:v>
      </x:c>
      <x:c r="K5390" s="67" t="str">
        <x:v>https://www.stonealgo.com/diamond-prices/</x:v>
      </x:c>
      <x:c r="L5390" s="67" t="str">
        <x:v>https://www.pricescope.com/blog/natural-diamond-prices-september-2026</x:v>
      </x:c>
    </x:row>
    <x:row r="5391">
      <x:c r="A5391" t="n">
        <x:v>9</x:v>
      </x:c>
      <x:c r="B5391" t="str">
        <x:v>Cushion</x:v>
      </x:c>
      <x:c r="C5391" t="str">
        <x:v>E</x:v>
      </x:c>
      <x:c r="D5391" t="str">
        <x:v>VS2</x:v>
      </x:c>
      <x:c r="E5391" s="36" t="n">
        <x:v>328000</x:v>
      </x:c>
      <x:c r="F5391" s="36" t="n">
        <x:v>5249</x:v>
      </x:c>
      <x:c r="G5391" s="42" t="n">
        <x:v>1.125911625911626</x:v>
      </x:c>
      <x:c r="H5391" s="36" t="n">
        <x:f>E5391*G5391</x:f>
        <x:v>369299.0132990133</x:v>
      </x:c>
      <x:c r="I5391" s="36" t="n">
        <x:f>IFERROR(H5391/A5391,0)</x:f>
        <x:v>41033.22369989037</x:v>
      </x:c>
      <x:c r="J5391" s="67" t="str">
        <x:v>Modeled from live base + Sep-2026 quality ratio</x:v>
      </x:c>
      <x:c r="K5391" s="67" t="str">
        <x:v>https://www.stonealgo.com/diamond-prices/</x:v>
      </x:c>
      <x:c r="L5391" s="67" t="str">
        <x:v>https://www.pricescope.com/blog/natural-diamond-prices-september-2026</x:v>
      </x:c>
    </x:row>
    <x:row r="5392">
      <x:c r="A5392" t="n">
        <x:v>9</x:v>
      </x:c>
      <x:c r="B5392" t="str">
        <x:v>Cushion</x:v>
      </x:c>
      <x:c r="C5392" t="str">
        <x:v>E</x:v>
      </x:c>
      <x:c r="D5392" t="str">
        <x:v>SI1</x:v>
      </x:c>
      <x:c r="E5392" s="36" t="n">
        <x:v>328000</x:v>
      </x:c>
      <x:c r="F5392" s="36" t="n">
        <x:v>3551</x:v>
      </x:c>
      <x:c r="G5392" s="42" t="n">
        <x:v>0.7616902616902617</x:v>
      </x:c>
      <x:c r="H5392" s="36" t="n">
        <x:f>E5392*G5392</x:f>
        <x:v>249834.40583440583</x:v>
      </x:c>
      <x:c r="I5392" s="36" t="n">
        <x:f>IFERROR(H5392/A5392,0)</x:f>
        <x:v>27759.378426045092</x:v>
      </x:c>
      <x:c r="J5392" s="67" t="str">
        <x:v>Modeled from live base + Sep-2026 quality ratio</x:v>
      </x:c>
      <x:c r="K5392" s="67" t="str">
        <x:v>https://www.stonealgo.com/diamond-prices/</x:v>
      </x:c>
      <x:c r="L5392" s="67" t="str">
        <x:v>https://www.pricescope.com/blog/natural-diamond-prices-september-2026</x:v>
      </x:c>
    </x:row>
    <x:row r="5393">
      <x:c r="A5393" t="n">
        <x:v>9</x:v>
      </x:c>
      <x:c r="B5393" t="str">
        <x:v>Cushion</x:v>
      </x:c>
      <x:c r="C5393" t="str">
        <x:v>E</x:v>
      </x:c>
      <x:c r="D5393" t="str">
        <x:v>SI2</x:v>
      </x:c>
      <x:c r="E5393" s="36" t="n">
        <x:v>328000</x:v>
      </x:c>
      <x:c r="F5393" s="36" t="n">
        <x:v>2993</x:v>
      </x:c>
      <x:c r="G5393" s="42" t="n">
        <x:v>0.641999141999142</x:v>
      </x:c>
      <x:c r="H5393" s="36" t="n">
        <x:f>E5393*G5393</x:f>
        <x:v>210575.71857571858</x:v>
      </x:c>
      <x:c r="I5393" s="36" t="n">
        <x:f>IFERROR(H5393/A5393,0)</x:f>
        <x:v>23397.30206396873</x:v>
      </x:c>
      <x:c r="J5393" s="67" t="str">
        <x:v>Modeled from live base + Sep-2026 quality ratio</x:v>
      </x:c>
      <x:c r="K5393" s="67" t="str">
        <x:v>https://www.stonealgo.com/diamond-prices/</x:v>
      </x:c>
      <x:c r="L5393" s="67" t="str">
        <x:v>https://www.pricescope.com/blog/natural-diamond-prices-september-2026</x:v>
      </x:c>
    </x:row>
    <x:row r="5394">
      <x:c r="A5394" t="n">
        <x:v>9</x:v>
      </x:c>
      <x:c r="B5394" t="str">
        <x:v>Cushion</x:v>
      </x:c>
      <x:c r="C5394" t="str">
        <x:v>F</x:v>
      </x:c>
      <x:c r="D5394" t="str">
        <x:v>FL</x:v>
      </x:c>
      <x:c r="E5394" s="36" t="n">
        <x:v>328000</x:v>
      </x:c>
      <x:c r="F5394" s="36" t="n">
        <x:v>6830</x:v>
      </x:c>
      <x:c r="G5394" s="42" t="n">
        <x:v>1.4650364650364651</x:v>
      </x:c>
      <x:c r="H5394" s="36" t="n">
        <x:f>E5394*G5394</x:f>
        <x:v>480531.96053196053</x:v>
      </x:c>
      <x:c r="I5394" s="36" t="n">
        <x:f>IFERROR(H5394/A5394,0)</x:f>
        <x:v>53392.440059106724</x:v>
      </x:c>
      <x:c r="J5394" s="67" t="str">
        <x:v>Modeled from live base + Sep-2026 quality ratio</x:v>
      </x:c>
      <x:c r="K5394" s="67" t="str">
        <x:v>https://www.stonealgo.com/diamond-prices/</x:v>
      </x:c>
      <x:c r="L5394" s="67" t="str">
        <x:v>https://www.pricescope.com/blog/natural-diamond-prices-september-2026</x:v>
      </x:c>
    </x:row>
    <x:row r="5395">
      <x:c r="A5395" t="n">
        <x:v>9</x:v>
      </x:c>
      <x:c r="B5395" t="str">
        <x:v>Cushion</x:v>
      </x:c>
      <x:c r="C5395" t="str">
        <x:v>F</x:v>
      </x:c>
      <x:c r="D5395" t="str">
        <x:v>IF</x:v>
      </x:c>
      <x:c r="E5395" s="36" t="n">
        <x:v>328000</x:v>
      </x:c>
      <x:c r="F5395" s="36" t="n">
        <x:v>7302</x:v>
      </x:c>
      <x:c r="G5395" s="42" t="n">
        <x:v>1.5662805662805663</x:v>
      </x:c>
      <x:c r="H5395" s="36" t="n">
        <x:f>E5395*G5395</x:f>
        <x:v>513740.02574002574</x:v>
      </x:c>
      <x:c r="I5395" s="36" t="n">
        <x:f>IFERROR(H5395/A5395,0)</x:f>
        <x:v>57082.22508222508</x:v>
      </x:c>
      <x:c r="J5395" s="67" t="str">
        <x:v>Modeled from live base + Sep-2026 quality ratio</x:v>
      </x:c>
      <x:c r="K5395" s="67" t="str">
        <x:v>https://www.stonealgo.com/diamond-prices/</x:v>
      </x:c>
      <x:c r="L5395" s="67" t="str">
        <x:v>https://www.pricescope.com/blog/natural-diamond-prices-september-2026</x:v>
      </x:c>
    </x:row>
    <x:row r="5396">
      <x:c r="A5396" t="n">
        <x:v>9</x:v>
      </x:c>
      <x:c r="B5396" t="str">
        <x:v>Cushion</x:v>
      </x:c>
      <x:c r="C5396" t="str">
        <x:v>F</x:v>
      </x:c>
      <x:c r="D5396" t="str">
        <x:v>VVS1</x:v>
      </x:c>
      <x:c r="E5396" s="36" t="n">
        <x:v>328000</x:v>
      </x:c>
      <x:c r="F5396" s="36" t="n">
        <x:v>7542</x:v>
      </x:c>
      <x:c r="G5396" s="42" t="n">
        <x:v>1.6177606177606179</x:v>
      </x:c>
      <x:c r="H5396" s="36" t="n">
        <x:f>E5396*G5396</x:f>
        <x:v>530625.4826254826</x:v>
      </x:c>
      <x:c r="I5396" s="36" t="n">
        <x:f>IFERROR(H5396/A5396,0)</x:f>
        <x:v>58958.38695838695</x:v>
      </x:c>
      <x:c r="J5396" s="67" t="str">
        <x:v>Modeled from live base + Sep-2026 quality ratio</x:v>
      </x:c>
      <x:c r="K5396" s="67" t="str">
        <x:v>https://www.stonealgo.com/diamond-prices/</x:v>
      </x:c>
      <x:c r="L5396" s="67" t="str">
        <x:v>https://www.pricescope.com/blog/natural-diamond-prices-september-2026</x:v>
      </x:c>
    </x:row>
    <x:row r="5397">
      <x:c r="A5397" t="n">
        <x:v>9</x:v>
      </x:c>
      <x:c r="B5397" t="str">
        <x:v>Cushion</x:v>
      </x:c>
      <x:c r="C5397" t="str">
        <x:v>F</x:v>
      </x:c>
      <x:c r="D5397" t="str">
        <x:v>VVS2</x:v>
      </x:c>
      <x:c r="E5397" s="36" t="n">
        <x:v>328000</x:v>
      </x:c>
      <x:c r="F5397" s="36" t="n">
        <x:v>6352</x:v>
      </x:c>
      <x:c r="G5397" s="42" t="n">
        <x:v>1.3625053625053625</x:v>
      </x:c>
      <x:c r="H5397" s="36" t="n">
        <x:f>E5397*G5397</x:f>
        <x:v>446901.7589017589</x:v>
      </x:c>
      <x:c r="I5397" s="36" t="n">
        <x:f>IFERROR(H5397/A5397,0)</x:f>
        <x:v>49655.75098908432</x:v>
      </x:c>
      <x:c r="J5397" s="67" t="str">
        <x:v>Modeled from live base + Sep-2026 quality ratio</x:v>
      </x:c>
      <x:c r="K5397" s="67" t="str">
        <x:v>https://www.stonealgo.com/diamond-prices/</x:v>
      </x:c>
      <x:c r="L5397" s="67" t="str">
        <x:v>https://www.pricescope.com/blog/natural-diamond-prices-september-2026</x:v>
      </x:c>
    </x:row>
    <x:row r="5398">
      <x:c r="A5398" t="n">
        <x:v>9</x:v>
      </x:c>
      <x:c r="B5398" t="str">
        <x:v>Cushion</x:v>
      </x:c>
      <x:c r="C5398" t="str">
        <x:v>F</x:v>
      </x:c>
      <x:c r="D5398" t="str">
        <x:v>VS1</x:v>
      </x:c>
      <x:c r="E5398" s="36" t="n">
        <x:v>328000</x:v>
      </x:c>
      <x:c r="F5398" s="36" t="n">
        <x:v>5647</x:v>
      </x:c>
      <x:c r="G5398" s="42" t="n">
        <x:v>1.2112827112827114</x:v>
      </x:c>
      <x:c r="H5398" s="36" t="n">
        <x:f>E5398*G5398</x:f>
        <x:v>397300.72930072935</x:v>
      </x:c>
      <x:c r="I5398" s="36" t="n">
        <x:f>IFERROR(H5398/A5398,0)</x:f>
        <x:v>44144.52547785881</x:v>
      </x:c>
      <x:c r="J5398" s="67" t="str">
        <x:v>Modeled from live base + Sep-2026 quality ratio</x:v>
      </x:c>
      <x:c r="K5398" s="67" t="str">
        <x:v>https://www.stonealgo.com/diamond-prices/</x:v>
      </x:c>
      <x:c r="L5398" s="67" t="str">
        <x:v>https://www.pricescope.com/blog/natural-diamond-prices-september-2026</x:v>
      </x:c>
    </x:row>
    <x:row r="5399">
      <x:c r="A5399" t="n">
        <x:v>9</x:v>
      </x:c>
      <x:c r="B5399" t="str">
        <x:v>Cushion</x:v>
      </x:c>
      <x:c r="C5399" t="str">
        <x:v>F</x:v>
      </x:c>
      <x:c r="D5399" t="str">
        <x:v>VS2</x:v>
      </x:c>
      <x:c r="E5399" s="36" t="n">
        <x:v>328000</x:v>
      </x:c>
      <x:c r="F5399" s="36" t="n">
        <x:v>4730</x:v>
      </x:c>
      <x:c r="G5399" s="42" t="n">
        <x:v>1.0145860145860146</x:v>
      </x:c>
      <x:c r="H5399" s="36" t="n">
        <x:f>E5399*G5399</x:f>
        <x:v>332784.2127842128</x:v>
      </x:c>
      <x:c r="I5399" s="36" t="n">
        <x:f>IFERROR(H5399/A5399,0)</x:f>
        <x:v>36976.02364269031</x:v>
      </x:c>
      <x:c r="J5399" s="67" t="str">
        <x:v>Modeled from live base + Sep-2026 quality ratio</x:v>
      </x:c>
      <x:c r="K5399" s="67" t="str">
        <x:v>https://www.stonealgo.com/diamond-prices/</x:v>
      </x:c>
      <x:c r="L5399" s="67" t="str">
        <x:v>https://www.pricescope.com/blog/natural-diamond-prices-september-2026</x:v>
      </x:c>
    </x:row>
    <x:row r="5400">
      <x:c r="A5400" t="n">
        <x:v>9</x:v>
      </x:c>
      <x:c r="B5400" t="str">
        <x:v>Cushion</x:v>
      </x:c>
      <x:c r="C5400" t="str">
        <x:v>F</x:v>
      </x:c>
      <x:c r="D5400" t="str">
        <x:v>SI1</x:v>
      </x:c>
      <x:c r="E5400" s="36" t="n">
        <x:v>328000</x:v>
      </x:c>
      <x:c r="F5400" s="36" t="n">
        <x:v>3331</x:v>
      </x:c>
      <x:c r="G5400" s="42" t="n">
        <x:v>0.7145002145002145</x:v>
      </x:c>
      <x:c r="H5400" s="36" t="n">
        <x:f>E5400*G5400</x:f>
        <x:v>234356.07035607036</x:v>
      </x:c>
      <x:c r="I5400" s="36" t="n">
        <x:f>IFERROR(H5400/A5400,0)</x:f>
        <x:v>26039.563372896708</x:v>
      </x:c>
      <x:c r="J5400" s="67" t="str">
        <x:v>Modeled from live base + Sep-2026 quality ratio</x:v>
      </x:c>
      <x:c r="K5400" s="67" t="str">
        <x:v>https://www.stonealgo.com/diamond-prices/</x:v>
      </x:c>
      <x:c r="L5400" s="67" t="str">
        <x:v>https://www.pricescope.com/blog/natural-diamond-prices-september-2026</x:v>
      </x:c>
    </x:row>
    <x:row r="5401">
      <x:c r="A5401" t="n">
        <x:v>9</x:v>
      </x:c>
      <x:c r="B5401" t="str">
        <x:v>Cushion</x:v>
      </x:c>
      <x:c r="C5401" t="str">
        <x:v>F</x:v>
      </x:c>
      <x:c r="D5401" t="str">
        <x:v>SI2</x:v>
      </x:c>
      <x:c r="E5401" s="36" t="n">
        <x:v>328000</x:v>
      </x:c>
      <x:c r="F5401" s="36" t="n">
        <x:v>2733</x:v>
      </x:c>
      <x:c r="G5401" s="42" t="n">
        <x:v>0.5862290862290862</x:v>
      </x:c>
      <x:c r="H5401" s="36" t="n">
        <x:f>E5401*G5401</x:f>
        <x:v>192283.14028314027</x:v>
      </x:c>
      <x:c r="I5401" s="36" t="n">
        <x:f>IFERROR(H5401/A5401,0)</x:f>
        <x:v>21364.793364793364</x:v>
      </x:c>
      <x:c r="J5401" s="67" t="str">
        <x:v>Modeled from live base + Sep-2026 quality ratio</x:v>
      </x:c>
      <x:c r="K5401" s="67" t="str">
        <x:v>https://www.stonealgo.com/diamond-prices/</x:v>
      </x:c>
      <x:c r="L5401" s="67" t="str">
        <x:v>https://www.pricescope.com/blog/natural-diamond-prices-september-2026</x:v>
      </x:c>
    </x:row>
    <x:row r="5402">
      <x:c r="A5402" t="n">
        <x:v>9</x:v>
      </x:c>
      <x:c r="B5402" t="str">
        <x:v>Cushion</x:v>
      </x:c>
      <x:c r="C5402" t="str">
        <x:v>G</x:v>
      </x:c>
      <x:c r="D5402" t="str">
        <x:v>FL</x:v>
      </x:c>
      <x:c r="E5402" s="36" t="n">
        <x:v>328000</x:v>
      </x:c>
      <x:c r="F5402" s="36" t="n">
        <x:v>5905</x:v>
      </x:c>
      <x:c r="G5402" s="42" t="n">
        <x:v>1.2666237666237665</x:v>
      </x:c>
      <x:c r="H5402" s="36" t="n">
        <x:f>E5402*G5402</x:f>
        <x:v>415452.59545259544</x:v>
      </x:c>
      <x:c r="I5402" s="36" t="n">
        <x:f>IFERROR(H5402/A5402,0)</x:f>
        <x:v>46161.399494732825</x:v>
      </x:c>
      <x:c r="J5402" s="67" t="str">
        <x:v>Modeled from live base + Sep-2026 quality ratio</x:v>
      </x:c>
      <x:c r="K5402" s="67" t="str">
        <x:v>https://www.stonealgo.com/diamond-prices/</x:v>
      </x:c>
      <x:c r="L5402" s="67" t="str">
        <x:v>https://www.pricescope.com/blog/natural-diamond-prices-september-2026</x:v>
      </x:c>
    </x:row>
    <x:row r="5403">
      <x:c r="A5403" t="n">
        <x:v>9</x:v>
      </x:c>
      <x:c r="B5403" t="str">
        <x:v>Cushion</x:v>
      </x:c>
      <x:c r="C5403" t="str">
        <x:v>G</x:v>
      </x:c>
      <x:c r="D5403" t="str">
        <x:v>IF</x:v>
      </x:c>
      <x:c r="E5403" s="36" t="n">
        <x:v>328000</x:v>
      </x:c>
      <x:c r="F5403" s="36" t="n">
        <x:v>5601</x:v>
      </x:c>
      <x:c r="G5403" s="42" t="n">
        <x:v>1.2014157014157014</x:v>
      </x:c>
      <x:c r="H5403" s="36" t="n">
        <x:f>E5403*G5403</x:f>
        <x:v>394064.35006435006</x:v>
      </x:c>
      <x:c r="I5403" s="36" t="n">
        <x:f>IFERROR(H5403/A5403,0)</x:f>
        <x:v>43784.927784927786</x:v>
      </x:c>
      <x:c r="J5403" s="67" t="str">
        <x:v>Modeled from live base + Sep-2026 quality ratio</x:v>
      </x:c>
      <x:c r="K5403" s="67" t="str">
        <x:v>https://www.stonealgo.com/diamond-prices/</x:v>
      </x:c>
      <x:c r="L5403" s="67" t="str">
        <x:v>https://www.pricescope.com/blog/natural-diamond-prices-september-2026</x:v>
      </x:c>
    </x:row>
    <x:row r="5404">
      <x:c r="A5404" t="n">
        <x:v>9</x:v>
      </x:c>
      <x:c r="B5404" t="str">
        <x:v>Cushion</x:v>
      </x:c>
      <x:c r="C5404" t="str">
        <x:v>G</x:v>
      </x:c>
      <x:c r="D5404" t="str">
        <x:v>VVS1</x:v>
      </x:c>
      <x:c r="E5404" s="36" t="n">
        <x:v>328000</x:v>
      </x:c>
      <x:c r="F5404" s="36" t="n">
        <x:v>5124</x:v>
      </x:c>
      <x:c r="G5404" s="42" t="n">
        <x:v>1.0990990990990992</x:v>
      </x:c>
      <x:c r="H5404" s="36" t="n">
        <x:f>E5404*G5404</x:f>
        <x:v>360504.50450450456</x:v>
      </x:c>
      <x:c r="I5404" s="36" t="n">
        <x:f>IFERROR(H5404/A5404,0)</x:f>
        <x:v>40056.05605605606</x:v>
      </x:c>
      <x:c r="J5404" s="67" t="str">
        <x:v>Modeled from live base + Sep-2026 quality ratio</x:v>
      </x:c>
      <x:c r="K5404" s="67" t="str">
        <x:v>https://www.stonealgo.com/diamond-prices/</x:v>
      </x:c>
      <x:c r="L5404" s="67" t="str">
        <x:v>https://www.pricescope.com/blog/natural-diamond-prices-september-2026</x:v>
      </x:c>
    </x:row>
    <x:row r="5405">
      <x:c r="A5405" t="n">
        <x:v>9</x:v>
      </x:c>
      <x:c r="B5405" t="str">
        <x:v>Cushion</x:v>
      </x:c>
      <x:c r="C5405" t="str">
        <x:v>G</x:v>
      </x:c>
      <x:c r="D5405" t="str">
        <x:v>VVS2</x:v>
      </x:c>
      <x:c r="E5405" s="36" t="n">
        <x:v>328000</x:v>
      </x:c>
      <x:c r="F5405" s="36" t="n">
        <x:v>4962</x:v>
      </x:c>
      <x:c r="G5405" s="42" t="n">
        <x:v>1.0643500643500643</x:v>
      </x:c>
      <x:c r="H5405" s="36" t="n">
        <x:f>E5405*G5405</x:f>
        <x:v>349106.82110682107</x:v>
      </x:c>
      <x:c r="I5405" s="36" t="n">
        <x:f>IFERROR(H5405/A5405,0)</x:f>
        <x:v>38789.64678964679</x:v>
      </x:c>
      <x:c r="J5405" s="67" t="str">
        <x:v>Modeled from live base + Sep-2026 quality ratio</x:v>
      </x:c>
      <x:c r="K5405" s="67" t="str">
        <x:v>https://www.stonealgo.com/diamond-prices/</x:v>
      </x:c>
      <x:c r="L5405" s="67" t="str">
        <x:v>https://www.pricescope.com/blog/natural-diamond-prices-september-2026</x:v>
      </x:c>
    </x:row>
    <x:row r="5406">
      <x:c r="A5406" t="n">
        <x:v>9</x:v>
      </x:c>
      <x:c r="B5406" t="str">
        <x:v>Cushion</x:v>
      </x:c>
      <x:c r="C5406" t="str">
        <x:v>G</x:v>
      </x:c>
      <x:c r="D5406" t="str">
        <x:v>VS1</x:v>
      </x:c>
      <x:c r="E5406" s="36" t="n">
        <x:v>328000</x:v>
      </x:c>
      <x:c r="F5406" s="36" t="n">
        <x:v>4615</x:v>
      </x:c>
      <x:c r="G5406" s="42" t="n">
        <x:v>0.98991848991849</x:v>
      </x:c>
      <x:c r="H5406" s="36" t="n">
        <x:f>E5406*G5406</x:f>
        <x:v>324693.26469326473</x:v>
      </x:c>
      <x:c r="I5406" s="36" t="n">
        <x:f>IFERROR(H5406/A5406,0)</x:f>
        <x:v>36077.029410362746</x:v>
      </x:c>
      <x:c r="J5406" s="67" t="str">
        <x:v>Modeled from live base + Sep-2026 quality ratio</x:v>
      </x:c>
      <x:c r="K5406" s="67" t="str">
        <x:v>https://www.stonealgo.com/diamond-prices/</x:v>
      </x:c>
      <x:c r="L5406" s="67" t="str">
        <x:v>https://www.pricescope.com/blog/natural-diamond-prices-september-2026</x:v>
      </x:c>
    </x:row>
    <x:row r="5407">
      <x:c r="A5407" t="n">
        <x:v>9</x:v>
      </x:c>
      <x:c r="B5407" t="str">
        <x:v>Cushion</x:v>
      </x:c>
      <x:c r="C5407" t="str">
        <x:v>G</x:v>
      </x:c>
      <x:c r="D5407" t="str">
        <x:v>VS2</x:v>
      </x:c>
      <x:c r="E5407" s="36" t="n">
        <x:v>328000</x:v>
      </x:c>
      <x:c r="F5407" s="36" t="n">
        <x:v>4585</x:v>
      </x:c>
      <x:c r="G5407" s="42" t="n">
        <x:v>0.9834834834834835</x:v>
      </x:c>
      <x:c r="H5407" s="36" t="n">
        <x:f>E5407*G5407</x:f>
        <x:v>322582.5825825826</x:v>
      </x:c>
      <x:c r="I5407" s="36" t="n">
        <x:f>IFERROR(H5407/A5407,0)</x:f>
        <x:v>35842.50917584251</x:v>
      </x:c>
      <x:c r="J5407" s="67" t="str">
        <x:v>Modeled from live base + Sep-2026 quality ratio</x:v>
      </x:c>
      <x:c r="K5407" s="67" t="str">
        <x:v>https://www.stonealgo.com/diamond-prices/</x:v>
      </x:c>
      <x:c r="L5407" s="67" t="str">
        <x:v>https://www.pricescope.com/blog/natural-diamond-prices-september-2026</x:v>
      </x:c>
    </x:row>
    <x:row r="5408">
      <x:c r="A5408" t="n">
        <x:v>9</x:v>
      </x:c>
      <x:c r="B5408" t="str">
        <x:v>Cushion</x:v>
      </x:c>
      <x:c r="C5408" t="str">
        <x:v>G</x:v>
      </x:c>
      <x:c r="D5408" t="str">
        <x:v>SI1</x:v>
      </x:c>
      <x:c r="E5408" s="36" t="n">
        <x:v>328000</x:v>
      </x:c>
      <x:c r="F5408" s="36" t="n">
        <x:v>3664</x:v>
      </x:c>
      <x:c r="G5408" s="42" t="n">
        <x:v>0.7859287859287859</x:v>
      </x:c>
      <x:c r="H5408" s="36" t="n">
        <x:f>E5408*G5408</x:f>
        <x:v>257784.64178464178</x:v>
      </x:c>
      <x:c r="I5408" s="36" t="n">
        <x:f>IFERROR(H5408/A5408,0)</x:f>
        <x:v>28642.73797607131</x:v>
      </x:c>
      <x:c r="J5408" s="67" t="str">
        <x:v>Modeled from live base + Sep-2026 quality ratio</x:v>
      </x:c>
      <x:c r="K5408" s="67" t="str">
        <x:v>https://www.stonealgo.com/diamond-prices/</x:v>
      </x:c>
      <x:c r="L5408" s="67" t="str">
        <x:v>https://www.pricescope.com/blog/natural-diamond-prices-september-2026</x:v>
      </x:c>
    </x:row>
    <x:row r="5409">
      <x:c r="A5409" t="n">
        <x:v>9</x:v>
      </x:c>
      <x:c r="B5409" t="str">
        <x:v>Cushion</x:v>
      </x:c>
      <x:c r="C5409" t="str">
        <x:v>G</x:v>
      </x:c>
      <x:c r="D5409" t="str">
        <x:v>SI2</x:v>
      </x:c>
      <x:c r="E5409" s="36" t="n">
        <x:v>328000</x:v>
      </x:c>
      <x:c r="F5409" s="36" t="n">
        <x:v>2537</x:v>
      </x:c>
      <x:c r="G5409" s="42" t="n">
        <x:v>0.5441870441870442</x:v>
      </x:c>
      <x:c r="H5409" s="36" t="n">
        <x:f>E5409*G5409</x:f>
        <x:v>178493.3504933505</x:v>
      </x:c>
      <x:c r="I5409" s="36" t="n">
        <x:f>IFERROR(H5409/A5409,0)</x:f>
        <x:v>19832.594499261166</x:v>
      </x:c>
      <x:c r="J5409" s="67" t="str">
        <x:v>Modeled from live base + Sep-2026 quality ratio</x:v>
      </x:c>
      <x:c r="K5409" s="67" t="str">
        <x:v>https://www.stonealgo.com/diamond-prices/</x:v>
      </x:c>
      <x:c r="L5409" s="67" t="str">
        <x:v>https://www.pricescope.com/blog/natural-diamond-prices-september-2026</x:v>
      </x:c>
    </x:row>
    <x:row r="5410">
      <x:c r="A5410" t="n">
        <x:v>9</x:v>
      </x:c>
      <x:c r="B5410" t="str">
        <x:v>Cushion</x:v>
      </x:c>
      <x:c r="C5410" t="str">
        <x:v>H</x:v>
      </x:c>
      <x:c r="D5410" t="str">
        <x:v>FL</x:v>
      </x:c>
      <x:c r="E5410" s="36" t="n">
        <x:v>328000</x:v>
      </x:c>
      <x:c r="F5410" s="36" t="n">
        <x:v>4563</x:v>
      </x:c>
      <x:c r="G5410" s="42" t="n">
        <x:v>0.9787644787644788</x:v>
      </x:c>
      <x:c r="H5410" s="36" t="n">
        <x:f>E5410*G5410</x:f>
        <x:v>321034.74903474905</x:v>
      </x:c>
      <x:c r="I5410" s="36" t="n">
        <x:f>IFERROR(H5410/A5410,0)</x:f>
        <x:v>35670.52767052767</x:v>
      </x:c>
      <x:c r="J5410" s="67" t="str">
        <x:v>Modeled from live base + Sep-2026 quality ratio</x:v>
      </x:c>
      <x:c r="K5410" s="67" t="str">
        <x:v>https://www.stonealgo.com/diamond-prices/</x:v>
      </x:c>
      <x:c r="L5410" s="67" t="str">
        <x:v>https://www.pricescope.com/blog/natural-diamond-prices-september-2026</x:v>
      </x:c>
    </x:row>
    <x:row r="5411">
      <x:c r="A5411" t="n">
        <x:v>9</x:v>
      </x:c>
      <x:c r="B5411" t="str">
        <x:v>Cushion</x:v>
      </x:c>
      <x:c r="C5411" t="str">
        <x:v>H</x:v>
      </x:c>
      <x:c r="D5411" t="str">
        <x:v>IF</x:v>
      </x:c>
      <x:c r="E5411" s="36" t="n">
        <x:v>328000</x:v>
      </x:c>
      <x:c r="F5411" s="36" t="n">
        <x:v>4809</x:v>
      </x:c>
      <x:c r="G5411" s="42" t="n">
        <x:v>1.0315315315315314</x:v>
      </x:c>
      <x:c r="H5411" s="36" t="n">
        <x:f>E5411*G5411</x:f>
        <x:v>338342.3423423423</x:v>
      </x:c>
      <x:c r="I5411" s="36" t="n">
        <x:f>IFERROR(H5411/A5411,0)</x:f>
        <x:v>37593.59359359359</x:v>
      </x:c>
      <x:c r="J5411" s="67" t="str">
        <x:v>Modeled from live base + Sep-2026 quality ratio</x:v>
      </x:c>
      <x:c r="K5411" s="67" t="str">
        <x:v>https://www.stonealgo.com/diamond-prices/</x:v>
      </x:c>
      <x:c r="L5411" s="67" t="str">
        <x:v>https://www.pricescope.com/blog/natural-diamond-prices-september-2026</x:v>
      </x:c>
    </x:row>
    <x:row r="5412">
      <x:c r="A5412" t="n">
        <x:v>9</x:v>
      </x:c>
      <x:c r="B5412" t="str">
        <x:v>Cushion</x:v>
      </x:c>
      <x:c r="C5412" t="str">
        <x:v>H</x:v>
      </x:c>
      <x:c r="D5412" t="str">
        <x:v>VVS1</x:v>
      </x:c>
      <x:c r="E5412" s="36" t="n">
        <x:v>328000</x:v>
      </x:c>
      <x:c r="F5412" s="36" t="n">
        <x:v>4911</x:v>
      </x:c>
      <x:c r="G5412" s="42" t="n">
        <x:v>1.0534105534105533</x:v>
      </x:c>
      <x:c r="H5412" s="36" t="n">
        <x:f>E5412*G5412</x:f>
        <x:v>345518.6615186615</x:v>
      </x:c>
      <x:c r="I5412" s="36" t="n">
        <x:f>IFERROR(H5412/A5412,0)</x:f>
        <x:v>38390.962390962384</x:v>
      </x:c>
      <x:c r="J5412" s="67" t="str">
        <x:v>Modeled from live base + Sep-2026 quality ratio</x:v>
      </x:c>
      <x:c r="K5412" s="67" t="str">
        <x:v>https://www.stonealgo.com/diamond-prices/</x:v>
      </x:c>
      <x:c r="L5412" s="67" t="str">
        <x:v>https://www.pricescope.com/blog/natural-diamond-prices-september-2026</x:v>
      </x:c>
    </x:row>
    <x:row r="5413">
      <x:c r="A5413" t="n">
        <x:v>9</x:v>
      </x:c>
      <x:c r="B5413" t="str">
        <x:v>Cushion</x:v>
      </x:c>
      <x:c r="C5413" t="str">
        <x:v>H</x:v>
      </x:c>
      <x:c r="D5413" t="str">
        <x:v>VVS2</x:v>
      </x:c>
      <x:c r="E5413" s="36" t="n">
        <x:v>328000</x:v>
      </x:c>
      <x:c r="F5413" s="36" t="n">
        <x:v>4046</x:v>
      </x:c>
      <x:c r="G5413" s="42" t="n">
        <x:v>0.8678678678678678</x:v>
      </x:c>
      <x:c r="H5413" s="36" t="n">
        <x:f>E5413*G5413</x:f>
        <x:v>284660.66066066065</x:v>
      </x:c>
      <x:c r="I5413" s="36" t="n">
        <x:f>IFERROR(H5413/A5413,0)</x:f>
        <x:v>31628.96229562896</x:v>
      </x:c>
      <x:c r="J5413" s="67" t="str">
        <x:v>Modeled from live base + Sep-2026 quality ratio</x:v>
      </x:c>
      <x:c r="K5413" s="67" t="str">
        <x:v>https://www.stonealgo.com/diamond-prices/</x:v>
      </x:c>
      <x:c r="L5413" s="67" t="str">
        <x:v>https://www.pricescope.com/blog/natural-diamond-prices-september-2026</x:v>
      </x:c>
    </x:row>
    <x:row r="5414">
      <x:c r="A5414" t="n">
        <x:v>9</x:v>
      </x:c>
      <x:c r="B5414" t="str">
        <x:v>Cushion</x:v>
      </x:c>
      <x:c r="C5414" t="str">
        <x:v>H</x:v>
      </x:c>
      <x:c r="D5414" t="str">
        <x:v>VS1</x:v>
      </x:c>
      <x:c r="E5414" s="36" t="n">
        <x:v>328000</x:v>
      </x:c>
      <x:c r="F5414" s="36" t="n">
        <x:v>3893</x:v>
      </x:c>
      <x:c r="G5414" s="42" t="n">
        <x:v>0.8350493350493351</x:v>
      </x:c>
      <x:c r="H5414" s="36" t="n">
        <x:f>E5414*G5414</x:f>
        <x:v>273896.1818961819</x:v>
      </x:c>
      <x:c r="I5414" s="36" t="n">
        <x:f>IFERROR(H5414/A5414,0)</x:f>
        <x:v>30432.909099575765</x:v>
      </x:c>
      <x:c r="J5414" s="67" t="str">
        <x:v>Modeled from live base + Sep-2026 quality ratio</x:v>
      </x:c>
      <x:c r="K5414" s="67" t="str">
        <x:v>https://www.stonealgo.com/diamond-prices/</x:v>
      </x:c>
      <x:c r="L5414" s="67" t="str">
        <x:v>https://www.pricescope.com/blog/natural-diamond-prices-september-2026</x:v>
      </x:c>
    </x:row>
    <x:row r="5415">
      <x:c r="A5415" t="n">
        <x:v>9</x:v>
      </x:c>
      <x:c r="B5415" t="str">
        <x:v>Cushion</x:v>
      </x:c>
      <x:c r="C5415" t="str">
        <x:v>H</x:v>
      </x:c>
      <x:c r="D5415" t="str">
        <x:v>VS2</x:v>
      </x:c>
      <x:c r="E5415" s="36" t="n">
        <x:v>328000</x:v>
      </x:c>
      <x:c r="F5415" s="36" t="n">
        <x:v>3989</x:v>
      </x:c>
      <x:c r="G5415" s="42" t="n">
        <x:v>0.8556413556413557</x:v>
      </x:c>
      <x:c r="H5415" s="36" t="n">
        <x:f>E5415*G5415</x:f>
        <x:v>280650.3646503647</x:v>
      </x:c>
      <x:c r="I5415" s="36" t="n">
        <x:f>IFERROR(H5415/A5415,0)</x:f>
        <x:v>31183.37385004052</x:v>
      </x:c>
      <x:c r="J5415" s="67" t="str">
        <x:v>Modeled from live base + Sep-2026 quality ratio</x:v>
      </x:c>
      <x:c r="K5415" s="67" t="str">
        <x:v>https://www.stonealgo.com/diamond-prices/</x:v>
      </x:c>
      <x:c r="L5415" s="67" t="str">
        <x:v>https://www.pricescope.com/blog/natural-diamond-prices-september-2026</x:v>
      </x:c>
    </x:row>
    <x:row r="5416">
      <x:c r="A5416" t="n">
        <x:v>9</x:v>
      </x:c>
      <x:c r="B5416" t="str">
        <x:v>Cushion</x:v>
      </x:c>
      <x:c r="C5416" t="str">
        <x:v>H</x:v>
      </x:c>
      <x:c r="D5416" t="str">
        <x:v>SI1</x:v>
      </x:c>
      <x:c r="E5416" s="36" t="n">
        <x:v>328000</x:v>
      </x:c>
      <x:c r="F5416" s="36" t="n">
        <x:v>2828</x:v>
      </x:c>
      <x:c r="G5416" s="42" t="n">
        <x:v>0.6066066066066066</x:v>
      </x:c>
      <x:c r="H5416" s="36" t="n">
        <x:f>E5416*G5416</x:f>
        <x:v>198966.96696696695</x:v>
      </x:c>
      <x:c r="I5416" s="36" t="n">
        <x:f>IFERROR(H5416/A5416,0)</x:f>
        <x:v>22107.44077410744</x:v>
      </x:c>
      <x:c r="J5416" s="67" t="str">
        <x:v>Modeled from live base + Sep-2026 quality ratio</x:v>
      </x:c>
      <x:c r="K5416" s="67" t="str">
        <x:v>https://www.stonealgo.com/diamond-prices/</x:v>
      </x:c>
      <x:c r="L5416" s="67" t="str">
        <x:v>https://www.pricescope.com/blog/natural-diamond-prices-september-2026</x:v>
      </x:c>
    </x:row>
    <x:row r="5417">
      <x:c r="A5417" t="n">
        <x:v>9</x:v>
      </x:c>
      <x:c r="B5417" t="str">
        <x:v>Cushion</x:v>
      </x:c>
      <x:c r="C5417" t="str">
        <x:v>H</x:v>
      </x:c>
      <x:c r="D5417" t="str">
        <x:v>SI2</x:v>
      </x:c>
      <x:c r="E5417" s="36" t="n">
        <x:v>328000</x:v>
      </x:c>
      <x:c r="F5417" s="36" t="n">
        <x:v>2328</x:v>
      </x:c>
      <x:c r="G5417" s="42" t="n">
        <x:v>0.49935649935649934</x:v>
      </x:c>
      <x:c r="H5417" s="36" t="n">
        <x:f>E5417*G5417</x:f>
        <x:v>163788.93178893178</x:v>
      </x:c>
      <x:c r="I5417" s="36" t="n">
        <x:f>IFERROR(H5417/A5417,0)</x:f>
        <x:v>18198.7701987702</x:v>
      </x:c>
      <x:c r="J5417" s="67" t="str">
        <x:v>Modeled from live base + Sep-2026 quality ratio</x:v>
      </x:c>
      <x:c r="K5417" s="67" t="str">
        <x:v>https://www.stonealgo.com/diamond-prices/</x:v>
      </x:c>
      <x:c r="L5417" s="67" t="str">
        <x:v>https://www.pricescope.com/blog/natural-diamond-prices-september-2026</x:v>
      </x:c>
    </x:row>
    <x:row r="5418">
      <x:c r="A5418" t="n">
        <x:v>9</x:v>
      </x:c>
      <x:c r="B5418" t="str">
        <x:v>Cushion</x:v>
      </x:c>
      <x:c r="C5418" t="str">
        <x:v>I</x:v>
      </x:c>
      <x:c r="D5418" t="str">
        <x:v>FL</x:v>
      </x:c>
      <x:c r="E5418" s="36" t="n">
        <x:v>328000</x:v>
      </x:c>
      <x:c r="F5418" s="36" t="n">
        <x:v>4623</x:v>
      </x:c>
      <x:c r="G5418" s="42" t="n">
        <x:v>0.9916344916344917</x:v>
      </x:c>
      <x:c r="H5418" s="36" t="n">
        <x:f>E5418*G5418</x:f>
        <x:v>325256.11325611325</x:v>
      </x:c>
      <x:c r="I5418" s="36" t="n">
        <x:f>IFERROR(H5418/A5418,0)</x:f>
        <x:v>36139.56813956814</x:v>
      </x:c>
      <x:c r="J5418" s="67" t="str">
        <x:v>Modeled from live base + Sep-2026 quality ratio</x:v>
      </x:c>
      <x:c r="K5418" s="67" t="str">
        <x:v>https://www.stonealgo.com/diamond-prices/</x:v>
      </x:c>
      <x:c r="L5418" s="67" t="str">
        <x:v>https://www.pricescope.com/blog/natural-diamond-prices-september-2026</x:v>
      </x:c>
    </x:row>
    <x:row r="5419">
      <x:c r="A5419" t="n">
        <x:v>9</x:v>
      </x:c>
      <x:c r="B5419" t="str">
        <x:v>Cushion</x:v>
      </x:c>
      <x:c r="C5419" t="str">
        <x:v>I</x:v>
      </x:c>
      <x:c r="D5419" t="str">
        <x:v>IF</x:v>
      </x:c>
      <x:c r="E5419" s="36" t="n">
        <x:v>328000</x:v>
      </x:c>
      <x:c r="F5419" s="36" t="n">
        <x:v>4005</x:v>
      </x:c>
      <x:c r="G5419" s="42" t="n">
        <x:v>0.859073359073359</x:v>
      </x:c>
      <x:c r="H5419" s="36" t="n">
        <x:f>E5419*G5419</x:f>
        <x:v>281776.0617760618</x:v>
      </x:c>
      <x:c r="I5419" s="36" t="n">
        <x:f>IFERROR(H5419/A5419,0)</x:f>
        <x:v>31308.45130845131</x:v>
      </x:c>
      <x:c r="J5419" s="67" t="str">
        <x:v>Modeled from live base + Sep-2026 quality ratio</x:v>
      </x:c>
      <x:c r="K5419" s="67" t="str">
        <x:v>https://www.stonealgo.com/diamond-prices/</x:v>
      </x:c>
      <x:c r="L5419" s="67" t="str">
        <x:v>https://www.pricescope.com/blog/natural-diamond-prices-september-2026</x:v>
      </x:c>
    </x:row>
    <x:row r="5420">
      <x:c r="A5420" t="n">
        <x:v>9</x:v>
      </x:c>
      <x:c r="B5420" t="str">
        <x:v>Cushion</x:v>
      </x:c>
      <x:c r="C5420" t="str">
        <x:v>I</x:v>
      </x:c>
      <x:c r="D5420" t="str">
        <x:v>VVS1</x:v>
      </x:c>
      <x:c r="E5420" s="36" t="n">
        <x:v>328000</x:v>
      </x:c>
      <x:c r="F5420" s="36" t="n">
        <x:v>3670</x:v>
      </x:c>
      <x:c r="G5420" s="42" t="n">
        <x:v>0.7872157872157872</x:v>
      </x:c>
      <x:c r="H5420" s="36" t="n">
        <x:f>E5420*G5420</x:f>
        <x:v>258206.7782067782</x:v>
      </x:c>
      <x:c r="I5420" s="36" t="n">
        <x:f>IFERROR(H5420/A5420,0)</x:f>
        <x:v>28689.642022975357</x:v>
      </x:c>
      <x:c r="J5420" s="67" t="str">
        <x:v>Modeled from live base + Sep-2026 quality ratio</x:v>
      </x:c>
      <x:c r="K5420" s="67" t="str">
        <x:v>https://www.stonealgo.com/diamond-prices/</x:v>
      </x:c>
      <x:c r="L5420" s="67" t="str">
        <x:v>https://www.pricescope.com/blog/natural-diamond-prices-september-2026</x:v>
      </x:c>
    </x:row>
    <x:row r="5421">
      <x:c r="A5421" t="n">
        <x:v>9</x:v>
      </x:c>
      <x:c r="B5421" t="str">
        <x:v>Cushion</x:v>
      </x:c>
      <x:c r="C5421" t="str">
        <x:v>I</x:v>
      </x:c>
      <x:c r="D5421" t="str">
        <x:v>VVS2</x:v>
      </x:c>
      <x:c r="E5421" s="36" t="n">
        <x:v>328000</x:v>
      </x:c>
      <x:c r="F5421" s="36" t="n">
        <x:v>3447</x:v>
      </x:c>
      <x:c r="G5421" s="42" t="n">
        <x:v>0.7393822393822393</x:v>
      </x:c>
      <x:c r="H5421" s="36" t="n">
        <x:f>E5421*G5421</x:f>
        <x:v>242517.3745173745</x:v>
      </x:c>
      <x:c r="I5421" s="36" t="n">
        <x:f>IFERROR(H5421/A5421,0)</x:f>
        <x:v>26946.374946374945</x:v>
      </x:c>
      <x:c r="J5421" s="67" t="str">
        <x:v>Modeled from live base + Sep-2026 quality ratio</x:v>
      </x:c>
      <x:c r="K5421" s="67" t="str">
        <x:v>https://www.stonealgo.com/diamond-prices/</x:v>
      </x:c>
      <x:c r="L5421" s="67" t="str">
        <x:v>https://www.pricescope.com/blog/natural-diamond-prices-september-2026</x:v>
      </x:c>
    </x:row>
    <x:row r="5422">
      <x:c r="A5422" t="n">
        <x:v>9</x:v>
      </x:c>
      <x:c r="B5422" t="str">
        <x:v>Cushion</x:v>
      </x:c>
      <x:c r="C5422" t="str">
        <x:v>I</x:v>
      </x:c>
      <x:c r="D5422" t="str">
        <x:v>VS1</x:v>
      </x:c>
      <x:c r="E5422" s="36" t="n">
        <x:v>328000</x:v>
      </x:c>
      <x:c r="F5422" s="36" t="n">
        <x:v>3313</x:v>
      </x:c>
      <x:c r="G5422" s="42" t="n">
        <x:v>0.7106392106392107</x:v>
      </x:c>
      <x:c r="H5422" s="36" t="n">
        <x:f>E5422*G5422</x:f>
        <x:v>233089.6610896611</x:v>
      </x:c>
      <x:c r="I5422" s="36" t="n">
        <x:f>IFERROR(H5422/A5422,0)</x:f>
        <x:v>25898.851232184566</x:v>
      </x:c>
      <x:c r="J5422" s="67" t="str">
        <x:v>Modeled from live base + Sep-2026 quality ratio</x:v>
      </x:c>
      <x:c r="K5422" s="67" t="str">
        <x:v>https://www.stonealgo.com/diamond-prices/</x:v>
      </x:c>
      <x:c r="L5422" s="67" t="str">
        <x:v>https://www.pricescope.com/blog/natural-diamond-prices-september-2026</x:v>
      </x:c>
    </x:row>
    <x:row r="5423">
      <x:c r="A5423" t="n">
        <x:v>9</x:v>
      </x:c>
      <x:c r="B5423" t="str">
        <x:v>Cushion</x:v>
      </x:c>
      <x:c r="C5423" t="str">
        <x:v>I</x:v>
      </x:c>
      <x:c r="D5423" t="str">
        <x:v>VS2</x:v>
      </x:c>
      <x:c r="E5423" s="36" t="n">
        <x:v>328000</x:v>
      </x:c>
      <x:c r="F5423" s="36" t="n">
        <x:v>3240</x:v>
      </x:c>
      <x:c r="G5423" s="42" t="n">
        <x:v>0.694980694980695</x:v>
      </x:c>
      <x:c r="H5423" s="36" t="n">
        <x:f>E5423*G5423</x:f>
        <x:v>227953.66795366796</x:v>
      </x:c>
      <x:c r="I5423" s="36" t="n">
        <x:f>IFERROR(H5423/A5423,0)</x:f>
        <x:v>25328.18532818533</x:v>
      </x:c>
      <x:c r="J5423" s="67" t="str">
        <x:v>Modeled from live base + Sep-2026 quality ratio</x:v>
      </x:c>
      <x:c r="K5423" s="67" t="str">
        <x:v>https://www.stonealgo.com/diamond-prices/</x:v>
      </x:c>
      <x:c r="L5423" s="67" t="str">
        <x:v>https://www.pricescope.com/blog/natural-diamond-prices-september-2026</x:v>
      </x:c>
    </x:row>
    <x:row r="5424">
      <x:c r="A5424" t="n">
        <x:v>9</x:v>
      </x:c>
      <x:c r="B5424" t="str">
        <x:v>Cushion</x:v>
      </x:c>
      <x:c r="C5424" t="str">
        <x:v>I</x:v>
      </x:c>
      <x:c r="D5424" t="str">
        <x:v>SI1</x:v>
      </x:c>
      <x:c r="E5424" s="36" t="n">
        <x:v>328000</x:v>
      </x:c>
      <x:c r="F5424" s="36" t="n">
        <x:v>3199</x:v>
      </x:c>
      <x:c r="G5424" s="42" t="n">
        <x:v>0.6861861861861862</x:v>
      </x:c>
      <x:c r="H5424" s="36" t="n">
        <x:f>E5424*G5424</x:f>
        <x:v>225069.06906906908</x:v>
      </x:c>
      <x:c r="I5424" s="36" t="n">
        <x:f>IFERROR(H5424/A5424,0)</x:f>
        <x:v>25007.674341007674</x:v>
      </x:c>
      <x:c r="J5424" s="67" t="str">
        <x:v>Modeled from live base + Sep-2026 quality ratio</x:v>
      </x:c>
      <x:c r="K5424" s="67" t="str">
        <x:v>https://www.stonealgo.com/diamond-prices/</x:v>
      </x:c>
      <x:c r="L5424" s="67" t="str">
        <x:v>https://www.pricescope.com/blog/natural-diamond-prices-september-2026</x:v>
      </x:c>
    </x:row>
    <x:row r="5425">
      <x:c r="A5425" t="n">
        <x:v>9</x:v>
      </x:c>
      <x:c r="B5425" t="str">
        <x:v>Cushion</x:v>
      </x:c>
      <x:c r="C5425" t="str">
        <x:v>I</x:v>
      </x:c>
      <x:c r="D5425" t="str">
        <x:v>SI2</x:v>
      </x:c>
      <x:c r="E5425" s="36" t="n">
        <x:v>328000</x:v>
      </x:c>
      <x:c r="F5425" s="36" t="n">
        <x:v>2874</x:v>
      </x:c>
      <x:c r="G5425" s="42" t="n">
        <x:v>0.6164736164736164</x:v>
      </x:c>
      <x:c r="H5425" s="36" t="n">
        <x:f>E5425*G5425</x:f>
        <x:v>202203.34620334618</x:v>
      </x:c>
      <x:c r="I5425" s="36" t="n">
        <x:f>IFERROR(H5425/A5425,0)</x:f>
        <x:v>22467.038467038466</x:v>
      </x:c>
      <x:c r="J5425" s="67" t="str">
        <x:v>Modeled from live base + Sep-2026 quality ratio</x:v>
      </x:c>
      <x:c r="K5425" s="67" t="str">
        <x:v>https://www.stonealgo.com/diamond-prices/</x:v>
      </x:c>
      <x:c r="L5425" s="67" t="str">
        <x:v>https://www.pricescope.com/blog/natural-diamond-prices-september-2026</x:v>
      </x:c>
    </x:row>
    <x:row r="5426">
      <x:c r="A5426" t="n">
        <x:v>9</x:v>
      </x:c>
      <x:c r="B5426" t="str">
        <x:v>Cushion</x:v>
      </x:c>
      <x:c r="C5426" t="str">
        <x:v>J</x:v>
      </x:c>
      <x:c r="D5426" t="str">
        <x:v>FL</x:v>
      </x:c>
      <x:c r="E5426" s="36" t="n">
        <x:v>328000</x:v>
      </x:c>
      <x:c r="F5426" s="36" t="n">
        <x:v>3646</x:v>
      </x:c>
      <x:c r="G5426" s="42" t="n">
        <x:v>0.782067782067782</x:v>
      </x:c>
      <x:c r="H5426" s="36" t="n">
        <x:f>E5426*G5426</x:f>
        <x:v>256518.23251823251</x:v>
      </x:c>
      <x:c r="I5426" s="36" t="n">
        <x:f>IFERROR(H5426/A5426,0)</x:f>
        <x:v>28502.025835359167</x:v>
      </x:c>
      <x:c r="J5426" s="67" t="str">
        <x:v>Modeled from live base + Sep-2026 quality ratio</x:v>
      </x:c>
      <x:c r="K5426" s="67" t="str">
        <x:v>https://www.stonealgo.com/diamond-prices/</x:v>
      </x:c>
      <x:c r="L5426" s="67" t="str">
        <x:v>https://www.pricescope.com/blog/natural-diamond-prices-september-2026</x:v>
      </x:c>
    </x:row>
    <x:row r="5427">
      <x:c r="A5427" t="n">
        <x:v>9</x:v>
      </x:c>
      <x:c r="B5427" t="str">
        <x:v>Cushion</x:v>
      </x:c>
      <x:c r="C5427" t="str">
        <x:v>J</x:v>
      </x:c>
      <x:c r="D5427" t="str">
        <x:v>IF</x:v>
      </x:c>
      <x:c r="E5427" s="36" t="n">
        <x:v>328000</x:v>
      </x:c>
      <x:c r="F5427" s="36" t="n">
        <x:v>3368</x:v>
      </x:c>
      <x:c r="G5427" s="42" t="n">
        <x:v>0.7224367224367224</x:v>
      </x:c>
      <x:c r="H5427" s="36" t="n">
        <x:f>E5427*G5427</x:f>
        <x:v>236959.24495924494</x:v>
      </x:c>
      <x:c r="I5427" s="36" t="n">
        <x:f>IFERROR(H5427/A5427,0)</x:f>
        <x:v>26328.80499547166</x:v>
      </x:c>
      <x:c r="J5427" s="67" t="str">
        <x:v>Modeled from live base + Sep-2026 quality ratio</x:v>
      </x:c>
      <x:c r="K5427" s="67" t="str">
        <x:v>https://www.stonealgo.com/diamond-prices/</x:v>
      </x:c>
      <x:c r="L5427" s="67" t="str">
        <x:v>https://www.pricescope.com/blog/natural-diamond-prices-september-2026</x:v>
      </x:c>
    </x:row>
    <x:row r="5428">
      <x:c r="A5428" t="n">
        <x:v>9</x:v>
      </x:c>
      <x:c r="B5428" t="str">
        <x:v>Cushion</x:v>
      </x:c>
      <x:c r="C5428" t="str">
        <x:v>J</x:v>
      </x:c>
      <x:c r="D5428" t="str">
        <x:v>VVS1</x:v>
      </x:c>
      <x:c r="E5428" s="36" t="n">
        <x:v>328000</x:v>
      </x:c>
      <x:c r="F5428" s="36" t="n">
        <x:v>2956</x:v>
      </x:c>
      <x:c r="G5428" s="42" t="n">
        <x:v>0.6340626340626341</x:v>
      </x:c>
      <x:c r="H5428" s="36" t="n">
        <x:f>E5428*G5428</x:f>
        <x:v>207972.54397254396</x:v>
      </x:c>
      <x:c r="I5428" s="36" t="n">
        <x:f>IFERROR(H5428/A5428,0)</x:f>
        <x:v>23108.060441393773</x:v>
      </x:c>
      <x:c r="J5428" s="67" t="str">
        <x:v>Modeled from live base + Sep-2026 quality ratio</x:v>
      </x:c>
      <x:c r="K5428" s="67" t="str">
        <x:v>https://www.stonealgo.com/diamond-prices/</x:v>
      </x:c>
      <x:c r="L5428" s="67" t="str">
        <x:v>https://www.pricescope.com/blog/natural-diamond-prices-september-2026</x:v>
      </x:c>
    </x:row>
    <x:row r="5429">
      <x:c r="A5429" t="n">
        <x:v>9</x:v>
      </x:c>
      <x:c r="B5429" t="str">
        <x:v>Cushion</x:v>
      </x:c>
      <x:c r="C5429" t="str">
        <x:v>J</x:v>
      </x:c>
      <x:c r="D5429" t="str">
        <x:v>VVS2</x:v>
      </x:c>
      <x:c r="E5429" s="36" t="n">
        <x:v>328000</x:v>
      </x:c>
      <x:c r="F5429" s="36" t="n">
        <x:v>2612</x:v>
      </x:c>
      <x:c r="G5429" s="42" t="n">
        <x:v>0.5602745602745602</x:v>
      </x:c>
      <x:c r="H5429" s="36" t="n">
        <x:f>E5429*G5429</x:f>
        <x:v>183770.05577005577</x:v>
      </x:c>
      <x:c r="I5429" s="36" t="n">
        <x:f>IFERROR(H5429/A5429,0)</x:f>
        <x:v>20418.89508556175</x:v>
      </x:c>
      <x:c r="J5429" s="67" t="str">
        <x:v>Modeled from live base + Sep-2026 quality ratio</x:v>
      </x:c>
      <x:c r="K5429" s="67" t="str">
        <x:v>https://www.stonealgo.com/diamond-prices/</x:v>
      </x:c>
      <x:c r="L5429" s="67" t="str">
        <x:v>https://www.pricescope.com/blog/natural-diamond-prices-september-2026</x:v>
      </x:c>
    </x:row>
    <x:row r="5430">
      <x:c r="A5430" t="n">
        <x:v>9</x:v>
      </x:c>
      <x:c r="B5430" t="str">
        <x:v>Cushion</x:v>
      </x:c>
      <x:c r="C5430" t="str">
        <x:v>J</x:v>
      </x:c>
      <x:c r="D5430" t="str">
        <x:v>VS1</x:v>
      </x:c>
      <x:c r="E5430" s="36" t="n">
        <x:v>328000</x:v>
      </x:c>
      <x:c r="F5430" s="36" t="n">
        <x:v>3002</x:v>
      </x:c>
      <x:c r="G5430" s="42" t="n">
        <x:v>0.6439296439296439</x:v>
      </x:c>
      <x:c r="H5430" s="36" t="n">
        <x:f>E5430*G5430</x:f>
        <x:v>211208.9232089232</x:v>
      </x:c>
      <x:c r="I5430" s="36" t="n">
        <x:f>IFERROR(H5430/A5430,0)</x:f>
        <x:v>23467.6581343248</x:v>
      </x:c>
      <x:c r="J5430" s="67" t="str">
        <x:v>Modeled from live base + Sep-2026 quality ratio</x:v>
      </x:c>
      <x:c r="K5430" s="67" t="str">
        <x:v>https://www.stonealgo.com/diamond-prices/</x:v>
      </x:c>
      <x:c r="L5430" s="67" t="str">
        <x:v>https://www.pricescope.com/blog/natural-diamond-prices-september-2026</x:v>
      </x:c>
    </x:row>
    <x:row r="5431">
      <x:c r="A5431" t="n">
        <x:v>9</x:v>
      </x:c>
      <x:c r="B5431" t="str">
        <x:v>Cushion</x:v>
      </x:c>
      <x:c r="C5431" t="str">
        <x:v>J</x:v>
      </x:c>
      <x:c r="D5431" t="str">
        <x:v>VS2</x:v>
      </x:c>
      <x:c r="E5431" s="36" t="n">
        <x:v>328000</x:v>
      </x:c>
      <x:c r="F5431" s="36" t="n">
        <x:v>2559</x:v>
      </x:c>
      <x:c r="G5431" s="42" t="n">
        <x:v>0.5489060489060489</x:v>
      </x:c>
      <x:c r="H5431" s="36" t="n">
        <x:f>E5431*G5431</x:f>
        <x:v>180041.18404118402</x:v>
      </x:c>
      <x:c r="I5431" s="36" t="n">
        <x:f>IFERROR(H5431/A5431,0)</x:f>
        <x:v>20004.576004576003</x:v>
      </x:c>
      <x:c r="J5431" s="67" t="str">
        <x:v>Modeled from live base + Sep-2026 quality ratio</x:v>
      </x:c>
      <x:c r="K5431" s="67" t="str">
        <x:v>https://www.stonealgo.com/diamond-prices/</x:v>
      </x:c>
      <x:c r="L5431" s="67" t="str">
        <x:v>https://www.pricescope.com/blog/natural-diamond-prices-september-2026</x:v>
      </x:c>
    </x:row>
    <x:row r="5432">
      <x:c r="A5432" t="n">
        <x:v>9</x:v>
      </x:c>
      <x:c r="B5432" t="str">
        <x:v>Cushion</x:v>
      </x:c>
      <x:c r="C5432" t="str">
        <x:v>J</x:v>
      </x:c>
      <x:c r="D5432" t="str">
        <x:v>SI1</x:v>
      </x:c>
      <x:c r="E5432" s="36" t="n">
        <x:v>328000</x:v>
      </x:c>
      <x:c r="F5432" s="36" t="n">
        <x:v>2195</x:v>
      </x:c>
      <x:c r="G5432" s="42" t="n">
        <x:v>0.47082797082797084</x:v>
      </x:c>
      <x:c r="H5432" s="36" t="n">
        <x:f>E5432*G5432</x:f>
        <x:v>154431.57443157444</x:v>
      </x:c>
      <x:c r="I5432" s="36" t="n">
        <x:f>IFERROR(H5432/A5432,0)</x:f>
        <x:v>17159.063825730493</x:v>
      </x:c>
      <x:c r="J5432" s="67" t="str">
        <x:v>Modeled from live base + Sep-2026 quality ratio</x:v>
      </x:c>
      <x:c r="K5432" s="67" t="str">
        <x:v>https://www.stonealgo.com/diamond-prices/</x:v>
      </x:c>
      <x:c r="L5432" s="67" t="str">
        <x:v>https://www.pricescope.com/blog/natural-diamond-prices-september-2026</x:v>
      </x:c>
    </x:row>
    <x:row r="5433">
      <x:c r="A5433" t="n">
        <x:v>9</x:v>
      </x:c>
      <x:c r="B5433" t="str">
        <x:v>Cushion</x:v>
      </x:c>
      <x:c r="C5433" t="str">
        <x:v>J</x:v>
      </x:c>
      <x:c r="D5433" t="str">
        <x:v>SI2</x:v>
      </x:c>
      <x:c r="E5433" s="36" t="n">
        <x:v>328000</x:v>
      </x:c>
      <x:c r="F5433" s="36" t="n">
        <x:v>2079</x:v>
      </x:c>
      <x:c r="G5433" s="42" t="n">
        <x:v>0.44594594594594594</x:v>
      </x:c>
      <x:c r="H5433" s="36" t="n">
        <x:f>E5433*G5433</x:f>
        <x:v>146270.27027027027</x:v>
      </x:c>
      <x:c r="I5433" s="36" t="n">
        <x:f>IFERROR(H5433/A5433,0)</x:f>
        <x:v>16252.252252252252</x:v>
      </x:c>
      <x:c r="J5433" s="67" t="str">
        <x:v>Modeled from live base + Sep-2026 quality ratio</x:v>
      </x:c>
      <x:c r="K5433" s="67" t="str">
        <x:v>https://www.stonealgo.com/diamond-prices/</x:v>
      </x:c>
      <x:c r="L5433" s="67" t="str">
        <x:v>https://www.pricescope.com/blog/natural-diamond-prices-september-2026</x:v>
      </x:c>
    </x:row>
    <x:row r="5434">
      <x:c r="A5434" t="n">
        <x:v>9</x:v>
      </x:c>
      <x:c r="B5434" t="str">
        <x:v>Cushion</x:v>
      </x:c>
      <x:c r="C5434" t="str">
        <x:v>K</x:v>
      </x:c>
      <x:c r="D5434" t="str">
        <x:v>FL</x:v>
      </x:c>
      <x:c r="E5434" s="36" t="n">
        <x:v>328000</x:v>
      </x:c>
      <x:c r="F5434" s="36" t="n">
        <x:v>2858</x:v>
      </x:c>
      <x:c r="G5434" s="42" t="n">
        <x:v>0.6130416130416131</x:v>
      </x:c>
      <x:c r="H5434" s="36" t="n">
        <x:f>E5434*G5434</x:f>
        <x:v>201077.64907764908</x:v>
      </x:c>
      <x:c r="I5434" s="36" t="n">
        <x:f>IFERROR(H5434/A5434,0)</x:f>
        <x:v>22341.961008627677</x:v>
      </x:c>
      <x:c r="J5434" s="67" t="str">
        <x:v>Modeled from live base + Sep-2026 quality ratio; K/FL quality cell modeled</x:v>
      </x:c>
      <x:c r="K5434" s="67" t="str">
        <x:v>https://www.stonealgo.com/diamond-prices/</x:v>
      </x:c>
      <x:c r="L5434" s="67" t="str">
        <x:v>https://www.pricescope.com/blog/natural-diamond-prices-september-2026</x:v>
      </x:c>
    </x:row>
    <x:row r="5435">
      <x:c r="A5435" t="n">
        <x:v>9</x:v>
      </x:c>
      <x:c r="B5435" t="str">
        <x:v>Cushion</x:v>
      </x:c>
      <x:c r="C5435" t="str">
        <x:v>K</x:v>
      </x:c>
      <x:c r="D5435" t="str">
        <x:v>IF</x:v>
      </x:c>
      <x:c r="E5435" s="36" t="n">
        <x:v>328000</x:v>
      </x:c>
      <x:c r="F5435" s="36" t="n">
        <x:v>2743</x:v>
      </x:c>
      <x:c r="G5435" s="42" t="n">
        <x:v>0.5883740883740883</x:v>
      </x:c>
      <x:c r="H5435" s="36" t="n">
        <x:f>E5435*G5435</x:f>
        <x:v>192986.70098670098</x:v>
      </x:c>
      <x:c r="I5435" s="36" t="n">
        <x:f>IFERROR(H5435/A5435,0)</x:f>
        <x:v>21442.96677630011</x:v>
      </x:c>
      <x:c r="J5435" s="67" t="str">
        <x:v>Modeled from live base + Sep-2026 quality ratio</x:v>
      </x:c>
      <x:c r="K5435" s="67" t="str">
        <x:v>https://www.stonealgo.com/diamond-prices/</x:v>
      </x:c>
      <x:c r="L5435" s="67" t="str">
        <x:v>https://www.pricescope.com/blog/natural-diamond-prices-september-2026</x:v>
      </x:c>
    </x:row>
    <x:row r="5436">
      <x:c r="A5436" t="n">
        <x:v>9</x:v>
      </x:c>
      <x:c r="B5436" t="str">
        <x:v>Cushion</x:v>
      </x:c>
      <x:c r="C5436" t="str">
        <x:v>K</x:v>
      </x:c>
      <x:c r="D5436" t="str">
        <x:v>VVS1</x:v>
      </x:c>
      <x:c r="E5436" s="36" t="n">
        <x:v>328000</x:v>
      </x:c>
      <x:c r="F5436" s="36" t="n">
        <x:v>2529</x:v>
      </x:c>
      <x:c r="G5436" s="42" t="n">
        <x:v>0.5424710424710425</x:v>
      </x:c>
      <x:c r="H5436" s="36" t="n">
        <x:f>E5436*G5436</x:f>
        <x:v>177930.50193050195</x:v>
      </x:c>
      <x:c r="I5436" s="36" t="n">
        <x:f>IFERROR(H5436/A5436,0)</x:f>
        <x:v>19770.055770055773</x:v>
      </x:c>
      <x:c r="J5436" s="67" t="str">
        <x:v>Modeled from live base + Sep-2026 quality ratio</x:v>
      </x:c>
      <x:c r="K5436" s="67" t="str">
        <x:v>https://www.stonealgo.com/diamond-prices/</x:v>
      </x:c>
      <x:c r="L5436" s="67" t="str">
        <x:v>https://www.pricescope.com/blog/natural-diamond-prices-september-2026</x:v>
      </x:c>
    </x:row>
    <x:row r="5437">
      <x:c r="A5437" t="n">
        <x:v>9</x:v>
      </x:c>
      <x:c r="B5437" t="str">
        <x:v>Cushion</x:v>
      </x:c>
      <x:c r="C5437" t="str">
        <x:v>K</x:v>
      </x:c>
      <x:c r="D5437" t="str">
        <x:v>VVS2</x:v>
      </x:c>
      <x:c r="E5437" s="36" t="n">
        <x:v>328000</x:v>
      </x:c>
      <x:c r="F5437" s="36" t="n">
        <x:v>2374</x:v>
      </x:c>
      <x:c r="G5437" s="42" t="n">
        <x:v>0.5092235092235092</x:v>
      </x:c>
      <x:c r="H5437" s="36" t="n">
        <x:f>E5437*G5437</x:f>
        <x:v>167025.31102531104</x:v>
      </x:c>
      <x:c r="I5437" s="36" t="n">
        <x:f>IFERROR(H5437/A5437,0)</x:f>
        <x:v>18558.367891701226</x:v>
      </x:c>
      <x:c r="J5437" s="67" t="str">
        <x:v>Modeled from live base + Sep-2026 quality ratio</x:v>
      </x:c>
      <x:c r="K5437" s="67" t="str">
        <x:v>https://www.stonealgo.com/diamond-prices/</x:v>
      </x:c>
      <x:c r="L5437" s="67" t="str">
        <x:v>https://www.pricescope.com/blog/natural-diamond-prices-september-2026</x:v>
      </x:c>
    </x:row>
    <x:row r="5438">
      <x:c r="A5438" t="n">
        <x:v>9</x:v>
      </x:c>
      <x:c r="B5438" t="str">
        <x:v>Cushion</x:v>
      </x:c>
      <x:c r="C5438" t="str">
        <x:v>K</x:v>
      </x:c>
      <x:c r="D5438" t="str">
        <x:v>VS1</x:v>
      </x:c>
      <x:c r="E5438" s="36" t="n">
        <x:v>328000</x:v>
      </x:c>
      <x:c r="F5438" s="36" t="n">
        <x:v>2223</x:v>
      </x:c>
      <x:c r="G5438" s="42" t="n">
        <x:v>0.4768339768339768</x:v>
      </x:c>
      <x:c r="H5438" s="36" t="n">
        <x:f>E5438*G5438</x:f>
        <x:v>156401.5444015444</x:v>
      </x:c>
      <x:c r="I5438" s="36" t="n">
        <x:f>IFERROR(H5438/A5438,0)</x:f>
        <x:v>17377.94937794938</x:v>
      </x:c>
      <x:c r="J5438" s="67" t="str">
        <x:v>Modeled from live base + Sep-2026 quality ratio</x:v>
      </x:c>
      <x:c r="K5438" s="67" t="str">
        <x:v>https://www.stonealgo.com/diamond-prices/</x:v>
      </x:c>
      <x:c r="L5438" s="67" t="str">
        <x:v>https://www.pricescope.com/blog/natural-diamond-prices-september-2026</x:v>
      </x:c>
    </x:row>
    <x:row r="5439">
      <x:c r="A5439" t="n">
        <x:v>9</x:v>
      </x:c>
      <x:c r="B5439" t="str">
        <x:v>Cushion</x:v>
      </x:c>
      <x:c r="C5439" t="str">
        <x:v>K</x:v>
      </x:c>
      <x:c r="D5439" t="str">
        <x:v>VS2</x:v>
      </x:c>
      <x:c r="E5439" s="36" t="n">
        <x:v>328000</x:v>
      </x:c>
      <x:c r="F5439" s="36" t="n">
        <x:v>2098</x:v>
      </x:c>
      <x:c r="G5439" s="42" t="n">
        <x:v>0.45002145002145</x:v>
      </x:c>
      <x:c r="H5439" s="36" t="n">
        <x:f>E5439*G5439</x:f>
        <x:v>147607.0356070356</x:v>
      </x:c>
      <x:c r="I5439" s="36" t="n">
        <x:f>IFERROR(H5439/A5439,0)</x:f>
        <x:v>16400.781734115066</x:v>
      </x:c>
      <x:c r="J5439" s="67" t="str">
        <x:v>Modeled from live base + Sep-2026 quality ratio</x:v>
      </x:c>
      <x:c r="K5439" s="67" t="str">
        <x:v>https://www.stonealgo.com/diamond-prices/</x:v>
      </x:c>
      <x:c r="L5439" s="67" t="str">
        <x:v>https://www.pricescope.com/blog/natural-diamond-prices-september-2026</x:v>
      </x:c>
    </x:row>
    <x:row r="5440">
      <x:c r="A5440" t="n">
        <x:v>9</x:v>
      </x:c>
      <x:c r="B5440" t="str">
        <x:v>Cushion</x:v>
      </x:c>
      <x:c r="C5440" t="str">
        <x:v>K</x:v>
      </x:c>
      <x:c r="D5440" t="str">
        <x:v>SI1</x:v>
      </x:c>
      <x:c r="E5440" s="36" t="n">
        <x:v>328000</x:v>
      </x:c>
      <x:c r="F5440" s="36" t="n">
        <x:v>1922</x:v>
      </x:c>
      <x:c r="G5440" s="42" t="n">
        <x:v>0.41226941226941227</x:v>
      </x:c>
      <x:c r="H5440" s="36" t="n">
        <x:f>E5440*G5440</x:f>
        <x:v>135224.36722436722</x:v>
      </x:c>
      <x:c r="I5440" s="36" t="n">
        <x:f>IFERROR(H5440/A5440,0)</x:f>
        <x:v>15024.929691596357</x:v>
      </x:c>
      <x:c r="J5440" s="67" t="str">
        <x:v>Modeled from live base + Sep-2026 quality ratio</x:v>
      </x:c>
      <x:c r="K5440" s="67" t="str">
        <x:v>https://www.stonealgo.com/diamond-prices/</x:v>
      </x:c>
      <x:c r="L5440" s="67" t="str">
        <x:v>https://www.pricescope.com/blog/natural-diamond-prices-september-2026</x:v>
      </x:c>
    </x:row>
    <x:row r="5441">
      <x:c r="A5441" t="n">
        <x:v>9</x:v>
      </x:c>
      <x:c r="B5441" t="str">
        <x:v>Cushion</x:v>
      </x:c>
      <x:c r="C5441" t="str">
        <x:v>K</x:v>
      </x:c>
      <x:c r="D5441" t="str">
        <x:v>SI2</x:v>
      </x:c>
      <x:c r="E5441" s="36" t="n">
        <x:v>328000</x:v>
      </x:c>
      <x:c r="F5441" s="36" t="n">
        <x:v>1764</x:v>
      </x:c>
      <x:c r="G5441" s="42" t="n">
        <x:v>0.3783783783783784</x:v>
      </x:c>
      <x:c r="H5441" s="36" t="n">
        <x:f>E5441*G5441</x:f>
        <x:v>124108.10810810812</x:v>
      </x:c>
      <x:c r="I5441" s="36" t="n">
        <x:f>IFERROR(H5441/A5441,0)</x:f>
        <x:v>13789.789789789791</x:v>
      </x:c>
      <x:c r="J5441" s="67" t="str">
        <x:v>Modeled from live base + Sep-2026 quality ratio</x:v>
      </x:c>
      <x:c r="K5441" s="67" t="str">
        <x:v>https://www.stonealgo.com/diamond-prices/</x:v>
      </x:c>
      <x:c r="L5441" s="67" t="str">
        <x:v>https://www.pricescope.com/blog/natural-diamond-prices-september-2026</x:v>
      </x:c>
    </x:row>
    <x:row r="5442">
      <x:c r="A5442" t="n">
        <x:v>9</x:v>
      </x:c>
      <x:c r="B5442" t="str">
        <x:v>Radiant</x:v>
      </x:c>
      <x:c r="C5442" t="str">
        <x:v>D</x:v>
      </x:c>
      <x:c r="D5442" t="str">
        <x:v>FL</x:v>
      </x:c>
      <x:c r="E5442" s="36" t="n">
        <x:v>215000</x:v>
      </x:c>
      <x:c r="F5442" s="36" t="n">
        <x:v>12665</x:v>
      </x:c>
      <x:c r="G5442" s="42" t="n">
        <x:v>2.7166452166452166</x:v>
      </x:c>
      <x:c r="H5442" s="36" t="n">
        <x:f>E5442*G5442</x:f>
        <x:v>584078.7215787215</x:v>
      </x:c>
      <x:c r="I5442" s="36" t="n">
        <x:f>IFERROR(H5442/A5442,0)</x:f>
        <x:v>64897.63573096906</x:v>
      </x:c>
      <x:c r="J5442" s="67" t="str">
        <x:v>Modeled from live base + Sep-2026 quality ratio</x:v>
      </x:c>
      <x:c r="K5442" s="67" t="str">
        <x:v>https://www.stonealgo.com/diamond-prices/</x:v>
      </x:c>
      <x:c r="L5442" s="67" t="str">
        <x:v>https://www.pricescope.com/blog/natural-diamond-prices-september-2026</x:v>
      </x:c>
    </x:row>
    <x:row r="5443">
      <x:c r="A5443" t="n">
        <x:v>9</x:v>
      </x:c>
      <x:c r="B5443" t="str">
        <x:v>Radiant</x:v>
      </x:c>
      <x:c r="C5443" t="str">
        <x:v>D</x:v>
      </x:c>
      <x:c r="D5443" t="str">
        <x:v>IF</x:v>
      </x:c>
      <x:c r="E5443" s="36" t="n">
        <x:v>215000</x:v>
      </x:c>
      <x:c r="F5443" s="36" t="n">
        <x:v>13240</x:v>
      </x:c>
      <x:c r="G5443" s="42" t="n">
        <x:v>2.83998283998284</x:v>
      </x:c>
      <x:c r="H5443" s="36" t="n">
        <x:f>E5443*G5443</x:f>
        <x:v>610596.3105963106</x:v>
      </x:c>
      <x:c r="I5443" s="36" t="n">
        <x:f>IFERROR(H5443/A5443,0)</x:f>
        <x:v>67844.03451070118</x:v>
      </x:c>
      <x:c r="J5443" s="67" t="str">
        <x:v>Modeled from live base + Sep-2026 quality ratio</x:v>
      </x:c>
      <x:c r="K5443" s="67" t="str">
        <x:v>https://www.stonealgo.com/diamond-prices/</x:v>
      </x:c>
      <x:c r="L5443" s="67" t="str">
        <x:v>https://www.pricescope.com/blog/natural-diamond-prices-september-2026</x:v>
      </x:c>
    </x:row>
    <x:row r="5444">
      <x:c r="A5444" t="n">
        <x:v>9</x:v>
      </x:c>
      <x:c r="B5444" t="str">
        <x:v>Radiant</x:v>
      </x:c>
      <x:c r="C5444" t="str">
        <x:v>D</x:v>
      </x:c>
      <x:c r="D5444" t="str">
        <x:v>VVS1</x:v>
      </x:c>
      <x:c r="E5444" s="36" t="n">
        <x:v>215000</x:v>
      </x:c>
      <x:c r="F5444" s="36" t="n">
        <x:v>9555</x:v>
      </x:c>
      <x:c r="G5444" s="42" t="n">
        <x:v>2.0495495495495497</x:v>
      </x:c>
      <x:c r="H5444" s="36" t="n">
        <x:f>E5444*G5444</x:f>
        <x:v>440653.1531531532</x:v>
      </x:c>
      <x:c r="I5444" s="36" t="n">
        <x:f>IFERROR(H5444/A5444,0)</x:f>
        <x:v>48961.46146146147</x:v>
      </x:c>
      <x:c r="J5444" s="67" t="str">
        <x:v>Modeled from live base + Sep-2026 quality ratio</x:v>
      </x:c>
      <x:c r="K5444" s="67" t="str">
        <x:v>https://www.stonealgo.com/diamond-prices/</x:v>
      </x:c>
      <x:c r="L5444" s="67" t="str">
        <x:v>https://www.pricescope.com/blog/natural-diamond-prices-september-2026</x:v>
      </x:c>
    </x:row>
    <x:row r="5445">
      <x:c r="A5445" t="n">
        <x:v>9</x:v>
      </x:c>
      <x:c r="B5445" t="str">
        <x:v>Radiant</x:v>
      </x:c>
      <x:c r="C5445" t="str">
        <x:v>D</x:v>
      </x:c>
      <x:c r="D5445" t="str">
        <x:v>VVS2</x:v>
      </x:c>
      <x:c r="E5445" s="36" t="n">
        <x:v>215000</x:v>
      </x:c>
      <x:c r="F5445" s="36" t="n">
        <x:v>6660</x:v>
      </x:c>
      <x:c r="G5445" s="42" t="n">
        <x:v>1.4285714285714286</x:v>
      </x:c>
      <x:c r="H5445" s="36" t="n">
        <x:f>E5445*G5445</x:f>
        <x:v>307142.85714285716</x:v>
      </x:c>
      <x:c r="I5445" s="36" t="n">
        <x:f>IFERROR(H5445/A5445,0)</x:f>
        <x:v>34126.98412698413</x:v>
      </x:c>
      <x:c r="J5445" s="67" t="str">
        <x:v>Modeled from live base + Sep-2026 quality ratio</x:v>
      </x:c>
      <x:c r="K5445" s="67" t="str">
        <x:v>https://www.stonealgo.com/diamond-prices/</x:v>
      </x:c>
      <x:c r="L5445" s="67" t="str">
        <x:v>https://www.pricescope.com/blog/natural-diamond-prices-september-2026</x:v>
      </x:c>
    </x:row>
    <x:row r="5446">
      <x:c r="A5446" t="n">
        <x:v>9</x:v>
      </x:c>
      <x:c r="B5446" t="str">
        <x:v>Radiant</x:v>
      </x:c>
      <x:c r="C5446" t="str">
        <x:v>D</x:v>
      </x:c>
      <x:c r="D5446" t="str">
        <x:v>VS1</x:v>
      </x:c>
      <x:c r="E5446" s="36" t="n">
        <x:v>215000</x:v>
      </x:c>
      <x:c r="F5446" s="36" t="n">
        <x:v>6247</x:v>
      </x:c>
      <x:c r="G5446" s="42" t="n">
        <x:v>1.33998283998284</x:v>
      </x:c>
      <x:c r="H5446" s="36" t="n">
        <x:f>E5446*G5446</x:f>
        <x:v>288096.3105963106</x:v>
      </x:c>
      <x:c r="I5446" s="36" t="n">
        <x:f>IFERROR(H5446/A5446,0)</x:f>
        <x:v>32010.701177367842</x:v>
      </x:c>
      <x:c r="J5446" s="67" t="str">
        <x:v>Modeled from live base + Sep-2026 quality ratio</x:v>
      </x:c>
      <x:c r="K5446" s="67" t="str">
        <x:v>https://www.stonealgo.com/diamond-prices/</x:v>
      </x:c>
      <x:c r="L5446" s="67" t="str">
        <x:v>https://www.pricescope.com/blog/natural-diamond-prices-september-2026</x:v>
      </x:c>
    </x:row>
    <x:row r="5447">
      <x:c r="A5447" t="n">
        <x:v>9</x:v>
      </x:c>
      <x:c r="B5447" t="str">
        <x:v>Radiant</x:v>
      </x:c>
      <x:c r="C5447" t="str">
        <x:v>D</x:v>
      </x:c>
      <x:c r="D5447" t="str">
        <x:v>VS2</x:v>
      </x:c>
      <x:c r="E5447" s="36" t="n">
        <x:v>215000</x:v>
      </x:c>
      <x:c r="F5447" s="36" t="n">
        <x:v>5841</x:v>
      </x:c>
      <x:c r="G5447" s="42" t="n">
        <x:v>1.252895752895753</x:v>
      </x:c>
      <x:c r="H5447" s="36" t="n">
        <x:f>E5447*G5447</x:f>
        <x:v>269372.58687258686</x:v>
      </x:c>
      <x:c r="I5447" s="36" t="n">
        <x:f>IFERROR(H5447/A5447,0)</x:f>
        <x:v>29930.28743028743</x:v>
      </x:c>
      <x:c r="J5447" s="67" t="str">
        <x:v>Modeled from live base + Sep-2026 quality ratio</x:v>
      </x:c>
      <x:c r="K5447" s="67" t="str">
        <x:v>https://www.stonealgo.com/diamond-prices/</x:v>
      </x:c>
      <x:c r="L5447" s="67" t="str">
        <x:v>https://www.pricescope.com/blog/natural-diamond-prices-september-2026</x:v>
      </x:c>
    </x:row>
    <x:row r="5448">
      <x:c r="A5448" t="n">
        <x:v>9</x:v>
      </x:c>
      <x:c r="B5448" t="str">
        <x:v>Radiant</x:v>
      </x:c>
      <x:c r="C5448" t="str">
        <x:v>D</x:v>
      </x:c>
      <x:c r="D5448" t="str">
        <x:v>SI1</x:v>
      </x:c>
      <x:c r="E5448" s="36" t="n">
        <x:v>215000</x:v>
      </x:c>
      <x:c r="F5448" s="36" t="n">
        <x:v>3762</x:v>
      </x:c>
      <x:c r="G5448" s="42" t="n">
        <x:v>0.806949806949807</x:v>
      </x:c>
      <x:c r="H5448" s="36" t="n">
        <x:f>E5448*G5448</x:f>
        <x:v>173494.2084942085</x:v>
      </x:c>
      <x:c r="I5448" s="36" t="n">
        <x:f>IFERROR(H5448/A5448,0)</x:f>
        <x:v>19277.134277134275</x:v>
      </x:c>
      <x:c r="J5448" s="67" t="str">
        <x:v>Modeled from live base + Sep-2026 quality ratio</x:v>
      </x:c>
      <x:c r="K5448" s="67" t="str">
        <x:v>https://www.stonealgo.com/diamond-prices/</x:v>
      </x:c>
      <x:c r="L5448" s="67" t="str">
        <x:v>https://www.pricescope.com/blog/natural-diamond-prices-september-2026</x:v>
      </x:c>
    </x:row>
    <x:row r="5449">
      <x:c r="A5449" t="n">
        <x:v>9</x:v>
      </x:c>
      <x:c r="B5449" t="str">
        <x:v>Radiant</x:v>
      </x:c>
      <x:c r="C5449" t="str">
        <x:v>D</x:v>
      </x:c>
      <x:c r="D5449" t="str">
        <x:v>SI2</x:v>
      </x:c>
      <x:c r="E5449" s="36" t="n">
        <x:v>215000</x:v>
      </x:c>
      <x:c r="F5449" s="36" t="n">
        <x:v>3026</x:v>
      </x:c>
      <x:c r="G5449" s="42" t="n">
        <x:v>0.6490776490776491</x:v>
      </x:c>
      <x:c r="H5449" s="36" t="n">
        <x:f>E5449*G5449</x:f>
        <x:v>139551.69455169456</x:v>
      </x:c>
      <x:c r="I5449" s="36" t="n">
        <x:f>IFERROR(H5449/A5449,0)</x:f>
        <x:v>15505.743839077173</x:v>
      </x:c>
      <x:c r="J5449" s="67" t="str">
        <x:v>Modeled from live base + Sep-2026 quality ratio</x:v>
      </x:c>
      <x:c r="K5449" s="67" t="str">
        <x:v>https://www.stonealgo.com/diamond-prices/</x:v>
      </x:c>
      <x:c r="L5449" s="67" t="str">
        <x:v>https://www.pricescope.com/blog/natural-diamond-prices-september-2026</x:v>
      </x:c>
    </x:row>
    <x:row r="5450">
      <x:c r="A5450" t="n">
        <x:v>9</x:v>
      </x:c>
      <x:c r="B5450" t="str">
        <x:v>Radiant</x:v>
      </x:c>
      <x:c r="C5450" t="str">
        <x:v>E</x:v>
      </x:c>
      <x:c r="D5450" t="str">
        <x:v>FL</x:v>
      </x:c>
      <x:c r="E5450" s="36" t="n">
        <x:v>215000</x:v>
      </x:c>
      <x:c r="F5450" s="36" t="n">
        <x:v>10072</x:v>
      </x:c>
      <x:c r="G5450" s="42" t="n">
        <x:v>2.1604461604461602</x:v>
      </x:c>
      <x:c r="H5450" s="36" t="n">
        <x:f>E5450*G5450</x:f>
        <x:v>464495.92449592444</x:v>
      </x:c>
      <x:c r="I5450" s="36" t="n">
        <x:f>IFERROR(H5450/A5450,0)</x:f>
        <x:v>51610.65827732494</x:v>
      </x:c>
      <x:c r="J5450" s="67" t="str">
        <x:v>Modeled from live base + Sep-2026 quality ratio</x:v>
      </x:c>
      <x:c r="K5450" s="67" t="str">
        <x:v>https://www.stonealgo.com/diamond-prices/</x:v>
      </x:c>
      <x:c r="L5450" s="67" t="str">
        <x:v>https://www.pricescope.com/blog/natural-diamond-prices-september-2026</x:v>
      </x:c>
    </x:row>
    <x:row r="5451">
      <x:c r="A5451" t="n">
        <x:v>9</x:v>
      </x:c>
      <x:c r="B5451" t="str">
        <x:v>Radiant</x:v>
      </x:c>
      <x:c r="C5451" t="str">
        <x:v>E</x:v>
      </x:c>
      <x:c r="D5451" t="str">
        <x:v>IF</x:v>
      </x:c>
      <x:c r="E5451" s="36" t="n">
        <x:v>215000</x:v>
      </x:c>
      <x:c r="F5451" s="36" t="n">
        <x:v>8672</x:v>
      </x:c>
      <x:c r="G5451" s="42" t="n">
        <x:v>1.8601458601458603</x:v>
      </x:c>
      <x:c r="H5451" s="36" t="n">
        <x:f>E5451*G5451</x:f>
        <x:v>399931.35993135994</x:v>
      </x:c>
      <x:c r="I5451" s="36" t="n">
        <x:f>IFERROR(H5451/A5451,0)</x:f>
        <x:v>44436.8177701511</x:v>
      </x:c>
      <x:c r="J5451" s="67" t="str">
        <x:v>Modeled from live base + Sep-2026 quality ratio</x:v>
      </x:c>
      <x:c r="K5451" s="67" t="str">
        <x:v>https://www.stonealgo.com/diamond-prices/</x:v>
      </x:c>
      <x:c r="L5451" s="67" t="str">
        <x:v>https://www.pricescope.com/blog/natural-diamond-prices-september-2026</x:v>
      </x:c>
    </x:row>
    <x:row r="5452">
      <x:c r="A5452" t="n">
        <x:v>9</x:v>
      </x:c>
      <x:c r="B5452" t="str">
        <x:v>Radiant</x:v>
      </x:c>
      <x:c r="C5452" t="str">
        <x:v>E</x:v>
      </x:c>
      <x:c r="D5452" t="str">
        <x:v>VVS1</x:v>
      </x:c>
      <x:c r="E5452" s="36" t="n">
        <x:v>215000</x:v>
      </x:c>
      <x:c r="F5452" s="36" t="n">
        <x:v>7842</x:v>
      </x:c>
      <x:c r="G5452" s="42" t="n">
        <x:v>1.6821106821106822</x:v>
      </x:c>
      <x:c r="H5452" s="36" t="n">
        <x:f>E5452*G5452</x:f>
        <x:v>361653.7966537967</x:v>
      </x:c>
      <x:c r="I5452" s="36" t="n">
        <x:f>IFERROR(H5452/A5452,0)</x:f>
        <x:v>40183.75518375519</x:v>
      </x:c>
      <x:c r="J5452" s="67" t="str">
        <x:v>Modeled from live base + Sep-2026 quality ratio</x:v>
      </x:c>
      <x:c r="K5452" s="67" t="str">
        <x:v>https://www.stonealgo.com/diamond-prices/</x:v>
      </x:c>
      <x:c r="L5452" s="67" t="str">
        <x:v>https://www.pricescope.com/blog/natural-diamond-prices-september-2026</x:v>
      </x:c>
    </x:row>
    <x:row r="5453">
      <x:c r="A5453" t="n">
        <x:v>9</x:v>
      </x:c>
      <x:c r="B5453" t="str">
        <x:v>Radiant</x:v>
      </x:c>
      <x:c r="C5453" t="str">
        <x:v>E</x:v>
      </x:c>
      <x:c r="D5453" t="str">
        <x:v>VVS2</x:v>
      </x:c>
      <x:c r="E5453" s="36" t="n">
        <x:v>215000</x:v>
      </x:c>
      <x:c r="F5453" s="36" t="n">
        <x:v>6880</x:v>
      </x:c>
      <x:c r="G5453" s="42" t="n">
        <x:v>1.4757614757614759</x:v>
      </x:c>
      <x:c r="H5453" s="36" t="n">
        <x:f>E5453*G5453</x:f>
        <x:v>317288.71728871734</x:v>
      </x:c>
      <x:c r="I5453" s="36" t="n">
        <x:f>IFERROR(H5453/A5453,0)</x:f>
        <x:v>35254.301920968595</x:v>
      </x:c>
      <x:c r="J5453" s="67" t="str">
        <x:v>Modeled from live base + Sep-2026 quality ratio</x:v>
      </x:c>
      <x:c r="K5453" s="67" t="str">
        <x:v>https://www.stonealgo.com/diamond-prices/</x:v>
      </x:c>
      <x:c r="L5453" s="67" t="str">
        <x:v>https://www.pricescope.com/blog/natural-diamond-prices-september-2026</x:v>
      </x:c>
    </x:row>
    <x:row r="5454">
      <x:c r="A5454" t="n">
        <x:v>9</x:v>
      </x:c>
      <x:c r="B5454" t="str">
        <x:v>Radiant</x:v>
      </x:c>
      <x:c r="C5454" t="str">
        <x:v>E</x:v>
      </x:c>
      <x:c r="D5454" t="str">
        <x:v>VS1</x:v>
      </x:c>
      <x:c r="E5454" s="36" t="n">
        <x:v>215000</x:v>
      </x:c>
      <x:c r="F5454" s="36" t="n">
        <x:v>6307</x:v>
      </x:c>
      <x:c r="G5454" s="42" t="n">
        <x:v>1.352852852852853</x:v>
      </x:c>
      <x:c r="H5454" s="36" t="n">
        <x:f>E5454*G5454</x:f>
        <x:v>290863.3633633634</x:v>
      </x:c>
      <x:c r="I5454" s="36" t="n">
        <x:f>IFERROR(H5454/A5454,0)</x:f>
        <x:v>32318.151484818154</x:v>
      </x:c>
      <x:c r="J5454" s="67" t="str">
        <x:v>Modeled from live base + Sep-2026 quality ratio</x:v>
      </x:c>
      <x:c r="K5454" s="67" t="str">
        <x:v>https://www.stonealgo.com/diamond-prices/</x:v>
      </x:c>
      <x:c r="L5454" s="67" t="str">
        <x:v>https://www.pricescope.com/blog/natural-diamond-prices-september-2026</x:v>
      </x:c>
    </x:row>
    <x:row r="5455">
      <x:c r="A5455" t="n">
        <x:v>9</x:v>
      </x:c>
      <x:c r="B5455" t="str">
        <x:v>Radiant</x:v>
      </x:c>
      <x:c r="C5455" t="str">
        <x:v>E</x:v>
      </x:c>
      <x:c r="D5455" t="str">
        <x:v>VS2</x:v>
      </x:c>
      <x:c r="E5455" s="36" t="n">
        <x:v>215000</x:v>
      </x:c>
      <x:c r="F5455" s="36" t="n">
        <x:v>5249</x:v>
      </x:c>
      <x:c r="G5455" s="42" t="n">
        <x:v>1.125911625911626</x:v>
      </x:c>
      <x:c r="H5455" s="36" t="n">
        <x:f>E5455*G5455</x:f>
        <x:v>242070.9995709996</x:v>
      </x:c>
      <x:c r="I5455" s="36" t="n">
        <x:f>IFERROR(H5455/A5455,0)</x:f>
        <x:v>26896.777730111065</x:v>
      </x:c>
      <x:c r="J5455" s="67" t="str">
        <x:v>Modeled from live base + Sep-2026 quality ratio</x:v>
      </x:c>
      <x:c r="K5455" s="67" t="str">
        <x:v>https://www.stonealgo.com/diamond-prices/</x:v>
      </x:c>
      <x:c r="L5455" s="67" t="str">
        <x:v>https://www.pricescope.com/blog/natural-diamond-prices-september-2026</x:v>
      </x:c>
    </x:row>
    <x:row r="5456">
      <x:c r="A5456" t="n">
        <x:v>9</x:v>
      </x:c>
      <x:c r="B5456" t="str">
        <x:v>Radiant</x:v>
      </x:c>
      <x:c r="C5456" t="str">
        <x:v>E</x:v>
      </x:c>
      <x:c r="D5456" t="str">
        <x:v>SI1</x:v>
      </x:c>
      <x:c r="E5456" s="36" t="n">
        <x:v>215000</x:v>
      </x:c>
      <x:c r="F5456" s="36" t="n">
        <x:v>3551</x:v>
      </x:c>
      <x:c r="G5456" s="42" t="n">
        <x:v>0.7616902616902617</x:v>
      </x:c>
      <x:c r="H5456" s="36" t="n">
        <x:f>E5456*G5456</x:f>
        <x:v>163763.40626340624</x:v>
      </x:c>
      <x:c r="I5456" s="36" t="n">
        <x:f>IFERROR(H5456/A5456,0)</x:f>
        <x:v>18195.93402926736</x:v>
      </x:c>
      <x:c r="J5456" s="67" t="str">
        <x:v>Modeled from live base + Sep-2026 quality ratio</x:v>
      </x:c>
      <x:c r="K5456" s="67" t="str">
        <x:v>https://www.stonealgo.com/diamond-prices/</x:v>
      </x:c>
      <x:c r="L5456" s="67" t="str">
        <x:v>https://www.pricescope.com/blog/natural-diamond-prices-september-2026</x:v>
      </x:c>
    </x:row>
    <x:row r="5457">
      <x:c r="A5457" t="n">
        <x:v>9</x:v>
      </x:c>
      <x:c r="B5457" t="str">
        <x:v>Radiant</x:v>
      </x:c>
      <x:c r="C5457" t="str">
        <x:v>E</x:v>
      </x:c>
      <x:c r="D5457" t="str">
        <x:v>SI2</x:v>
      </x:c>
      <x:c r="E5457" s="36" t="n">
        <x:v>215000</x:v>
      </x:c>
      <x:c r="F5457" s="36" t="n">
        <x:v>2993</x:v>
      </x:c>
      <x:c r="G5457" s="42" t="n">
        <x:v>0.641999141999142</x:v>
      </x:c>
      <x:c r="H5457" s="36" t="n">
        <x:f>E5457*G5457</x:f>
        <x:v>138029.81552981553</x:v>
      </x:c>
      <x:c r="I5457" s="36" t="n">
        <x:f>IFERROR(H5457/A5457,0)</x:f>
        <x:v>15336.646169979504</x:v>
      </x:c>
      <x:c r="J5457" s="67" t="str">
        <x:v>Modeled from live base + Sep-2026 quality ratio</x:v>
      </x:c>
      <x:c r="K5457" s="67" t="str">
        <x:v>https://www.stonealgo.com/diamond-prices/</x:v>
      </x:c>
      <x:c r="L5457" s="67" t="str">
        <x:v>https://www.pricescope.com/blog/natural-diamond-prices-september-2026</x:v>
      </x:c>
    </x:row>
    <x:row r="5458">
      <x:c r="A5458" t="n">
        <x:v>9</x:v>
      </x:c>
      <x:c r="B5458" t="str">
        <x:v>Radiant</x:v>
      </x:c>
      <x:c r="C5458" t="str">
        <x:v>F</x:v>
      </x:c>
      <x:c r="D5458" t="str">
        <x:v>FL</x:v>
      </x:c>
      <x:c r="E5458" s="36" t="n">
        <x:v>215000</x:v>
      </x:c>
      <x:c r="F5458" s="36" t="n">
        <x:v>6830</x:v>
      </x:c>
      <x:c r="G5458" s="42" t="n">
        <x:v>1.4650364650364651</x:v>
      </x:c>
      <x:c r="H5458" s="36" t="n">
        <x:f>E5458*G5458</x:f>
        <x:v>314982.83998284</x:v>
      </x:c>
      <x:c r="I5458" s="36" t="n">
        <x:f>IFERROR(H5458/A5458,0)</x:f>
        <x:v>34998.093331426666</x:v>
      </x:c>
      <x:c r="J5458" s="67" t="str">
        <x:v>Modeled from live base + Sep-2026 quality ratio</x:v>
      </x:c>
      <x:c r="K5458" s="67" t="str">
        <x:v>https://www.stonealgo.com/diamond-prices/</x:v>
      </x:c>
      <x:c r="L5458" s="67" t="str">
        <x:v>https://www.pricescope.com/blog/natural-diamond-prices-september-2026</x:v>
      </x:c>
    </x:row>
    <x:row r="5459">
      <x:c r="A5459" t="n">
        <x:v>9</x:v>
      </x:c>
      <x:c r="B5459" t="str">
        <x:v>Radiant</x:v>
      </x:c>
      <x:c r="C5459" t="str">
        <x:v>F</x:v>
      </x:c>
      <x:c r="D5459" t="str">
        <x:v>IF</x:v>
      </x:c>
      <x:c r="E5459" s="36" t="n">
        <x:v>215000</x:v>
      </x:c>
      <x:c r="F5459" s="36" t="n">
        <x:v>7302</x:v>
      </x:c>
      <x:c r="G5459" s="42" t="n">
        <x:v>1.5662805662805663</x:v>
      </x:c>
      <x:c r="H5459" s="36" t="n">
        <x:f>E5459*G5459</x:f>
        <x:v>336750.3217503218</x:v>
      </x:c>
      <x:c r="I5459" s="36" t="n">
        <x:f>IFERROR(H5459/A5459,0)</x:f>
        <x:v>37416.70241670242</x:v>
      </x:c>
      <x:c r="J5459" s="67" t="str">
        <x:v>Modeled from live base + Sep-2026 quality ratio</x:v>
      </x:c>
      <x:c r="K5459" s="67" t="str">
        <x:v>https://www.stonealgo.com/diamond-prices/</x:v>
      </x:c>
      <x:c r="L5459" s="67" t="str">
        <x:v>https://www.pricescope.com/blog/natural-diamond-prices-september-2026</x:v>
      </x:c>
    </x:row>
    <x:row r="5460">
      <x:c r="A5460" t="n">
        <x:v>9</x:v>
      </x:c>
      <x:c r="B5460" t="str">
        <x:v>Radiant</x:v>
      </x:c>
      <x:c r="C5460" t="str">
        <x:v>F</x:v>
      </x:c>
      <x:c r="D5460" t="str">
        <x:v>VVS1</x:v>
      </x:c>
      <x:c r="E5460" s="36" t="n">
        <x:v>215000</x:v>
      </x:c>
      <x:c r="F5460" s="36" t="n">
        <x:v>7542</x:v>
      </x:c>
      <x:c r="G5460" s="42" t="n">
        <x:v>1.6177606177606179</x:v>
      </x:c>
      <x:c r="H5460" s="36" t="n">
        <x:f>E5460*G5460</x:f>
        <x:v>347818.53281853284</x:v>
      </x:c>
      <x:c r="I5460" s="36" t="n">
        <x:f>IFERROR(H5460/A5460,0)</x:f>
        <x:v>38646.50364650365</x:v>
      </x:c>
      <x:c r="J5460" s="67" t="str">
        <x:v>Modeled from live base + Sep-2026 quality ratio</x:v>
      </x:c>
      <x:c r="K5460" s="67" t="str">
        <x:v>https://www.stonealgo.com/diamond-prices/</x:v>
      </x:c>
      <x:c r="L5460" s="67" t="str">
        <x:v>https://www.pricescope.com/blog/natural-diamond-prices-september-2026</x:v>
      </x:c>
    </x:row>
    <x:row r="5461">
      <x:c r="A5461" t="n">
        <x:v>9</x:v>
      </x:c>
      <x:c r="B5461" t="str">
        <x:v>Radiant</x:v>
      </x:c>
      <x:c r="C5461" t="str">
        <x:v>F</x:v>
      </x:c>
      <x:c r="D5461" t="str">
        <x:v>VVS2</x:v>
      </x:c>
      <x:c r="E5461" s="36" t="n">
        <x:v>215000</x:v>
      </x:c>
      <x:c r="F5461" s="36" t="n">
        <x:v>6352</x:v>
      </x:c>
      <x:c r="G5461" s="42" t="n">
        <x:v>1.3625053625053625</x:v>
      </x:c>
      <x:c r="H5461" s="36" t="n">
        <x:f>E5461*G5461</x:f>
        <x:v>292938.65293865296</x:v>
      </x:c>
      <x:c r="I5461" s="36" t="n">
        <x:f>IFERROR(H5461/A5461,0)</x:f>
        <x:v>32548.739215405883</x:v>
      </x:c>
      <x:c r="J5461" s="67" t="str">
        <x:v>Modeled from live base + Sep-2026 quality ratio</x:v>
      </x:c>
      <x:c r="K5461" s="67" t="str">
        <x:v>https://www.stonealgo.com/diamond-prices/</x:v>
      </x:c>
      <x:c r="L5461" s="67" t="str">
        <x:v>https://www.pricescope.com/blog/natural-diamond-prices-september-2026</x:v>
      </x:c>
    </x:row>
    <x:row r="5462">
      <x:c r="A5462" t="n">
        <x:v>9</x:v>
      </x:c>
      <x:c r="B5462" t="str">
        <x:v>Radiant</x:v>
      </x:c>
      <x:c r="C5462" t="str">
        <x:v>F</x:v>
      </x:c>
      <x:c r="D5462" t="str">
        <x:v>VS1</x:v>
      </x:c>
      <x:c r="E5462" s="36" t="n">
        <x:v>215000</x:v>
      </x:c>
      <x:c r="F5462" s="36" t="n">
        <x:v>5647</x:v>
      </x:c>
      <x:c r="G5462" s="42" t="n">
        <x:v>1.2112827112827114</x:v>
      </x:c>
      <x:c r="H5462" s="36" t="n">
        <x:f>E5462*G5462</x:f>
        <x:v>260425.78292578296</x:v>
      </x:c>
      <x:c r="I5462" s="36" t="n">
        <x:f>IFERROR(H5462/A5462,0)</x:f>
        <x:v>28936.19810286477</x:v>
      </x:c>
      <x:c r="J5462" s="67" t="str">
        <x:v>Modeled from live base + Sep-2026 quality ratio</x:v>
      </x:c>
      <x:c r="K5462" s="67" t="str">
        <x:v>https://www.stonealgo.com/diamond-prices/</x:v>
      </x:c>
      <x:c r="L5462" s="67" t="str">
        <x:v>https://www.pricescope.com/blog/natural-diamond-prices-september-2026</x:v>
      </x:c>
    </x:row>
    <x:row r="5463">
      <x:c r="A5463" t="n">
        <x:v>9</x:v>
      </x:c>
      <x:c r="B5463" t="str">
        <x:v>Radiant</x:v>
      </x:c>
      <x:c r="C5463" t="str">
        <x:v>F</x:v>
      </x:c>
      <x:c r="D5463" t="str">
        <x:v>VS2</x:v>
      </x:c>
      <x:c r="E5463" s="36" t="n">
        <x:v>215000</x:v>
      </x:c>
      <x:c r="F5463" s="36" t="n">
        <x:v>4730</x:v>
      </x:c>
      <x:c r="G5463" s="42" t="n">
        <x:v>1.0145860145860146</x:v>
      </x:c>
      <x:c r="H5463" s="36" t="n">
        <x:f>E5463*G5463</x:f>
        <x:v>218135.99313599314</x:v>
      </x:c>
      <x:c r="I5463" s="36" t="n">
        <x:f>IFERROR(H5463/A5463,0)</x:f>
        <x:v>24237.332570665905</x:v>
      </x:c>
      <x:c r="J5463" s="67" t="str">
        <x:v>Modeled from live base + Sep-2026 quality ratio</x:v>
      </x:c>
      <x:c r="K5463" s="67" t="str">
        <x:v>https://www.stonealgo.com/diamond-prices/</x:v>
      </x:c>
      <x:c r="L5463" s="67" t="str">
        <x:v>https://www.pricescope.com/blog/natural-diamond-prices-september-2026</x:v>
      </x:c>
    </x:row>
    <x:row r="5464">
      <x:c r="A5464" t="n">
        <x:v>9</x:v>
      </x:c>
      <x:c r="B5464" t="str">
        <x:v>Radiant</x:v>
      </x:c>
      <x:c r="C5464" t="str">
        <x:v>F</x:v>
      </x:c>
      <x:c r="D5464" t="str">
        <x:v>SI1</x:v>
      </x:c>
      <x:c r="E5464" s="36" t="n">
        <x:v>215000</x:v>
      </x:c>
      <x:c r="F5464" s="36" t="n">
        <x:v>3331</x:v>
      </x:c>
      <x:c r="G5464" s="42" t="n">
        <x:v>0.7145002145002145</x:v>
      </x:c>
      <x:c r="H5464" s="36" t="n">
        <x:f>E5464*G5464</x:f>
        <x:v>153617.54611754612</x:v>
      </x:c>
      <x:c r="I5464" s="36" t="n">
        <x:f>IFERROR(H5464/A5464,0)</x:f>
        <x:v>17068.6162352829</x:v>
      </x:c>
      <x:c r="J5464" s="67" t="str">
        <x:v>Modeled from live base + Sep-2026 quality ratio</x:v>
      </x:c>
      <x:c r="K5464" s="67" t="str">
        <x:v>https://www.stonealgo.com/diamond-prices/</x:v>
      </x:c>
      <x:c r="L5464" s="67" t="str">
        <x:v>https://www.pricescope.com/blog/natural-diamond-prices-september-2026</x:v>
      </x:c>
    </x:row>
    <x:row r="5465">
      <x:c r="A5465" t="n">
        <x:v>9</x:v>
      </x:c>
      <x:c r="B5465" t="str">
        <x:v>Radiant</x:v>
      </x:c>
      <x:c r="C5465" t="str">
        <x:v>F</x:v>
      </x:c>
      <x:c r="D5465" t="str">
        <x:v>SI2</x:v>
      </x:c>
      <x:c r="E5465" s="36" t="n">
        <x:v>215000</x:v>
      </x:c>
      <x:c r="F5465" s="36" t="n">
        <x:v>2733</x:v>
      </x:c>
      <x:c r="G5465" s="42" t="n">
        <x:v>0.5862290862290862</x:v>
      </x:c>
      <x:c r="H5465" s="36" t="n">
        <x:f>E5465*G5465</x:f>
        <x:v>126039.25353925354</x:v>
      </x:c>
      <x:c r="I5465" s="36" t="n">
        <x:f>IFERROR(H5465/A5465,0)</x:f>
        <x:v>14004.361504361505</x:v>
      </x:c>
      <x:c r="J5465" s="67" t="str">
        <x:v>Modeled from live base + Sep-2026 quality ratio</x:v>
      </x:c>
      <x:c r="K5465" s="67" t="str">
        <x:v>https://www.stonealgo.com/diamond-prices/</x:v>
      </x:c>
      <x:c r="L5465" s="67" t="str">
        <x:v>https://www.pricescope.com/blog/natural-diamond-prices-september-2026</x:v>
      </x:c>
    </x:row>
    <x:row r="5466">
      <x:c r="A5466" t="n">
        <x:v>9</x:v>
      </x:c>
      <x:c r="B5466" t="str">
        <x:v>Radiant</x:v>
      </x:c>
      <x:c r="C5466" t="str">
        <x:v>G</x:v>
      </x:c>
      <x:c r="D5466" t="str">
        <x:v>FL</x:v>
      </x:c>
      <x:c r="E5466" s="36" t="n">
        <x:v>215000</x:v>
      </x:c>
      <x:c r="F5466" s="36" t="n">
        <x:v>5905</x:v>
      </x:c>
      <x:c r="G5466" s="42" t="n">
        <x:v>1.2666237666237665</x:v>
      </x:c>
      <x:c r="H5466" s="36" t="n">
        <x:f>E5466*G5466</x:f>
        <x:v>272324.1098241098</x:v>
      </x:c>
      <x:c r="I5466" s="36" t="n">
        <x:f>IFERROR(H5466/A5466,0)</x:f>
        <x:v>30258.234424901093</x:v>
      </x:c>
      <x:c r="J5466" s="67" t="str">
        <x:v>Modeled from live base + Sep-2026 quality ratio</x:v>
      </x:c>
      <x:c r="K5466" s="67" t="str">
        <x:v>https://www.stonealgo.com/diamond-prices/</x:v>
      </x:c>
      <x:c r="L5466" s="67" t="str">
        <x:v>https://www.pricescope.com/blog/natural-diamond-prices-september-2026</x:v>
      </x:c>
    </x:row>
    <x:row r="5467">
      <x:c r="A5467" t="n">
        <x:v>9</x:v>
      </x:c>
      <x:c r="B5467" t="str">
        <x:v>Radiant</x:v>
      </x:c>
      <x:c r="C5467" t="str">
        <x:v>G</x:v>
      </x:c>
      <x:c r="D5467" t="str">
        <x:v>IF</x:v>
      </x:c>
      <x:c r="E5467" s="36" t="n">
        <x:v>215000</x:v>
      </x:c>
      <x:c r="F5467" s="36" t="n">
        <x:v>5601</x:v>
      </x:c>
      <x:c r="G5467" s="42" t="n">
        <x:v>1.2014157014157014</x:v>
      </x:c>
      <x:c r="H5467" s="36" t="n">
        <x:f>E5467*G5467</x:f>
        <x:v>258304.3758043758</x:v>
      </x:c>
      <x:c r="I5467" s="36" t="n">
        <x:f>IFERROR(H5467/A5467,0)</x:f>
        <x:v>28700.4862004862</x:v>
      </x:c>
      <x:c r="J5467" s="67" t="str">
        <x:v>Modeled from live base + Sep-2026 quality ratio</x:v>
      </x:c>
      <x:c r="K5467" s="67" t="str">
        <x:v>https://www.stonealgo.com/diamond-prices/</x:v>
      </x:c>
      <x:c r="L5467" s="67" t="str">
        <x:v>https://www.pricescope.com/blog/natural-diamond-prices-september-2026</x:v>
      </x:c>
    </x:row>
    <x:row r="5468">
      <x:c r="A5468" t="n">
        <x:v>9</x:v>
      </x:c>
      <x:c r="B5468" t="str">
        <x:v>Radiant</x:v>
      </x:c>
      <x:c r="C5468" t="str">
        <x:v>G</x:v>
      </x:c>
      <x:c r="D5468" t="str">
        <x:v>VVS1</x:v>
      </x:c>
      <x:c r="E5468" s="36" t="n">
        <x:v>215000</x:v>
      </x:c>
      <x:c r="F5468" s="36" t="n">
        <x:v>5124</x:v>
      </x:c>
      <x:c r="G5468" s="42" t="n">
        <x:v>1.0990990990990992</x:v>
      </x:c>
      <x:c r="H5468" s="36" t="n">
        <x:f>E5468*G5468</x:f>
        <x:v>236306.30630630633</x:v>
      </x:c>
      <x:c r="I5468" s="36" t="n">
        <x:f>IFERROR(H5468/A5468,0)</x:f>
        <x:v>26256.25625625626</x:v>
      </x:c>
      <x:c r="J5468" s="67" t="str">
        <x:v>Modeled from live base + Sep-2026 quality ratio</x:v>
      </x:c>
      <x:c r="K5468" s="67" t="str">
        <x:v>https://www.stonealgo.com/diamond-prices/</x:v>
      </x:c>
      <x:c r="L5468" s="67" t="str">
        <x:v>https://www.pricescope.com/blog/natural-diamond-prices-september-2026</x:v>
      </x:c>
    </x:row>
    <x:row r="5469">
      <x:c r="A5469" t="n">
        <x:v>9</x:v>
      </x:c>
      <x:c r="B5469" t="str">
        <x:v>Radiant</x:v>
      </x:c>
      <x:c r="C5469" t="str">
        <x:v>G</x:v>
      </x:c>
      <x:c r="D5469" t="str">
        <x:v>VVS2</x:v>
      </x:c>
      <x:c r="E5469" s="36" t="n">
        <x:v>215000</x:v>
      </x:c>
      <x:c r="F5469" s="36" t="n">
        <x:v>4962</x:v>
      </x:c>
      <x:c r="G5469" s="42" t="n">
        <x:v>1.0643500643500643</x:v>
      </x:c>
      <x:c r="H5469" s="36" t="n">
        <x:f>E5469*G5469</x:f>
        <x:v>228835.26383526382</x:v>
      </x:c>
      <x:c r="I5469" s="36" t="n">
        <x:f>IFERROR(H5469/A5469,0)</x:f>
        <x:v>25426.140426140424</x:v>
      </x:c>
      <x:c r="J5469" s="67" t="str">
        <x:v>Modeled from live base + Sep-2026 quality ratio</x:v>
      </x:c>
      <x:c r="K5469" s="67" t="str">
        <x:v>https://www.stonealgo.com/diamond-prices/</x:v>
      </x:c>
      <x:c r="L5469" s="67" t="str">
        <x:v>https://www.pricescope.com/blog/natural-diamond-prices-september-2026</x:v>
      </x:c>
    </x:row>
    <x:row r="5470">
      <x:c r="A5470" t="n">
        <x:v>9</x:v>
      </x:c>
      <x:c r="B5470" t="str">
        <x:v>Radiant</x:v>
      </x:c>
      <x:c r="C5470" t="str">
        <x:v>G</x:v>
      </x:c>
      <x:c r="D5470" t="str">
        <x:v>VS1</x:v>
      </x:c>
      <x:c r="E5470" s="36" t="n">
        <x:v>215000</x:v>
      </x:c>
      <x:c r="F5470" s="36" t="n">
        <x:v>4615</x:v>
      </x:c>
      <x:c r="G5470" s="42" t="n">
        <x:v>0.98991848991849</x:v>
      </x:c>
      <x:c r="H5470" s="36" t="n">
        <x:f>E5470*G5470</x:f>
        <x:v>212832.47533247535</x:v>
      </x:c>
      <x:c r="I5470" s="36" t="n">
        <x:f>IFERROR(H5470/A5470,0)</x:f>
        <x:v>23648.052814719485</x:v>
      </x:c>
      <x:c r="J5470" s="67" t="str">
        <x:v>Modeled from live base + Sep-2026 quality ratio</x:v>
      </x:c>
      <x:c r="K5470" s="67" t="str">
        <x:v>https://www.stonealgo.com/diamond-prices/</x:v>
      </x:c>
      <x:c r="L5470" s="67" t="str">
        <x:v>https://www.pricescope.com/blog/natural-diamond-prices-september-2026</x:v>
      </x:c>
    </x:row>
    <x:row r="5471">
      <x:c r="A5471" t="n">
        <x:v>9</x:v>
      </x:c>
      <x:c r="B5471" t="str">
        <x:v>Radiant</x:v>
      </x:c>
      <x:c r="C5471" t="str">
        <x:v>G</x:v>
      </x:c>
      <x:c r="D5471" t="str">
        <x:v>VS2</x:v>
      </x:c>
      <x:c r="E5471" s="36" t="n">
        <x:v>215000</x:v>
      </x:c>
      <x:c r="F5471" s="36" t="n">
        <x:v>4585</x:v>
      </x:c>
      <x:c r="G5471" s="42" t="n">
        <x:v>0.9834834834834835</x:v>
      </x:c>
      <x:c r="H5471" s="36" t="n">
        <x:f>E5471*G5471</x:f>
        <x:v>211448.94894894894</x:v>
      </x:c>
      <x:c r="I5471" s="36" t="n">
        <x:f>IFERROR(H5471/A5471,0)</x:f>
        <x:v>23494.327660994328</x:v>
      </x:c>
      <x:c r="J5471" s="67" t="str">
        <x:v>Modeled from live base + Sep-2026 quality ratio</x:v>
      </x:c>
      <x:c r="K5471" s="67" t="str">
        <x:v>https://www.stonealgo.com/diamond-prices/</x:v>
      </x:c>
      <x:c r="L5471" s="67" t="str">
        <x:v>https://www.pricescope.com/blog/natural-diamond-prices-september-2026</x:v>
      </x:c>
    </x:row>
    <x:row r="5472">
      <x:c r="A5472" t="n">
        <x:v>9</x:v>
      </x:c>
      <x:c r="B5472" t="str">
        <x:v>Radiant</x:v>
      </x:c>
      <x:c r="C5472" t="str">
        <x:v>G</x:v>
      </x:c>
      <x:c r="D5472" t="str">
        <x:v>SI1</x:v>
      </x:c>
      <x:c r="E5472" s="36" t="n">
        <x:v>215000</x:v>
      </x:c>
      <x:c r="F5472" s="36" t="n">
        <x:v>3664</x:v>
      </x:c>
      <x:c r="G5472" s="42" t="n">
        <x:v>0.7859287859287859</x:v>
      </x:c>
      <x:c r="H5472" s="36" t="n">
        <x:f>E5472*G5472</x:f>
        <x:v>168974.68897468896</x:v>
      </x:c>
      <x:c r="I5472" s="36" t="n">
        <x:f>IFERROR(H5472/A5472,0)</x:f>
        <x:v>18774.965441632106</x:v>
      </x:c>
      <x:c r="J5472" s="67" t="str">
        <x:v>Modeled from live base + Sep-2026 quality ratio</x:v>
      </x:c>
      <x:c r="K5472" s="67" t="str">
        <x:v>https://www.stonealgo.com/diamond-prices/</x:v>
      </x:c>
      <x:c r="L5472" s="67" t="str">
        <x:v>https://www.pricescope.com/blog/natural-diamond-prices-september-2026</x:v>
      </x:c>
    </x:row>
    <x:row r="5473">
      <x:c r="A5473" t="n">
        <x:v>9</x:v>
      </x:c>
      <x:c r="B5473" t="str">
        <x:v>Radiant</x:v>
      </x:c>
      <x:c r="C5473" t="str">
        <x:v>G</x:v>
      </x:c>
      <x:c r="D5473" t="str">
        <x:v>SI2</x:v>
      </x:c>
      <x:c r="E5473" s="36" t="n">
        <x:v>215000</x:v>
      </x:c>
      <x:c r="F5473" s="36" t="n">
        <x:v>2537</x:v>
      </x:c>
      <x:c r="G5473" s="42" t="n">
        <x:v>0.5441870441870442</x:v>
      </x:c>
      <x:c r="H5473" s="36" t="n">
        <x:f>E5473*G5473</x:f>
        <x:v>117000.21450021451</x:v>
      </x:c>
      <x:c r="I5473" s="36" t="n">
        <x:f>IFERROR(H5473/A5473,0)</x:f>
        <x:v>13000.023833357169</x:v>
      </x:c>
      <x:c r="J5473" s="67" t="str">
        <x:v>Modeled from live base + Sep-2026 quality ratio</x:v>
      </x:c>
      <x:c r="K5473" s="67" t="str">
        <x:v>https://www.stonealgo.com/diamond-prices/</x:v>
      </x:c>
      <x:c r="L5473" s="67" t="str">
        <x:v>https://www.pricescope.com/blog/natural-diamond-prices-september-2026</x:v>
      </x:c>
    </x:row>
    <x:row r="5474">
      <x:c r="A5474" t="n">
        <x:v>9</x:v>
      </x:c>
      <x:c r="B5474" t="str">
        <x:v>Radiant</x:v>
      </x:c>
      <x:c r="C5474" t="str">
        <x:v>H</x:v>
      </x:c>
      <x:c r="D5474" t="str">
        <x:v>FL</x:v>
      </x:c>
      <x:c r="E5474" s="36" t="n">
        <x:v>215000</x:v>
      </x:c>
      <x:c r="F5474" s="36" t="n">
        <x:v>4563</x:v>
      </x:c>
      <x:c r="G5474" s="42" t="n">
        <x:v>0.9787644787644788</x:v>
      </x:c>
      <x:c r="H5474" s="36" t="n">
        <x:f>E5474*G5474</x:f>
        <x:v>210434.36293436293</x:v>
      </x:c>
      <x:c r="I5474" s="36" t="n">
        <x:f>IFERROR(H5474/A5474,0)</x:f>
        <x:v>23381.59588159588</x:v>
      </x:c>
      <x:c r="J5474" s="67" t="str">
        <x:v>Modeled from live base + Sep-2026 quality ratio</x:v>
      </x:c>
      <x:c r="K5474" s="67" t="str">
        <x:v>https://www.stonealgo.com/diamond-prices/</x:v>
      </x:c>
      <x:c r="L5474" s="67" t="str">
        <x:v>https://www.pricescope.com/blog/natural-diamond-prices-september-2026</x:v>
      </x:c>
    </x:row>
    <x:row r="5475">
      <x:c r="A5475" t="n">
        <x:v>9</x:v>
      </x:c>
      <x:c r="B5475" t="str">
        <x:v>Radiant</x:v>
      </x:c>
      <x:c r="C5475" t="str">
        <x:v>H</x:v>
      </x:c>
      <x:c r="D5475" t="str">
        <x:v>IF</x:v>
      </x:c>
      <x:c r="E5475" s="36" t="n">
        <x:v>215000</x:v>
      </x:c>
      <x:c r="F5475" s="36" t="n">
        <x:v>4809</x:v>
      </x:c>
      <x:c r="G5475" s="42" t="n">
        <x:v>1.0315315315315314</x:v>
      </x:c>
      <x:c r="H5475" s="36" t="n">
        <x:f>E5475*G5475</x:f>
        <x:v>221779.27927927926</x:v>
      </x:c>
      <x:c r="I5475" s="36" t="n">
        <x:f>IFERROR(H5475/A5475,0)</x:f>
        <x:v>24642.14214214214</x:v>
      </x:c>
      <x:c r="J5475" s="67" t="str">
        <x:v>Modeled from live base + Sep-2026 quality ratio</x:v>
      </x:c>
      <x:c r="K5475" s="67" t="str">
        <x:v>https://www.stonealgo.com/diamond-prices/</x:v>
      </x:c>
      <x:c r="L5475" s="67" t="str">
        <x:v>https://www.pricescope.com/blog/natural-diamond-prices-september-2026</x:v>
      </x:c>
    </x:row>
    <x:row r="5476">
      <x:c r="A5476" t="n">
        <x:v>9</x:v>
      </x:c>
      <x:c r="B5476" t="str">
        <x:v>Radiant</x:v>
      </x:c>
      <x:c r="C5476" t="str">
        <x:v>H</x:v>
      </x:c>
      <x:c r="D5476" t="str">
        <x:v>VVS1</x:v>
      </x:c>
      <x:c r="E5476" s="36" t="n">
        <x:v>215000</x:v>
      </x:c>
      <x:c r="F5476" s="36" t="n">
        <x:v>4911</x:v>
      </x:c>
      <x:c r="G5476" s="42" t="n">
        <x:v>1.0534105534105533</x:v>
      </x:c>
      <x:c r="H5476" s="36" t="n">
        <x:f>E5476*G5476</x:f>
        <x:v>226483.26898326896</x:v>
      </x:c>
      <x:c r="I5476" s="36" t="n">
        <x:f>IFERROR(H5476/A5476,0)</x:f>
        <x:v>25164.807664807664</x:v>
      </x:c>
      <x:c r="J5476" s="67" t="str">
        <x:v>Modeled from live base + Sep-2026 quality ratio</x:v>
      </x:c>
      <x:c r="K5476" s="67" t="str">
        <x:v>https://www.stonealgo.com/diamond-prices/</x:v>
      </x:c>
      <x:c r="L5476" s="67" t="str">
        <x:v>https://www.pricescope.com/blog/natural-diamond-prices-september-2026</x:v>
      </x:c>
    </x:row>
    <x:row r="5477">
      <x:c r="A5477" t="n">
        <x:v>9</x:v>
      </x:c>
      <x:c r="B5477" t="str">
        <x:v>Radiant</x:v>
      </x:c>
      <x:c r="C5477" t="str">
        <x:v>H</x:v>
      </x:c>
      <x:c r="D5477" t="str">
        <x:v>VVS2</x:v>
      </x:c>
      <x:c r="E5477" s="36" t="n">
        <x:v>215000</x:v>
      </x:c>
      <x:c r="F5477" s="36" t="n">
        <x:v>4046</x:v>
      </x:c>
      <x:c r="G5477" s="42" t="n">
        <x:v>0.8678678678678678</x:v>
      </x:c>
      <x:c r="H5477" s="36" t="n">
        <x:f>E5477*G5477</x:f>
        <x:v>186591.5915915916</x:v>
      </x:c>
      <x:c r="I5477" s="36" t="n">
        <x:f>IFERROR(H5477/A5477,0)</x:f>
        <x:v>20732.3990657324</x:v>
      </x:c>
      <x:c r="J5477" s="67" t="str">
        <x:v>Modeled from live base + Sep-2026 quality ratio</x:v>
      </x:c>
      <x:c r="K5477" s="67" t="str">
        <x:v>https://www.stonealgo.com/diamond-prices/</x:v>
      </x:c>
      <x:c r="L5477" s="67" t="str">
        <x:v>https://www.pricescope.com/blog/natural-diamond-prices-september-2026</x:v>
      </x:c>
    </x:row>
    <x:row r="5478">
      <x:c r="A5478" t="n">
        <x:v>9</x:v>
      </x:c>
      <x:c r="B5478" t="str">
        <x:v>Radiant</x:v>
      </x:c>
      <x:c r="C5478" t="str">
        <x:v>H</x:v>
      </x:c>
      <x:c r="D5478" t="str">
        <x:v>VS1</x:v>
      </x:c>
      <x:c r="E5478" s="36" t="n">
        <x:v>215000</x:v>
      </x:c>
      <x:c r="F5478" s="36" t="n">
        <x:v>3893</x:v>
      </x:c>
      <x:c r="G5478" s="42" t="n">
        <x:v>0.8350493350493351</x:v>
      </x:c>
      <x:c r="H5478" s="36" t="n">
        <x:f>E5478*G5478</x:f>
        <x:v>179535.60703560704</x:v>
      </x:c>
      <x:c r="I5478" s="36" t="n">
        <x:f>IFERROR(H5478/A5478,0)</x:f>
        <x:v>19948.400781734115</x:v>
      </x:c>
      <x:c r="J5478" s="67" t="str">
        <x:v>Modeled from live base + Sep-2026 quality ratio</x:v>
      </x:c>
      <x:c r="K5478" s="67" t="str">
        <x:v>https://www.stonealgo.com/diamond-prices/</x:v>
      </x:c>
      <x:c r="L5478" s="67" t="str">
        <x:v>https://www.pricescope.com/blog/natural-diamond-prices-september-2026</x:v>
      </x:c>
    </x:row>
    <x:row r="5479">
      <x:c r="A5479" t="n">
        <x:v>9</x:v>
      </x:c>
      <x:c r="B5479" t="str">
        <x:v>Radiant</x:v>
      </x:c>
      <x:c r="C5479" t="str">
        <x:v>H</x:v>
      </x:c>
      <x:c r="D5479" t="str">
        <x:v>VS2</x:v>
      </x:c>
      <x:c r="E5479" s="36" t="n">
        <x:v>215000</x:v>
      </x:c>
      <x:c r="F5479" s="36" t="n">
        <x:v>3989</x:v>
      </x:c>
      <x:c r="G5479" s="42" t="n">
        <x:v>0.8556413556413557</x:v>
      </x:c>
      <x:c r="H5479" s="36" t="n">
        <x:f>E5479*G5479</x:f>
        <x:v>183962.89146289148</x:v>
      </x:c>
      <x:c r="I5479" s="36" t="n">
        <x:f>IFERROR(H5479/A5479,0)</x:f>
        <x:v>20440.32127365461</x:v>
      </x:c>
      <x:c r="J5479" s="67" t="str">
        <x:v>Modeled from live base + Sep-2026 quality ratio</x:v>
      </x:c>
      <x:c r="K5479" s="67" t="str">
        <x:v>https://www.stonealgo.com/diamond-prices/</x:v>
      </x:c>
      <x:c r="L5479" s="67" t="str">
        <x:v>https://www.pricescope.com/blog/natural-diamond-prices-september-2026</x:v>
      </x:c>
    </x:row>
    <x:row r="5480">
      <x:c r="A5480" t="n">
        <x:v>9</x:v>
      </x:c>
      <x:c r="B5480" t="str">
        <x:v>Radiant</x:v>
      </x:c>
      <x:c r="C5480" t="str">
        <x:v>H</x:v>
      </x:c>
      <x:c r="D5480" t="str">
        <x:v>SI1</x:v>
      </x:c>
      <x:c r="E5480" s="36" t="n">
        <x:v>215000</x:v>
      </x:c>
      <x:c r="F5480" s="36" t="n">
        <x:v>2828</x:v>
      </x:c>
      <x:c r="G5480" s="42" t="n">
        <x:v>0.6066066066066066</x:v>
      </x:c>
      <x:c r="H5480" s="36" t="n">
        <x:f>E5480*G5480</x:f>
        <x:v>130420.42042042041</x:v>
      </x:c>
      <x:c r="I5480" s="36" t="n">
        <x:f>IFERROR(H5480/A5480,0)</x:f>
        <x:v>14491.157824491158</x:v>
      </x:c>
      <x:c r="J5480" s="67" t="str">
        <x:v>Modeled from live base + Sep-2026 quality ratio</x:v>
      </x:c>
      <x:c r="K5480" s="67" t="str">
        <x:v>https://www.stonealgo.com/diamond-prices/</x:v>
      </x:c>
      <x:c r="L5480" s="67" t="str">
        <x:v>https://www.pricescope.com/blog/natural-diamond-prices-september-2026</x:v>
      </x:c>
    </x:row>
    <x:row r="5481">
      <x:c r="A5481" t="n">
        <x:v>9</x:v>
      </x:c>
      <x:c r="B5481" t="str">
        <x:v>Radiant</x:v>
      </x:c>
      <x:c r="C5481" t="str">
        <x:v>H</x:v>
      </x:c>
      <x:c r="D5481" t="str">
        <x:v>SI2</x:v>
      </x:c>
      <x:c r="E5481" s="36" t="n">
        <x:v>215000</x:v>
      </x:c>
      <x:c r="F5481" s="36" t="n">
        <x:v>2328</x:v>
      </x:c>
      <x:c r="G5481" s="42" t="n">
        <x:v>0.49935649935649934</x:v>
      </x:c>
      <x:c r="H5481" s="36" t="n">
        <x:f>E5481*G5481</x:f>
        <x:v>107361.64736164735</x:v>
      </x:c>
      <x:c r="I5481" s="36" t="n">
        <x:f>IFERROR(H5481/A5481,0)</x:f>
        <x:v>11929.071929071928</x:v>
      </x:c>
      <x:c r="J5481" s="67" t="str">
        <x:v>Modeled from live base + Sep-2026 quality ratio</x:v>
      </x:c>
      <x:c r="K5481" s="67" t="str">
        <x:v>https://www.stonealgo.com/diamond-prices/</x:v>
      </x:c>
      <x:c r="L5481" s="67" t="str">
        <x:v>https://www.pricescope.com/blog/natural-diamond-prices-september-2026</x:v>
      </x:c>
    </x:row>
    <x:row r="5482">
      <x:c r="A5482" t="n">
        <x:v>9</x:v>
      </x:c>
      <x:c r="B5482" t="str">
        <x:v>Radiant</x:v>
      </x:c>
      <x:c r="C5482" t="str">
        <x:v>I</x:v>
      </x:c>
      <x:c r="D5482" t="str">
        <x:v>FL</x:v>
      </x:c>
      <x:c r="E5482" s="36" t="n">
        <x:v>215000</x:v>
      </x:c>
      <x:c r="F5482" s="36" t="n">
        <x:v>4623</x:v>
      </x:c>
      <x:c r="G5482" s="42" t="n">
        <x:v>0.9916344916344917</x:v>
      </x:c>
      <x:c r="H5482" s="36" t="n">
        <x:f>E5482*G5482</x:f>
        <x:v>213201.4157014157</x:v>
      </x:c>
      <x:c r="I5482" s="36" t="n">
        <x:f>IFERROR(H5482/A5482,0)</x:f>
        <x:v>23689.04618904619</x:v>
      </x:c>
      <x:c r="J5482" s="67" t="str">
        <x:v>Modeled from live base + Sep-2026 quality ratio</x:v>
      </x:c>
      <x:c r="K5482" s="67" t="str">
        <x:v>https://www.stonealgo.com/diamond-prices/</x:v>
      </x:c>
      <x:c r="L5482" s="67" t="str">
        <x:v>https://www.pricescope.com/blog/natural-diamond-prices-september-2026</x:v>
      </x:c>
    </x:row>
    <x:row r="5483">
      <x:c r="A5483" t="n">
        <x:v>9</x:v>
      </x:c>
      <x:c r="B5483" t="str">
        <x:v>Radiant</x:v>
      </x:c>
      <x:c r="C5483" t="str">
        <x:v>I</x:v>
      </x:c>
      <x:c r="D5483" t="str">
        <x:v>IF</x:v>
      </x:c>
      <x:c r="E5483" s="36" t="n">
        <x:v>215000</x:v>
      </x:c>
      <x:c r="F5483" s="36" t="n">
        <x:v>4005</x:v>
      </x:c>
      <x:c r="G5483" s="42" t="n">
        <x:v>0.859073359073359</x:v>
      </x:c>
      <x:c r="H5483" s="36" t="n">
        <x:f>E5483*G5483</x:f>
        <x:v>184700.7722007722</x:v>
      </x:c>
      <x:c r="I5483" s="36" t="n">
        <x:f>IFERROR(H5483/A5483,0)</x:f>
        <x:v>20522.30802230802</x:v>
      </x:c>
      <x:c r="J5483" s="67" t="str">
        <x:v>Modeled from live base + Sep-2026 quality ratio</x:v>
      </x:c>
      <x:c r="K5483" s="67" t="str">
        <x:v>https://www.stonealgo.com/diamond-prices/</x:v>
      </x:c>
      <x:c r="L5483" s="67" t="str">
        <x:v>https://www.pricescope.com/blog/natural-diamond-prices-september-2026</x:v>
      </x:c>
    </x:row>
    <x:row r="5484">
      <x:c r="A5484" t="n">
        <x:v>9</x:v>
      </x:c>
      <x:c r="B5484" t="str">
        <x:v>Radiant</x:v>
      </x:c>
      <x:c r="C5484" t="str">
        <x:v>I</x:v>
      </x:c>
      <x:c r="D5484" t="str">
        <x:v>VVS1</x:v>
      </x:c>
      <x:c r="E5484" s="36" t="n">
        <x:v>215000</x:v>
      </x:c>
      <x:c r="F5484" s="36" t="n">
        <x:v>3670</x:v>
      </x:c>
      <x:c r="G5484" s="42" t="n">
        <x:v>0.7872157872157872</x:v>
      </x:c>
      <x:c r="H5484" s="36" t="n">
        <x:f>E5484*G5484</x:f>
        <x:v>169251.39425139426</x:v>
      </x:c>
      <x:c r="I5484" s="36" t="n">
        <x:f>IFERROR(H5484/A5484,0)</x:f>
        <x:v>18805.71047237714</x:v>
      </x:c>
      <x:c r="J5484" s="67" t="str">
        <x:v>Modeled from live base + Sep-2026 quality ratio</x:v>
      </x:c>
      <x:c r="K5484" s="67" t="str">
        <x:v>https://www.stonealgo.com/diamond-prices/</x:v>
      </x:c>
      <x:c r="L5484" s="67" t="str">
        <x:v>https://www.pricescope.com/blog/natural-diamond-prices-september-2026</x:v>
      </x:c>
    </x:row>
    <x:row r="5485">
      <x:c r="A5485" t="n">
        <x:v>9</x:v>
      </x:c>
      <x:c r="B5485" t="str">
        <x:v>Radiant</x:v>
      </x:c>
      <x:c r="C5485" t="str">
        <x:v>I</x:v>
      </x:c>
      <x:c r="D5485" t="str">
        <x:v>VVS2</x:v>
      </x:c>
      <x:c r="E5485" s="36" t="n">
        <x:v>215000</x:v>
      </x:c>
      <x:c r="F5485" s="36" t="n">
        <x:v>3447</x:v>
      </x:c>
      <x:c r="G5485" s="42" t="n">
        <x:v>0.7393822393822393</x:v>
      </x:c>
      <x:c r="H5485" s="36" t="n">
        <x:f>E5485*G5485</x:f>
        <x:v>158967.18146718145</x:v>
      </x:c>
      <x:c r="I5485" s="36" t="n">
        <x:f>IFERROR(H5485/A5485,0)</x:f>
        <x:v>17663.020163020163</x:v>
      </x:c>
      <x:c r="J5485" s="67" t="str">
        <x:v>Modeled from live base + Sep-2026 quality ratio</x:v>
      </x:c>
      <x:c r="K5485" s="67" t="str">
        <x:v>https://www.stonealgo.com/diamond-prices/</x:v>
      </x:c>
      <x:c r="L5485" s="67" t="str">
        <x:v>https://www.pricescope.com/blog/natural-diamond-prices-september-2026</x:v>
      </x:c>
    </x:row>
    <x:row r="5486">
      <x:c r="A5486" t="n">
        <x:v>9</x:v>
      </x:c>
      <x:c r="B5486" t="str">
        <x:v>Radiant</x:v>
      </x:c>
      <x:c r="C5486" t="str">
        <x:v>I</x:v>
      </x:c>
      <x:c r="D5486" t="str">
        <x:v>VS1</x:v>
      </x:c>
      <x:c r="E5486" s="36" t="n">
        <x:v>215000</x:v>
      </x:c>
      <x:c r="F5486" s="36" t="n">
        <x:v>3313</x:v>
      </x:c>
      <x:c r="G5486" s="42" t="n">
        <x:v>0.7106392106392107</x:v>
      </x:c>
      <x:c r="H5486" s="36" t="n">
        <x:f>E5486*G5486</x:f>
        <x:v>152787.4302874303</x:v>
      </x:c>
      <x:c r="I5486" s="36" t="n">
        <x:f>IFERROR(H5486/A5486,0)</x:f>
        <x:v>16976.38114304781</x:v>
      </x:c>
      <x:c r="J5486" s="67" t="str">
        <x:v>Modeled from live base + Sep-2026 quality ratio</x:v>
      </x:c>
      <x:c r="K5486" s="67" t="str">
        <x:v>https://www.stonealgo.com/diamond-prices/</x:v>
      </x:c>
      <x:c r="L5486" s="67" t="str">
        <x:v>https://www.pricescope.com/blog/natural-diamond-prices-september-2026</x:v>
      </x:c>
    </x:row>
    <x:row r="5487">
      <x:c r="A5487" t="n">
        <x:v>9</x:v>
      </x:c>
      <x:c r="B5487" t="str">
        <x:v>Radiant</x:v>
      </x:c>
      <x:c r="C5487" t="str">
        <x:v>I</x:v>
      </x:c>
      <x:c r="D5487" t="str">
        <x:v>VS2</x:v>
      </x:c>
      <x:c r="E5487" s="36" t="n">
        <x:v>215000</x:v>
      </x:c>
      <x:c r="F5487" s="36" t="n">
        <x:v>3240</x:v>
      </x:c>
      <x:c r="G5487" s="42" t="n">
        <x:v>0.694980694980695</x:v>
      </x:c>
      <x:c r="H5487" s="36" t="n">
        <x:f>E5487*G5487</x:f>
        <x:v>149420.84942084944</x:v>
      </x:c>
      <x:c r="I5487" s="36" t="n">
        <x:f>IFERROR(H5487/A5487,0)</x:f>
        <x:v>16602.316602316605</x:v>
      </x:c>
      <x:c r="J5487" s="67" t="str">
        <x:v>Modeled from live base + Sep-2026 quality ratio</x:v>
      </x:c>
      <x:c r="K5487" s="67" t="str">
        <x:v>https://www.stonealgo.com/diamond-prices/</x:v>
      </x:c>
      <x:c r="L5487" s="67" t="str">
        <x:v>https://www.pricescope.com/blog/natural-diamond-prices-september-2026</x:v>
      </x:c>
    </x:row>
    <x:row r="5488">
      <x:c r="A5488" t="n">
        <x:v>9</x:v>
      </x:c>
      <x:c r="B5488" t="str">
        <x:v>Radiant</x:v>
      </x:c>
      <x:c r="C5488" t="str">
        <x:v>I</x:v>
      </x:c>
      <x:c r="D5488" t="str">
        <x:v>SI1</x:v>
      </x:c>
      <x:c r="E5488" s="36" t="n">
        <x:v>215000</x:v>
      </x:c>
      <x:c r="F5488" s="36" t="n">
        <x:v>3199</x:v>
      </x:c>
      <x:c r="G5488" s="42" t="n">
        <x:v>0.6861861861861862</x:v>
      </x:c>
      <x:c r="H5488" s="36" t="n">
        <x:f>E5488*G5488</x:f>
        <x:v>147530.03003003003</x:v>
      </x:c>
      <x:c r="I5488" s="36" t="n">
        <x:f>IFERROR(H5488/A5488,0)</x:f>
        <x:v>16392.225558892227</x:v>
      </x:c>
      <x:c r="J5488" s="67" t="str">
        <x:v>Modeled from live base + Sep-2026 quality ratio</x:v>
      </x:c>
      <x:c r="K5488" s="67" t="str">
        <x:v>https://www.stonealgo.com/diamond-prices/</x:v>
      </x:c>
      <x:c r="L5488" s="67" t="str">
        <x:v>https://www.pricescope.com/blog/natural-diamond-prices-september-2026</x:v>
      </x:c>
    </x:row>
    <x:row r="5489">
      <x:c r="A5489" t="n">
        <x:v>9</x:v>
      </x:c>
      <x:c r="B5489" t="str">
        <x:v>Radiant</x:v>
      </x:c>
      <x:c r="C5489" t="str">
        <x:v>I</x:v>
      </x:c>
      <x:c r="D5489" t="str">
        <x:v>SI2</x:v>
      </x:c>
      <x:c r="E5489" s="36" t="n">
        <x:v>215000</x:v>
      </x:c>
      <x:c r="F5489" s="36" t="n">
        <x:v>2874</x:v>
      </x:c>
      <x:c r="G5489" s="42" t="n">
        <x:v>0.6164736164736164</x:v>
      </x:c>
      <x:c r="H5489" s="36" t="n">
        <x:f>E5489*G5489</x:f>
        <x:v>132541.82754182754</x:v>
      </x:c>
      <x:c r="I5489" s="36" t="n">
        <x:f>IFERROR(H5489/A5489,0)</x:f>
        <x:v>14726.869726869727</x:v>
      </x:c>
      <x:c r="J5489" s="67" t="str">
        <x:v>Modeled from live base + Sep-2026 quality ratio</x:v>
      </x:c>
      <x:c r="K5489" s="67" t="str">
        <x:v>https://www.stonealgo.com/diamond-prices/</x:v>
      </x:c>
      <x:c r="L5489" s="67" t="str">
        <x:v>https://www.pricescope.com/blog/natural-diamond-prices-september-2026</x:v>
      </x:c>
    </x:row>
    <x:row r="5490">
      <x:c r="A5490" t="n">
        <x:v>9</x:v>
      </x:c>
      <x:c r="B5490" t="str">
        <x:v>Radiant</x:v>
      </x:c>
      <x:c r="C5490" t="str">
        <x:v>J</x:v>
      </x:c>
      <x:c r="D5490" t="str">
        <x:v>FL</x:v>
      </x:c>
      <x:c r="E5490" s="36" t="n">
        <x:v>215000</x:v>
      </x:c>
      <x:c r="F5490" s="36" t="n">
        <x:v>3646</x:v>
      </x:c>
      <x:c r="G5490" s="42" t="n">
        <x:v>0.782067782067782</x:v>
      </x:c>
      <x:c r="H5490" s="36" t="n">
        <x:f>E5490*G5490</x:f>
        <x:v>168144.57314457314</x:v>
      </x:c>
      <x:c r="I5490" s="36" t="n">
        <x:f>IFERROR(H5490/A5490,0)</x:f>
        <x:v>18682.730349397014</x:v>
      </x:c>
      <x:c r="J5490" s="67" t="str">
        <x:v>Modeled from live base + Sep-2026 quality ratio</x:v>
      </x:c>
      <x:c r="K5490" s="67" t="str">
        <x:v>https://www.stonealgo.com/diamond-prices/</x:v>
      </x:c>
      <x:c r="L5490" s="67" t="str">
        <x:v>https://www.pricescope.com/blog/natural-diamond-prices-september-2026</x:v>
      </x:c>
    </x:row>
    <x:row r="5491">
      <x:c r="A5491" t="n">
        <x:v>9</x:v>
      </x:c>
      <x:c r="B5491" t="str">
        <x:v>Radiant</x:v>
      </x:c>
      <x:c r="C5491" t="str">
        <x:v>J</x:v>
      </x:c>
      <x:c r="D5491" t="str">
        <x:v>IF</x:v>
      </x:c>
      <x:c r="E5491" s="36" t="n">
        <x:v>215000</x:v>
      </x:c>
      <x:c r="F5491" s="36" t="n">
        <x:v>3368</x:v>
      </x:c>
      <x:c r="G5491" s="42" t="n">
        <x:v>0.7224367224367224</x:v>
      </x:c>
      <x:c r="H5491" s="36" t="n">
        <x:f>E5491*G5491</x:f>
        <x:v>155323.89532389533</x:v>
      </x:c>
      <x:c r="I5491" s="36" t="n">
        <x:f>IFERROR(H5491/A5491,0)</x:f>
        <x:v>17258.210591543924</x:v>
      </x:c>
      <x:c r="J5491" s="67" t="str">
        <x:v>Modeled from live base + Sep-2026 quality ratio</x:v>
      </x:c>
      <x:c r="K5491" s="67" t="str">
        <x:v>https://www.stonealgo.com/diamond-prices/</x:v>
      </x:c>
      <x:c r="L5491" s="67" t="str">
        <x:v>https://www.pricescope.com/blog/natural-diamond-prices-september-2026</x:v>
      </x:c>
    </x:row>
    <x:row r="5492">
      <x:c r="A5492" t="n">
        <x:v>9</x:v>
      </x:c>
      <x:c r="B5492" t="str">
        <x:v>Radiant</x:v>
      </x:c>
      <x:c r="C5492" t="str">
        <x:v>J</x:v>
      </x:c>
      <x:c r="D5492" t="str">
        <x:v>VVS1</x:v>
      </x:c>
      <x:c r="E5492" s="36" t="n">
        <x:v>215000</x:v>
      </x:c>
      <x:c r="F5492" s="36" t="n">
        <x:v>2956</x:v>
      </x:c>
      <x:c r="G5492" s="42" t="n">
        <x:v>0.6340626340626341</x:v>
      </x:c>
      <x:c r="H5492" s="36" t="n">
        <x:f>E5492*G5492</x:f>
        <x:v>136323.46632346633</x:v>
      </x:c>
      <x:c r="I5492" s="36" t="n">
        <x:f>IFERROR(H5492/A5492,0)</x:f>
        <x:v>15147.05181371848</x:v>
      </x:c>
      <x:c r="J5492" s="67" t="str">
        <x:v>Modeled from live base + Sep-2026 quality ratio</x:v>
      </x:c>
      <x:c r="K5492" s="67" t="str">
        <x:v>https://www.stonealgo.com/diamond-prices/</x:v>
      </x:c>
      <x:c r="L5492" s="67" t="str">
        <x:v>https://www.pricescope.com/blog/natural-diamond-prices-september-2026</x:v>
      </x:c>
    </x:row>
    <x:row r="5493">
      <x:c r="A5493" t="n">
        <x:v>9</x:v>
      </x:c>
      <x:c r="B5493" t="str">
        <x:v>Radiant</x:v>
      </x:c>
      <x:c r="C5493" t="str">
        <x:v>J</x:v>
      </x:c>
      <x:c r="D5493" t="str">
        <x:v>VVS2</x:v>
      </x:c>
      <x:c r="E5493" s="36" t="n">
        <x:v>215000</x:v>
      </x:c>
      <x:c r="F5493" s="36" t="n">
        <x:v>2612</x:v>
      </x:c>
      <x:c r="G5493" s="42" t="n">
        <x:v>0.5602745602745602</x:v>
      </x:c>
      <x:c r="H5493" s="36" t="n">
        <x:f>E5493*G5493</x:f>
        <x:v>120459.03045903046</x:v>
      </x:c>
      <x:c r="I5493" s="36" t="n">
        <x:f>IFERROR(H5493/A5493,0)</x:f>
        <x:v>13384.33671767005</x:v>
      </x:c>
      <x:c r="J5493" s="67" t="str">
        <x:v>Modeled from live base + Sep-2026 quality ratio</x:v>
      </x:c>
      <x:c r="K5493" s="67" t="str">
        <x:v>https://www.stonealgo.com/diamond-prices/</x:v>
      </x:c>
      <x:c r="L5493" s="67" t="str">
        <x:v>https://www.pricescope.com/blog/natural-diamond-prices-september-2026</x:v>
      </x:c>
    </x:row>
    <x:row r="5494">
      <x:c r="A5494" t="n">
        <x:v>9</x:v>
      </x:c>
      <x:c r="B5494" t="str">
        <x:v>Radiant</x:v>
      </x:c>
      <x:c r="C5494" t="str">
        <x:v>J</x:v>
      </x:c>
      <x:c r="D5494" t="str">
        <x:v>VS1</x:v>
      </x:c>
      <x:c r="E5494" s="36" t="n">
        <x:v>215000</x:v>
      </x:c>
      <x:c r="F5494" s="36" t="n">
        <x:v>3002</x:v>
      </x:c>
      <x:c r="G5494" s="42" t="n">
        <x:v>0.6439296439296439</x:v>
      </x:c>
      <x:c r="H5494" s="36" t="n">
        <x:f>E5494*G5494</x:f>
        <x:v>138444.87344487343</x:v>
      </x:c>
      <x:c r="I5494" s="36" t="n">
        <x:f>IFERROR(H5494/A5494,0)</x:f>
        <x:v>15382.763716097048</x:v>
      </x:c>
      <x:c r="J5494" s="67" t="str">
        <x:v>Modeled from live base + Sep-2026 quality ratio</x:v>
      </x:c>
      <x:c r="K5494" s="67" t="str">
        <x:v>https://www.stonealgo.com/diamond-prices/</x:v>
      </x:c>
      <x:c r="L5494" s="67" t="str">
        <x:v>https://www.pricescope.com/blog/natural-diamond-prices-september-2026</x:v>
      </x:c>
    </x:row>
    <x:row r="5495">
      <x:c r="A5495" t="n">
        <x:v>9</x:v>
      </x:c>
      <x:c r="B5495" t="str">
        <x:v>Radiant</x:v>
      </x:c>
      <x:c r="C5495" t="str">
        <x:v>J</x:v>
      </x:c>
      <x:c r="D5495" t="str">
        <x:v>VS2</x:v>
      </x:c>
      <x:c r="E5495" s="36" t="n">
        <x:v>215000</x:v>
      </x:c>
      <x:c r="F5495" s="36" t="n">
        <x:v>2559</x:v>
      </x:c>
      <x:c r="G5495" s="42" t="n">
        <x:v>0.5489060489060489</x:v>
      </x:c>
      <x:c r="H5495" s="36" t="n">
        <x:f>E5495*G5495</x:f>
        <x:v>118014.8005148005</x:v>
      </x:c>
      <x:c r="I5495" s="36" t="n">
        <x:f>IFERROR(H5495/A5495,0)</x:f>
        <x:v>13112.75561275561</x:v>
      </x:c>
      <x:c r="J5495" s="67" t="str">
        <x:v>Modeled from live base + Sep-2026 quality ratio</x:v>
      </x:c>
      <x:c r="K5495" s="67" t="str">
        <x:v>https://www.stonealgo.com/diamond-prices/</x:v>
      </x:c>
      <x:c r="L5495" s="67" t="str">
        <x:v>https://www.pricescope.com/blog/natural-diamond-prices-september-2026</x:v>
      </x:c>
    </x:row>
    <x:row r="5496">
      <x:c r="A5496" t="n">
        <x:v>9</x:v>
      </x:c>
      <x:c r="B5496" t="str">
        <x:v>Radiant</x:v>
      </x:c>
      <x:c r="C5496" t="str">
        <x:v>J</x:v>
      </x:c>
      <x:c r="D5496" t="str">
        <x:v>SI1</x:v>
      </x:c>
      <x:c r="E5496" s="36" t="n">
        <x:v>215000</x:v>
      </x:c>
      <x:c r="F5496" s="36" t="n">
        <x:v>2195</x:v>
      </x:c>
      <x:c r="G5496" s="42" t="n">
        <x:v>0.47082797082797084</x:v>
      </x:c>
      <x:c r="H5496" s="36" t="n">
        <x:f>E5496*G5496</x:f>
        <x:v>101228.01372801373</x:v>
      </x:c>
      <x:c r="I5496" s="36" t="n">
        <x:f>IFERROR(H5496/A5496,0)</x:f>
        <x:v>11247.557080890414</x:v>
      </x:c>
      <x:c r="J5496" s="67" t="str">
        <x:v>Modeled from live base + Sep-2026 quality ratio</x:v>
      </x:c>
      <x:c r="K5496" s="67" t="str">
        <x:v>https://www.stonealgo.com/diamond-prices/</x:v>
      </x:c>
      <x:c r="L5496" s="67" t="str">
        <x:v>https://www.pricescope.com/blog/natural-diamond-prices-september-2026</x:v>
      </x:c>
    </x:row>
    <x:row r="5497">
      <x:c r="A5497" t="n">
        <x:v>9</x:v>
      </x:c>
      <x:c r="B5497" t="str">
        <x:v>Radiant</x:v>
      </x:c>
      <x:c r="C5497" t="str">
        <x:v>J</x:v>
      </x:c>
      <x:c r="D5497" t="str">
        <x:v>SI2</x:v>
      </x:c>
      <x:c r="E5497" s="36" t="n">
        <x:v>215000</x:v>
      </x:c>
      <x:c r="F5497" s="36" t="n">
        <x:v>2079</x:v>
      </x:c>
      <x:c r="G5497" s="42" t="n">
        <x:v>0.44594594594594594</x:v>
      </x:c>
      <x:c r="H5497" s="36" t="n">
        <x:f>E5497*G5497</x:f>
        <x:v>95878.37837837837</x:v>
      </x:c>
      <x:c r="I5497" s="36" t="n">
        <x:f>IFERROR(H5497/A5497,0)</x:f>
        <x:v>10653.153153153153</x:v>
      </x:c>
      <x:c r="J5497" s="67" t="str">
        <x:v>Modeled from live base + Sep-2026 quality ratio</x:v>
      </x:c>
      <x:c r="K5497" s="67" t="str">
        <x:v>https://www.stonealgo.com/diamond-prices/</x:v>
      </x:c>
      <x:c r="L5497" s="67" t="str">
        <x:v>https://www.pricescope.com/blog/natural-diamond-prices-september-2026</x:v>
      </x:c>
    </x:row>
    <x:row r="5498">
      <x:c r="A5498" t="n">
        <x:v>9</x:v>
      </x:c>
      <x:c r="B5498" t="str">
        <x:v>Radiant</x:v>
      </x:c>
      <x:c r="C5498" t="str">
        <x:v>K</x:v>
      </x:c>
      <x:c r="D5498" t="str">
        <x:v>FL</x:v>
      </x:c>
      <x:c r="E5498" s="36" t="n">
        <x:v>215000</x:v>
      </x:c>
      <x:c r="F5498" s="36" t="n">
        <x:v>2858</x:v>
      </x:c>
      <x:c r="G5498" s="42" t="n">
        <x:v>0.6130416130416131</x:v>
      </x:c>
      <x:c r="H5498" s="36" t="n">
        <x:f>E5498*G5498</x:f>
        <x:v>131803.9468039468</x:v>
      </x:c>
      <x:c r="I5498" s="36" t="n">
        <x:f>IFERROR(H5498/A5498,0)</x:f>
        <x:v>14644.882978216312</x:v>
      </x:c>
      <x:c r="J5498" s="67" t="str">
        <x:v>Modeled from live base + Sep-2026 quality ratio; K/FL quality cell modeled</x:v>
      </x:c>
      <x:c r="K5498" s="67" t="str">
        <x:v>https://www.stonealgo.com/diamond-prices/</x:v>
      </x:c>
      <x:c r="L5498" s="67" t="str">
        <x:v>https://www.pricescope.com/blog/natural-diamond-prices-september-2026</x:v>
      </x:c>
    </x:row>
    <x:row r="5499">
      <x:c r="A5499" t="n">
        <x:v>9</x:v>
      </x:c>
      <x:c r="B5499" t="str">
        <x:v>Radiant</x:v>
      </x:c>
      <x:c r="C5499" t="str">
        <x:v>K</x:v>
      </x:c>
      <x:c r="D5499" t="str">
        <x:v>IF</x:v>
      </x:c>
      <x:c r="E5499" s="36" t="n">
        <x:v>215000</x:v>
      </x:c>
      <x:c r="F5499" s="36" t="n">
        <x:v>2743</x:v>
      </x:c>
      <x:c r="G5499" s="42" t="n">
        <x:v>0.5883740883740883</x:v>
      </x:c>
      <x:c r="H5499" s="36" t="n">
        <x:f>E5499*G5499</x:f>
        <x:v>126500.429000429</x:v>
      </x:c>
      <x:c r="I5499" s="36" t="n">
        <x:f>IFERROR(H5499/A5499,0)</x:f>
        <x:v>14055.603222269889</x:v>
      </x:c>
      <x:c r="J5499" s="67" t="str">
        <x:v>Modeled from live base + Sep-2026 quality ratio</x:v>
      </x:c>
      <x:c r="K5499" s="67" t="str">
        <x:v>https://www.stonealgo.com/diamond-prices/</x:v>
      </x:c>
      <x:c r="L5499" s="67" t="str">
        <x:v>https://www.pricescope.com/blog/natural-diamond-prices-september-2026</x:v>
      </x:c>
    </x:row>
    <x:row r="5500">
      <x:c r="A5500" t="n">
        <x:v>9</x:v>
      </x:c>
      <x:c r="B5500" t="str">
        <x:v>Radiant</x:v>
      </x:c>
      <x:c r="C5500" t="str">
        <x:v>K</x:v>
      </x:c>
      <x:c r="D5500" t="str">
        <x:v>VVS1</x:v>
      </x:c>
      <x:c r="E5500" s="36" t="n">
        <x:v>215000</x:v>
      </x:c>
      <x:c r="F5500" s="36" t="n">
        <x:v>2529</x:v>
      </x:c>
      <x:c r="G5500" s="42" t="n">
        <x:v>0.5424710424710425</x:v>
      </x:c>
      <x:c r="H5500" s="36" t="n">
        <x:f>E5500*G5500</x:f>
        <x:v>116631.27413127414</x:v>
      </x:c>
      <x:c r="I5500" s="36" t="n">
        <x:f>IFERROR(H5500/A5500,0)</x:f>
        <x:v>12959.03045903046</x:v>
      </x:c>
      <x:c r="J5500" s="67" t="str">
        <x:v>Modeled from live base + Sep-2026 quality ratio</x:v>
      </x:c>
      <x:c r="K5500" s="67" t="str">
        <x:v>https://www.stonealgo.com/diamond-prices/</x:v>
      </x:c>
      <x:c r="L5500" s="67" t="str">
        <x:v>https://www.pricescope.com/blog/natural-diamond-prices-september-2026</x:v>
      </x:c>
    </x:row>
    <x:row r="5501">
      <x:c r="A5501" t="n">
        <x:v>9</x:v>
      </x:c>
      <x:c r="B5501" t="str">
        <x:v>Radiant</x:v>
      </x:c>
      <x:c r="C5501" t="str">
        <x:v>K</x:v>
      </x:c>
      <x:c r="D5501" t="str">
        <x:v>VVS2</x:v>
      </x:c>
      <x:c r="E5501" s="36" t="n">
        <x:v>215000</x:v>
      </x:c>
      <x:c r="F5501" s="36" t="n">
        <x:v>2374</x:v>
      </x:c>
      <x:c r="G5501" s="42" t="n">
        <x:v>0.5092235092235092</x:v>
      </x:c>
      <x:c r="H5501" s="36" t="n">
        <x:f>E5501*G5501</x:f>
        <x:v>109483.05448305448</x:v>
      </x:c>
      <x:c r="I5501" s="36" t="n">
        <x:f>IFERROR(H5501/A5501,0)</x:f>
        <x:v>12164.783831450499</x:v>
      </x:c>
      <x:c r="J5501" s="67" t="str">
        <x:v>Modeled from live base + Sep-2026 quality ratio</x:v>
      </x:c>
      <x:c r="K5501" s="67" t="str">
        <x:v>https://www.stonealgo.com/diamond-prices/</x:v>
      </x:c>
      <x:c r="L5501" s="67" t="str">
        <x:v>https://www.pricescope.com/blog/natural-diamond-prices-september-2026</x:v>
      </x:c>
    </x:row>
    <x:row r="5502">
      <x:c r="A5502" t="n">
        <x:v>9</x:v>
      </x:c>
      <x:c r="B5502" t="str">
        <x:v>Radiant</x:v>
      </x:c>
      <x:c r="C5502" t="str">
        <x:v>K</x:v>
      </x:c>
      <x:c r="D5502" t="str">
        <x:v>VS1</x:v>
      </x:c>
      <x:c r="E5502" s="36" t="n">
        <x:v>215000</x:v>
      </x:c>
      <x:c r="F5502" s="36" t="n">
        <x:v>2223</x:v>
      </x:c>
      <x:c r="G5502" s="42" t="n">
        <x:v>0.4768339768339768</x:v>
      </x:c>
      <x:c r="H5502" s="36" t="n">
        <x:f>E5502*G5502</x:f>
        <x:v>102519.30501930501</x:v>
      </x:c>
      <x:c r="I5502" s="36" t="n">
        <x:f>IFERROR(H5502/A5502,0)</x:f>
        <x:v>11391.03389103389</x:v>
      </x:c>
      <x:c r="J5502" s="67" t="str">
        <x:v>Modeled from live base + Sep-2026 quality ratio</x:v>
      </x:c>
      <x:c r="K5502" s="67" t="str">
        <x:v>https://www.stonealgo.com/diamond-prices/</x:v>
      </x:c>
      <x:c r="L5502" s="67" t="str">
        <x:v>https://www.pricescope.com/blog/natural-diamond-prices-september-2026</x:v>
      </x:c>
    </x:row>
    <x:row r="5503">
      <x:c r="A5503" t="n">
        <x:v>9</x:v>
      </x:c>
      <x:c r="B5503" t="str">
        <x:v>Radiant</x:v>
      </x:c>
      <x:c r="C5503" t="str">
        <x:v>K</x:v>
      </x:c>
      <x:c r="D5503" t="str">
        <x:v>VS2</x:v>
      </x:c>
      <x:c r="E5503" s="36" t="n">
        <x:v>215000</x:v>
      </x:c>
      <x:c r="F5503" s="36" t="n">
        <x:v>2098</x:v>
      </x:c>
      <x:c r="G5503" s="42" t="n">
        <x:v>0.45002145002145</x:v>
      </x:c>
      <x:c r="H5503" s="36" t="n">
        <x:f>E5503*G5503</x:f>
        <x:v>96754.61175461175</x:v>
      </x:c>
      <x:c r="I5503" s="36" t="n">
        <x:f>IFERROR(H5503/A5503,0)</x:f>
        <x:v>10750.512417179083</x:v>
      </x:c>
      <x:c r="J5503" s="67" t="str">
        <x:v>Modeled from live base + Sep-2026 quality ratio</x:v>
      </x:c>
      <x:c r="K5503" s="67" t="str">
        <x:v>https://www.stonealgo.com/diamond-prices/</x:v>
      </x:c>
      <x:c r="L5503" s="67" t="str">
        <x:v>https://www.pricescope.com/blog/natural-diamond-prices-september-2026</x:v>
      </x:c>
    </x:row>
    <x:row r="5504">
      <x:c r="A5504" t="n">
        <x:v>9</x:v>
      </x:c>
      <x:c r="B5504" t="str">
        <x:v>Radiant</x:v>
      </x:c>
      <x:c r="C5504" t="str">
        <x:v>K</x:v>
      </x:c>
      <x:c r="D5504" t="str">
        <x:v>SI1</x:v>
      </x:c>
      <x:c r="E5504" s="36" t="n">
        <x:v>215000</x:v>
      </x:c>
      <x:c r="F5504" s="36" t="n">
        <x:v>1922</x:v>
      </x:c>
      <x:c r="G5504" s="42" t="n">
        <x:v>0.41226941226941227</x:v>
      </x:c>
      <x:c r="H5504" s="36" t="n">
        <x:f>E5504*G5504</x:f>
        <x:v>88637.92363792364</x:v>
      </x:c>
      <x:c r="I5504" s="36" t="n">
        <x:f>IFERROR(H5504/A5504,0)</x:f>
        <x:v>9848.658181991515</x:v>
      </x:c>
      <x:c r="J5504" s="67" t="str">
        <x:v>Modeled from live base + Sep-2026 quality ratio</x:v>
      </x:c>
      <x:c r="K5504" s="67" t="str">
        <x:v>https://www.stonealgo.com/diamond-prices/</x:v>
      </x:c>
      <x:c r="L5504" s="67" t="str">
        <x:v>https://www.pricescope.com/blog/natural-diamond-prices-september-2026</x:v>
      </x:c>
    </x:row>
    <x:row r="5505">
      <x:c r="A5505" t="n">
        <x:v>9</x:v>
      </x:c>
      <x:c r="B5505" t="str">
        <x:v>Radiant</x:v>
      </x:c>
      <x:c r="C5505" t="str">
        <x:v>K</x:v>
      </x:c>
      <x:c r="D5505" t="str">
        <x:v>SI2</x:v>
      </x:c>
      <x:c r="E5505" s="36" t="n">
        <x:v>215000</x:v>
      </x:c>
      <x:c r="F5505" s="36" t="n">
        <x:v>1764</x:v>
      </x:c>
      <x:c r="G5505" s="42" t="n">
        <x:v>0.3783783783783784</x:v>
      </x:c>
      <x:c r="H5505" s="36" t="n">
        <x:f>E5505*G5505</x:f>
        <x:v>81351.35135135136</x:v>
      </x:c>
      <x:c r="I5505" s="36" t="n">
        <x:f>IFERROR(H5505/A5505,0)</x:f>
        <x:v>9039.03903903904</x:v>
      </x:c>
      <x:c r="J5505" s="67" t="str">
        <x:v>Modeled from live base + Sep-2026 quality ratio</x:v>
      </x:c>
      <x:c r="K5505" s="67" t="str">
        <x:v>https://www.stonealgo.com/diamond-prices/</x:v>
      </x:c>
      <x:c r="L5505" s="67" t="str">
        <x:v>https://www.pricescope.com/blog/natural-diamond-prices-september-2026</x:v>
      </x:c>
    </x:row>
    <x:row r="5506">
      <x:c r="A5506" t="n">
        <x:v>9</x:v>
      </x:c>
      <x:c r="B5506" t="str">
        <x:v>Pear</x:v>
      </x:c>
      <x:c r="C5506" t="str">
        <x:v>D</x:v>
      </x:c>
      <x:c r="D5506" t="str">
        <x:v>FL</x:v>
      </x:c>
      <x:c r="E5506" s="36" t="n">
        <x:v>468037</x:v>
      </x:c>
      <x:c r="F5506" s="36" t="n">
        <x:v>12665</x:v>
      </x:c>
      <x:c r="G5506" s="42" t="n">
        <x:v>2.7166452166452166</x:v>
      </x:c>
      <x:c r="H5506" s="36" t="n">
        <x:f>E5506*G5506</x:f>
        <x:v>1271490.4772629773</x:v>
      </x:c>
      <x:c r="I5506" s="36" t="n">
        <x:f>IFERROR(H5506/A5506,0)</x:f>
        <x:v>141276.71969588636</x:v>
      </x:c>
      <x:c r="J5506" s="67" t="str">
        <x:v>Modeled from live base + Sep-2026 quality ratio</x:v>
      </x:c>
      <x:c r="K5506" s="67" t="str">
        <x:v>https://www.stonealgo.com/diamond-prices/</x:v>
      </x:c>
      <x:c r="L5506" s="67" t="str">
        <x:v>https://www.pricescope.com/blog/natural-diamond-prices-september-2026</x:v>
      </x:c>
    </x:row>
    <x:row r="5507">
      <x:c r="A5507" t="n">
        <x:v>9</x:v>
      </x:c>
      <x:c r="B5507" t="str">
        <x:v>Pear</x:v>
      </x:c>
      <x:c r="C5507" t="str">
        <x:v>D</x:v>
      </x:c>
      <x:c r="D5507" t="str">
        <x:v>IF</x:v>
      </x:c>
      <x:c r="E5507" s="36" t="n">
        <x:v>468037</x:v>
      </x:c>
      <x:c r="F5507" s="36" t="n">
        <x:v>13240</x:v>
      </x:c>
      <x:c r="G5507" s="42" t="n">
        <x:v>2.83998283998284</x:v>
      </x:c>
      <x:c r="H5507" s="36" t="n">
        <x:f>E5507*G5507</x:f>
        <x:v>1329217.0484770485</x:v>
      </x:c>
      <x:c r="I5507" s="36" t="n">
        <x:f>IFERROR(H5507/A5507,0)</x:f>
        <x:v>147690.7831641165</x:v>
      </x:c>
      <x:c r="J5507" s="67" t="str">
        <x:v>Modeled from live base + Sep-2026 quality ratio</x:v>
      </x:c>
      <x:c r="K5507" s="67" t="str">
        <x:v>https://www.stonealgo.com/diamond-prices/</x:v>
      </x:c>
      <x:c r="L5507" s="67" t="str">
        <x:v>https://www.pricescope.com/blog/natural-diamond-prices-september-2026</x:v>
      </x:c>
    </x:row>
    <x:row r="5508">
      <x:c r="A5508" t="n">
        <x:v>9</x:v>
      </x:c>
      <x:c r="B5508" t="str">
        <x:v>Pear</x:v>
      </x:c>
      <x:c r="C5508" t="str">
        <x:v>D</x:v>
      </x:c>
      <x:c r="D5508" t="str">
        <x:v>VVS1</x:v>
      </x:c>
      <x:c r="E5508" s="36" t="n">
        <x:v>468037</x:v>
      </x:c>
      <x:c r="F5508" s="36" t="n">
        <x:v>9555</x:v>
      </x:c>
      <x:c r="G5508" s="42" t="n">
        <x:v>2.0495495495495497</x:v>
      </x:c>
      <x:c r="H5508" s="36" t="n">
        <x:f>E5508*G5508</x:f>
        <x:v>959265.0225225226</x:v>
      </x:c>
      <x:c r="I5508" s="36" t="n">
        <x:f>IFERROR(H5508/A5508,0)</x:f>
        <x:v>106585.00250250251</x:v>
      </x:c>
      <x:c r="J5508" s="67" t="str">
        <x:v>Modeled from live base + Sep-2026 quality ratio</x:v>
      </x:c>
      <x:c r="K5508" s="67" t="str">
        <x:v>https://www.stonealgo.com/diamond-prices/</x:v>
      </x:c>
      <x:c r="L5508" s="67" t="str">
        <x:v>https://www.pricescope.com/blog/natural-diamond-prices-september-2026</x:v>
      </x:c>
    </x:row>
    <x:row r="5509">
      <x:c r="A5509" t="n">
        <x:v>9</x:v>
      </x:c>
      <x:c r="B5509" t="str">
        <x:v>Pear</x:v>
      </x:c>
      <x:c r="C5509" t="str">
        <x:v>D</x:v>
      </x:c>
      <x:c r="D5509" t="str">
        <x:v>VVS2</x:v>
      </x:c>
      <x:c r="E5509" s="36" t="n">
        <x:v>468037</x:v>
      </x:c>
      <x:c r="F5509" s="36" t="n">
        <x:v>6660</x:v>
      </x:c>
      <x:c r="G5509" s="42" t="n">
        <x:v>1.4285714285714286</x:v>
      </x:c>
      <x:c r="H5509" s="36" t="n">
        <x:f>E5509*G5509</x:f>
        <x:v>668624.2857142857</x:v>
      </x:c>
      <x:c r="I5509" s="36" t="n">
        <x:f>IFERROR(H5509/A5509,0)</x:f>
        <x:v>74291.5873015873</x:v>
      </x:c>
      <x:c r="J5509" s="67" t="str">
        <x:v>Modeled from live base + Sep-2026 quality ratio</x:v>
      </x:c>
      <x:c r="K5509" s="67" t="str">
        <x:v>https://www.stonealgo.com/diamond-prices/</x:v>
      </x:c>
      <x:c r="L5509" s="67" t="str">
        <x:v>https://www.pricescope.com/blog/natural-diamond-prices-september-2026</x:v>
      </x:c>
    </x:row>
    <x:row r="5510">
      <x:c r="A5510" t="n">
        <x:v>9</x:v>
      </x:c>
      <x:c r="B5510" t="str">
        <x:v>Pear</x:v>
      </x:c>
      <x:c r="C5510" t="str">
        <x:v>D</x:v>
      </x:c>
      <x:c r="D5510" t="str">
        <x:v>VS1</x:v>
      </x:c>
      <x:c r="E5510" s="36" t="n">
        <x:v>468037</x:v>
      </x:c>
      <x:c r="F5510" s="36" t="n">
        <x:v>6247</x:v>
      </x:c>
      <x:c r="G5510" s="42" t="n">
        <x:v>1.33998283998284</x:v>
      </x:c>
      <x:c r="H5510" s="36" t="n">
        <x:f>E5510*G5510</x:f>
        <x:v>627161.5484770485</x:v>
      </x:c>
      <x:c r="I5510" s="36" t="n">
        <x:f>IFERROR(H5510/A5510,0)</x:f>
        <x:v>69684.61649744984</x:v>
      </x:c>
      <x:c r="J5510" s="67" t="str">
        <x:v>Modeled from live base + Sep-2026 quality ratio</x:v>
      </x:c>
      <x:c r="K5510" s="67" t="str">
        <x:v>https://www.stonealgo.com/diamond-prices/</x:v>
      </x:c>
      <x:c r="L5510" s="67" t="str">
        <x:v>https://www.pricescope.com/blog/natural-diamond-prices-september-2026</x:v>
      </x:c>
    </x:row>
    <x:row r="5511">
      <x:c r="A5511" t="n">
        <x:v>9</x:v>
      </x:c>
      <x:c r="B5511" t="str">
        <x:v>Pear</x:v>
      </x:c>
      <x:c r="C5511" t="str">
        <x:v>D</x:v>
      </x:c>
      <x:c r="D5511" t="str">
        <x:v>VS2</x:v>
      </x:c>
      <x:c r="E5511" s="36" t="n">
        <x:v>468037</x:v>
      </x:c>
      <x:c r="F5511" s="36" t="n">
        <x:v>5841</x:v>
      </x:c>
      <x:c r="G5511" s="42" t="n">
        <x:v>1.252895752895753</x:v>
      </x:c>
      <x:c r="H5511" s="36" t="n">
        <x:f>E5511*G5511</x:f>
        <x:v>586401.5694980695</x:v>
      </x:c>
      <x:c r="I5511" s="36" t="n">
        <x:f>IFERROR(H5511/A5511,0)</x:f>
        <x:v>65155.72994422994</x:v>
      </x:c>
      <x:c r="J5511" s="67" t="str">
        <x:v>Modeled from live base + Sep-2026 quality ratio</x:v>
      </x:c>
      <x:c r="K5511" s="67" t="str">
        <x:v>https://www.stonealgo.com/diamond-prices/</x:v>
      </x:c>
      <x:c r="L5511" s="67" t="str">
        <x:v>https://www.pricescope.com/blog/natural-diamond-prices-september-2026</x:v>
      </x:c>
    </x:row>
    <x:row r="5512">
      <x:c r="A5512" t="n">
        <x:v>9</x:v>
      </x:c>
      <x:c r="B5512" t="str">
        <x:v>Pear</x:v>
      </x:c>
      <x:c r="C5512" t="str">
        <x:v>D</x:v>
      </x:c>
      <x:c r="D5512" t="str">
        <x:v>SI1</x:v>
      </x:c>
      <x:c r="E5512" s="36" t="n">
        <x:v>468037</x:v>
      </x:c>
      <x:c r="F5512" s="36" t="n">
        <x:v>3762</x:v>
      </x:c>
      <x:c r="G5512" s="42" t="n">
        <x:v>0.806949806949807</x:v>
      </x:c>
      <x:c r="H5512" s="36" t="n">
        <x:f>E5512*G5512</x:f>
        <x:v>377682.3667953668</x:v>
      </x:c>
      <x:c r="I5512" s="36" t="n">
        <x:f>IFERROR(H5512/A5512,0)</x:f>
        <x:v>41964.707421707426</x:v>
      </x:c>
      <x:c r="J5512" s="67" t="str">
        <x:v>Modeled from live base + Sep-2026 quality ratio</x:v>
      </x:c>
      <x:c r="K5512" s="67" t="str">
        <x:v>https://www.stonealgo.com/diamond-prices/</x:v>
      </x:c>
      <x:c r="L5512" s="67" t="str">
        <x:v>https://www.pricescope.com/blog/natural-diamond-prices-september-2026</x:v>
      </x:c>
    </x:row>
    <x:row r="5513">
      <x:c r="A5513" t="n">
        <x:v>9</x:v>
      </x:c>
      <x:c r="B5513" t="str">
        <x:v>Pear</x:v>
      </x:c>
      <x:c r="C5513" t="str">
        <x:v>D</x:v>
      </x:c>
      <x:c r="D5513" t="str">
        <x:v>SI2</x:v>
      </x:c>
      <x:c r="E5513" s="36" t="n">
        <x:v>468037</x:v>
      </x:c>
      <x:c r="F5513" s="36" t="n">
        <x:v>3026</x:v>
      </x:c>
      <x:c r="G5513" s="42" t="n">
        <x:v>0.6490776490776491</x:v>
      </x:c>
      <x:c r="H5513" s="36" t="n">
        <x:f>E5513*G5513</x:f>
        <x:v>303792.3556413556</x:v>
      </x:c>
      <x:c r="I5513" s="36" t="n">
        <x:f>IFERROR(H5513/A5513,0)</x:f>
        <x:v>33754.70618237284</x:v>
      </x:c>
      <x:c r="J5513" s="67" t="str">
        <x:v>Modeled from live base + Sep-2026 quality ratio</x:v>
      </x:c>
      <x:c r="K5513" s="67" t="str">
        <x:v>https://www.stonealgo.com/diamond-prices/</x:v>
      </x:c>
      <x:c r="L5513" s="67" t="str">
        <x:v>https://www.pricescope.com/blog/natural-diamond-prices-september-2026</x:v>
      </x:c>
    </x:row>
    <x:row r="5514">
      <x:c r="A5514" t="n">
        <x:v>9</x:v>
      </x:c>
      <x:c r="B5514" t="str">
        <x:v>Pear</x:v>
      </x:c>
      <x:c r="C5514" t="str">
        <x:v>E</x:v>
      </x:c>
      <x:c r="D5514" t="str">
        <x:v>FL</x:v>
      </x:c>
      <x:c r="E5514" s="36" t="n">
        <x:v>468037</x:v>
      </x:c>
      <x:c r="F5514" s="36" t="n">
        <x:v>10072</x:v>
      </x:c>
      <x:c r="G5514" s="42" t="n">
        <x:v>2.1604461604461602</x:v>
      </x:c>
      <x:c r="H5514" s="36" t="n">
        <x:f>E5514*G5514</x:f>
        <x:v>1011168.7395967395</x:v>
      </x:c>
      <x:c r="I5514" s="36" t="n">
        <x:f>IFERROR(H5514/A5514,0)</x:f>
        <x:v>112352.0821774155</x:v>
      </x:c>
      <x:c r="J5514" s="67" t="str">
        <x:v>Modeled from live base + Sep-2026 quality ratio</x:v>
      </x:c>
      <x:c r="K5514" s="67" t="str">
        <x:v>https://www.stonealgo.com/diamond-prices/</x:v>
      </x:c>
      <x:c r="L5514" s="67" t="str">
        <x:v>https://www.pricescope.com/blog/natural-diamond-prices-september-2026</x:v>
      </x:c>
    </x:row>
    <x:row r="5515">
      <x:c r="A5515" t="n">
        <x:v>9</x:v>
      </x:c>
      <x:c r="B5515" t="str">
        <x:v>Pear</x:v>
      </x:c>
      <x:c r="C5515" t="str">
        <x:v>E</x:v>
      </x:c>
      <x:c r="D5515" t="str">
        <x:v>IF</x:v>
      </x:c>
      <x:c r="E5515" s="36" t="n">
        <x:v>468037</x:v>
      </x:c>
      <x:c r="F5515" s="36" t="n">
        <x:v>8672</x:v>
      </x:c>
      <x:c r="G5515" s="42" t="n">
        <x:v>1.8601458601458603</x:v>
      </x:c>
      <x:c r="H5515" s="36" t="n">
        <x:f>E5515*G5515</x:f>
        <x:v>870617.087945088</x:v>
      </x:c>
      <x:c r="I5515" s="36" t="n">
        <x:f>IFERROR(H5515/A5515,0)</x:f>
        <x:v>96735.23199389868</x:v>
      </x:c>
      <x:c r="J5515" s="67" t="str">
        <x:v>Modeled from live base + Sep-2026 quality ratio</x:v>
      </x:c>
      <x:c r="K5515" s="67" t="str">
        <x:v>https://www.stonealgo.com/diamond-prices/</x:v>
      </x:c>
      <x:c r="L5515" s="67" t="str">
        <x:v>https://www.pricescope.com/blog/natural-diamond-prices-september-2026</x:v>
      </x:c>
    </x:row>
    <x:row r="5516">
      <x:c r="A5516" t="n">
        <x:v>9</x:v>
      </x:c>
      <x:c r="B5516" t="str">
        <x:v>Pear</x:v>
      </x:c>
      <x:c r="C5516" t="str">
        <x:v>E</x:v>
      </x:c>
      <x:c r="D5516" t="str">
        <x:v>VVS1</x:v>
      </x:c>
      <x:c r="E5516" s="36" t="n">
        <x:v>468037</x:v>
      </x:c>
      <x:c r="F5516" s="36" t="n">
        <x:v>7842</x:v>
      </x:c>
      <x:c r="G5516" s="42" t="n">
        <x:v>1.6821106821106822</x:v>
      </x:c>
      <x:c r="H5516" s="36" t="n">
        <x:f>E5516*G5516</x:f>
        <x:v>787290.0373230374</x:v>
      </x:c>
      <x:c r="I5516" s="36" t="n">
        <x:f>IFERROR(H5516/A5516,0)</x:f>
        <x:v>87476.67081367082</x:v>
      </x:c>
      <x:c r="J5516" s="67" t="str">
        <x:v>Modeled from live base + Sep-2026 quality ratio</x:v>
      </x:c>
      <x:c r="K5516" s="67" t="str">
        <x:v>https://www.stonealgo.com/diamond-prices/</x:v>
      </x:c>
      <x:c r="L5516" s="67" t="str">
        <x:v>https://www.pricescope.com/blog/natural-diamond-prices-september-2026</x:v>
      </x:c>
    </x:row>
    <x:row r="5517">
      <x:c r="A5517" t="n">
        <x:v>9</x:v>
      </x:c>
      <x:c r="B5517" t="str">
        <x:v>Pear</x:v>
      </x:c>
      <x:c r="C5517" t="str">
        <x:v>E</x:v>
      </x:c>
      <x:c r="D5517" t="str">
        <x:v>VVS2</x:v>
      </x:c>
      <x:c r="E5517" s="36" t="n">
        <x:v>468037</x:v>
      </x:c>
      <x:c r="F5517" s="36" t="n">
        <x:v>6880</x:v>
      </x:c>
      <x:c r="G5517" s="42" t="n">
        <x:v>1.4757614757614759</x:v>
      </x:c>
      <x:c r="H5517" s="36" t="n">
        <x:f>E5517*G5517</x:f>
        <x:v>690710.9738309738</x:v>
      </x:c>
      <x:c r="I5517" s="36" t="n">
        <x:f>IFERROR(H5517/A5517,0)</x:f>
        <x:v>76745.66375899709</x:v>
      </x:c>
      <x:c r="J5517" s="67" t="str">
        <x:v>Modeled from live base + Sep-2026 quality ratio</x:v>
      </x:c>
      <x:c r="K5517" s="67" t="str">
        <x:v>https://www.stonealgo.com/diamond-prices/</x:v>
      </x:c>
      <x:c r="L5517" s="67" t="str">
        <x:v>https://www.pricescope.com/blog/natural-diamond-prices-september-2026</x:v>
      </x:c>
    </x:row>
    <x:row r="5518">
      <x:c r="A5518" t="n">
        <x:v>9</x:v>
      </x:c>
      <x:c r="B5518" t="str">
        <x:v>Pear</x:v>
      </x:c>
      <x:c r="C5518" t="str">
        <x:v>E</x:v>
      </x:c>
      <x:c r="D5518" t="str">
        <x:v>VS1</x:v>
      </x:c>
      <x:c r="E5518" s="36" t="n">
        <x:v>468037</x:v>
      </x:c>
      <x:c r="F5518" s="36" t="n">
        <x:v>6307</x:v>
      </x:c>
      <x:c r="G5518" s="42" t="n">
        <x:v>1.352852852852853</x:v>
      </x:c>
      <x:c r="H5518" s="36" t="n">
        <x:f>E5518*G5518</x:f>
        <x:v>633185.1906906908</x:v>
      </x:c>
      <x:c r="I5518" s="36" t="n">
        <x:f>IFERROR(H5518/A5518,0)</x:f>
        <x:v>70353.91007674341</x:v>
      </x:c>
      <x:c r="J5518" s="67" t="str">
        <x:v>Modeled from live base + Sep-2026 quality ratio</x:v>
      </x:c>
      <x:c r="K5518" s="67" t="str">
        <x:v>https://www.stonealgo.com/diamond-prices/</x:v>
      </x:c>
      <x:c r="L5518" s="67" t="str">
        <x:v>https://www.pricescope.com/blog/natural-diamond-prices-september-2026</x:v>
      </x:c>
    </x:row>
    <x:row r="5519">
      <x:c r="A5519" t="n">
        <x:v>9</x:v>
      </x:c>
      <x:c r="B5519" t="str">
        <x:v>Pear</x:v>
      </x:c>
      <x:c r="C5519" t="str">
        <x:v>E</x:v>
      </x:c>
      <x:c r="D5519" t="str">
        <x:v>VS2</x:v>
      </x:c>
      <x:c r="E5519" s="36" t="n">
        <x:v>468037</x:v>
      </x:c>
      <x:c r="F5519" s="36" t="n">
        <x:v>5249</x:v>
      </x:c>
      <x:c r="G5519" s="42" t="n">
        <x:v>1.125911625911626</x:v>
      </x:c>
      <x:c r="H5519" s="36" t="n">
        <x:f>E5519*G5519</x:f>
        <x:v>526968.2996567996</x:v>
      </x:c>
      <x:c r="I5519" s="36" t="n">
        <x:f>IFERROR(H5519/A5519,0)</x:f>
        <x:v>58552.03329519996</x:v>
      </x:c>
      <x:c r="J5519" s="67" t="str">
        <x:v>Modeled from live base + Sep-2026 quality ratio</x:v>
      </x:c>
      <x:c r="K5519" s="67" t="str">
        <x:v>https://www.stonealgo.com/diamond-prices/</x:v>
      </x:c>
      <x:c r="L5519" s="67" t="str">
        <x:v>https://www.pricescope.com/blog/natural-diamond-prices-september-2026</x:v>
      </x:c>
    </x:row>
    <x:row r="5520">
      <x:c r="A5520" t="n">
        <x:v>9</x:v>
      </x:c>
      <x:c r="B5520" t="str">
        <x:v>Pear</x:v>
      </x:c>
      <x:c r="C5520" t="str">
        <x:v>E</x:v>
      </x:c>
      <x:c r="D5520" t="str">
        <x:v>SI1</x:v>
      </x:c>
      <x:c r="E5520" s="36" t="n">
        <x:v>468037</x:v>
      </x:c>
      <x:c r="F5520" s="36" t="n">
        <x:v>3551</x:v>
      </x:c>
      <x:c r="G5520" s="42" t="n">
        <x:v>0.7616902616902617</x:v>
      </x:c>
      <x:c r="H5520" s="36" t="n">
        <x:f>E5520*G5520</x:f>
        <x:v>356499.225010725</x:v>
      </x:c>
      <x:c r="I5520" s="36" t="n">
        <x:f>IFERROR(H5520/A5520,0)</x:f>
        <x:v>39611.025001191665</x:v>
      </x:c>
      <x:c r="J5520" s="67" t="str">
        <x:v>Modeled from live base + Sep-2026 quality ratio</x:v>
      </x:c>
      <x:c r="K5520" s="67" t="str">
        <x:v>https://www.stonealgo.com/diamond-prices/</x:v>
      </x:c>
      <x:c r="L5520" s="67" t="str">
        <x:v>https://www.pricescope.com/blog/natural-diamond-prices-september-2026</x:v>
      </x:c>
    </x:row>
    <x:row r="5521">
      <x:c r="A5521" t="n">
        <x:v>9</x:v>
      </x:c>
      <x:c r="B5521" t="str">
        <x:v>Pear</x:v>
      </x:c>
      <x:c r="C5521" t="str">
        <x:v>E</x:v>
      </x:c>
      <x:c r="D5521" t="str">
        <x:v>SI2</x:v>
      </x:c>
      <x:c r="E5521" s="36" t="n">
        <x:v>468037</x:v>
      </x:c>
      <x:c r="F5521" s="36" t="n">
        <x:v>2993</x:v>
      </x:c>
      <x:c r="G5521" s="42" t="n">
        <x:v>0.641999141999142</x:v>
      </x:c>
      <x:c r="H5521" s="36" t="n">
        <x:f>E5521*G5521</x:f>
        <x:v>300479.3524238524</x:v>
      </x:c>
      <x:c r="I5521" s="36" t="n">
        <x:f>IFERROR(H5521/A5521,0)</x:f>
        <x:v>33386.594713761384</x:v>
      </x:c>
      <x:c r="J5521" s="67" t="str">
        <x:v>Modeled from live base + Sep-2026 quality ratio</x:v>
      </x:c>
      <x:c r="K5521" s="67" t="str">
        <x:v>https://www.stonealgo.com/diamond-prices/</x:v>
      </x:c>
      <x:c r="L5521" s="67" t="str">
        <x:v>https://www.pricescope.com/blog/natural-diamond-prices-september-2026</x:v>
      </x:c>
    </x:row>
    <x:row r="5522">
      <x:c r="A5522" t="n">
        <x:v>9</x:v>
      </x:c>
      <x:c r="B5522" t="str">
        <x:v>Pear</x:v>
      </x:c>
      <x:c r="C5522" t="str">
        <x:v>F</x:v>
      </x:c>
      <x:c r="D5522" t="str">
        <x:v>FL</x:v>
      </x:c>
      <x:c r="E5522" s="36" t="n">
        <x:v>468037</x:v>
      </x:c>
      <x:c r="F5522" s="36" t="n">
        <x:v>6830</x:v>
      </x:c>
      <x:c r="G5522" s="42" t="n">
        <x:v>1.4650364650364651</x:v>
      </x:c>
      <x:c r="H5522" s="36" t="n">
        <x:f>E5522*G5522</x:f>
        <x:v>685691.2719862721</x:v>
      </x:c>
      <x:c r="I5522" s="36" t="n">
        <x:f>IFERROR(H5522/A5522,0)</x:f>
        <x:v>76187.91910958578</x:v>
      </x:c>
      <x:c r="J5522" s="67" t="str">
        <x:v>Modeled from live base + Sep-2026 quality ratio</x:v>
      </x:c>
      <x:c r="K5522" s="67" t="str">
        <x:v>https://www.stonealgo.com/diamond-prices/</x:v>
      </x:c>
      <x:c r="L5522" s="67" t="str">
        <x:v>https://www.pricescope.com/blog/natural-diamond-prices-september-2026</x:v>
      </x:c>
    </x:row>
    <x:row r="5523">
      <x:c r="A5523" t="n">
        <x:v>9</x:v>
      </x:c>
      <x:c r="B5523" t="str">
        <x:v>Pear</x:v>
      </x:c>
      <x:c r="C5523" t="str">
        <x:v>F</x:v>
      </x:c>
      <x:c r="D5523" t="str">
        <x:v>IF</x:v>
      </x:c>
      <x:c r="E5523" s="36" t="n">
        <x:v>468037</x:v>
      </x:c>
      <x:c r="F5523" s="36" t="n">
        <x:v>7302</x:v>
      </x:c>
      <x:c r="G5523" s="42" t="n">
        <x:v>1.5662805662805663</x:v>
      </x:c>
      <x:c r="H5523" s="36" t="n">
        <x:f>E5523*G5523</x:f>
        <x:v>733077.2574002574</x:v>
      </x:c>
      <x:c r="I5523" s="36" t="n">
        <x:f>IFERROR(H5523/A5523,0)</x:f>
        <x:v>81453.0286000286</x:v>
      </x:c>
      <x:c r="J5523" s="67" t="str">
        <x:v>Modeled from live base + Sep-2026 quality ratio</x:v>
      </x:c>
      <x:c r="K5523" s="67" t="str">
        <x:v>https://www.stonealgo.com/diamond-prices/</x:v>
      </x:c>
      <x:c r="L5523" s="67" t="str">
        <x:v>https://www.pricescope.com/blog/natural-diamond-prices-september-2026</x:v>
      </x:c>
    </x:row>
    <x:row r="5524">
      <x:c r="A5524" t="n">
        <x:v>9</x:v>
      </x:c>
      <x:c r="B5524" t="str">
        <x:v>Pear</x:v>
      </x:c>
      <x:c r="C5524" t="str">
        <x:v>F</x:v>
      </x:c>
      <x:c r="D5524" t="str">
        <x:v>VVS1</x:v>
      </x:c>
      <x:c r="E5524" s="36" t="n">
        <x:v>468037</x:v>
      </x:c>
      <x:c r="F5524" s="36" t="n">
        <x:v>7542</x:v>
      </x:c>
      <x:c r="G5524" s="42" t="n">
        <x:v>1.6177606177606179</x:v>
      </x:c>
      <x:c r="H5524" s="36" t="n">
        <x:f>E5524*G5524</x:f>
        <x:v>757171.8262548263</x:v>
      </x:c>
      <x:c r="I5524" s="36" t="n">
        <x:f>IFERROR(H5524/A5524,0)</x:f>
        <x:v>84130.20291720291</x:v>
      </x:c>
      <x:c r="J5524" s="67" t="str">
        <x:v>Modeled from live base + Sep-2026 quality ratio</x:v>
      </x:c>
      <x:c r="K5524" s="67" t="str">
        <x:v>https://www.stonealgo.com/diamond-prices/</x:v>
      </x:c>
      <x:c r="L5524" s="67" t="str">
        <x:v>https://www.pricescope.com/blog/natural-diamond-prices-september-2026</x:v>
      </x:c>
    </x:row>
    <x:row r="5525">
      <x:c r="A5525" t="n">
        <x:v>9</x:v>
      </x:c>
      <x:c r="B5525" t="str">
        <x:v>Pear</x:v>
      </x:c>
      <x:c r="C5525" t="str">
        <x:v>F</x:v>
      </x:c>
      <x:c r="D5525" t="str">
        <x:v>VVS2</x:v>
      </x:c>
      <x:c r="E5525" s="36" t="n">
        <x:v>468037</x:v>
      </x:c>
      <x:c r="F5525" s="36" t="n">
        <x:v>6352</x:v>
      </x:c>
      <x:c r="G5525" s="42" t="n">
        <x:v>1.3625053625053625</x:v>
      </x:c>
      <x:c r="H5525" s="36" t="n">
        <x:f>E5525*G5525</x:f>
        <x:v>637702.9223509224</x:v>
      </x:c>
      <x:c r="I5525" s="36" t="n">
        <x:f>IFERROR(H5525/A5525,0)</x:f>
        <x:v>70855.88026121359</x:v>
      </x:c>
      <x:c r="J5525" s="67" t="str">
        <x:v>Modeled from live base + Sep-2026 quality ratio</x:v>
      </x:c>
      <x:c r="K5525" s="67" t="str">
        <x:v>https://www.stonealgo.com/diamond-prices/</x:v>
      </x:c>
      <x:c r="L5525" s="67" t="str">
        <x:v>https://www.pricescope.com/blog/natural-diamond-prices-september-2026</x:v>
      </x:c>
    </x:row>
    <x:row r="5526">
      <x:c r="A5526" t="n">
        <x:v>9</x:v>
      </x:c>
      <x:c r="B5526" t="str">
        <x:v>Pear</x:v>
      </x:c>
      <x:c r="C5526" t="str">
        <x:v>F</x:v>
      </x:c>
      <x:c r="D5526" t="str">
        <x:v>VS1</x:v>
      </x:c>
      <x:c r="E5526" s="36" t="n">
        <x:v>468037</x:v>
      </x:c>
      <x:c r="F5526" s="36" t="n">
        <x:v>5647</x:v>
      </x:c>
      <x:c r="G5526" s="42" t="n">
        <x:v>1.2112827112827114</x:v>
      </x:c>
      <x:c r="H5526" s="36" t="n">
        <x:f>E5526*G5526</x:f>
        <x:v>566925.1263406264</x:v>
      </x:c>
      <x:c r="I5526" s="36" t="n">
        <x:f>IFERROR(H5526/A5526,0)</x:f>
        <x:v>62991.680704514045</x:v>
      </x:c>
      <x:c r="J5526" s="67" t="str">
        <x:v>Modeled from live base + Sep-2026 quality ratio</x:v>
      </x:c>
      <x:c r="K5526" s="67" t="str">
        <x:v>https://www.stonealgo.com/diamond-prices/</x:v>
      </x:c>
      <x:c r="L5526" s="67" t="str">
        <x:v>https://www.pricescope.com/blog/natural-diamond-prices-september-2026</x:v>
      </x:c>
    </x:row>
    <x:row r="5527">
      <x:c r="A5527" t="n">
        <x:v>9</x:v>
      </x:c>
      <x:c r="B5527" t="str">
        <x:v>Pear</x:v>
      </x:c>
      <x:c r="C5527" t="str">
        <x:v>F</x:v>
      </x:c>
      <x:c r="D5527" t="str">
        <x:v>VS2</x:v>
      </x:c>
      <x:c r="E5527" s="36" t="n">
        <x:v>468037</x:v>
      </x:c>
      <x:c r="F5527" s="36" t="n">
        <x:v>4730</x:v>
      </x:c>
      <x:c r="G5527" s="42" t="n">
        <x:v>1.0145860145860146</x:v>
      </x:c>
      <x:c r="H5527" s="36" t="n">
        <x:f>E5527*G5527</x:f>
        <x:v>474863.7945087945</x:v>
      </x:c>
      <x:c r="I5527" s="36" t="n">
        <x:f>IFERROR(H5527/A5527,0)</x:f>
        <x:v>52762.6438343105</x:v>
      </x:c>
      <x:c r="J5527" s="67" t="str">
        <x:v>Modeled from live base + Sep-2026 quality ratio</x:v>
      </x:c>
      <x:c r="K5527" s="67" t="str">
        <x:v>https://www.stonealgo.com/diamond-prices/</x:v>
      </x:c>
      <x:c r="L5527" s="67" t="str">
        <x:v>https://www.pricescope.com/blog/natural-diamond-prices-september-2026</x:v>
      </x:c>
    </x:row>
    <x:row r="5528">
      <x:c r="A5528" t="n">
        <x:v>9</x:v>
      </x:c>
      <x:c r="B5528" t="str">
        <x:v>Pear</x:v>
      </x:c>
      <x:c r="C5528" t="str">
        <x:v>F</x:v>
      </x:c>
      <x:c r="D5528" t="str">
        <x:v>SI1</x:v>
      </x:c>
      <x:c r="E5528" s="36" t="n">
        <x:v>468037</x:v>
      </x:c>
      <x:c r="F5528" s="36" t="n">
        <x:v>3331</x:v>
      </x:c>
      <x:c r="G5528" s="42" t="n">
        <x:v>0.7145002145002145</x:v>
      </x:c>
      <x:c r="H5528" s="36" t="n">
        <x:f>E5528*G5528</x:f>
        <x:v>334412.5368940369</x:v>
      </x:c>
      <x:c r="I5528" s="36" t="n">
        <x:f>IFERROR(H5528/A5528,0)</x:f>
        <x:v>37156.94854378188</x:v>
      </x:c>
      <x:c r="J5528" s="67" t="str">
        <x:v>Modeled from live base + Sep-2026 quality ratio</x:v>
      </x:c>
      <x:c r="K5528" s="67" t="str">
        <x:v>https://www.stonealgo.com/diamond-prices/</x:v>
      </x:c>
      <x:c r="L5528" s="67" t="str">
        <x:v>https://www.pricescope.com/blog/natural-diamond-prices-september-2026</x:v>
      </x:c>
    </x:row>
    <x:row r="5529">
      <x:c r="A5529" t="n">
        <x:v>9</x:v>
      </x:c>
      <x:c r="B5529" t="str">
        <x:v>Pear</x:v>
      </x:c>
      <x:c r="C5529" t="str">
        <x:v>F</x:v>
      </x:c>
      <x:c r="D5529" t="str">
        <x:v>SI2</x:v>
      </x:c>
      <x:c r="E5529" s="36" t="n">
        <x:v>468037</x:v>
      </x:c>
      <x:c r="F5529" s="36" t="n">
        <x:v>2733</x:v>
      </x:c>
      <x:c r="G5529" s="42" t="n">
        <x:v>0.5862290862290862</x:v>
      </x:c>
      <x:c r="H5529" s="36" t="n">
        <x:f>E5529*G5529</x:f>
        <x:v>274376.90283140284</x:v>
      </x:c>
      <x:c r="I5529" s="36" t="n">
        <x:f>IFERROR(H5529/A5529,0)</x:f>
        <x:v>30486.32253682254</x:v>
      </x:c>
      <x:c r="J5529" s="67" t="str">
        <x:v>Modeled from live base + Sep-2026 quality ratio</x:v>
      </x:c>
      <x:c r="K5529" s="67" t="str">
        <x:v>https://www.stonealgo.com/diamond-prices/</x:v>
      </x:c>
      <x:c r="L5529" s="67" t="str">
        <x:v>https://www.pricescope.com/blog/natural-diamond-prices-september-2026</x:v>
      </x:c>
    </x:row>
    <x:row r="5530">
      <x:c r="A5530" t="n">
        <x:v>9</x:v>
      </x:c>
      <x:c r="B5530" t="str">
        <x:v>Pear</x:v>
      </x:c>
      <x:c r="C5530" t="str">
        <x:v>G</x:v>
      </x:c>
      <x:c r="D5530" t="str">
        <x:v>FL</x:v>
      </x:c>
      <x:c r="E5530" s="36" t="n">
        <x:v>468037</x:v>
      </x:c>
      <x:c r="F5530" s="36" t="n">
        <x:v>5905</x:v>
      </x:c>
      <x:c r="G5530" s="42" t="n">
        <x:v>1.2666237666237665</x:v>
      </x:c>
      <x:c r="H5530" s="36" t="n">
        <x:f>E5530*G5530</x:f>
        <x:v>592826.7878592878</x:v>
      </x:c>
      <x:c r="I5530" s="36" t="n">
        <x:f>IFERROR(H5530/A5530,0)</x:f>
        <x:v>65869.64309547642</x:v>
      </x:c>
      <x:c r="J5530" s="67" t="str">
        <x:v>Modeled from live base + Sep-2026 quality ratio</x:v>
      </x:c>
      <x:c r="K5530" s="67" t="str">
        <x:v>https://www.stonealgo.com/diamond-prices/</x:v>
      </x:c>
      <x:c r="L5530" s="67" t="str">
        <x:v>https://www.pricescope.com/blog/natural-diamond-prices-september-2026</x:v>
      </x:c>
    </x:row>
    <x:row r="5531">
      <x:c r="A5531" t="n">
        <x:v>9</x:v>
      </x:c>
      <x:c r="B5531" t="str">
        <x:v>Pear</x:v>
      </x:c>
      <x:c r="C5531" t="str">
        <x:v>G</x:v>
      </x:c>
      <x:c r="D5531" t="str">
        <x:v>IF</x:v>
      </x:c>
      <x:c r="E5531" s="36" t="n">
        <x:v>468037</x:v>
      </x:c>
      <x:c r="F5531" s="36" t="n">
        <x:v>5601</x:v>
      </x:c>
      <x:c r="G5531" s="42" t="n">
        <x:v>1.2014157014157014</x:v>
      </x:c>
      <x:c r="H5531" s="36" t="n">
        <x:f>E5531*G5531</x:f>
        <x:v>562307.0006435006</x:v>
      </x:c>
      <x:c r="I5531" s="36" t="n">
        <x:f>IFERROR(H5531/A5531,0)</x:f>
        <x:v>62478.55562705562</x:v>
      </x:c>
      <x:c r="J5531" s="67" t="str">
        <x:v>Modeled from live base + Sep-2026 quality ratio</x:v>
      </x:c>
      <x:c r="K5531" s="67" t="str">
        <x:v>https://www.stonealgo.com/diamond-prices/</x:v>
      </x:c>
      <x:c r="L5531" s="67" t="str">
        <x:v>https://www.pricescope.com/blog/natural-diamond-prices-september-2026</x:v>
      </x:c>
    </x:row>
    <x:row r="5532">
      <x:c r="A5532" t="n">
        <x:v>9</x:v>
      </x:c>
      <x:c r="B5532" t="str">
        <x:v>Pear</x:v>
      </x:c>
      <x:c r="C5532" t="str">
        <x:v>G</x:v>
      </x:c>
      <x:c r="D5532" t="str">
        <x:v>VVS1</x:v>
      </x:c>
      <x:c r="E5532" s="36" t="n">
        <x:v>468037</x:v>
      </x:c>
      <x:c r="F5532" s="36" t="n">
        <x:v>5124</x:v>
      </x:c>
      <x:c r="G5532" s="42" t="n">
        <x:v>1.0990990990990992</x:v>
      </x:c>
      <x:c r="H5532" s="36" t="n">
        <x:f>E5532*G5532</x:f>
        <x:v>514419.0450450451</x:v>
      </x:c>
      <x:c r="I5532" s="36" t="n">
        <x:f>IFERROR(H5532/A5532,0)</x:f>
        <x:v>57157.67167167168</x:v>
      </x:c>
      <x:c r="J5532" s="67" t="str">
        <x:v>Modeled from live base + Sep-2026 quality ratio</x:v>
      </x:c>
      <x:c r="K5532" s="67" t="str">
        <x:v>https://www.stonealgo.com/diamond-prices/</x:v>
      </x:c>
      <x:c r="L5532" s="67" t="str">
        <x:v>https://www.pricescope.com/blog/natural-diamond-prices-september-2026</x:v>
      </x:c>
    </x:row>
    <x:row r="5533">
      <x:c r="A5533" t="n">
        <x:v>9</x:v>
      </x:c>
      <x:c r="B5533" t="str">
        <x:v>Pear</x:v>
      </x:c>
      <x:c r="C5533" t="str">
        <x:v>G</x:v>
      </x:c>
      <x:c r="D5533" t="str">
        <x:v>VVS2</x:v>
      </x:c>
      <x:c r="E5533" s="36" t="n">
        <x:v>468037</x:v>
      </x:c>
      <x:c r="F5533" s="36" t="n">
        <x:v>4962</x:v>
      </x:c>
      <x:c r="G5533" s="42" t="n">
        <x:v>1.0643500643500643</x:v>
      </x:c>
      <x:c r="H5533" s="36" t="n">
        <x:f>E5533*G5533</x:f>
        <x:v>498155.21106821107</x:v>
      </x:c>
      <x:c r="I5533" s="36" t="n">
        <x:f>IFERROR(H5533/A5533,0)</x:f>
        <x:v>55350.57900757901</x:v>
      </x:c>
      <x:c r="J5533" s="67" t="str">
        <x:v>Modeled from live base + Sep-2026 quality ratio</x:v>
      </x:c>
      <x:c r="K5533" s="67" t="str">
        <x:v>https://www.stonealgo.com/diamond-prices/</x:v>
      </x:c>
      <x:c r="L5533" s="67" t="str">
        <x:v>https://www.pricescope.com/blog/natural-diamond-prices-september-2026</x:v>
      </x:c>
    </x:row>
    <x:row r="5534">
      <x:c r="A5534" t="n">
        <x:v>9</x:v>
      </x:c>
      <x:c r="B5534" t="str">
        <x:v>Pear</x:v>
      </x:c>
      <x:c r="C5534" t="str">
        <x:v>G</x:v>
      </x:c>
      <x:c r="D5534" t="str">
        <x:v>VS1</x:v>
      </x:c>
      <x:c r="E5534" s="36" t="n">
        <x:v>468037</x:v>
      </x:c>
      <x:c r="F5534" s="36" t="n">
        <x:v>4615</x:v>
      </x:c>
      <x:c r="G5534" s="42" t="n">
        <x:v>0.98991848991849</x:v>
      </x:c>
      <x:c r="H5534" s="36" t="n">
        <x:f>E5534*G5534</x:f>
        <x:v>463318.4802659803</x:v>
      </x:c>
      <x:c r="I5534" s="36" t="n">
        <x:f>IFERROR(H5534/A5534,0)</x:f>
        <x:v>51479.83114066448</x:v>
      </x:c>
      <x:c r="J5534" s="67" t="str">
        <x:v>Modeled from live base + Sep-2026 quality ratio</x:v>
      </x:c>
      <x:c r="K5534" s="67" t="str">
        <x:v>https://www.stonealgo.com/diamond-prices/</x:v>
      </x:c>
      <x:c r="L5534" s="67" t="str">
        <x:v>https://www.pricescope.com/blog/natural-diamond-prices-september-2026</x:v>
      </x:c>
    </x:row>
    <x:row r="5535">
      <x:c r="A5535" t="n">
        <x:v>9</x:v>
      </x:c>
      <x:c r="B5535" t="str">
        <x:v>Pear</x:v>
      </x:c>
      <x:c r="C5535" t="str">
        <x:v>G</x:v>
      </x:c>
      <x:c r="D5535" t="str">
        <x:v>VS2</x:v>
      </x:c>
      <x:c r="E5535" s="36" t="n">
        <x:v>468037</x:v>
      </x:c>
      <x:c r="F5535" s="36" t="n">
        <x:v>4585</x:v>
      </x:c>
      <x:c r="G5535" s="42" t="n">
        <x:v>0.9834834834834835</x:v>
      </x:c>
      <x:c r="H5535" s="36" t="n">
        <x:f>E5535*G5535</x:f>
        <x:v>460306.6591591592</x:v>
      </x:c>
      <x:c r="I5535" s="36" t="n">
        <x:f>IFERROR(H5535/A5535,0)</x:f>
        <x:v>51145.184351017684</x:v>
      </x:c>
      <x:c r="J5535" s="67" t="str">
        <x:v>Modeled from live base + Sep-2026 quality ratio</x:v>
      </x:c>
      <x:c r="K5535" s="67" t="str">
        <x:v>https://www.stonealgo.com/diamond-prices/</x:v>
      </x:c>
      <x:c r="L5535" s="67" t="str">
        <x:v>https://www.pricescope.com/blog/natural-diamond-prices-september-2026</x:v>
      </x:c>
    </x:row>
    <x:row r="5536">
      <x:c r="A5536" t="n">
        <x:v>9</x:v>
      </x:c>
      <x:c r="B5536" t="str">
        <x:v>Pear</x:v>
      </x:c>
      <x:c r="C5536" t="str">
        <x:v>G</x:v>
      </x:c>
      <x:c r="D5536" t="str">
        <x:v>SI1</x:v>
      </x:c>
      <x:c r="E5536" s="36" t="n">
        <x:v>468037</x:v>
      </x:c>
      <x:c r="F5536" s="36" t="n">
        <x:v>3664</x:v>
      </x:c>
      <x:c r="G5536" s="42" t="n">
        <x:v>0.7859287859287859</x:v>
      </x:c>
      <x:c r="H5536" s="36" t="n">
        <x:f>E5536*G5536</x:f>
        <x:v>367843.7511797512</x:v>
      </x:c>
      <x:c r="I5536" s="36" t="n">
        <x:f>IFERROR(H5536/A5536,0)</x:f>
        <x:v>40871.527908861244</x:v>
      </x:c>
      <x:c r="J5536" s="67" t="str">
        <x:v>Modeled from live base + Sep-2026 quality ratio</x:v>
      </x:c>
      <x:c r="K5536" s="67" t="str">
        <x:v>https://www.stonealgo.com/diamond-prices/</x:v>
      </x:c>
      <x:c r="L5536" s="67" t="str">
        <x:v>https://www.pricescope.com/blog/natural-diamond-prices-september-2026</x:v>
      </x:c>
    </x:row>
    <x:row r="5537">
      <x:c r="A5537" t="n">
        <x:v>9</x:v>
      </x:c>
      <x:c r="B5537" t="str">
        <x:v>Pear</x:v>
      </x:c>
      <x:c r="C5537" t="str">
        <x:v>G</x:v>
      </x:c>
      <x:c r="D5537" t="str">
        <x:v>SI2</x:v>
      </x:c>
      <x:c r="E5537" s="36" t="n">
        <x:v>468037</x:v>
      </x:c>
      <x:c r="F5537" s="36" t="n">
        <x:v>2537</x:v>
      </x:c>
      <x:c r="G5537" s="42" t="n">
        <x:v>0.5441870441870442</x:v>
      </x:c>
      <x:c r="H5537" s="36" t="n">
        <x:f>E5537*G5537</x:f>
        <x:v>254699.67160017163</x:v>
      </x:c>
      <x:c r="I5537" s="36" t="n">
        <x:f>IFERROR(H5537/A5537,0)</x:f>
        <x:v>28299.96351113018</x:v>
      </x:c>
      <x:c r="J5537" s="67" t="str">
        <x:v>Modeled from live base + Sep-2026 quality ratio</x:v>
      </x:c>
      <x:c r="K5537" s="67" t="str">
        <x:v>https://www.stonealgo.com/diamond-prices/</x:v>
      </x:c>
      <x:c r="L5537" s="67" t="str">
        <x:v>https://www.pricescope.com/blog/natural-diamond-prices-september-2026</x:v>
      </x:c>
    </x:row>
    <x:row r="5538">
      <x:c r="A5538" t="n">
        <x:v>9</x:v>
      </x:c>
      <x:c r="B5538" t="str">
        <x:v>Pear</x:v>
      </x:c>
      <x:c r="C5538" t="str">
        <x:v>H</x:v>
      </x:c>
      <x:c r="D5538" t="str">
        <x:v>FL</x:v>
      </x:c>
      <x:c r="E5538" s="36" t="n">
        <x:v>468037</x:v>
      </x:c>
      <x:c r="F5538" s="36" t="n">
        <x:v>4563</x:v>
      </x:c>
      <x:c r="G5538" s="42" t="n">
        <x:v>0.9787644787644788</x:v>
      </x:c>
      <x:c r="H5538" s="36" t="n">
        <x:f>E5538*G5538</x:f>
        <x:v>458097.99034749035</x:v>
      </x:c>
      <x:c r="I5538" s="36" t="n">
        <x:f>IFERROR(H5538/A5538,0)</x:f>
        <x:v>50899.77670527671</x:v>
      </x:c>
      <x:c r="J5538" s="67" t="str">
        <x:v>Modeled from live base + Sep-2026 quality ratio</x:v>
      </x:c>
      <x:c r="K5538" s="67" t="str">
        <x:v>https://www.stonealgo.com/diamond-prices/</x:v>
      </x:c>
      <x:c r="L5538" s="67" t="str">
        <x:v>https://www.pricescope.com/blog/natural-diamond-prices-september-2026</x:v>
      </x:c>
    </x:row>
    <x:row r="5539">
      <x:c r="A5539" t="n">
        <x:v>9</x:v>
      </x:c>
      <x:c r="B5539" t="str">
        <x:v>Pear</x:v>
      </x:c>
      <x:c r="C5539" t="str">
        <x:v>H</x:v>
      </x:c>
      <x:c r="D5539" t="str">
        <x:v>IF</x:v>
      </x:c>
      <x:c r="E5539" s="36" t="n">
        <x:v>468037</x:v>
      </x:c>
      <x:c r="F5539" s="36" t="n">
        <x:v>4809</x:v>
      </x:c>
      <x:c r="G5539" s="42" t="n">
        <x:v>1.0315315315315314</x:v>
      </x:c>
      <x:c r="H5539" s="36" t="n">
        <x:f>E5539*G5539</x:f>
        <x:v>482794.9234234234</x:v>
      </x:c>
      <x:c r="I5539" s="36" t="n">
        <x:f>IFERROR(H5539/A5539,0)</x:f>
        <x:v>53643.880380380375</x:v>
      </x:c>
      <x:c r="J5539" s="67" t="str">
        <x:v>Modeled from live base + Sep-2026 quality ratio</x:v>
      </x:c>
      <x:c r="K5539" s="67" t="str">
        <x:v>https://www.stonealgo.com/diamond-prices/</x:v>
      </x:c>
      <x:c r="L5539" s="67" t="str">
        <x:v>https://www.pricescope.com/blog/natural-diamond-prices-september-2026</x:v>
      </x:c>
    </x:row>
    <x:row r="5540">
      <x:c r="A5540" t="n">
        <x:v>9</x:v>
      </x:c>
      <x:c r="B5540" t="str">
        <x:v>Pear</x:v>
      </x:c>
      <x:c r="C5540" t="str">
        <x:v>H</x:v>
      </x:c>
      <x:c r="D5540" t="str">
        <x:v>VVS1</x:v>
      </x:c>
      <x:c r="E5540" s="36" t="n">
        <x:v>468037</x:v>
      </x:c>
      <x:c r="F5540" s="36" t="n">
        <x:v>4911</x:v>
      </x:c>
      <x:c r="G5540" s="42" t="n">
        <x:v>1.0534105534105533</x:v>
      </x:c>
      <x:c r="H5540" s="36" t="n">
        <x:f>E5540*G5540</x:f>
        <x:v>493035.11518661515</x:v>
      </x:c>
      <x:c r="I5540" s="36" t="n">
        <x:f>IFERROR(H5540/A5540,0)</x:f>
        <x:v>54781.67946517946</x:v>
      </x:c>
      <x:c r="J5540" s="67" t="str">
        <x:v>Modeled from live base + Sep-2026 quality ratio</x:v>
      </x:c>
      <x:c r="K5540" s="67" t="str">
        <x:v>https://www.stonealgo.com/diamond-prices/</x:v>
      </x:c>
      <x:c r="L5540" s="67" t="str">
        <x:v>https://www.pricescope.com/blog/natural-diamond-prices-september-2026</x:v>
      </x:c>
    </x:row>
    <x:row r="5541">
      <x:c r="A5541" t="n">
        <x:v>9</x:v>
      </x:c>
      <x:c r="B5541" t="str">
        <x:v>Pear</x:v>
      </x:c>
      <x:c r="C5541" t="str">
        <x:v>H</x:v>
      </x:c>
      <x:c r="D5541" t="str">
        <x:v>VVS2</x:v>
      </x:c>
      <x:c r="E5541" s="36" t="n">
        <x:v>468037</x:v>
      </x:c>
      <x:c r="F5541" s="36" t="n">
        <x:v>4046</x:v>
      </x:c>
      <x:c r="G5541" s="42" t="n">
        <x:v>0.8678678678678678</x:v>
      </x:c>
      <x:c r="H5541" s="36" t="n">
        <x:f>E5541*G5541</x:f>
        <x:v>406194.27327327325</x:v>
      </x:c>
      <x:c r="I5541" s="36" t="n">
        <x:f>IFERROR(H5541/A5541,0)</x:f>
        <x:v>45132.69703036369</x:v>
      </x:c>
      <x:c r="J5541" s="67" t="str">
        <x:v>Modeled from live base + Sep-2026 quality ratio</x:v>
      </x:c>
      <x:c r="K5541" s="67" t="str">
        <x:v>https://www.stonealgo.com/diamond-prices/</x:v>
      </x:c>
      <x:c r="L5541" s="67" t="str">
        <x:v>https://www.pricescope.com/blog/natural-diamond-prices-september-2026</x:v>
      </x:c>
    </x:row>
    <x:row r="5542">
      <x:c r="A5542" t="n">
        <x:v>9</x:v>
      </x:c>
      <x:c r="B5542" t="str">
        <x:v>Pear</x:v>
      </x:c>
      <x:c r="C5542" t="str">
        <x:v>H</x:v>
      </x:c>
      <x:c r="D5542" t="str">
        <x:v>VS1</x:v>
      </x:c>
      <x:c r="E5542" s="36" t="n">
        <x:v>468037</x:v>
      </x:c>
      <x:c r="F5542" s="36" t="n">
        <x:v>3893</x:v>
      </x:c>
      <x:c r="G5542" s="42" t="n">
        <x:v>0.8350493350493351</x:v>
      </x:c>
      <x:c r="H5542" s="36" t="n">
        <x:f>E5542*G5542</x:f>
        <x:v>390833.9856284856</x:v>
      </x:c>
      <x:c r="I5542" s="36" t="n">
        <x:f>IFERROR(H5542/A5542,0)</x:f>
        <x:v>43425.99840316507</x:v>
      </x:c>
      <x:c r="J5542" s="67" t="str">
        <x:v>Modeled from live base + Sep-2026 quality ratio</x:v>
      </x:c>
      <x:c r="K5542" s="67" t="str">
        <x:v>https://www.stonealgo.com/diamond-prices/</x:v>
      </x:c>
      <x:c r="L5542" s="67" t="str">
        <x:v>https://www.pricescope.com/blog/natural-diamond-prices-september-2026</x:v>
      </x:c>
    </x:row>
    <x:row r="5543">
      <x:c r="A5543" t="n">
        <x:v>9</x:v>
      </x:c>
      <x:c r="B5543" t="str">
        <x:v>Pear</x:v>
      </x:c>
      <x:c r="C5543" t="str">
        <x:v>H</x:v>
      </x:c>
      <x:c r="D5543" t="str">
        <x:v>VS2</x:v>
      </x:c>
      <x:c r="E5543" s="36" t="n">
        <x:v>468037</x:v>
      </x:c>
      <x:c r="F5543" s="36" t="n">
        <x:v>3989</x:v>
      </x:c>
      <x:c r="G5543" s="42" t="n">
        <x:v>0.8556413556413557</x:v>
      </x:c>
      <x:c r="H5543" s="36" t="n">
        <x:f>E5543*G5543</x:f>
        <x:v>400471.8131703132</x:v>
      </x:c>
      <x:c r="I5543" s="36" t="n">
        <x:f>IFERROR(H5543/A5543,0)</x:f>
        <x:v>44496.868130034796</x:v>
      </x:c>
      <x:c r="J5543" s="67" t="str">
        <x:v>Modeled from live base + Sep-2026 quality ratio</x:v>
      </x:c>
      <x:c r="K5543" s="67" t="str">
        <x:v>https://www.stonealgo.com/diamond-prices/</x:v>
      </x:c>
      <x:c r="L5543" s="67" t="str">
        <x:v>https://www.pricescope.com/blog/natural-diamond-prices-september-2026</x:v>
      </x:c>
    </x:row>
    <x:row r="5544">
      <x:c r="A5544" t="n">
        <x:v>9</x:v>
      </x:c>
      <x:c r="B5544" t="str">
        <x:v>Pear</x:v>
      </x:c>
      <x:c r="C5544" t="str">
        <x:v>H</x:v>
      </x:c>
      <x:c r="D5544" t="str">
        <x:v>SI1</x:v>
      </x:c>
      <x:c r="E5544" s="36" t="n">
        <x:v>468037</x:v>
      </x:c>
      <x:c r="F5544" s="36" t="n">
        <x:v>2828</x:v>
      </x:c>
      <x:c r="G5544" s="42" t="n">
        <x:v>0.6066066066066066</x:v>
      </x:c>
      <x:c r="H5544" s="36" t="n">
        <x:f>E5544*G5544</x:f>
        <x:v>283914.33633633633</x:v>
      </x:c>
      <x:c r="I5544" s="36" t="n">
        <x:f>IFERROR(H5544/A5544,0)</x:f>
        <x:v>31546.037370704038</x:v>
      </x:c>
      <x:c r="J5544" s="67" t="str">
        <x:v>Modeled from live base + Sep-2026 quality ratio</x:v>
      </x:c>
      <x:c r="K5544" s="67" t="str">
        <x:v>https://www.stonealgo.com/diamond-prices/</x:v>
      </x:c>
      <x:c r="L5544" s="67" t="str">
        <x:v>https://www.pricescope.com/blog/natural-diamond-prices-september-2026</x:v>
      </x:c>
    </x:row>
    <x:row r="5545">
      <x:c r="A5545" t="n">
        <x:v>9</x:v>
      </x:c>
      <x:c r="B5545" t="str">
        <x:v>Pear</x:v>
      </x:c>
      <x:c r="C5545" t="str">
        <x:v>H</x:v>
      </x:c>
      <x:c r="D5545" t="str">
        <x:v>SI2</x:v>
      </x:c>
      <x:c r="E5545" s="36" t="n">
        <x:v>468037</x:v>
      </x:c>
      <x:c r="F5545" s="36" t="n">
        <x:v>2328</x:v>
      </x:c>
      <x:c r="G5545" s="42" t="n">
        <x:v>0.49935649935649934</x:v>
      </x:c>
      <x:c r="H5545" s="36" t="n">
        <x:f>E5545*G5545</x:f>
        <x:v>233717.31788931787</x:v>
      </x:c>
      <x:c r="I5545" s="36" t="n">
        <x:f>IFERROR(H5545/A5545,0)</x:f>
        <x:v>25968.590876590875</x:v>
      </x:c>
      <x:c r="J5545" s="67" t="str">
        <x:v>Modeled from live base + Sep-2026 quality ratio</x:v>
      </x:c>
      <x:c r="K5545" s="67" t="str">
        <x:v>https://www.stonealgo.com/diamond-prices/</x:v>
      </x:c>
      <x:c r="L5545" s="67" t="str">
        <x:v>https://www.pricescope.com/blog/natural-diamond-prices-september-2026</x:v>
      </x:c>
    </x:row>
    <x:row r="5546">
      <x:c r="A5546" t="n">
        <x:v>9</x:v>
      </x:c>
      <x:c r="B5546" t="str">
        <x:v>Pear</x:v>
      </x:c>
      <x:c r="C5546" t="str">
        <x:v>I</x:v>
      </x:c>
      <x:c r="D5546" t="str">
        <x:v>FL</x:v>
      </x:c>
      <x:c r="E5546" s="36" t="n">
        <x:v>468037</x:v>
      </x:c>
      <x:c r="F5546" s="36" t="n">
        <x:v>4623</x:v>
      </x:c>
      <x:c r="G5546" s="42" t="n">
        <x:v>0.9916344916344917</x:v>
      </x:c>
      <x:c r="H5546" s="36" t="n">
        <x:f>E5546*G5546</x:f>
        <x:v>464121.6325611326</x:v>
      </x:c>
      <x:c r="I5546" s="36" t="n">
        <x:f>IFERROR(H5546/A5546,0)</x:f>
        <x:v>51569.07028457029</x:v>
      </x:c>
      <x:c r="J5546" s="67" t="str">
        <x:v>Modeled from live base + Sep-2026 quality ratio</x:v>
      </x:c>
      <x:c r="K5546" s="67" t="str">
        <x:v>https://www.stonealgo.com/diamond-prices/</x:v>
      </x:c>
      <x:c r="L5546" s="67" t="str">
        <x:v>https://www.pricescope.com/blog/natural-diamond-prices-september-2026</x:v>
      </x:c>
    </x:row>
    <x:row r="5547">
      <x:c r="A5547" t="n">
        <x:v>9</x:v>
      </x:c>
      <x:c r="B5547" t="str">
        <x:v>Pear</x:v>
      </x:c>
      <x:c r="C5547" t="str">
        <x:v>I</x:v>
      </x:c>
      <x:c r="D5547" t="str">
        <x:v>IF</x:v>
      </x:c>
      <x:c r="E5547" s="36" t="n">
        <x:v>468037</x:v>
      </x:c>
      <x:c r="F5547" s="36" t="n">
        <x:v>4005</x:v>
      </x:c>
      <x:c r="G5547" s="42" t="n">
        <x:v>0.859073359073359</x:v>
      </x:c>
      <x:c r="H5547" s="36" t="n">
        <x:f>E5547*G5547</x:f>
        <x:v>402078.11776061775</x:v>
      </x:c>
      <x:c r="I5547" s="36" t="n">
        <x:f>IFERROR(H5547/A5547,0)</x:f>
        <x:v>44675.34641784642</x:v>
      </x:c>
      <x:c r="J5547" s="67" t="str">
        <x:v>Modeled from live base + Sep-2026 quality ratio</x:v>
      </x:c>
      <x:c r="K5547" s="67" t="str">
        <x:v>https://www.stonealgo.com/diamond-prices/</x:v>
      </x:c>
      <x:c r="L5547" s="67" t="str">
        <x:v>https://www.pricescope.com/blog/natural-diamond-prices-september-2026</x:v>
      </x:c>
    </x:row>
    <x:row r="5548">
      <x:c r="A5548" t="n">
        <x:v>9</x:v>
      </x:c>
      <x:c r="B5548" t="str">
        <x:v>Pear</x:v>
      </x:c>
      <x:c r="C5548" t="str">
        <x:v>I</x:v>
      </x:c>
      <x:c r="D5548" t="str">
        <x:v>VVS1</x:v>
      </x:c>
      <x:c r="E5548" s="36" t="n">
        <x:v>468037</x:v>
      </x:c>
      <x:c r="F5548" s="36" t="n">
        <x:v>3670</x:v>
      </x:c>
      <x:c r="G5548" s="42" t="n">
        <x:v>0.7872157872157872</x:v>
      </x:c>
      <x:c r="H5548" s="36" t="n">
        <x:f>E5548*G5548</x:f>
        <x:v>368446.1154011154</x:v>
      </x:c>
      <x:c r="I5548" s="36" t="n">
        <x:f>IFERROR(H5548/A5548,0)</x:f>
        <x:v>40938.457266790596</x:v>
      </x:c>
      <x:c r="J5548" s="67" t="str">
        <x:v>Modeled from live base + Sep-2026 quality ratio</x:v>
      </x:c>
      <x:c r="K5548" s="67" t="str">
        <x:v>https://www.stonealgo.com/diamond-prices/</x:v>
      </x:c>
      <x:c r="L5548" s="67" t="str">
        <x:v>https://www.pricescope.com/blog/natural-diamond-prices-september-2026</x:v>
      </x:c>
    </x:row>
    <x:row r="5549">
      <x:c r="A5549" t="n">
        <x:v>9</x:v>
      </x:c>
      <x:c r="B5549" t="str">
        <x:v>Pear</x:v>
      </x:c>
      <x:c r="C5549" t="str">
        <x:v>I</x:v>
      </x:c>
      <x:c r="D5549" t="str">
        <x:v>VVS2</x:v>
      </x:c>
      <x:c r="E5549" s="36" t="n">
        <x:v>468037</x:v>
      </x:c>
      <x:c r="F5549" s="36" t="n">
        <x:v>3447</x:v>
      </x:c>
      <x:c r="G5549" s="42" t="n">
        <x:v>0.7393822393822393</x:v>
      </x:c>
      <x:c r="H5549" s="36" t="n">
        <x:f>E5549*G5549</x:f>
        <x:v>346058.24517374515</x:v>
      </x:c>
      <x:c r="I5549" s="36" t="n">
        <x:f>IFERROR(H5549/A5549,0)</x:f>
        <x:v>38450.916130416124</x:v>
      </x:c>
      <x:c r="J5549" s="67" t="str">
        <x:v>Modeled from live base + Sep-2026 quality ratio</x:v>
      </x:c>
      <x:c r="K5549" s="67" t="str">
        <x:v>https://www.stonealgo.com/diamond-prices/</x:v>
      </x:c>
      <x:c r="L5549" s="67" t="str">
        <x:v>https://www.pricescope.com/blog/natural-diamond-prices-september-2026</x:v>
      </x:c>
    </x:row>
    <x:row r="5550">
      <x:c r="A5550" t="n">
        <x:v>9</x:v>
      </x:c>
      <x:c r="B5550" t="str">
        <x:v>Pear</x:v>
      </x:c>
      <x:c r="C5550" t="str">
        <x:v>I</x:v>
      </x:c>
      <x:c r="D5550" t="str">
        <x:v>VS1</x:v>
      </x:c>
      <x:c r="E5550" s="36" t="n">
        <x:v>468037</x:v>
      </x:c>
      <x:c r="F5550" s="36" t="n">
        <x:v>3313</x:v>
      </x:c>
      <x:c r="G5550" s="42" t="n">
        <x:v>0.7106392106392107</x:v>
      </x:c>
      <x:c r="H5550" s="36" t="n">
        <x:f>E5550*G5550</x:f>
        <x:v>332605.44422994426</x:v>
      </x:c>
      <x:c r="I5550" s="36" t="n">
        <x:f>IFERROR(H5550/A5550,0)</x:f>
        <x:v>36956.1604699938</x:v>
      </x:c>
      <x:c r="J5550" s="67" t="str">
        <x:v>Modeled from live base + Sep-2026 quality ratio</x:v>
      </x:c>
      <x:c r="K5550" s="67" t="str">
        <x:v>https://www.stonealgo.com/diamond-prices/</x:v>
      </x:c>
      <x:c r="L5550" s="67" t="str">
        <x:v>https://www.pricescope.com/blog/natural-diamond-prices-september-2026</x:v>
      </x:c>
    </x:row>
    <x:row r="5551">
      <x:c r="A5551" t="n">
        <x:v>9</x:v>
      </x:c>
      <x:c r="B5551" t="str">
        <x:v>Pear</x:v>
      </x:c>
      <x:c r="C5551" t="str">
        <x:v>I</x:v>
      </x:c>
      <x:c r="D5551" t="str">
        <x:v>VS2</x:v>
      </x:c>
      <x:c r="E5551" s="36" t="n">
        <x:v>468037</x:v>
      </x:c>
      <x:c r="F5551" s="36" t="n">
        <x:v>3240</x:v>
      </x:c>
      <x:c r="G5551" s="42" t="n">
        <x:v>0.694980694980695</x:v>
      </x:c>
      <x:c r="H5551" s="36" t="n">
        <x:f>E5551*G5551</x:f>
        <x:v>325276.6795366796</x:v>
      </x:c>
      <x:c r="I5551" s="36" t="n">
        <x:f>IFERROR(H5551/A5551,0)</x:f>
        <x:v>36141.853281853284</x:v>
      </x:c>
      <x:c r="J5551" s="67" t="str">
        <x:v>Modeled from live base + Sep-2026 quality ratio</x:v>
      </x:c>
      <x:c r="K5551" s="67" t="str">
        <x:v>https://www.stonealgo.com/diamond-prices/</x:v>
      </x:c>
      <x:c r="L5551" s="67" t="str">
        <x:v>https://www.pricescope.com/blog/natural-diamond-prices-september-2026</x:v>
      </x:c>
    </x:row>
    <x:row r="5552">
      <x:c r="A5552" t="n">
        <x:v>9</x:v>
      </x:c>
      <x:c r="B5552" t="str">
        <x:v>Pear</x:v>
      </x:c>
      <x:c r="C5552" t="str">
        <x:v>I</x:v>
      </x:c>
      <x:c r="D5552" t="str">
        <x:v>SI1</x:v>
      </x:c>
      <x:c r="E5552" s="36" t="n">
        <x:v>468037</x:v>
      </x:c>
      <x:c r="F5552" s="36" t="n">
        <x:v>3199</x:v>
      </x:c>
      <x:c r="G5552" s="42" t="n">
        <x:v>0.6861861861861862</x:v>
      </x:c>
      <x:c r="H5552" s="36" t="n">
        <x:f>E5552*G5552</x:f>
        <x:v>321160.524024024</x:v>
      </x:c>
      <x:c r="I5552" s="36" t="n">
        <x:f>IFERROR(H5552/A5552,0)</x:f>
        <x:v>35684.502669336005</x:v>
      </x:c>
      <x:c r="J5552" s="67" t="str">
        <x:v>Modeled from live base + Sep-2026 quality ratio</x:v>
      </x:c>
      <x:c r="K5552" s="67" t="str">
        <x:v>https://www.stonealgo.com/diamond-prices/</x:v>
      </x:c>
      <x:c r="L5552" s="67" t="str">
        <x:v>https://www.pricescope.com/blog/natural-diamond-prices-september-2026</x:v>
      </x:c>
    </x:row>
    <x:row r="5553">
      <x:c r="A5553" t="n">
        <x:v>9</x:v>
      </x:c>
      <x:c r="B5553" t="str">
        <x:v>Pear</x:v>
      </x:c>
      <x:c r="C5553" t="str">
        <x:v>I</x:v>
      </x:c>
      <x:c r="D5553" t="str">
        <x:v>SI2</x:v>
      </x:c>
      <x:c r="E5553" s="36" t="n">
        <x:v>468037</x:v>
      </x:c>
      <x:c r="F5553" s="36" t="n">
        <x:v>2874</x:v>
      </x:c>
      <x:c r="G5553" s="42" t="n">
        <x:v>0.6164736164736164</x:v>
      </x:c>
      <x:c r="H5553" s="36" t="n">
        <x:f>E5553*G5553</x:f>
        <x:v>288532.462033462</x:v>
      </x:c>
      <x:c r="I5553" s="36" t="n">
        <x:f>IFERROR(H5553/A5553,0)</x:f>
        <x:v>32059.162448162446</x:v>
      </x:c>
      <x:c r="J5553" s="67" t="str">
        <x:v>Modeled from live base + Sep-2026 quality ratio</x:v>
      </x:c>
      <x:c r="K5553" s="67" t="str">
        <x:v>https://www.stonealgo.com/diamond-prices/</x:v>
      </x:c>
      <x:c r="L5553" s="67" t="str">
        <x:v>https://www.pricescope.com/blog/natural-diamond-prices-september-2026</x:v>
      </x:c>
    </x:row>
    <x:row r="5554">
      <x:c r="A5554" t="n">
        <x:v>9</x:v>
      </x:c>
      <x:c r="B5554" t="str">
        <x:v>Pear</x:v>
      </x:c>
      <x:c r="C5554" t="str">
        <x:v>J</x:v>
      </x:c>
      <x:c r="D5554" t="str">
        <x:v>FL</x:v>
      </x:c>
      <x:c r="E5554" s="36" t="n">
        <x:v>468037</x:v>
      </x:c>
      <x:c r="F5554" s="36" t="n">
        <x:v>3646</x:v>
      </x:c>
      <x:c r="G5554" s="42" t="n">
        <x:v>0.782067782067782</x:v>
      </x:c>
      <x:c r="H5554" s="36" t="n">
        <x:f>E5554*G5554</x:f>
        <x:v>366036.6585156585</x:v>
      </x:c>
      <x:c r="I5554" s="36" t="n">
        <x:f>IFERROR(H5554/A5554,0)</x:f>
        <x:v>40670.73983507317</x:v>
      </x:c>
      <x:c r="J5554" s="67" t="str">
        <x:v>Modeled from live base + Sep-2026 quality ratio</x:v>
      </x:c>
      <x:c r="K5554" s="67" t="str">
        <x:v>https://www.stonealgo.com/diamond-prices/</x:v>
      </x:c>
      <x:c r="L5554" s="67" t="str">
        <x:v>https://www.pricescope.com/blog/natural-diamond-prices-september-2026</x:v>
      </x:c>
    </x:row>
    <x:row r="5555">
      <x:c r="A5555" t="n">
        <x:v>9</x:v>
      </x:c>
      <x:c r="B5555" t="str">
        <x:v>Pear</x:v>
      </x:c>
      <x:c r="C5555" t="str">
        <x:v>J</x:v>
      </x:c>
      <x:c r="D5555" t="str">
        <x:v>IF</x:v>
      </x:c>
      <x:c r="E5555" s="36" t="n">
        <x:v>468037</x:v>
      </x:c>
      <x:c r="F5555" s="36" t="n">
        <x:v>3368</x:v>
      </x:c>
      <x:c r="G5555" s="42" t="n">
        <x:v>0.7224367224367224</x:v>
      </x:c>
      <x:c r="H5555" s="36" t="n">
        <x:f>E5555*G5555</x:f>
        <x:v>338127.1162591163</x:v>
      </x:c>
      <x:c r="I5555" s="36" t="n">
        <x:f>IFERROR(H5555/A5555,0)</x:f>
        <x:v>37569.67958434625</x:v>
      </x:c>
      <x:c r="J5555" s="67" t="str">
        <x:v>Modeled from live base + Sep-2026 quality ratio</x:v>
      </x:c>
      <x:c r="K5555" s="67" t="str">
        <x:v>https://www.stonealgo.com/diamond-prices/</x:v>
      </x:c>
      <x:c r="L5555" s="67" t="str">
        <x:v>https://www.pricescope.com/blog/natural-diamond-prices-september-2026</x:v>
      </x:c>
    </x:row>
    <x:row r="5556">
      <x:c r="A5556" t="n">
        <x:v>9</x:v>
      </x:c>
      <x:c r="B5556" t="str">
        <x:v>Pear</x:v>
      </x:c>
      <x:c r="C5556" t="str">
        <x:v>J</x:v>
      </x:c>
      <x:c r="D5556" t="str">
        <x:v>VVS1</x:v>
      </x:c>
      <x:c r="E5556" s="36" t="n">
        <x:v>468037</x:v>
      </x:c>
      <x:c r="F5556" s="36" t="n">
        <x:v>2956</x:v>
      </x:c>
      <x:c r="G5556" s="42" t="n">
        <x:v>0.6340626340626341</x:v>
      </x:c>
      <x:c r="H5556" s="36" t="n">
        <x:f>E5556*G5556</x:f>
        <x:v>296764.7730587731</x:v>
      </x:c>
      <x:c r="I5556" s="36" t="n">
        <x:f>IFERROR(H5556/A5556,0)</x:f>
        <x:v>32973.86367319701</x:v>
      </x:c>
      <x:c r="J5556" s="67" t="str">
        <x:v>Modeled from live base + Sep-2026 quality ratio</x:v>
      </x:c>
      <x:c r="K5556" s="67" t="str">
        <x:v>https://www.stonealgo.com/diamond-prices/</x:v>
      </x:c>
      <x:c r="L5556" s="67" t="str">
        <x:v>https://www.pricescope.com/blog/natural-diamond-prices-september-2026</x:v>
      </x:c>
    </x:row>
    <x:row r="5557">
      <x:c r="A5557" t="n">
        <x:v>9</x:v>
      </x:c>
      <x:c r="B5557" t="str">
        <x:v>Pear</x:v>
      </x:c>
      <x:c r="C5557" t="str">
        <x:v>J</x:v>
      </x:c>
      <x:c r="D5557" t="str">
        <x:v>VVS2</x:v>
      </x:c>
      <x:c r="E5557" s="36" t="n">
        <x:v>468037</x:v>
      </x:c>
      <x:c r="F5557" s="36" t="n">
        <x:v>2612</x:v>
      </x:c>
      <x:c r="G5557" s="42" t="n">
        <x:v>0.5602745602745602</x:v>
      </x:c>
      <x:c r="H5557" s="36" t="n">
        <x:f>E5557*G5557</x:f>
        <x:v>262229.2243672244</x:v>
      </x:c>
      <x:c r="I5557" s="36" t="n">
        <x:f>IFERROR(H5557/A5557,0)</x:f>
        <x:v>29136.580485247152</x:v>
      </x:c>
      <x:c r="J5557" s="67" t="str">
        <x:v>Modeled from live base + Sep-2026 quality ratio</x:v>
      </x:c>
      <x:c r="K5557" s="67" t="str">
        <x:v>https://www.stonealgo.com/diamond-prices/</x:v>
      </x:c>
      <x:c r="L5557" s="67" t="str">
        <x:v>https://www.pricescope.com/blog/natural-diamond-prices-september-2026</x:v>
      </x:c>
    </x:row>
    <x:row r="5558">
      <x:c r="A5558" t="n">
        <x:v>9</x:v>
      </x:c>
      <x:c r="B5558" t="str">
        <x:v>Pear</x:v>
      </x:c>
      <x:c r="C5558" t="str">
        <x:v>J</x:v>
      </x:c>
      <x:c r="D5558" t="str">
        <x:v>VS1</x:v>
      </x:c>
      <x:c r="E5558" s="36" t="n">
        <x:v>468037</x:v>
      </x:c>
      <x:c r="F5558" s="36" t="n">
        <x:v>3002</x:v>
      </x:c>
      <x:c r="G5558" s="42" t="n">
        <x:v>0.6439296439296439</x:v>
      </x:c>
      <x:c r="H5558" s="36" t="n">
        <x:f>E5558*G5558</x:f>
        <x:v>301382.89875589876</x:v>
      </x:c>
      <x:c r="I5558" s="36" t="n">
        <x:f>IFERROR(H5558/A5558,0)</x:f>
        <x:v>33486.988750655415</x:v>
      </x:c>
      <x:c r="J5558" s="67" t="str">
        <x:v>Modeled from live base + Sep-2026 quality ratio</x:v>
      </x:c>
      <x:c r="K5558" s="67" t="str">
        <x:v>https://www.stonealgo.com/diamond-prices/</x:v>
      </x:c>
      <x:c r="L5558" s="67" t="str">
        <x:v>https://www.pricescope.com/blog/natural-diamond-prices-september-2026</x:v>
      </x:c>
    </x:row>
    <x:row r="5559">
      <x:c r="A5559" t="n">
        <x:v>9</x:v>
      </x:c>
      <x:c r="B5559" t="str">
        <x:v>Pear</x:v>
      </x:c>
      <x:c r="C5559" t="str">
        <x:v>J</x:v>
      </x:c>
      <x:c r="D5559" t="str">
        <x:v>VS2</x:v>
      </x:c>
      <x:c r="E5559" s="36" t="n">
        <x:v>468037</x:v>
      </x:c>
      <x:c r="F5559" s="36" t="n">
        <x:v>2559</x:v>
      </x:c>
      <x:c r="G5559" s="42" t="n">
        <x:v>0.5489060489060489</x:v>
      </x:c>
      <x:c r="H5559" s="36" t="n">
        <x:f>E5559*G5559</x:f>
        <x:v>256908.3404118404</x:v>
      </x:c>
      <x:c r="I5559" s="36" t="n">
        <x:f>IFERROR(H5559/A5559,0)</x:f>
        <x:v>28545.37115687116</x:v>
      </x:c>
      <x:c r="J5559" s="67" t="str">
        <x:v>Modeled from live base + Sep-2026 quality ratio</x:v>
      </x:c>
      <x:c r="K5559" s="67" t="str">
        <x:v>https://www.stonealgo.com/diamond-prices/</x:v>
      </x:c>
      <x:c r="L5559" s="67" t="str">
        <x:v>https://www.pricescope.com/blog/natural-diamond-prices-september-2026</x:v>
      </x:c>
    </x:row>
    <x:row r="5560">
      <x:c r="A5560" t="n">
        <x:v>9</x:v>
      </x:c>
      <x:c r="B5560" t="str">
        <x:v>Pear</x:v>
      </x:c>
      <x:c r="C5560" t="str">
        <x:v>J</x:v>
      </x:c>
      <x:c r="D5560" t="str">
        <x:v>SI1</x:v>
      </x:c>
      <x:c r="E5560" s="36" t="n">
        <x:v>468037</x:v>
      </x:c>
      <x:c r="F5560" s="36" t="n">
        <x:v>2195</x:v>
      </x:c>
      <x:c r="G5560" s="42" t="n">
        <x:v>0.47082797082797084</x:v>
      </x:c>
      <x:c r="H5560" s="36" t="n">
        <x:f>E5560*G5560</x:f>
        <x:v>220364.91098241098</x:v>
      </x:c>
      <x:c r="I5560" s="36" t="n">
        <x:f>IFERROR(H5560/A5560,0)</x:f>
        <x:v>24484.990109156774</x:v>
      </x:c>
      <x:c r="J5560" s="67" t="str">
        <x:v>Modeled from live base + Sep-2026 quality ratio</x:v>
      </x:c>
      <x:c r="K5560" s="67" t="str">
        <x:v>https://www.stonealgo.com/diamond-prices/</x:v>
      </x:c>
      <x:c r="L5560" s="67" t="str">
        <x:v>https://www.pricescope.com/blog/natural-diamond-prices-september-2026</x:v>
      </x:c>
    </x:row>
    <x:row r="5561">
      <x:c r="A5561" t="n">
        <x:v>9</x:v>
      </x:c>
      <x:c r="B5561" t="str">
        <x:v>Pear</x:v>
      </x:c>
      <x:c r="C5561" t="str">
        <x:v>J</x:v>
      </x:c>
      <x:c r="D5561" t="str">
        <x:v>SI2</x:v>
      </x:c>
      <x:c r="E5561" s="36" t="n">
        <x:v>468037</x:v>
      </x:c>
      <x:c r="F5561" s="36" t="n">
        <x:v>2079</x:v>
      </x:c>
      <x:c r="G5561" s="42" t="n">
        <x:v>0.44594594594594594</x:v>
      </x:c>
      <x:c r="H5561" s="36" t="n">
        <x:f>E5561*G5561</x:f>
        <x:v>208719.2027027027</x:v>
      </x:c>
      <x:c r="I5561" s="36" t="n">
        <x:f>IFERROR(H5561/A5561,0)</x:f>
        <x:v>23191.022522522522</x:v>
      </x:c>
      <x:c r="J5561" s="67" t="str">
        <x:v>Modeled from live base + Sep-2026 quality ratio</x:v>
      </x:c>
      <x:c r="K5561" s="67" t="str">
        <x:v>https://www.stonealgo.com/diamond-prices/</x:v>
      </x:c>
      <x:c r="L5561" s="67" t="str">
        <x:v>https://www.pricescope.com/blog/natural-diamond-prices-september-2026</x:v>
      </x:c>
    </x:row>
    <x:row r="5562">
      <x:c r="A5562" t="n">
        <x:v>9</x:v>
      </x:c>
      <x:c r="B5562" t="str">
        <x:v>Pear</x:v>
      </x:c>
      <x:c r="C5562" t="str">
        <x:v>K</x:v>
      </x:c>
      <x:c r="D5562" t="str">
        <x:v>FL</x:v>
      </x:c>
      <x:c r="E5562" s="36" t="n">
        <x:v>468037</x:v>
      </x:c>
      <x:c r="F5562" s="36" t="n">
        <x:v>2858</x:v>
      </x:c>
      <x:c r="G5562" s="42" t="n">
        <x:v>0.6130416130416131</x:v>
      </x:c>
      <x:c r="H5562" s="36" t="n">
        <x:f>E5562*G5562</x:f>
        <x:v>286926.15744315746</x:v>
      </x:c>
      <x:c r="I5562" s="36" t="n">
        <x:f>IFERROR(H5562/A5562,0)</x:f>
        <x:v>31880.68416035083</x:v>
      </x:c>
      <x:c r="J5562" s="67" t="str">
        <x:v>Modeled from live base + Sep-2026 quality ratio; K/FL quality cell modeled</x:v>
      </x:c>
      <x:c r="K5562" s="67" t="str">
        <x:v>https://www.stonealgo.com/diamond-prices/</x:v>
      </x:c>
      <x:c r="L5562" s="67" t="str">
        <x:v>https://www.pricescope.com/blog/natural-diamond-prices-september-2026</x:v>
      </x:c>
    </x:row>
    <x:row r="5563">
      <x:c r="A5563" t="n">
        <x:v>9</x:v>
      </x:c>
      <x:c r="B5563" t="str">
        <x:v>Pear</x:v>
      </x:c>
      <x:c r="C5563" t="str">
        <x:v>K</x:v>
      </x:c>
      <x:c r="D5563" t="str">
        <x:v>IF</x:v>
      </x:c>
      <x:c r="E5563" s="36" t="n">
        <x:v>468037</x:v>
      </x:c>
      <x:c r="F5563" s="36" t="n">
        <x:v>2743</x:v>
      </x:c>
      <x:c r="G5563" s="42" t="n">
        <x:v>0.5883740883740883</x:v>
      </x:c>
      <x:c r="H5563" s="36" t="n">
        <x:f>E5563*G5563</x:f>
        <x:v>275380.8432003432</x:v>
      </x:c>
      <x:c r="I5563" s="36" t="n">
        <x:f>IFERROR(H5563/A5563,0)</x:f>
        <x:v>30597.8714667048</x:v>
      </x:c>
      <x:c r="J5563" s="67" t="str">
        <x:v>Modeled from live base + Sep-2026 quality ratio</x:v>
      </x:c>
      <x:c r="K5563" s="67" t="str">
        <x:v>https://www.stonealgo.com/diamond-prices/</x:v>
      </x:c>
      <x:c r="L5563" s="67" t="str">
        <x:v>https://www.pricescope.com/blog/natural-diamond-prices-september-2026</x:v>
      </x:c>
    </x:row>
    <x:row r="5564">
      <x:c r="A5564" t="n">
        <x:v>9</x:v>
      </x:c>
      <x:c r="B5564" t="str">
        <x:v>Pear</x:v>
      </x:c>
      <x:c r="C5564" t="str">
        <x:v>K</x:v>
      </x:c>
      <x:c r="D5564" t="str">
        <x:v>VVS1</x:v>
      </x:c>
      <x:c r="E5564" s="36" t="n">
        <x:v>468037</x:v>
      </x:c>
      <x:c r="F5564" s="36" t="n">
        <x:v>2529</x:v>
      </x:c>
      <x:c r="G5564" s="42" t="n">
        <x:v>0.5424710424710425</x:v>
      </x:c>
      <x:c r="H5564" s="36" t="n">
        <x:f>E5564*G5564</x:f>
        <x:v>253896.51930501932</x:v>
      </x:c>
      <x:c r="I5564" s="36" t="n">
        <x:f>IFERROR(H5564/A5564,0)</x:f>
        <x:v>28210.724367224368</x:v>
      </x:c>
      <x:c r="J5564" s="67" t="str">
        <x:v>Modeled from live base + Sep-2026 quality ratio</x:v>
      </x:c>
      <x:c r="K5564" s="67" t="str">
        <x:v>https://www.stonealgo.com/diamond-prices/</x:v>
      </x:c>
      <x:c r="L5564" s="67" t="str">
        <x:v>https://www.pricescope.com/blog/natural-diamond-prices-september-2026</x:v>
      </x:c>
    </x:row>
    <x:row r="5565">
      <x:c r="A5565" t="n">
        <x:v>9</x:v>
      </x:c>
      <x:c r="B5565" t="str">
        <x:v>Pear</x:v>
      </x:c>
      <x:c r="C5565" t="str">
        <x:v>K</x:v>
      </x:c>
      <x:c r="D5565" t="str">
        <x:v>VVS2</x:v>
      </x:c>
      <x:c r="E5565" s="36" t="n">
        <x:v>468037</x:v>
      </x:c>
      <x:c r="F5565" s="36" t="n">
        <x:v>2374</x:v>
      </x:c>
      <x:c r="G5565" s="42" t="n">
        <x:v>0.5092235092235092</x:v>
      </x:c>
      <x:c r="H5565" s="36" t="n">
        <x:f>E5565*G5565</x:f>
        <x:v>238335.44358644358</x:v>
      </x:c>
      <x:c r="I5565" s="36" t="n">
        <x:f>IFERROR(H5565/A5565,0)</x:f>
        <x:v>26481.715954049287</x:v>
      </x:c>
      <x:c r="J5565" s="67" t="str">
        <x:v>Modeled from live base + Sep-2026 quality ratio</x:v>
      </x:c>
      <x:c r="K5565" s="67" t="str">
        <x:v>https://www.stonealgo.com/diamond-prices/</x:v>
      </x:c>
      <x:c r="L5565" s="67" t="str">
        <x:v>https://www.pricescope.com/blog/natural-diamond-prices-september-2026</x:v>
      </x:c>
    </x:row>
    <x:row r="5566">
      <x:c r="A5566" t="n">
        <x:v>9</x:v>
      </x:c>
      <x:c r="B5566" t="str">
        <x:v>Pear</x:v>
      </x:c>
      <x:c r="C5566" t="str">
        <x:v>K</x:v>
      </x:c>
      <x:c r="D5566" t="str">
        <x:v>VS1</x:v>
      </x:c>
      <x:c r="E5566" s="36" t="n">
        <x:v>468037</x:v>
      </x:c>
      <x:c r="F5566" s="36" t="n">
        <x:v>2223</x:v>
      </x:c>
      <x:c r="G5566" s="42" t="n">
        <x:v>0.4768339768339768</x:v>
      </x:c>
      <x:c r="H5566" s="36" t="n">
        <x:f>E5566*G5566</x:f>
        <x:v>223175.94401544402</x:v>
      </x:c>
      <x:c r="I5566" s="36" t="n">
        <x:f>IFERROR(H5566/A5566,0)</x:f>
        <x:v>24797.327112827115</x:v>
      </x:c>
      <x:c r="J5566" s="67" t="str">
        <x:v>Modeled from live base + Sep-2026 quality ratio</x:v>
      </x:c>
      <x:c r="K5566" s="67" t="str">
        <x:v>https://www.stonealgo.com/diamond-prices/</x:v>
      </x:c>
      <x:c r="L5566" s="67" t="str">
        <x:v>https://www.pricescope.com/blog/natural-diamond-prices-september-2026</x:v>
      </x:c>
    </x:row>
    <x:row r="5567">
      <x:c r="A5567" t="n">
        <x:v>9</x:v>
      </x:c>
      <x:c r="B5567" t="str">
        <x:v>Pear</x:v>
      </x:c>
      <x:c r="C5567" t="str">
        <x:v>K</x:v>
      </x:c>
      <x:c r="D5567" t="str">
        <x:v>VS2</x:v>
      </x:c>
      <x:c r="E5567" s="36" t="n">
        <x:v>468037</x:v>
      </x:c>
      <x:c r="F5567" s="36" t="n">
        <x:v>2098</x:v>
      </x:c>
      <x:c r="G5567" s="42" t="n">
        <x:v>0.45002145002145</x:v>
      </x:c>
      <x:c r="H5567" s="36" t="n">
        <x:f>E5567*G5567</x:f>
        <x:v>210626.68940368938</x:v>
      </x:c>
      <x:c r="I5567" s="36" t="n">
        <x:f>IFERROR(H5567/A5567,0)</x:f>
        <x:v>23402.96548929882</x:v>
      </x:c>
      <x:c r="J5567" s="67" t="str">
        <x:v>Modeled from live base + Sep-2026 quality ratio</x:v>
      </x:c>
      <x:c r="K5567" s="67" t="str">
        <x:v>https://www.stonealgo.com/diamond-prices/</x:v>
      </x:c>
      <x:c r="L5567" s="67" t="str">
        <x:v>https://www.pricescope.com/blog/natural-diamond-prices-september-2026</x:v>
      </x:c>
    </x:row>
    <x:row r="5568">
      <x:c r="A5568" t="n">
        <x:v>9</x:v>
      </x:c>
      <x:c r="B5568" t="str">
        <x:v>Pear</x:v>
      </x:c>
      <x:c r="C5568" t="str">
        <x:v>K</x:v>
      </x:c>
      <x:c r="D5568" t="str">
        <x:v>SI1</x:v>
      </x:c>
      <x:c r="E5568" s="36" t="n">
        <x:v>468037</x:v>
      </x:c>
      <x:c r="F5568" s="36" t="n">
        <x:v>1922</x:v>
      </x:c>
      <x:c r="G5568" s="42" t="n">
        <x:v>0.41226941226941227</x:v>
      </x:c>
      <x:c r="H5568" s="36" t="n">
        <x:f>E5568*G5568</x:f>
        <x:v>192957.3389103389</x:v>
      </x:c>
      <x:c r="I5568" s="36" t="n">
        <x:f>IFERROR(H5568/A5568,0)</x:f>
        <x:v>21439.70432337099</x:v>
      </x:c>
      <x:c r="J5568" s="67" t="str">
        <x:v>Modeled from live base + Sep-2026 quality ratio</x:v>
      </x:c>
      <x:c r="K5568" s="67" t="str">
        <x:v>https://www.stonealgo.com/diamond-prices/</x:v>
      </x:c>
      <x:c r="L5568" s="67" t="str">
        <x:v>https://www.pricescope.com/blog/natural-diamond-prices-september-2026</x:v>
      </x:c>
    </x:row>
    <x:row r="5569">
      <x:c r="A5569" t="n">
        <x:v>9</x:v>
      </x:c>
      <x:c r="B5569" t="str">
        <x:v>Pear</x:v>
      </x:c>
      <x:c r="C5569" t="str">
        <x:v>K</x:v>
      </x:c>
      <x:c r="D5569" t="str">
        <x:v>SI2</x:v>
      </x:c>
      <x:c r="E5569" s="36" t="n">
        <x:v>468037</x:v>
      </x:c>
      <x:c r="F5569" s="36" t="n">
        <x:v>1764</x:v>
      </x:c>
      <x:c r="G5569" s="42" t="n">
        <x:v>0.3783783783783784</x:v>
      </x:c>
      <x:c r="H5569" s="36" t="n">
        <x:f>E5569*G5569</x:f>
        <x:v>177095.0810810811</x:v>
      </x:c>
      <x:c r="I5569" s="36" t="n">
        <x:f>IFERROR(H5569/A5569,0)</x:f>
        <x:v>19677.23123123123</x:v>
      </x:c>
      <x:c r="J5569" s="67" t="str">
        <x:v>Modeled from live base + Sep-2026 quality ratio</x:v>
      </x:c>
      <x:c r="K5569" s="67" t="str">
        <x:v>https://www.stonealgo.com/diamond-prices/</x:v>
      </x:c>
      <x:c r="L5569" s="67" t="str">
        <x:v>https://www.pricescope.com/blog/natural-diamond-prices-september-2026</x:v>
      </x:c>
    </x:row>
    <x:row r="5570">
      <x:c r="A5570" t="n">
        <x:v>9</x:v>
      </x:c>
      <x:c r="B5570" t="str">
        <x:v>Heart</x:v>
      </x:c>
      <x:c r="C5570" t="str">
        <x:v>D</x:v>
      </x:c>
      <x:c r="D5570" t="str">
        <x:v>FL</x:v>
      </x:c>
      <x:c r="E5570" s="36" t="n">
        <x:v>314000</x:v>
      </x:c>
      <x:c r="F5570" s="36" t="n">
        <x:v>12665</x:v>
      </x:c>
      <x:c r="G5570" s="42" t="n">
        <x:v>2.7166452166452166</x:v>
      </x:c>
      <x:c r="H5570" s="36" t="n">
        <x:f>E5570*G5570</x:f>
        <x:v>853026.598026598</x:v>
      </x:c>
      <x:c r="I5570" s="36" t="n">
        <x:f>IFERROR(H5570/A5570,0)</x:f>
        <x:v>94780.73311406645</x:v>
      </x:c>
      <x:c r="J5570" s="67" t="str">
        <x:v>Modeled from live base + Sep-2026 quality ratio</x:v>
      </x:c>
      <x:c r="K5570" s="67" t="str">
        <x:v>https://www.stonealgo.com/diamond-prices/</x:v>
      </x:c>
      <x:c r="L5570" s="67" t="str">
        <x:v>https://www.pricescope.com/blog/natural-diamond-prices-september-2026</x:v>
      </x:c>
    </x:row>
    <x:row r="5571">
      <x:c r="A5571" t="n">
        <x:v>9</x:v>
      </x:c>
      <x:c r="B5571" t="str">
        <x:v>Heart</x:v>
      </x:c>
      <x:c r="C5571" t="str">
        <x:v>D</x:v>
      </x:c>
      <x:c r="D5571" t="str">
        <x:v>IF</x:v>
      </x:c>
      <x:c r="E5571" s="36" t="n">
        <x:v>314000</x:v>
      </x:c>
      <x:c r="F5571" s="36" t="n">
        <x:v>13240</x:v>
      </x:c>
      <x:c r="G5571" s="42" t="n">
        <x:v>2.83998283998284</x:v>
      </x:c>
      <x:c r="H5571" s="36" t="n">
        <x:f>E5571*G5571</x:f>
        <x:v>891754.6117546118</x:v>
      </x:c>
      <x:c r="I5571" s="36" t="n">
        <x:f>IFERROR(H5571/A5571,0)</x:f>
        <x:v>99083.84575051242</x:v>
      </x:c>
      <x:c r="J5571" s="67" t="str">
        <x:v>Modeled from live base + Sep-2026 quality ratio</x:v>
      </x:c>
      <x:c r="K5571" s="67" t="str">
        <x:v>https://www.stonealgo.com/diamond-prices/</x:v>
      </x:c>
      <x:c r="L5571" s="67" t="str">
        <x:v>https://www.pricescope.com/blog/natural-diamond-prices-september-2026</x:v>
      </x:c>
    </x:row>
    <x:row r="5572">
      <x:c r="A5572" t="n">
        <x:v>9</x:v>
      </x:c>
      <x:c r="B5572" t="str">
        <x:v>Heart</x:v>
      </x:c>
      <x:c r="C5572" t="str">
        <x:v>D</x:v>
      </x:c>
      <x:c r="D5572" t="str">
        <x:v>VVS1</x:v>
      </x:c>
      <x:c r="E5572" s="36" t="n">
        <x:v>314000</x:v>
      </x:c>
      <x:c r="F5572" s="36" t="n">
        <x:v>9555</x:v>
      </x:c>
      <x:c r="G5572" s="42" t="n">
        <x:v>2.0495495495495497</x:v>
      </x:c>
      <x:c r="H5572" s="36" t="n">
        <x:f>E5572*G5572</x:f>
        <x:v>643558.5585585586</x:v>
      </x:c>
      <x:c r="I5572" s="36" t="n">
        <x:f>IFERROR(H5572/A5572,0)</x:f>
        <x:v>71506.50650650651</x:v>
      </x:c>
      <x:c r="J5572" s="67" t="str">
        <x:v>Modeled from live base + Sep-2026 quality ratio</x:v>
      </x:c>
      <x:c r="K5572" s="67" t="str">
        <x:v>https://www.stonealgo.com/diamond-prices/</x:v>
      </x:c>
      <x:c r="L5572" s="67" t="str">
        <x:v>https://www.pricescope.com/blog/natural-diamond-prices-september-2026</x:v>
      </x:c>
    </x:row>
    <x:row r="5573">
      <x:c r="A5573" t="n">
        <x:v>9</x:v>
      </x:c>
      <x:c r="B5573" t="str">
        <x:v>Heart</x:v>
      </x:c>
      <x:c r="C5573" t="str">
        <x:v>D</x:v>
      </x:c>
      <x:c r="D5573" t="str">
        <x:v>VVS2</x:v>
      </x:c>
      <x:c r="E5573" s="36" t="n">
        <x:v>314000</x:v>
      </x:c>
      <x:c r="F5573" s="36" t="n">
        <x:v>6660</x:v>
      </x:c>
      <x:c r="G5573" s="42" t="n">
        <x:v>1.4285714285714286</x:v>
      </x:c>
      <x:c r="H5573" s="36" t="n">
        <x:f>E5573*G5573</x:f>
        <x:v>448571.4285714286</x:v>
      </x:c>
      <x:c r="I5573" s="36" t="n">
        <x:f>IFERROR(H5573/A5573,0)</x:f>
        <x:v>49841.269841269845</x:v>
      </x:c>
      <x:c r="J5573" s="67" t="str">
        <x:v>Modeled from live base + Sep-2026 quality ratio</x:v>
      </x:c>
      <x:c r="K5573" s="67" t="str">
        <x:v>https://www.stonealgo.com/diamond-prices/</x:v>
      </x:c>
      <x:c r="L5573" s="67" t="str">
        <x:v>https://www.pricescope.com/blog/natural-diamond-prices-september-2026</x:v>
      </x:c>
    </x:row>
    <x:row r="5574">
      <x:c r="A5574" t="n">
        <x:v>9</x:v>
      </x:c>
      <x:c r="B5574" t="str">
        <x:v>Heart</x:v>
      </x:c>
      <x:c r="C5574" t="str">
        <x:v>D</x:v>
      </x:c>
      <x:c r="D5574" t="str">
        <x:v>VS1</x:v>
      </x:c>
      <x:c r="E5574" s="36" t="n">
        <x:v>314000</x:v>
      </x:c>
      <x:c r="F5574" s="36" t="n">
        <x:v>6247</x:v>
      </x:c>
      <x:c r="G5574" s="42" t="n">
        <x:v>1.33998283998284</x:v>
      </x:c>
      <x:c r="H5574" s="36" t="n">
        <x:f>E5574*G5574</x:f>
        <x:v>420754.6117546118</x:v>
      </x:c>
      <x:c r="I5574" s="36" t="n">
        <x:f>IFERROR(H5574/A5574,0)</x:f>
        <x:v>46750.51241717909</x:v>
      </x:c>
      <x:c r="J5574" s="67" t="str">
        <x:v>Modeled from live base + Sep-2026 quality ratio</x:v>
      </x:c>
      <x:c r="K5574" s="67" t="str">
        <x:v>https://www.stonealgo.com/diamond-prices/</x:v>
      </x:c>
      <x:c r="L5574" s="67" t="str">
        <x:v>https://www.pricescope.com/blog/natural-diamond-prices-september-2026</x:v>
      </x:c>
    </x:row>
    <x:row r="5575">
      <x:c r="A5575" t="n">
        <x:v>9</x:v>
      </x:c>
      <x:c r="B5575" t="str">
        <x:v>Heart</x:v>
      </x:c>
      <x:c r="C5575" t="str">
        <x:v>D</x:v>
      </x:c>
      <x:c r="D5575" t="str">
        <x:v>VS2</x:v>
      </x:c>
      <x:c r="E5575" s="36" t="n">
        <x:v>314000</x:v>
      </x:c>
      <x:c r="F5575" s="36" t="n">
        <x:v>5841</x:v>
      </x:c>
      <x:c r="G5575" s="42" t="n">
        <x:v>1.252895752895753</x:v>
      </x:c>
      <x:c r="H5575" s="36" t="n">
        <x:f>E5575*G5575</x:f>
        <x:v>393409.26640926645</x:v>
      </x:c>
      <x:c r="I5575" s="36" t="n">
        <x:f>IFERROR(H5575/A5575,0)</x:f>
        <x:v>43712.14071214072</x:v>
      </x:c>
      <x:c r="J5575" s="67" t="str">
        <x:v>Modeled from live base + Sep-2026 quality ratio</x:v>
      </x:c>
      <x:c r="K5575" s="67" t="str">
        <x:v>https://www.stonealgo.com/diamond-prices/</x:v>
      </x:c>
      <x:c r="L5575" s="67" t="str">
        <x:v>https://www.pricescope.com/blog/natural-diamond-prices-september-2026</x:v>
      </x:c>
    </x:row>
    <x:row r="5576">
      <x:c r="A5576" t="n">
        <x:v>9</x:v>
      </x:c>
      <x:c r="B5576" t="str">
        <x:v>Heart</x:v>
      </x:c>
      <x:c r="C5576" t="str">
        <x:v>D</x:v>
      </x:c>
      <x:c r="D5576" t="str">
        <x:v>SI1</x:v>
      </x:c>
      <x:c r="E5576" s="36" t="n">
        <x:v>314000</x:v>
      </x:c>
      <x:c r="F5576" s="36" t="n">
        <x:v>3762</x:v>
      </x:c>
      <x:c r="G5576" s="42" t="n">
        <x:v>0.806949806949807</x:v>
      </x:c>
      <x:c r="H5576" s="36" t="n">
        <x:f>E5576*G5576</x:f>
        <x:v>253382.2393822394</x:v>
      </x:c>
      <x:c r="I5576" s="36" t="n">
        <x:f>IFERROR(H5576/A5576,0)</x:f>
        <x:v>28153.582153582156</x:v>
      </x:c>
      <x:c r="J5576" s="67" t="str">
        <x:v>Modeled from live base + Sep-2026 quality ratio</x:v>
      </x:c>
      <x:c r="K5576" s="67" t="str">
        <x:v>https://www.stonealgo.com/diamond-prices/</x:v>
      </x:c>
      <x:c r="L5576" s="67" t="str">
        <x:v>https://www.pricescope.com/blog/natural-diamond-prices-september-2026</x:v>
      </x:c>
    </x:row>
    <x:row r="5577">
      <x:c r="A5577" t="n">
        <x:v>9</x:v>
      </x:c>
      <x:c r="B5577" t="str">
        <x:v>Heart</x:v>
      </x:c>
      <x:c r="C5577" t="str">
        <x:v>D</x:v>
      </x:c>
      <x:c r="D5577" t="str">
        <x:v>SI2</x:v>
      </x:c>
      <x:c r="E5577" s="36" t="n">
        <x:v>314000</x:v>
      </x:c>
      <x:c r="F5577" s="36" t="n">
        <x:v>3026</x:v>
      </x:c>
      <x:c r="G5577" s="42" t="n">
        <x:v>0.6490776490776491</x:v>
      </x:c>
      <x:c r="H5577" s="36" t="n">
        <x:f>E5577*G5577</x:f>
        <x:v>203810.3818103818</x:v>
      </x:c>
      <x:c r="I5577" s="36" t="n">
        <x:f>IFERROR(H5577/A5577,0)</x:f>
        <x:v>22645.597978931313</x:v>
      </x:c>
      <x:c r="J5577" s="67" t="str">
        <x:v>Modeled from live base + Sep-2026 quality ratio</x:v>
      </x:c>
      <x:c r="K5577" s="67" t="str">
        <x:v>https://www.stonealgo.com/diamond-prices/</x:v>
      </x:c>
      <x:c r="L5577" s="67" t="str">
        <x:v>https://www.pricescope.com/blog/natural-diamond-prices-september-2026</x:v>
      </x:c>
    </x:row>
    <x:row r="5578">
      <x:c r="A5578" t="n">
        <x:v>9</x:v>
      </x:c>
      <x:c r="B5578" t="str">
        <x:v>Heart</x:v>
      </x:c>
      <x:c r="C5578" t="str">
        <x:v>E</x:v>
      </x:c>
      <x:c r="D5578" t="str">
        <x:v>FL</x:v>
      </x:c>
      <x:c r="E5578" s="36" t="n">
        <x:v>314000</x:v>
      </x:c>
      <x:c r="F5578" s="36" t="n">
        <x:v>10072</x:v>
      </x:c>
      <x:c r="G5578" s="42" t="n">
        <x:v>2.1604461604461602</x:v>
      </x:c>
      <x:c r="H5578" s="36" t="n">
        <x:f>E5578*G5578</x:f>
        <x:v>678380.0943800943</x:v>
      </x:c>
      <x:c r="I5578" s="36" t="n">
        <x:f>IFERROR(H5578/A5578,0)</x:f>
        <x:v>75375.5660422327</x:v>
      </x:c>
      <x:c r="J5578" s="67" t="str">
        <x:v>Modeled from live base + Sep-2026 quality ratio</x:v>
      </x:c>
      <x:c r="K5578" s="67" t="str">
        <x:v>https://www.stonealgo.com/diamond-prices/</x:v>
      </x:c>
      <x:c r="L5578" s="67" t="str">
        <x:v>https://www.pricescope.com/blog/natural-diamond-prices-september-2026</x:v>
      </x:c>
    </x:row>
    <x:row r="5579">
      <x:c r="A5579" t="n">
        <x:v>9</x:v>
      </x:c>
      <x:c r="B5579" t="str">
        <x:v>Heart</x:v>
      </x:c>
      <x:c r="C5579" t="str">
        <x:v>E</x:v>
      </x:c>
      <x:c r="D5579" t="str">
        <x:v>IF</x:v>
      </x:c>
      <x:c r="E5579" s="36" t="n">
        <x:v>314000</x:v>
      </x:c>
      <x:c r="F5579" s="36" t="n">
        <x:v>8672</x:v>
      </x:c>
      <x:c r="G5579" s="42" t="n">
        <x:v>1.8601458601458603</x:v>
      </x:c>
      <x:c r="H5579" s="36" t="n">
        <x:f>E5579*G5579</x:f>
        <x:v>584085.8000858001</x:v>
      </x:c>
      <x:c r="I5579" s="36" t="n">
        <x:f>IFERROR(H5579/A5579,0)</x:f>
        <x:v>64898.42223175557</x:v>
      </x:c>
      <x:c r="J5579" s="67" t="str">
        <x:v>Modeled from live base + Sep-2026 quality ratio</x:v>
      </x:c>
      <x:c r="K5579" s="67" t="str">
        <x:v>https://www.stonealgo.com/diamond-prices/</x:v>
      </x:c>
      <x:c r="L5579" s="67" t="str">
        <x:v>https://www.pricescope.com/blog/natural-diamond-prices-september-2026</x:v>
      </x:c>
    </x:row>
    <x:row r="5580">
      <x:c r="A5580" t="n">
        <x:v>9</x:v>
      </x:c>
      <x:c r="B5580" t="str">
        <x:v>Heart</x:v>
      </x:c>
      <x:c r="C5580" t="str">
        <x:v>E</x:v>
      </x:c>
      <x:c r="D5580" t="str">
        <x:v>VVS1</x:v>
      </x:c>
      <x:c r="E5580" s="36" t="n">
        <x:v>314000</x:v>
      </x:c>
      <x:c r="F5580" s="36" t="n">
        <x:v>7842</x:v>
      </x:c>
      <x:c r="G5580" s="42" t="n">
        <x:v>1.6821106821106822</x:v>
      </x:c>
      <x:c r="H5580" s="36" t="n">
        <x:f>E5580*G5580</x:f>
        <x:v>528182.7541827542</x:v>
      </x:c>
      <x:c r="I5580" s="36" t="n">
        <x:f>IFERROR(H5580/A5580,0)</x:f>
        <x:v>58686.97268697269</x:v>
      </x:c>
      <x:c r="J5580" s="67" t="str">
        <x:v>Modeled from live base + Sep-2026 quality ratio</x:v>
      </x:c>
      <x:c r="K5580" s="67" t="str">
        <x:v>https://www.stonealgo.com/diamond-prices/</x:v>
      </x:c>
      <x:c r="L5580" s="67" t="str">
        <x:v>https://www.pricescope.com/blog/natural-diamond-prices-september-2026</x:v>
      </x:c>
    </x:row>
    <x:row r="5581">
      <x:c r="A5581" t="n">
        <x:v>9</x:v>
      </x:c>
      <x:c r="B5581" t="str">
        <x:v>Heart</x:v>
      </x:c>
      <x:c r="C5581" t="str">
        <x:v>E</x:v>
      </x:c>
      <x:c r="D5581" t="str">
        <x:v>VVS2</x:v>
      </x:c>
      <x:c r="E5581" s="36" t="n">
        <x:v>314000</x:v>
      </x:c>
      <x:c r="F5581" s="36" t="n">
        <x:v>6880</x:v>
      </x:c>
      <x:c r="G5581" s="42" t="n">
        <x:v>1.4757614757614759</x:v>
      </x:c>
      <x:c r="H5581" s="36" t="n">
        <x:f>E5581*G5581</x:f>
        <x:v>463389.10338910343</x:v>
      </x:c>
      <x:c r="I5581" s="36" t="n">
        <x:f>IFERROR(H5581/A5581,0)</x:f>
        <x:v>51487.67815434482</x:v>
      </x:c>
      <x:c r="J5581" s="67" t="str">
        <x:v>Modeled from live base + Sep-2026 quality ratio</x:v>
      </x:c>
      <x:c r="K5581" s="67" t="str">
        <x:v>https://www.stonealgo.com/diamond-prices/</x:v>
      </x:c>
      <x:c r="L5581" s="67" t="str">
        <x:v>https://www.pricescope.com/blog/natural-diamond-prices-september-2026</x:v>
      </x:c>
    </x:row>
    <x:row r="5582">
      <x:c r="A5582" t="n">
        <x:v>9</x:v>
      </x:c>
      <x:c r="B5582" t="str">
        <x:v>Heart</x:v>
      </x:c>
      <x:c r="C5582" t="str">
        <x:v>E</x:v>
      </x:c>
      <x:c r="D5582" t="str">
        <x:v>VS1</x:v>
      </x:c>
      <x:c r="E5582" s="36" t="n">
        <x:v>314000</x:v>
      </x:c>
      <x:c r="F5582" s="36" t="n">
        <x:v>6307</x:v>
      </x:c>
      <x:c r="G5582" s="42" t="n">
        <x:v>1.352852852852853</x:v>
      </x:c>
      <x:c r="H5582" s="36" t="n">
        <x:f>E5582*G5582</x:f>
        <x:v>424795.7957957958</x:v>
      </x:c>
      <x:c r="I5582" s="36" t="n">
        <x:f>IFERROR(H5582/A5582,0)</x:f>
        <x:v>47199.53286619953</x:v>
      </x:c>
      <x:c r="J5582" s="67" t="str">
        <x:v>Modeled from live base + Sep-2026 quality ratio</x:v>
      </x:c>
      <x:c r="K5582" s="67" t="str">
        <x:v>https://www.stonealgo.com/diamond-prices/</x:v>
      </x:c>
      <x:c r="L5582" s="67" t="str">
        <x:v>https://www.pricescope.com/blog/natural-diamond-prices-september-2026</x:v>
      </x:c>
    </x:row>
    <x:row r="5583">
      <x:c r="A5583" t="n">
        <x:v>9</x:v>
      </x:c>
      <x:c r="B5583" t="str">
        <x:v>Heart</x:v>
      </x:c>
      <x:c r="C5583" t="str">
        <x:v>E</x:v>
      </x:c>
      <x:c r="D5583" t="str">
        <x:v>VS2</x:v>
      </x:c>
      <x:c r="E5583" s="36" t="n">
        <x:v>314000</x:v>
      </x:c>
      <x:c r="F5583" s="36" t="n">
        <x:v>5249</x:v>
      </x:c>
      <x:c r="G5583" s="42" t="n">
        <x:v>1.125911625911626</x:v>
      </x:c>
      <x:c r="H5583" s="36" t="n">
        <x:f>E5583*G5583</x:f>
        <x:v>353536.25053625053</x:v>
      </x:c>
      <x:c r="I5583" s="36" t="n">
        <x:f>IFERROR(H5583/A5583,0)</x:f>
        <x:v>39281.80561513895</x:v>
      </x:c>
      <x:c r="J5583" s="67" t="str">
        <x:v>Modeled from live base + Sep-2026 quality ratio</x:v>
      </x:c>
      <x:c r="K5583" s="67" t="str">
        <x:v>https://www.stonealgo.com/diamond-prices/</x:v>
      </x:c>
      <x:c r="L5583" s="67" t="str">
        <x:v>https://www.pricescope.com/blog/natural-diamond-prices-september-2026</x:v>
      </x:c>
    </x:row>
    <x:row r="5584">
      <x:c r="A5584" t="n">
        <x:v>9</x:v>
      </x:c>
      <x:c r="B5584" t="str">
        <x:v>Heart</x:v>
      </x:c>
      <x:c r="C5584" t="str">
        <x:v>E</x:v>
      </x:c>
      <x:c r="D5584" t="str">
        <x:v>SI1</x:v>
      </x:c>
      <x:c r="E5584" s="36" t="n">
        <x:v>314000</x:v>
      </x:c>
      <x:c r="F5584" s="36" t="n">
        <x:v>3551</x:v>
      </x:c>
      <x:c r="G5584" s="42" t="n">
        <x:v>0.7616902616902617</x:v>
      </x:c>
      <x:c r="H5584" s="36" t="n">
        <x:f>E5584*G5584</x:f>
        <x:v>239170.74217074216</x:v>
      </x:c>
      <x:c r="I5584" s="36" t="n">
        <x:f>IFERROR(H5584/A5584,0)</x:f>
        <x:v>26574.52690786024</x:v>
      </x:c>
      <x:c r="J5584" s="67" t="str">
        <x:v>Modeled from live base + Sep-2026 quality ratio</x:v>
      </x:c>
      <x:c r="K5584" s="67" t="str">
        <x:v>https://www.stonealgo.com/diamond-prices/</x:v>
      </x:c>
      <x:c r="L5584" s="67" t="str">
        <x:v>https://www.pricescope.com/blog/natural-diamond-prices-september-2026</x:v>
      </x:c>
    </x:row>
    <x:row r="5585">
      <x:c r="A5585" t="n">
        <x:v>9</x:v>
      </x:c>
      <x:c r="B5585" t="str">
        <x:v>Heart</x:v>
      </x:c>
      <x:c r="C5585" t="str">
        <x:v>E</x:v>
      </x:c>
      <x:c r="D5585" t="str">
        <x:v>SI2</x:v>
      </x:c>
      <x:c r="E5585" s="36" t="n">
        <x:v>314000</x:v>
      </x:c>
      <x:c r="F5585" s="36" t="n">
        <x:v>2993</x:v>
      </x:c>
      <x:c r="G5585" s="42" t="n">
        <x:v>0.641999141999142</x:v>
      </x:c>
      <x:c r="H5585" s="36" t="n">
        <x:f>E5585*G5585</x:f>
        <x:v>201587.7305877306</x:v>
      </x:c>
      <x:c r="I5585" s="36" t="n">
        <x:f>IFERROR(H5585/A5585,0)</x:f>
        <x:v>22398.636731970066</x:v>
      </x:c>
      <x:c r="J5585" s="67" t="str">
        <x:v>Modeled from live base + Sep-2026 quality ratio</x:v>
      </x:c>
      <x:c r="K5585" s="67" t="str">
        <x:v>https://www.stonealgo.com/diamond-prices/</x:v>
      </x:c>
      <x:c r="L5585" s="67" t="str">
        <x:v>https://www.pricescope.com/blog/natural-diamond-prices-september-2026</x:v>
      </x:c>
    </x:row>
    <x:row r="5586">
      <x:c r="A5586" t="n">
        <x:v>9</x:v>
      </x:c>
      <x:c r="B5586" t="str">
        <x:v>Heart</x:v>
      </x:c>
      <x:c r="C5586" t="str">
        <x:v>F</x:v>
      </x:c>
      <x:c r="D5586" t="str">
        <x:v>FL</x:v>
      </x:c>
      <x:c r="E5586" s="36" t="n">
        <x:v>314000</x:v>
      </x:c>
      <x:c r="F5586" s="36" t="n">
        <x:v>6830</x:v>
      </x:c>
      <x:c r="G5586" s="42" t="n">
        <x:v>1.4650364650364651</x:v>
      </x:c>
      <x:c r="H5586" s="36" t="n">
        <x:f>E5586*G5586</x:f>
        <x:v>460021.45002145006</x:v>
      </x:c>
      <x:c r="I5586" s="36" t="n">
        <x:f>IFERROR(H5586/A5586,0)</x:f>
        <x:v>51113.49444682778</x:v>
      </x:c>
      <x:c r="J5586" s="67" t="str">
        <x:v>Modeled from live base + Sep-2026 quality ratio</x:v>
      </x:c>
      <x:c r="K5586" s="67" t="str">
        <x:v>https://www.stonealgo.com/diamond-prices/</x:v>
      </x:c>
      <x:c r="L5586" s="67" t="str">
        <x:v>https://www.pricescope.com/blog/natural-diamond-prices-september-2026</x:v>
      </x:c>
    </x:row>
    <x:row r="5587">
      <x:c r="A5587" t="n">
        <x:v>9</x:v>
      </x:c>
      <x:c r="B5587" t="str">
        <x:v>Heart</x:v>
      </x:c>
      <x:c r="C5587" t="str">
        <x:v>F</x:v>
      </x:c>
      <x:c r="D5587" t="str">
        <x:v>IF</x:v>
      </x:c>
      <x:c r="E5587" s="36" t="n">
        <x:v>314000</x:v>
      </x:c>
      <x:c r="F5587" s="36" t="n">
        <x:v>7302</x:v>
      </x:c>
      <x:c r="G5587" s="42" t="n">
        <x:v>1.5662805662805663</x:v>
      </x:c>
      <x:c r="H5587" s="36" t="n">
        <x:f>E5587*G5587</x:f>
        <x:v>491812.0978120978</x:v>
      </x:c>
      <x:c r="I5587" s="36" t="n">
        <x:f>IFERROR(H5587/A5587,0)</x:f>
        <x:v>54645.78864578865</x:v>
      </x:c>
      <x:c r="J5587" s="67" t="str">
        <x:v>Modeled from live base + Sep-2026 quality ratio</x:v>
      </x:c>
      <x:c r="K5587" s="67" t="str">
        <x:v>https://www.stonealgo.com/diamond-prices/</x:v>
      </x:c>
      <x:c r="L5587" s="67" t="str">
        <x:v>https://www.pricescope.com/blog/natural-diamond-prices-september-2026</x:v>
      </x:c>
    </x:row>
    <x:row r="5588">
      <x:c r="A5588" t="n">
        <x:v>9</x:v>
      </x:c>
      <x:c r="B5588" t="str">
        <x:v>Heart</x:v>
      </x:c>
      <x:c r="C5588" t="str">
        <x:v>F</x:v>
      </x:c>
      <x:c r="D5588" t="str">
        <x:v>VVS1</x:v>
      </x:c>
      <x:c r="E5588" s="36" t="n">
        <x:v>314000</x:v>
      </x:c>
      <x:c r="F5588" s="36" t="n">
        <x:v>7542</x:v>
      </x:c>
      <x:c r="G5588" s="42" t="n">
        <x:v>1.6177606177606179</x:v>
      </x:c>
      <x:c r="H5588" s="36" t="n">
        <x:f>E5588*G5588</x:f>
        <x:v>507976.833976834</x:v>
      </x:c>
      <x:c r="I5588" s="36" t="n">
        <x:f>IFERROR(H5588/A5588,0)</x:f>
        <x:v>56441.870441870444</x:v>
      </x:c>
      <x:c r="J5588" s="67" t="str">
        <x:v>Modeled from live base + Sep-2026 quality ratio</x:v>
      </x:c>
      <x:c r="K5588" s="67" t="str">
        <x:v>https://www.stonealgo.com/diamond-prices/</x:v>
      </x:c>
      <x:c r="L5588" s="67" t="str">
        <x:v>https://www.pricescope.com/blog/natural-diamond-prices-september-2026</x:v>
      </x:c>
    </x:row>
    <x:row r="5589">
      <x:c r="A5589" t="n">
        <x:v>9</x:v>
      </x:c>
      <x:c r="B5589" t="str">
        <x:v>Heart</x:v>
      </x:c>
      <x:c r="C5589" t="str">
        <x:v>F</x:v>
      </x:c>
      <x:c r="D5589" t="str">
        <x:v>VVS2</x:v>
      </x:c>
      <x:c r="E5589" s="36" t="n">
        <x:v>314000</x:v>
      </x:c>
      <x:c r="F5589" s="36" t="n">
        <x:v>6352</x:v>
      </x:c>
      <x:c r="G5589" s="42" t="n">
        <x:v>1.3625053625053625</x:v>
      </x:c>
      <x:c r="H5589" s="36" t="n">
        <x:f>E5589*G5589</x:f>
        <x:v>427826.6838266838</x:v>
      </x:c>
      <x:c r="I5589" s="36" t="n">
        <x:f>IFERROR(H5589/A5589,0)</x:f>
        <x:v>47536.29820296486</x:v>
      </x:c>
      <x:c r="J5589" s="67" t="str">
        <x:v>Modeled from live base + Sep-2026 quality ratio</x:v>
      </x:c>
      <x:c r="K5589" s="67" t="str">
        <x:v>https://www.stonealgo.com/diamond-prices/</x:v>
      </x:c>
      <x:c r="L5589" s="67" t="str">
        <x:v>https://www.pricescope.com/blog/natural-diamond-prices-september-2026</x:v>
      </x:c>
    </x:row>
    <x:row r="5590">
      <x:c r="A5590" t="n">
        <x:v>9</x:v>
      </x:c>
      <x:c r="B5590" t="str">
        <x:v>Heart</x:v>
      </x:c>
      <x:c r="C5590" t="str">
        <x:v>F</x:v>
      </x:c>
      <x:c r="D5590" t="str">
        <x:v>VS1</x:v>
      </x:c>
      <x:c r="E5590" s="36" t="n">
        <x:v>314000</x:v>
      </x:c>
      <x:c r="F5590" s="36" t="n">
        <x:v>5647</x:v>
      </x:c>
      <x:c r="G5590" s="42" t="n">
        <x:v>1.2112827112827114</x:v>
      </x:c>
      <x:c r="H5590" s="36" t="n">
        <x:f>E5590*G5590</x:f>
        <x:v>380342.77134277136</x:v>
      </x:c>
      <x:c r="I5590" s="36" t="n">
        <x:f>IFERROR(H5590/A5590,0)</x:f>
        <x:v>42260.307926974594</x:v>
      </x:c>
      <x:c r="J5590" s="67" t="str">
        <x:v>Modeled from live base + Sep-2026 quality ratio</x:v>
      </x:c>
      <x:c r="K5590" s="67" t="str">
        <x:v>https://www.stonealgo.com/diamond-prices/</x:v>
      </x:c>
      <x:c r="L5590" s="67" t="str">
        <x:v>https://www.pricescope.com/blog/natural-diamond-prices-september-2026</x:v>
      </x:c>
    </x:row>
    <x:row r="5591">
      <x:c r="A5591" t="n">
        <x:v>9</x:v>
      </x:c>
      <x:c r="B5591" t="str">
        <x:v>Heart</x:v>
      </x:c>
      <x:c r="C5591" t="str">
        <x:v>F</x:v>
      </x:c>
      <x:c r="D5591" t="str">
        <x:v>VS2</x:v>
      </x:c>
      <x:c r="E5591" s="36" t="n">
        <x:v>314000</x:v>
      </x:c>
      <x:c r="F5591" s="36" t="n">
        <x:v>4730</x:v>
      </x:c>
      <x:c r="G5591" s="42" t="n">
        <x:v>1.0145860145860146</x:v>
      </x:c>
      <x:c r="H5591" s="36" t="n">
        <x:f>E5591*G5591</x:f>
        <x:v>318580.0085800086</x:v>
      </x:c>
      <x:c r="I5591" s="36" t="n">
        <x:f>IFERROR(H5591/A5591,0)</x:f>
        <x:v>35397.77873111206</x:v>
      </x:c>
      <x:c r="J5591" s="67" t="str">
        <x:v>Modeled from live base + Sep-2026 quality ratio</x:v>
      </x:c>
      <x:c r="K5591" s="67" t="str">
        <x:v>https://www.stonealgo.com/diamond-prices/</x:v>
      </x:c>
      <x:c r="L5591" s="67" t="str">
        <x:v>https://www.pricescope.com/blog/natural-diamond-prices-september-2026</x:v>
      </x:c>
    </x:row>
    <x:row r="5592">
      <x:c r="A5592" t="n">
        <x:v>9</x:v>
      </x:c>
      <x:c r="B5592" t="str">
        <x:v>Heart</x:v>
      </x:c>
      <x:c r="C5592" t="str">
        <x:v>F</x:v>
      </x:c>
      <x:c r="D5592" t="str">
        <x:v>SI1</x:v>
      </x:c>
      <x:c r="E5592" s="36" t="n">
        <x:v>314000</x:v>
      </x:c>
      <x:c r="F5592" s="36" t="n">
        <x:v>3331</x:v>
      </x:c>
      <x:c r="G5592" s="42" t="n">
        <x:v>0.7145002145002145</x:v>
      </x:c>
      <x:c r="H5592" s="36" t="n">
        <x:f>E5592*G5592</x:f>
        <x:v>224353.06735306737</x:v>
      </x:c>
      <x:c r="I5592" s="36" t="n">
        <x:f>IFERROR(H5592/A5592,0)</x:f>
        <x:v>24928.118594785265</x:v>
      </x:c>
      <x:c r="J5592" s="67" t="str">
        <x:v>Modeled from live base + Sep-2026 quality ratio</x:v>
      </x:c>
      <x:c r="K5592" s="67" t="str">
        <x:v>https://www.stonealgo.com/diamond-prices/</x:v>
      </x:c>
      <x:c r="L5592" s="67" t="str">
        <x:v>https://www.pricescope.com/blog/natural-diamond-prices-september-2026</x:v>
      </x:c>
    </x:row>
    <x:row r="5593">
      <x:c r="A5593" t="n">
        <x:v>9</x:v>
      </x:c>
      <x:c r="B5593" t="str">
        <x:v>Heart</x:v>
      </x:c>
      <x:c r="C5593" t="str">
        <x:v>F</x:v>
      </x:c>
      <x:c r="D5593" t="str">
        <x:v>SI2</x:v>
      </x:c>
      <x:c r="E5593" s="36" t="n">
        <x:v>314000</x:v>
      </x:c>
      <x:c r="F5593" s="36" t="n">
        <x:v>2733</x:v>
      </x:c>
      <x:c r="G5593" s="42" t="n">
        <x:v>0.5862290862290862</x:v>
      </x:c>
      <x:c r="H5593" s="36" t="n">
        <x:f>E5593*G5593</x:f>
        <x:v>184075.93307593308</x:v>
      </x:c>
      <x:c r="I5593" s="36" t="n">
        <x:f>IFERROR(H5593/A5593,0)</x:f>
        <x:v>20452.881452881455</x:v>
      </x:c>
      <x:c r="J5593" s="67" t="str">
        <x:v>Modeled from live base + Sep-2026 quality ratio</x:v>
      </x:c>
      <x:c r="K5593" s="67" t="str">
        <x:v>https://www.stonealgo.com/diamond-prices/</x:v>
      </x:c>
      <x:c r="L5593" s="67" t="str">
        <x:v>https://www.pricescope.com/blog/natural-diamond-prices-september-2026</x:v>
      </x:c>
    </x:row>
    <x:row r="5594">
      <x:c r="A5594" t="n">
        <x:v>9</x:v>
      </x:c>
      <x:c r="B5594" t="str">
        <x:v>Heart</x:v>
      </x:c>
      <x:c r="C5594" t="str">
        <x:v>G</x:v>
      </x:c>
      <x:c r="D5594" t="str">
        <x:v>FL</x:v>
      </x:c>
      <x:c r="E5594" s="36" t="n">
        <x:v>314000</x:v>
      </x:c>
      <x:c r="F5594" s="36" t="n">
        <x:v>5905</x:v>
      </x:c>
      <x:c r="G5594" s="42" t="n">
        <x:v>1.2666237666237665</x:v>
      </x:c>
      <x:c r="H5594" s="36" t="n">
        <x:f>E5594*G5594</x:f>
        <x:v>397719.86271986266</x:v>
      </x:c>
      <x:c r="I5594" s="36" t="n">
        <x:f>IFERROR(H5594/A5594,0)</x:f>
        <x:v>44191.09585776252</x:v>
      </x:c>
      <x:c r="J5594" s="67" t="str">
        <x:v>Modeled from live base + Sep-2026 quality ratio</x:v>
      </x:c>
      <x:c r="K5594" s="67" t="str">
        <x:v>https://www.stonealgo.com/diamond-prices/</x:v>
      </x:c>
      <x:c r="L5594" s="67" t="str">
        <x:v>https://www.pricescope.com/blog/natural-diamond-prices-september-2026</x:v>
      </x:c>
    </x:row>
    <x:row r="5595">
      <x:c r="A5595" t="n">
        <x:v>9</x:v>
      </x:c>
      <x:c r="B5595" t="str">
        <x:v>Heart</x:v>
      </x:c>
      <x:c r="C5595" t="str">
        <x:v>G</x:v>
      </x:c>
      <x:c r="D5595" t="str">
        <x:v>IF</x:v>
      </x:c>
      <x:c r="E5595" s="36" t="n">
        <x:v>314000</x:v>
      </x:c>
      <x:c r="F5595" s="36" t="n">
        <x:v>5601</x:v>
      </x:c>
      <x:c r="G5595" s="42" t="n">
        <x:v>1.2014157014157014</x:v>
      </x:c>
      <x:c r="H5595" s="36" t="n">
        <x:f>E5595*G5595</x:f>
        <x:v>377244.53024453024</x:v>
      </x:c>
      <x:c r="I5595" s="36" t="n">
        <x:f>IFERROR(H5595/A5595,0)</x:f>
        <x:v>41916.058916058915</x:v>
      </x:c>
      <x:c r="J5595" s="67" t="str">
        <x:v>Modeled from live base + Sep-2026 quality ratio</x:v>
      </x:c>
      <x:c r="K5595" s="67" t="str">
        <x:v>https://www.stonealgo.com/diamond-prices/</x:v>
      </x:c>
      <x:c r="L5595" s="67" t="str">
        <x:v>https://www.pricescope.com/blog/natural-diamond-prices-september-2026</x:v>
      </x:c>
    </x:row>
    <x:row r="5596">
      <x:c r="A5596" t="n">
        <x:v>9</x:v>
      </x:c>
      <x:c r="B5596" t="str">
        <x:v>Heart</x:v>
      </x:c>
      <x:c r="C5596" t="str">
        <x:v>G</x:v>
      </x:c>
      <x:c r="D5596" t="str">
        <x:v>VVS1</x:v>
      </x:c>
      <x:c r="E5596" s="36" t="n">
        <x:v>314000</x:v>
      </x:c>
      <x:c r="F5596" s="36" t="n">
        <x:v>5124</x:v>
      </x:c>
      <x:c r="G5596" s="42" t="n">
        <x:v>1.0990990990990992</x:v>
      </x:c>
      <x:c r="H5596" s="36" t="n">
        <x:f>E5596*G5596</x:f>
        <x:v>345117.11711711716</x:v>
      </x:c>
      <x:c r="I5596" s="36" t="n">
        <x:f>IFERROR(H5596/A5596,0)</x:f>
        <x:v>38346.34634634635</x:v>
      </x:c>
      <x:c r="J5596" s="67" t="str">
        <x:v>Modeled from live base + Sep-2026 quality ratio</x:v>
      </x:c>
      <x:c r="K5596" s="67" t="str">
        <x:v>https://www.stonealgo.com/diamond-prices/</x:v>
      </x:c>
      <x:c r="L5596" s="67" t="str">
        <x:v>https://www.pricescope.com/blog/natural-diamond-prices-september-2026</x:v>
      </x:c>
    </x:row>
    <x:row r="5597">
      <x:c r="A5597" t="n">
        <x:v>9</x:v>
      </x:c>
      <x:c r="B5597" t="str">
        <x:v>Heart</x:v>
      </x:c>
      <x:c r="C5597" t="str">
        <x:v>G</x:v>
      </x:c>
      <x:c r="D5597" t="str">
        <x:v>VVS2</x:v>
      </x:c>
      <x:c r="E5597" s="36" t="n">
        <x:v>314000</x:v>
      </x:c>
      <x:c r="F5597" s="36" t="n">
        <x:v>4962</x:v>
      </x:c>
      <x:c r="G5597" s="42" t="n">
        <x:v>1.0643500643500643</x:v>
      </x:c>
      <x:c r="H5597" s="36" t="n">
        <x:f>E5597*G5597</x:f>
        <x:v>334205.9202059202</x:v>
      </x:c>
      <x:c r="I5597" s="36" t="n">
        <x:f>IFERROR(H5597/A5597,0)</x:f>
        <x:v>37133.991133991134</x:v>
      </x:c>
      <x:c r="J5597" s="67" t="str">
        <x:v>Modeled from live base + Sep-2026 quality ratio</x:v>
      </x:c>
      <x:c r="K5597" s="67" t="str">
        <x:v>https://www.stonealgo.com/diamond-prices/</x:v>
      </x:c>
      <x:c r="L5597" s="67" t="str">
        <x:v>https://www.pricescope.com/blog/natural-diamond-prices-september-2026</x:v>
      </x:c>
    </x:row>
    <x:row r="5598">
      <x:c r="A5598" t="n">
        <x:v>9</x:v>
      </x:c>
      <x:c r="B5598" t="str">
        <x:v>Heart</x:v>
      </x:c>
      <x:c r="C5598" t="str">
        <x:v>G</x:v>
      </x:c>
      <x:c r="D5598" t="str">
        <x:v>VS1</x:v>
      </x:c>
      <x:c r="E5598" s="36" t="n">
        <x:v>314000</x:v>
      </x:c>
      <x:c r="F5598" s="36" t="n">
        <x:v>4615</x:v>
      </x:c>
      <x:c r="G5598" s="42" t="n">
        <x:v>0.98991848991849</x:v>
      </x:c>
      <x:c r="H5598" s="36" t="n">
        <x:f>E5598*G5598</x:f>
        <x:v>310834.40583440586</x:v>
      </x:c>
      <x:c r="I5598" s="36" t="n">
        <x:f>IFERROR(H5598/A5598,0)</x:f>
        <x:v>34537.15620382287</x:v>
      </x:c>
      <x:c r="J5598" s="67" t="str">
        <x:v>Modeled from live base + Sep-2026 quality ratio</x:v>
      </x:c>
      <x:c r="K5598" s="67" t="str">
        <x:v>https://www.stonealgo.com/diamond-prices/</x:v>
      </x:c>
      <x:c r="L5598" s="67" t="str">
        <x:v>https://www.pricescope.com/blog/natural-diamond-prices-september-2026</x:v>
      </x:c>
    </x:row>
    <x:row r="5599">
      <x:c r="A5599" t="n">
        <x:v>9</x:v>
      </x:c>
      <x:c r="B5599" t="str">
        <x:v>Heart</x:v>
      </x:c>
      <x:c r="C5599" t="str">
        <x:v>G</x:v>
      </x:c>
      <x:c r="D5599" t="str">
        <x:v>VS2</x:v>
      </x:c>
      <x:c r="E5599" s="36" t="n">
        <x:v>314000</x:v>
      </x:c>
      <x:c r="F5599" s="36" t="n">
        <x:v>4585</x:v>
      </x:c>
      <x:c r="G5599" s="42" t="n">
        <x:v>0.9834834834834835</x:v>
      </x:c>
      <x:c r="H5599" s="36" t="n">
        <x:f>E5599*G5599</x:f>
        <x:v>308813.8138138138</x:v>
      </x:c>
      <x:c r="I5599" s="36" t="n">
        <x:f>IFERROR(H5599/A5599,0)</x:f>
        <x:v>34312.64597931264</x:v>
      </x:c>
      <x:c r="J5599" s="67" t="str">
        <x:v>Modeled from live base + Sep-2026 quality ratio</x:v>
      </x:c>
      <x:c r="K5599" s="67" t="str">
        <x:v>https://www.stonealgo.com/diamond-prices/</x:v>
      </x:c>
      <x:c r="L5599" s="67" t="str">
        <x:v>https://www.pricescope.com/blog/natural-diamond-prices-september-2026</x:v>
      </x:c>
    </x:row>
    <x:row r="5600">
      <x:c r="A5600" t="n">
        <x:v>9</x:v>
      </x:c>
      <x:c r="B5600" t="str">
        <x:v>Heart</x:v>
      </x:c>
      <x:c r="C5600" t="str">
        <x:v>G</x:v>
      </x:c>
      <x:c r="D5600" t="str">
        <x:v>SI1</x:v>
      </x:c>
      <x:c r="E5600" s="36" t="n">
        <x:v>314000</x:v>
      </x:c>
      <x:c r="F5600" s="36" t="n">
        <x:v>3664</x:v>
      </x:c>
      <x:c r="G5600" s="42" t="n">
        <x:v>0.7859287859287859</x:v>
      </x:c>
      <x:c r="H5600" s="36" t="n">
        <x:f>E5600*G5600</x:f>
        <x:v>246781.6387816388</x:v>
      </x:c>
      <x:c r="I5600" s="36" t="n">
        <x:f>IFERROR(H5600/A5600,0)</x:f>
        <x:v>27420.182086848756</x:v>
      </x:c>
      <x:c r="J5600" s="67" t="str">
        <x:v>Modeled from live base + Sep-2026 quality ratio</x:v>
      </x:c>
      <x:c r="K5600" s="67" t="str">
        <x:v>https://www.stonealgo.com/diamond-prices/</x:v>
      </x:c>
      <x:c r="L5600" s="67" t="str">
        <x:v>https://www.pricescope.com/blog/natural-diamond-prices-september-2026</x:v>
      </x:c>
    </x:row>
    <x:row r="5601">
      <x:c r="A5601" t="n">
        <x:v>9</x:v>
      </x:c>
      <x:c r="B5601" t="str">
        <x:v>Heart</x:v>
      </x:c>
      <x:c r="C5601" t="str">
        <x:v>G</x:v>
      </x:c>
      <x:c r="D5601" t="str">
        <x:v>SI2</x:v>
      </x:c>
      <x:c r="E5601" s="36" t="n">
        <x:v>314000</x:v>
      </x:c>
      <x:c r="F5601" s="36" t="n">
        <x:v>2537</x:v>
      </x:c>
      <x:c r="G5601" s="42" t="n">
        <x:v>0.5441870441870442</x:v>
      </x:c>
      <x:c r="H5601" s="36" t="n">
        <x:f>E5601*G5601</x:f>
        <x:v>170874.7318747319</x:v>
      </x:c>
      <x:c r="I5601" s="36" t="n">
        <x:f>IFERROR(H5601/A5601,0)</x:f>
        <x:v>18986.081319414654</x:v>
      </x:c>
      <x:c r="J5601" s="67" t="str">
        <x:v>Modeled from live base + Sep-2026 quality ratio</x:v>
      </x:c>
      <x:c r="K5601" s="67" t="str">
        <x:v>https://www.stonealgo.com/diamond-prices/</x:v>
      </x:c>
      <x:c r="L5601" s="67" t="str">
        <x:v>https://www.pricescope.com/blog/natural-diamond-prices-september-2026</x:v>
      </x:c>
    </x:row>
    <x:row r="5602">
      <x:c r="A5602" t="n">
        <x:v>9</x:v>
      </x:c>
      <x:c r="B5602" t="str">
        <x:v>Heart</x:v>
      </x:c>
      <x:c r="C5602" t="str">
        <x:v>H</x:v>
      </x:c>
      <x:c r="D5602" t="str">
        <x:v>FL</x:v>
      </x:c>
      <x:c r="E5602" s="36" t="n">
        <x:v>314000</x:v>
      </x:c>
      <x:c r="F5602" s="36" t="n">
        <x:v>4563</x:v>
      </x:c>
      <x:c r="G5602" s="42" t="n">
        <x:v>0.9787644787644788</x:v>
      </x:c>
      <x:c r="H5602" s="36" t="n">
        <x:f>E5602*G5602</x:f>
        <x:v>307332.04633204633</x:v>
      </x:c>
      <x:c r="I5602" s="36" t="n">
        <x:f>IFERROR(H5602/A5602,0)</x:f>
        <x:v>34148.00514800515</x:v>
      </x:c>
      <x:c r="J5602" s="67" t="str">
        <x:v>Modeled from live base + Sep-2026 quality ratio</x:v>
      </x:c>
      <x:c r="K5602" s="67" t="str">
        <x:v>https://www.stonealgo.com/diamond-prices/</x:v>
      </x:c>
      <x:c r="L5602" s="67" t="str">
        <x:v>https://www.pricescope.com/blog/natural-diamond-prices-september-2026</x:v>
      </x:c>
    </x:row>
    <x:row r="5603">
      <x:c r="A5603" t="n">
        <x:v>9</x:v>
      </x:c>
      <x:c r="B5603" t="str">
        <x:v>Heart</x:v>
      </x:c>
      <x:c r="C5603" t="str">
        <x:v>H</x:v>
      </x:c>
      <x:c r="D5603" t="str">
        <x:v>IF</x:v>
      </x:c>
      <x:c r="E5603" s="36" t="n">
        <x:v>314000</x:v>
      </x:c>
      <x:c r="F5603" s="36" t="n">
        <x:v>4809</x:v>
      </x:c>
      <x:c r="G5603" s="42" t="n">
        <x:v>1.0315315315315314</x:v>
      </x:c>
      <x:c r="H5603" s="36" t="n">
        <x:f>E5603*G5603</x:f>
        <x:v>323900.9009009009</x:v>
      </x:c>
      <x:c r="I5603" s="36" t="n">
        <x:f>IFERROR(H5603/A5603,0)</x:f>
        <x:v>35988.98898898899</x:v>
      </x:c>
      <x:c r="J5603" s="67" t="str">
        <x:v>Modeled from live base + Sep-2026 quality ratio</x:v>
      </x:c>
      <x:c r="K5603" s="67" t="str">
        <x:v>https://www.stonealgo.com/diamond-prices/</x:v>
      </x:c>
      <x:c r="L5603" s="67" t="str">
        <x:v>https://www.pricescope.com/blog/natural-diamond-prices-september-2026</x:v>
      </x:c>
    </x:row>
    <x:row r="5604">
      <x:c r="A5604" t="n">
        <x:v>9</x:v>
      </x:c>
      <x:c r="B5604" t="str">
        <x:v>Heart</x:v>
      </x:c>
      <x:c r="C5604" t="str">
        <x:v>H</x:v>
      </x:c>
      <x:c r="D5604" t="str">
        <x:v>VVS1</x:v>
      </x:c>
      <x:c r="E5604" s="36" t="n">
        <x:v>314000</x:v>
      </x:c>
      <x:c r="F5604" s="36" t="n">
        <x:v>4911</x:v>
      </x:c>
      <x:c r="G5604" s="42" t="n">
        <x:v>1.0534105534105533</x:v>
      </x:c>
      <x:c r="H5604" s="36" t="n">
        <x:f>E5604*G5604</x:f>
        <x:v>330770.9137709137</x:v>
      </x:c>
      <x:c r="I5604" s="36" t="n">
        <x:f>IFERROR(H5604/A5604,0)</x:f>
        <x:v>36752.32375232375</x:v>
      </x:c>
      <x:c r="J5604" s="67" t="str">
        <x:v>Modeled from live base + Sep-2026 quality ratio</x:v>
      </x:c>
      <x:c r="K5604" s="67" t="str">
        <x:v>https://www.stonealgo.com/diamond-prices/</x:v>
      </x:c>
      <x:c r="L5604" s="67" t="str">
        <x:v>https://www.pricescope.com/blog/natural-diamond-prices-september-2026</x:v>
      </x:c>
    </x:row>
    <x:row r="5605">
      <x:c r="A5605" t="n">
        <x:v>9</x:v>
      </x:c>
      <x:c r="B5605" t="str">
        <x:v>Heart</x:v>
      </x:c>
      <x:c r="C5605" t="str">
        <x:v>H</x:v>
      </x:c>
      <x:c r="D5605" t="str">
        <x:v>VVS2</x:v>
      </x:c>
      <x:c r="E5605" s="36" t="n">
        <x:v>314000</x:v>
      </x:c>
      <x:c r="F5605" s="36" t="n">
        <x:v>4046</x:v>
      </x:c>
      <x:c r="G5605" s="42" t="n">
        <x:v>0.8678678678678678</x:v>
      </x:c>
      <x:c r="H5605" s="36" t="n">
        <x:f>E5605*G5605</x:f>
        <x:v>272510.51051051053</x:v>
      </x:c>
      <x:c r="I5605" s="36" t="n">
        <x:f>IFERROR(H5605/A5605,0)</x:f>
        <x:v>30278.94561227895</x:v>
      </x:c>
      <x:c r="J5605" s="67" t="str">
        <x:v>Modeled from live base + Sep-2026 quality ratio</x:v>
      </x:c>
      <x:c r="K5605" s="67" t="str">
        <x:v>https://www.stonealgo.com/diamond-prices/</x:v>
      </x:c>
      <x:c r="L5605" s="67" t="str">
        <x:v>https://www.pricescope.com/blog/natural-diamond-prices-september-2026</x:v>
      </x:c>
    </x:row>
    <x:row r="5606">
      <x:c r="A5606" t="n">
        <x:v>9</x:v>
      </x:c>
      <x:c r="B5606" t="str">
        <x:v>Heart</x:v>
      </x:c>
      <x:c r="C5606" t="str">
        <x:v>H</x:v>
      </x:c>
      <x:c r="D5606" t="str">
        <x:v>VS1</x:v>
      </x:c>
      <x:c r="E5606" s="36" t="n">
        <x:v>314000</x:v>
      </x:c>
      <x:c r="F5606" s="36" t="n">
        <x:v>3893</x:v>
      </x:c>
      <x:c r="G5606" s="42" t="n">
        <x:v>0.8350493350493351</x:v>
      </x:c>
      <x:c r="H5606" s="36" t="n">
        <x:f>E5606*G5606</x:f>
        <x:v>262205.49120549124</x:v>
      </x:c>
      <x:c r="I5606" s="36" t="n">
        <x:f>IFERROR(H5606/A5606,0)</x:f>
        <x:v>29133.943467276804</x:v>
      </x:c>
      <x:c r="J5606" s="67" t="str">
        <x:v>Modeled from live base + Sep-2026 quality ratio</x:v>
      </x:c>
      <x:c r="K5606" s="67" t="str">
        <x:v>https://www.stonealgo.com/diamond-prices/</x:v>
      </x:c>
      <x:c r="L5606" s="67" t="str">
        <x:v>https://www.pricescope.com/blog/natural-diamond-prices-september-2026</x:v>
      </x:c>
    </x:row>
    <x:row r="5607">
      <x:c r="A5607" t="n">
        <x:v>9</x:v>
      </x:c>
      <x:c r="B5607" t="str">
        <x:v>Heart</x:v>
      </x:c>
      <x:c r="C5607" t="str">
        <x:v>H</x:v>
      </x:c>
      <x:c r="D5607" t="str">
        <x:v>VS2</x:v>
      </x:c>
      <x:c r="E5607" s="36" t="n">
        <x:v>314000</x:v>
      </x:c>
      <x:c r="F5607" s="36" t="n">
        <x:v>3989</x:v>
      </x:c>
      <x:c r="G5607" s="42" t="n">
        <x:v>0.8556413556413557</x:v>
      </x:c>
      <x:c r="H5607" s="36" t="n">
        <x:f>E5607*G5607</x:f>
        <x:v>268671.3856713857</x:v>
      </x:c>
      <x:c r="I5607" s="36" t="n">
        <x:f>IFERROR(H5607/A5607,0)</x:f>
        <x:v>29852.37618570952</x:v>
      </x:c>
      <x:c r="J5607" s="67" t="str">
        <x:v>Modeled from live base + Sep-2026 quality ratio</x:v>
      </x:c>
      <x:c r="K5607" s="67" t="str">
        <x:v>https://www.stonealgo.com/diamond-prices/</x:v>
      </x:c>
      <x:c r="L5607" s="67" t="str">
        <x:v>https://www.pricescope.com/blog/natural-diamond-prices-september-2026</x:v>
      </x:c>
    </x:row>
    <x:row r="5608">
      <x:c r="A5608" t="n">
        <x:v>9</x:v>
      </x:c>
      <x:c r="B5608" t="str">
        <x:v>Heart</x:v>
      </x:c>
      <x:c r="C5608" t="str">
        <x:v>H</x:v>
      </x:c>
      <x:c r="D5608" t="str">
        <x:v>SI1</x:v>
      </x:c>
      <x:c r="E5608" s="36" t="n">
        <x:v>314000</x:v>
      </x:c>
      <x:c r="F5608" s="36" t="n">
        <x:v>2828</x:v>
      </x:c>
      <x:c r="G5608" s="42" t="n">
        <x:v>0.6066066066066066</x:v>
      </x:c>
      <x:c r="H5608" s="36" t="n">
        <x:f>E5608*G5608</x:f>
        <x:v>190474.47447447447</x:v>
      </x:c>
      <x:c r="I5608" s="36" t="n">
        <x:f>IFERROR(H5608/A5608,0)</x:f>
        <x:v>21163.830497163828</x:v>
      </x:c>
      <x:c r="J5608" s="67" t="str">
        <x:v>Modeled from live base + Sep-2026 quality ratio</x:v>
      </x:c>
      <x:c r="K5608" s="67" t="str">
        <x:v>https://www.stonealgo.com/diamond-prices/</x:v>
      </x:c>
      <x:c r="L5608" s="67" t="str">
        <x:v>https://www.pricescope.com/blog/natural-diamond-prices-september-2026</x:v>
      </x:c>
    </x:row>
    <x:row r="5609">
      <x:c r="A5609" t="n">
        <x:v>9</x:v>
      </x:c>
      <x:c r="B5609" t="str">
        <x:v>Heart</x:v>
      </x:c>
      <x:c r="C5609" t="str">
        <x:v>H</x:v>
      </x:c>
      <x:c r="D5609" t="str">
        <x:v>SI2</x:v>
      </x:c>
      <x:c r="E5609" s="36" t="n">
        <x:v>314000</x:v>
      </x:c>
      <x:c r="F5609" s="36" t="n">
        <x:v>2328</x:v>
      </x:c>
      <x:c r="G5609" s="42" t="n">
        <x:v>0.49935649935649934</x:v>
      </x:c>
      <x:c r="H5609" s="36" t="n">
        <x:f>E5609*G5609</x:f>
        <x:v>156797.9407979408</x:v>
      </x:c>
      <x:c r="I5609" s="36" t="n">
        <x:f>IFERROR(H5609/A5609,0)</x:f>
        <x:v>17421.993421993422</x:v>
      </x:c>
      <x:c r="J5609" s="67" t="str">
        <x:v>Modeled from live base + Sep-2026 quality ratio</x:v>
      </x:c>
      <x:c r="K5609" s="67" t="str">
        <x:v>https://www.stonealgo.com/diamond-prices/</x:v>
      </x:c>
      <x:c r="L5609" s="67" t="str">
        <x:v>https://www.pricescope.com/blog/natural-diamond-prices-september-2026</x:v>
      </x:c>
    </x:row>
    <x:row r="5610">
      <x:c r="A5610" t="n">
        <x:v>9</x:v>
      </x:c>
      <x:c r="B5610" t="str">
        <x:v>Heart</x:v>
      </x:c>
      <x:c r="C5610" t="str">
        <x:v>I</x:v>
      </x:c>
      <x:c r="D5610" t="str">
        <x:v>FL</x:v>
      </x:c>
      <x:c r="E5610" s="36" t="n">
        <x:v>314000</x:v>
      </x:c>
      <x:c r="F5610" s="36" t="n">
        <x:v>4623</x:v>
      </x:c>
      <x:c r="G5610" s="42" t="n">
        <x:v>0.9916344916344917</x:v>
      </x:c>
      <x:c r="H5610" s="36" t="n">
        <x:f>E5610*G5610</x:f>
        <x:v>311373.2303732304</x:v>
      </x:c>
      <x:c r="I5610" s="36" t="n">
        <x:f>IFERROR(H5610/A5610,0)</x:f>
        <x:v>34597.025597025604</x:v>
      </x:c>
      <x:c r="J5610" s="67" t="str">
        <x:v>Modeled from live base + Sep-2026 quality ratio</x:v>
      </x:c>
      <x:c r="K5610" s="67" t="str">
        <x:v>https://www.stonealgo.com/diamond-prices/</x:v>
      </x:c>
      <x:c r="L5610" s="67" t="str">
        <x:v>https://www.pricescope.com/blog/natural-diamond-prices-september-2026</x:v>
      </x:c>
    </x:row>
    <x:row r="5611">
      <x:c r="A5611" t="n">
        <x:v>9</x:v>
      </x:c>
      <x:c r="B5611" t="str">
        <x:v>Heart</x:v>
      </x:c>
      <x:c r="C5611" t="str">
        <x:v>I</x:v>
      </x:c>
      <x:c r="D5611" t="str">
        <x:v>IF</x:v>
      </x:c>
      <x:c r="E5611" s="36" t="n">
        <x:v>314000</x:v>
      </x:c>
      <x:c r="F5611" s="36" t="n">
        <x:v>4005</x:v>
      </x:c>
      <x:c r="G5611" s="42" t="n">
        <x:v>0.859073359073359</x:v>
      </x:c>
      <x:c r="H5611" s="36" t="n">
        <x:f>E5611*G5611</x:f>
        <x:v>269749.03474903473</x:v>
      </x:c>
      <x:c r="I5611" s="36" t="n">
        <x:f>IFERROR(H5611/A5611,0)</x:f>
        <x:v>29972.11497211497</x:v>
      </x:c>
      <x:c r="J5611" s="67" t="str">
        <x:v>Modeled from live base + Sep-2026 quality ratio</x:v>
      </x:c>
      <x:c r="K5611" s="67" t="str">
        <x:v>https://www.stonealgo.com/diamond-prices/</x:v>
      </x:c>
      <x:c r="L5611" s="67" t="str">
        <x:v>https://www.pricescope.com/blog/natural-diamond-prices-september-2026</x:v>
      </x:c>
    </x:row>
    <x:row r="5612">
      <x:c r="A5612" t="n">
        <x:v>9</x:v>
      </x:c>
      <x:c r="B5612" t="str">
        <x:v>Heart</x:v>
      </x:c>
      <x:c r="C5612" t="str">
        <x:v>I</x:v>
      </x:c>
      <x:c r="D5612" t="str">
        <x:v>VVS1</x:v>
      </x:c>
      <x:c r="E5612" s="36" t="n">
        <x:v>314000</x:v>
      </x:c>
      <x:c r="F5612" s="36" t="n">
        <x:v>3670</x:v>
      </x:c>
      <x:c r="G5612" s="42" t="n">
        <x:v>0.7872157872157872</x:v>
      </x:c>
      <x:c r="H5612" s="36" t="n">
        <x:f>E5612*G5612</x:f>
        <x:v>247185.7571857572</x:v>
      </x:c>
      <x:c r="I5612" s="36" t="n">
        <x:f>IFERROR(H5612/A5612,0)</x:f>
        <x:v>27465.0841317508</x:v>
      </x:c>
      <x:c r="J5612" s="67" t="str">
        <x:v>Modeled from live base + Sep-2026 quality ratio</x:v>
      </x:c>
      <x:c r="K5612" s="67" t="str">
        <x:v>https://www.stonealgo.com/diamond-prices/</x:v>
      </x:c>
      <x:c r="L5612" s="67" t="str">
        <x:v>https://www.pricescope.com/blog/natural-diamond-prices-september-2026</x:v>
      </x:c>
    </x:row>
    <x:row r="5613">
      <x:c r="A5613" t="n">
        <x:v>9</x:v>
      </x:c>
      <x:c r="B5613" t="str">
        <x:v>Heart</x:v>
      </x:c>
      <x:c r="C5613" t="str">
        <x:v>I</x:v>
      </x:c>
      <x:c r="D5613" t="str">
        <x:v>VVS2</x:v>
      </x:c>
      <x:c r="E5613" s="36" t="n">
        <x:v>314000</x:v>
      </x:c>
      <x:c r="F5613" s="36" t="n">
        <x:v>3447</x:v>
      </x:c>
      <x:c r="G5613" s="42" t="n">
        <x:v>0.7393822393822393</x:v>
      </x:c>
      <x:c r="H5613" s="36" t="n">
        <x:f>E5613*G5613</x:f>
        <x:v>232166.02316602317</x:v>
      </x:c>
      <x:c r="I5613" s="36" t="n">
        <x:f>IFERROR(H5613/A5613,0)</x:f>
        <x:v>25796.224796224797</x:v>
      </x:c>
      <x:c r="J5613" s="67" t="str">
        <x:v>Modeled from live base + Sep-2026 quality ratio</x:v>
      </x:c>
      <x:c r="K5613" s="67" t="str">
        <x:v>https://www.stonealgo.com/diamond-prices/</x:v>
      </x:c>
      <x:c r="L5613" s="67" t="str">
        <x:v>https://www.pricescope.com/blog/natural-diamond-prices-september-2026</x:v>
      </x:c>
    </x:row>
    <x:row r="5614">
      <x:c r="A5614" t="n">
        <x:v>9</x:v>
      </x:c>
      <x:c r="B5614" t="str">
        <x:v>Heart</x:v>
      </x:c>
      <x:c r="C5614" t="str">
        <x:v>I</x:v>
      </x:c>
      <x:c r="D5614" t="str">
        <x:v>VS1</x:v>
      </x:c>
      <x:c r="E5614" s="36" t="n">
        <x:v>314000</x:v>
      </x:c>
      <x:c r="F5614" s="36" t="n">
        <x:v>3313</x:v>
      </x:c>
      <x:c r="G5614" s="42" t="n">
        <x:v>0.7106392106392107</x:v>
      </x:c>
      <x:c r="H5614" s="36" t="n">
        <x:f>E5614*G5614</x:f>
        <x:v>223140.71214071213</x:v>
      </x:c>
      <x:c r="I5614" s="36" t="n">
        <x:f>IFERROR(H5614/A5614,0)</x:f>
        <x:v>24793.412460079126</x:v>
      </x:c>
      <x:c r="J5614" s="67" t="str">
        <x:v>Modeled from live base + Sep-2026 quality ratio</x:v>
      </x:c>
      <x:c r="K5614" s="67" t="str">
        <x:v>https://www.stonealgo.com/diamond-prices/</x:v>
      </x:c>
      <x:c r="L5614" s="67" t="str">
        <x:v>https://www.pricescope.com/blog/natural-diamond-prices-september-2026</x:v>
      </x:c>
    </x:row>
    <x:row r="5615">
      <x:c r="A5615" t="n">
        <x:v>9</x:v>
      </x:c>
      <x:c r="B5615" t="str">
        <x:v>Heart</x:v>
      </x:c>
      <x:c r="C5615" t="str">
        <x:v>I</x:v>
      </x:c>
      <x:c r="D5615" t="str">
        <x:v>VS2</x:v>
      </x:c>
      <x:c r="E5615" s="36" t="n">
        <x:v>314000</x:v>
      </x:c>
      <x:c r="F5615" s="36" t="n">
        <x:v>3240</x:v>
      </x:c>
      <x:c r="G5615" s="42" t="n">
        <x:v>0.694980694980695</x:v>
      </x:c>
      <x:c r="H5615" s="36" t="n">
        <x:f>E5615*G5615</x:f>
        <x:v>218223.93822393825</x:v>
      </x:c>
      <x:c r="I5615" s="36" t="n">
        <x:f>IFERROR(H5615/A5615,0)</x:f>
        <x:v>24247.10424710425</x:v>
      </x:c>
      <x:c r="J5615" s="67" t="str">
        <x:v>Modeled from live base + Sep-2026 quality ratio</x:v>
      </x:c>
      <x:c r="K5615" s="67" t="str">
        <x:v>https://www.stonealgo.com/diamond-prices/</x:v>
      </x:c>
      <x:c r="L5615" s="67" t="str">
        <x:v>https://www.pricescope.com/blog/natural-diamond-prices-september-2026</x:v>
      </x:c>
    </x:row>
    <x:row r="5616">
      <x:c r="A5616" t="n">
        <x:v>9</x:v>
      </x:c>
      <x:c r="B5616" t="str">
        <x:v>Heart</x:v>
      </x:c>
      <x:c r="C5616" t="str">
        <x:v>I</x:v>
      </x:c>
      <x:c r="D5616" t="str">
        <x:v>SI1</x:v>
      </x:c>
      <x:c r="E5616" s="36" t="n">
        <x:v>314000</x:v>
      </x:c>
      <x:c r="F5616" s="36" t="n">
        <x:v>3199</x:v>
      </x:c>
      <x:c r="G5616" s="42" t="n">
        <x:v>0.6861861861861862</x:v>
      </x:c>
      <x:c r="H5616" s="36" t="n">
        <x:f>E5616*G5616</x:f>
        <x:v>215462.46246246246</x:v>
      </x:c>
      <x:c r="I5616" s="36" t="n">
        <x:f>IFERROR(H5616/A5616,0)</x:f>
        <x:v>23940.273606940274</x:v>
      </x:c>
      <x:c r="J5616" s="67" t="str">
        <x:v>Modeled from live base + Sep-2026 quality ratio</x:v>
      </x:c>
      <x:c r="K5616" s="67" t="str">
        <x:v>https://www.stonealgo.com/diamond-prices/</x:v>
      </x:c>
      <x:c r="L5616" s="67" t="str">
        <x:v>https://www.pricescope.com/blog/natural-diamond-prices-september-2026</x:v>
      </x:c>
    </x:row>
    <x:row r="5617">
      <x:c r="A5617" t="n">
        <x:v>9</x:v>
      </x:c>
      <x:c r="B5617" t="str">
        <x:v>Heart</x:v>
      </x:c>
      <x:c r="C5617" t="str">
        <x:v>I</x:v>
      </x:c>
      <x:c r="D5617" t="str">
        <x:v>SI2</x:v>
      </x:c>
      <x:c r="E5617" s="36" t="n">
        <x:v>314000</x:v>
      </x:c>
      <x:c r="F5617" s="36" t="n">
        <x:v>2874</x:v>
      </x:c>
      <x:c r="G5617" s="42" t="n">
        <x:v>0.6164736164736164</x:v>
      </x:c>
      <x:c r="H5617" s="36" t="n">
        <x:f>E5617*G5617</x:f>
        <x:v>193572.71557271556</x:v>
      </x:c>
      <x:c r="I5617" s="36" t="n">
        <x:f>IFERROR(H5617/A5617,0)</x:f>
        <x:v>21508.079508079507</x:v>
      </x:c>
      <x:c r="J5617" s="67" t="str">
        <x:v>Modeled from live base + Sep-2026 quality ratio</x:v>
      </x:c>
      <x:c r="K5617" s="67" t="str">
        <x:v>https://www.stonealgo.com/diamond-prices/</x:v>
      </x:c>
      <x:c r="L5617" s="67" t="str">
        <x:v>https://www.pricescope.com/blog/natural-diamond-prices-september-2026</x:v>
      </x:c>
    </x:row>
    <x:row r="5618">
      <x:c r="A5618" t="n">
        <x:v>9</x:v>
      </x:c>
      <x:c r="B5618" t="str">
        <x:v>Heart</x:v>
      </x:c>
      <x:c r="C5618" t="str">
        <x:v>J</x:v>
      </x:c>
      <x:c r="D5618" t="str">
        <x:v>FL</x:v>
      </x:c>
      <x:c r="E5618" s="36" t="n">
        <x:v>314000</x:v>
      </x:c>
      <x:c r="F5618" s="36" t="n">
        <x:v>3646</x:v>
      </x:c>
      <x:c r="G5618" s="42" t="n">
        <x:v>0.782067782067782</x:v>
      </x:c>
      <x:c r="H5618" s="36" t="n">
        <x:f>E5618*G5618</x:f>
        <x:v>245569.28356928355</x:v>
      </x:c>
      <x:c r="I5618" s="36" t="n">
        <x:f>IFERROR(H5618/A5618,0)</x:f>
        <x:v>27285.475952142617</x:v>
      </x:c>
      <x:c r="J5618" s="67" t="str">
        <x:v>Modeled from live base + Sep-2026 quality ratio</x:v>
      </x:c>
      <x:c r="K5618" s="67" t="str">
        <x:v>https://www.stonealgo.com/diamond-prices/</x:v>
      </x:c>
      <x:c r="L5618" s="67" t="str">
        <x:v>https://www.pricescope.com/blog/natural-diamond-prices-september-2026</x:v>
      </x:c>
    </x:row>
    <x:row r="5619">
      <x:c r="A5619" t="n">
        <x:v>9</x:v>
      </x:c>
      <x:c r="B5619" t="str">
        <x:v>Heart</x:v>
      </x:c>
      <x:c r="C5619" t="str">
        <x:v>J</x:v>
      </x:c>
      <x:c r="D5619" t="str">
        <x:v>IF</x:v>
      </x:c>
      <x:c r="E5619" s="36" t="n">
        <x:v>314000</x:v>
      </x:c>
      <x:c r="F5619" s="36" t="n">
        <x:v>3368</x:v>
      </x:c>
      <x:c r="G5619" s="42" t="n">
        <x:v>0.7224367224367224</x:v>
      </x:c>
      <x:c r="H5619" s="36" t="n">
        <x:f>E5619*G5619</x:f>
        <x:v>226845.13084513083</x:v>
      </x:c>
      <x:c r="I5619" s="36" t="n">
        <x:f>IFERROR(H5619/A5619,0)</x:f>
        <x:v>25205.01453834787</x:v>
      </x:c>
      <x:c r="J5619" s="67" t="str">
        <x:v>Modeled from live base + Sep-2026 quality ratio</x:v>
      </x:c>
      <x:c r="K5619" s="67" t="str">
        <x:v>https://www.stonealgo.com/diamond-prices/</x:v>
      </x:c>
      <x:c r="L5619" s="67" t="str">
        <x:v>https://www.pricescope.com/blog/natural-diamond-prices-september-2026</x:v>
      </x:c>
    </x:row>
    <x:row r="5620">
      <x:c r="A5620" t="n">
        <x:v>9</x:v>
      </x:c>
      <x:c r="B5620" t="str">
        <x:v>Heart</x:v>
      </x:c>
      <x:c r="C5620" t="str">
        <x:v>J</x:v>
      </x:c>
      <x:c r="D5620" t="str">
        <x:v>VVS1</x:v>
      </x:c>
      <x:c r="E5620" s="36" t="n">
        <x:v>314000</x:v>
      </x:c>
      <x:c r="F5620" s="36" t="n">
        <x:v>2956</x:v>
      </x:c>
      <x:c r="G5620" s="42" t="n">
        <x:v>0.6340626340626341</x:v>
      </x:c>
      <x:c r="H5620" s="36" t="n">
        <x:f>E5620*G5620</x:f>
        <x:v>199095.6670956671</x:v>
      </x:c>
      <x:c r="I5620" s="36" t="n">
        <x:f>IFERROR(H5620/A5620,0)</x:f>
        <x:v>22121.740788407456</x:v>
      </x:c>
      <x:c r="J5620" s="67" t="str">
        <x:v>Modeled from live base + Sep-2026 quality ratio</x:v>
      </x:c>
      <x:c r="K5620" s="67" t="str">
        <x:v>https://www.stonealgo.com/diamond-prices/</x:v>
      </x:c>
      <x:c r="L5620" s="67" t="str">
        <x:v>https://www.pricescope.com/blog/natural-diamond-prices-september-2026</x:v>
      </x:c>
    </x:row>
    <x:row r="5621">
      <x:c r="A5621" t="n">
        <x:v>9</x:v>
      </x:c>
      <x:c r="B5621" t="str">
        <x:v>Heart</x:v>
      </x:c>
      <x:c r="C5621" t="str">
        <x:v>J</x:v>
      </x:c>
      <x:c r="D5621" t="str">
        <x:v>VVS2</x:v>
      </x:c>
      <x:c r="E5621" s="36" t="n">
        <x:v>314000</x:v>
      </x:c>
      <x:c r="F5621" s="36" t="n">
        <x:v>2612</x:v>
      </x:c>
      <x:c r="G5621" s="42" t="n">
        <x:v>0.5602745602745602</x:v>
      </x:c>
      <x:c r="H5621" s="36" t="n">
        <x:f>E5621*G5621</x:f>
        <x:v>175926.21192621192</x:v>
      </x:c>
      <x:c r="I5621" s="36" t="n">
        <x:f>IFERROR(H5621/A5621,0)</x:f>
        <x:v>19547.356880690215</x:v>
      </x:c>
      <x:c r="J5621" s="67" t="str">
        <x:v>Modeled from live base + Sep-2026 quality ratio</x:v>
      </x:c>
      <x:c r="K5621" s="67" t="str">
        <x:v>https://www.stonealgo.com/diamond-prices/</x:v>
      </x:c>
      <x:c r="L5621" s="67" t="str">
        <x:v>https://www.pricescope.com/blog/natural-diamond-prices-september-2026</x:v>
      </x:c>
    </x:row>
    <x:row r="5622">
      <x:c r="A5622" t="n">
        <x:v>9</x:v>
      </x:c>
      <x:c r="B5622" t="str">
        <x:v>Heart</x:v>
      </x:c>
      <x:c r="C5622" t="str">
        <x:v>J</x:v>
      </x:c>
      <x:c r="D5622" t="str">
        <x:v>VS1</x:v>
      </x:c>
      <x:c r="E5622" s="36" t="n">
        <x:v>314000</x:v>
      </x:c>
      <x:c r="F5622" s="36" t="n">
        <x:v>3002</x:v>
      </x:c>
      <x:c r="G5622" s="42" t="n">
        <x:v>0.6439296439296439</x:v>
      </x:c>
      <x:c r="H5622" s="36" t="n">
        <x:f>E5622*G5622</x:f>
        <x:v>202193.9081939082</x:v>
      </x:c>
      <x:c r="I5622" s="36" t="n">
        <x:f>IFERROR(H5622/A5622,0)</x:f>
        <x:v>22465.98979932313</x:v>
      </x:c>
      <x:c r="J5622" s="67" t="str">
        <x:v>Modeled from live base + Sep-2026 quality ratio</x:v>
      </x:c>
      <x:c r="K5622" s="67" t="str">
        <x:v>https://www.stonealgo.com/diamond-prices/</x:v>
      </x:c>
      <x:c r="L5622" s="67" t="str">
        <x:v>https://www.pricescope.com/blog/natural-diamond-prices-september-2026</x:v>
      </x:c>
    </x:row>
    <x:row r="5623">
      <x:c r="A5623" t="n">
        <x:v>9</x:v>
      </x:c>
      <x:c r="B5623" t="str">
        <x:v>Heart</x:v>
      </x:c>
      <x:c r="C5623" t="str">
        <x:v>J</x:v>
      </x:c>
      <x:c r="D5623" t="str">
        <x:v>VS2</x:v>
      </x:c>
      <x:c r="E5623" s="36" t="n">
        <x:v>314000</x:v>
      </x:c>
      <x:c r="F5623" s="36" t="n">
        <x:v>2559</x:v>
      </x:c>
      <x:c r="G5623" s="42" t="n">
        <x:v>0.5489060489060489</x:v>
      </x:c>
      <x:c r="H5623" s="36" t="n">
        <x:f>E5623*G5623</x:f>
        <x:v>172356.49935649935</x:v>
      </x:c>
      <x:c r="I5623" s="36" t="n">
        <x:f>IFERROR(H5623/A5623,0)</x:f>
        <x:v>19150.72215072215</x:v>
      </x:c>
      <x:c r="J5623" s="67" t="str">
        <x:v>Modeled from live base + Sep-2026 quality ratio</x:v>
      </x:c>
      <x:c r="K5623" s="67" t="str">
        <x:v>https://www.stonealgo.com/diamond-prices/</x:v>
      </x:c>
      <x:c r="L5623" s="67" t="str">
        <x:v>https://www.pricescope.com/blog/natural-diamond-prices-september-2026</x:v>
      </x:c>
    </x:row>
    <x:row r="5624">
      <x:c r="A5624" t="n">
        <x:v>9</x:v>
      </x:c>
      <x:c r="B5624" t="str">
        <x:v>Heart</x:v>
      </x:c>
      <x:c r="C5624" t="str">
        <x:v>J</x:v>
      </x:c>
      <x:c r="D5624" t="str">
        <x:v>SI1</x:v>
      </x:c>
      <x:c r="E5624" s="36" t="n">
        <x:v>314000</x:v>
      </x:c>
      <x:c r="F5624" s="36" t="n">
        <x:v>2195</x:v>
      </x:c>
      <x:c r="G5624" s="42" t="n">
        <x:v>0.47082797082797084</x:v>
      </x:c>
      <x:c r="H5624" s="36" t="n">
        <x:f>E5624*G5624</x:f>
        <x:v>147839.98283998284</x:v>
      </x:c>
      <x:c r="I5624" s="36" t="n">
        <x:f>IFERROR(H5624/A5624,0)</x:f>
        <x:v>16426.664759998093</x:v>
      </x:c>
      <x:c r="J5624" s="67" t="str">
        <x:v>Modeled from live base + Sep-2026 quality ratio</x:v>
      </x:c>
      <x:c r="K5624" s="67" t="str">
        <x:v>https://www.stonealgo.com/diamond-prices/</x:v>
      </x:c>
      <x:c r="L5624" s="67" t="str">
        <x:v>https://www.pricescope.com/blog/natural-diamond-prices-september-2026</x:v>
      </x:c>
    </x:row>
    <x:row r="5625">
      <x:c r="A5625" t="n">
        <x:v>9</x:v>
      </x:c>
      <x:c r="B5625" t="str">
        <x:v>Heart</x:v>
      </x:c>
      <x:c r="C5625" t="str">
        <x:v>J</x:v>
      </x:c>
      <x:c r="D5625" t="str">
        <x:v>SI2</x:v>
      </x:c>
      <x:c r="E5625" s="36" t="n">
        <x:v>314000</x:v>
      </x:c>
      <x:c r="F5625" s="36" t="n">
        <x:v>2079</x:v>
      </x:c>
      <x:c r="G5625" s="42" t="n">
        <x:v>0.44594594594594594</x:v>
      </x:c>
      <x:c r="H5625" s="36" t="n">
        <x:f>E5625*G5625</x:f>
        <x:v>140027.027027027</x:v>
      </x:c>
      <x:c r="I5625" s="36" t="n">
        <x:f>IFERROR(H5625/A5625,0)</x:f>
        <x:v>15558.558558558558</x:v>
      </x:c>
      <x:c r="J5625" s="67" t="str">
        <x:v>Modeled from live base + Sep-2026 quality ratio</x:v>
      </x:c>
      <x:c r="K5625" s="67" t="str">
        <x:v>https://www.stonealgo.com/diamond-prices/</x:v>
      </x:c>
      <x:c r="L5625" s="67" t="str">
        <x:v>https://www.pricescope.com/blog/natural-diamond-prices-september-2026</x:v>
      </x:c>
    </x:row>
    <x:row r="5626">
      <x:c r="A5626" t="n">
        <x:v>9</x:v>
      </x:c>
      <x:c r="B5626" t="str">
        <x:v>Heart</x:v>
      </x:c>
      <x:c r="C5626" t="str">
        <x:v>K</x:v>
      </x:c>
      <x:c r="D5626" t="str">
        <x:v>FL</x:v>
      </x:c>
      <x:c r="E5626" s="36" t="n">
        <x:v>314000</x:v>
      </x:c>
      <x:c r="F5626" s="36" t="n">
        <x:v>2858</x:v>
      </x:c>
      <x:c r="G5626" s="42" t="n">
        <x:v>0.6130416130416131</x:v>
      </x:c>
      <x:c r="H5626" s="36" t="n">
        <x:f>E5626*G5626</x:f>
        <x:v>192495.0664950665</x:v>
      </x:c>
      <x:c r="I5626" s="36" t="n">
        <x:f>IFERROR(H5626/A5626,0)</x:f>
        <x:v>21388.340721674056</x:v>
      </x:c>
      <x:c r="J5626" s="67" t="str">
        <x:v>Modeled from live base + Sep-2026 quality ratio; K/FL quality cell modeled</x:v>
      </x:c>
      <x:c r="K5626" s="67" t="str">
        <x:v>https://www.stonealgo.com/diamond-prices/</x:v>
      </x:c>
      <x:c r="L5626" s="67" t="str">
        <x:v>https://www.pricescope.com/blog/natural-diamond-prices-september-2026</x:v>
      </x:c>
    </x:row>
    <x:row r="5627">
      <x:c r="A5627" t="n">
        <x:v>9</x:v>
      </x:c>
      <x:c r="B5627" t="str">
        <x:v>Heart</x:v>
      </x:c>
      <x:c r="C5627" t="str">
        <x:v>K</x:v>
      </x:c>
      <x:c r="D5627" t="str">
        <x:v>IF</x:v>
      </x:c>
      <x:c r="E5627" s="36" t="n">
        <x:v>314000</x:v>
      </x:c>
      <x:c r="F5627" s="36" t="n">
        <x:v>2743</x:v>
      </x:c>
      <x:c r="G5627" s="42" t="n">
        <x:v>0.5883740883740883</x:v>
      </x:c>
      <x:c r="H5627" s="36" t="n">
        <x:f>E5627*G5627</x:f>
        <x:v>184749.46374946373</x:v>
      </x:c>
      <x:c r="I5627" s="36" t="n">
        <x:f>IFERROR(H5627/A5627,0)</x:f>
        <x:v>20527.71819438486</x:v>
      </x:c>
      <x:c r="J5627" s="67" t="str">
        <x:v>Modeled from live base + Sep-2026 quality ratio</x:v>
      </x:c>
      <x:c r="K5627" s="67" t="str">
        <x:v>https://www.stonealgo.com/diamond-prices/</x:v>
      </x:c>
      <x:c r="L5627" s="67" t="str">
        <x:v>https://www.pricescope.com/blog/natural-diamond-prices-september-2026</x:v>
      </x:c>
    </x:row>
    <x:row r="5628">
      <x:c r="A5628" t="n">
        <x:v>9</x:v>
      </x:c>
      <x:c r="B5628" t="str">
        <x:v>Heart</x:v>
      </x:c>
      <x:c r="C5628" t="str">
        <x:v>K</x:v>
      </x:c>
      <x:c r="D5628" t="str">
        <x:v>VVS1</x:v>
      </x:c>
      <x:c r="E5628" s="36" t="n">
        <x:v>314000</x:v>
      </x:c>
      <x:c r="F5628" s="36" t="n">
        <x:v>2529</x:v>
      </x:c>
      <x:c r="G5628" s="42" t="n">
        <x:v>0.5424710424710425</x:v>
      </x:c>
      <x:c r="H5628" s="36" t="n">
        <x:f>E5628*G5628</x:f>
        <x:v>170335.90733590734</x:v>
      </x:c>
      <x:c r="I5628" s="36" t="n">
        <x:f>IFERROR(H5628/A5628,0)</x:f>
        <x:v>18926.211926211927</x:v>
      </x:c>
      <x:c r="J5628" s="67" t="str">
        <x:v>Modeled from live base + Sep-2026 quality ratio</x:v>
      </x:c>
      <x:c r="K5628" s="67" t="str">
        <x:v>https://www.stonealgo.com/diamond-prices/</x:v>
      </x:c>
      <x:c r="L5628" s="67" t="str">
        <x:v>https://www.pricescope.com/blog/natural-diamond-prices-september-2026</x:v>
      </x:c>
    </x:row>
    <x:row r="5629">
      <x:c r="A5629" t="n">
        <x:v>9</x:v>
      </x:c>
      <x:c r="B5629" t="str">
        <x:v>Heart</x:v>
      </x:c>
      <x:c r="C5629" t="str">
        <x:v>K</x:v>
      </x:c>
      <x:c r="D5629" t="str">
        <x:v>VVS2</x:v>
      </x:c>
      <x:c r="E5629" s="36" t="n">
        <x:v>314000</x:v>
      </x:c>
      <x:c r="F5629" s="36" t="n">
        <x:v>2374</x:v>
      </x:c>
      <x:c r="G5629" s="42" t="n">
        <x:v>0.5092235092235092</x:v>
      </x:c>
      <x:c r="H5629" s="36" t="n">
        <x:f>E5629*G5629</x:f>
        <x:v>159896.1818961819</x:v>
      </x:c>
      <x:c r="I5629" s="36" t="n">
        <x:f>IFERROR(H5629/A5629,0)</x:f>
        <x:v>17766.2424329091</x:v>
      </x:c>
      <x:c r="J5629" s="67" t="str">
        <x:v>Modeled from live base + Sep-2026 quality ratio</x:v>
      </x:c>
      <x:c r="K5629" s="67" t="str">
        <x:v>https://www.stonealgo.com/diamond-prices/</x:v>
      </x:c>
      <x:c r="L5629" s="67" t="str">
        <x:v>https://www.pricescope.com/blog/natural-diamond-prices-september-2026</x:v>
      </x:c>
    </x:row>
    <x:row r="5630">
      <x:c r="A5630" t="n">
        <x:v>9</x:v>
      </x:c>
      <x:c r="B5630" t="str">
        <x:v>Heart</x:v>
      </x:c>
      <x:c r="C5630" t="str">
        <x:v>K</x:v>
      </x:c>
      <x:c r="D5630" t="str">
        <x:v>VS1</x:v>
      </x:c>
      <x:c r="E5630" s="36" t="n">
        <x:v>314000</x:v>
      </x:c>
      <x:c r="F5630" s="36" t="n">
        <x:v>2223</x:v>
      </x:c>
      <x:c r="G5630" s="42" t="n">
        <x:v>0.4768339768339768</x:v>
      </x:c>
      <x:c r="H5630" s="36" t="n">
        <x:f>E5630*G5630</x:f>
        <x:v>149725.86872586873</x:v>
      </x:c>
      <x:c r="I5630" s="36" t="n">
        <x:f>IFERROR(H5630/A5630,0)</x:f>
        <x:v>16636.207636207637</x:v>
      </x:c>
      <x:c r="J5630" s="67" t="str">
        <x:v>Modeled from live base + Sep-2026 quality ratio</x:v>
      </x:c>
      <x:c r="K5630" s="67" t="str">
        <x:v>https://www.stonealgo.com/diamond-prices/</x:v>
      </x:c>
      <x:c r="L5630" s="67" t="str">
        <x:v>https://www.pricescope.com/blog/natural-diamond-prices-september-2026</x:v>
      </x:c>
    </x:row>
    <x:row r="5631">
      <x:c r="A5631" t="n">
        <x:v>9</x:v>
      </x:c>
      <x:c r="B5631" t="str">
        <x:v>Heart</x:v>
      </x:c>
      <x:c r="C5631" t="str">
        <x:v>K</x:v>
      </x:c>
      <x:c r="D5631" t="str">
        <x:v>VS2</x:v>
      </x:c>
      <x:c r="E5631" s="36" t="n">
        <x:v>314000</x:v>
      </x:c>
      <x:c r="F5631" s="36" t="n">
        <x:v>2098</x:v>
      </x:c>
      <x:c r="G5631" s="42" t="n">
        <x:v>0.45002145002145</x:v>
      </x:c>
      <x:c r="H5631" s="36" t="n">
        <x:f>E5631*G5631</x:f>
        <x:v>141306.7353067353</x:v>
      </x:c>
      <x:c r="I5631" s="36" t="n">
        <x:f>IFERROR(H5631/A5631,0)</x:f>
        <x:v>15700.748367415033</x:v>
      </x:c>
      <x:c r="J5631" s="67" t="str">
        <x:v>Modeled from live base + Sep-2026 quality ratio</x:v>
      </x:c>
      <x:c r="K5631" s="67" t="str">
        <x:v>https://www.stonealgo.com/diamond-prices/</x:v>
      </x:c>
      <x:c r="L5631" s="67" t="str">
        <x:v>https://www.pricescope.com/blog/natural-diamond-prices-september-2026</x:v>
      </x:c>
    </x:row>
    <x:row r="5632">
      <x:c r="A5632" t="n">
        <x:v>9</x:v>
      </x:c>
      <x:c r="B5632" t="str">
        <x:v>Heart</x:v>
      </x:c>
      <x:c r="C5632" t="str">
        <x:v>K</x:v>
      </x:c>
      <x:c r="D5632" t="str">
        <x:v>SI1</x:v>
      </x:c>
      <x:c r="E5632" s="36" t="n">
        <x:v>314000</x:v>
      </x:c>
      <x:c r="F5632" s="36" t="n">
        <x:v>1922</x:v>
      </x:c>
      <x:c r="G5632" s="42" t="n">
        <x:v>0.41226941226941227</x:v>
      </x:c>
      <x:c r="H5632" s="36" t="n">
        <x:f>E5632*G5632</x:f>
        <x:v>129452.59545259546</x:v>
      </x:c>
      <x:c r="I5632" s="36" t="n">
        <x:f>IFERROR(H5632/A5632,0)</x:f>
        <x:v>14383.621716955051</x:v>
      </x:c>
      <x:c r="J5632" s="67" t="str">
        <x:v>Modeled from live base + Sep-2026 quality ratio</x:v>
      </x:c>
      <x:c r="K5632" s="67" t="str">
        <x:v>https://www.stonealgo.com/diamond-prices/</x:v>
      </x:c>
      <x:c r="L5632" s="67" t="str">
        <x:v>https://www.pricescope.com/blog/natural-diamond-prices-september-2026</x:v>
      </x:c>
    </x:row>
    <x:row r="5633">
      <x:c r="A5633" t="n">
        <x:v>9</x:v>
      </x:c>
      <x:c r="B5633" t="str">
        <x:v>Heart</x:v>
      </x:c>
      <x:c r="C5633" t="str">
        <x:v>K</x:v>
      </x:c>
      <x:c r="D5633" t="str">
        <x:v>SI2</x:v>
      </x:c>
      <x:c r="E5633" s="36" t="n">
        <x:v>314000</x:v>
      </x:c>
      <x:c r="F5633" s="36" t="n">
        <x:v>1764</x:v>
      </x:c>
      <x:c r="G5633" s="42" t="n">
        <x:v>0.3783783783783784</x:v>
      </x:c>
      <x:c r="H5633" s="36" t="n">
        <x:f>E5633*G5633</x:f>
        <x:v>118810.81081081081</x:v>
      </x:c>
      <x:c r="I5633" s="36" t="n">
        <x:f>IFERROR(H5633/A5633,0)</x:f>
        <x:v>13201.201201201202</x:v>
      </x:c>
      <x:c r="J5633" s="67" t="str">
        <x:v>Modeled from live base + Sep-2026 quality ratio</x:v>
      </x:c>
      <x:c r="K5633" s="67" t="str">
        <x:v>https://www.stonealgo.com/diamond-prices/</x:v>
      </x:c>
      <x:c r="L5633" s="67" t="str">
        <x:v>https://www.pricescope.com/blog/natural-diamond-prices-september-2026</x:v>
      </x:c>
    </x:row>
    <x:row r="5634">
      <x:c r="A5634" t="n">
        <x:v>9</x:v>
      </x:c>
      <x:c r="B5634" t="str">
        <x:v>Marquise</x:v>
      </x:c>
      <x:c r="C5634" t="str">
        <x:v>D</x:v>
      </x:c>
      <x:c r="D5634" t="str">
        <x:v>FL</x:v>
      </x:c>
      <x:c r="E5634" s="36" t="n">
        <x:v>363000</x:v>
      </x:c>
      <x:c r="F5634" s="36" t="n">
        <x:v>12665</x:v>
      </x:c>
      <x:c r="G5634" s="42" t="n">
        <x:v>2.7166452166452166</x:v>
      </x:c>
      <x:c r="H5634" s="36" t="n">
        <x:f>E5634*G5634</x:f>
        <x:v>986142.2136422136</x:v>
      </x:c>
      <x:c r="I5634" s="36" t="n">
        <x:f>IFERROR(H5634/A5634,0)</x:f>
        <x:v>109571.35707135707</x:v>
      </x:c>
      <x:c r="J5634" s="67" t="str">
        <x:v>Modeled from live base + Sep-2026 quality ratio</x:v>
      </x:c>
      <x:c r="K5634" s="67" t="str">
        <x:v>https://www.stonealgo.com/diamond-prices/</x:v>
      </x:c>
      <x:c r="L5634" s="67" t="str">
        <x:v>https://www.pricescope.com/blog/natural-diamond-prices-september-2026</x:v>
      </x:c>
    </x:row>
    <x:row r="5635">
      <x:c r="A5635" t="n">
        <x:v>9</x:v>
      </x:c>
      <x:c r="B5635" t="str">
        <x:v>Marquise</x:v>
      </x:c>
      <x:c r="C5635" t="str">
        <x:v>D</x:v>
      </x:c>
      <x:c r="D5635" t="str">
        <x:v>IF</x:v>
      </x:c>
      <x:c r="E5635" s="36" t="n">
        <x:v>363000</x:v>
      </x:c>
      <x:c r="F5635" s="36" t="n">
        <x:v>13240</x:v>
      </x:c>
      <x:c r="G5635" s="42" t="n">
        <x:v>2.83998283998284</x:v>
      </x:c>
      <x:c r="H5635" s="36" t="n">
        <x:f>E5635*G5635</x:f>
        <x:v>1030913.770913771</x:v>
      </x:c>
      <x:c r="I5635" s="36" t="n">
        <x:f>IFERROR(H5635/A5635,0)</x:f>
        <x:v>114545.97454597456</x:v>
      </x:c>
      <x:c r="J5635" s="67" t="str">
        <x:v>Modeled from live base + Sep-2026 quality ratio</x:v>
      </x:c>
      <x:c r="K5635" s="67" t="str">
        <x:v>https://www.stonealgo.com/diamond-prices/</x:v>
      </x:c>
      <x:c r="L5635" s="67" t="str">
        <x:v>https://www.pricescope.com/blog/natural-diamond-prices-september-2026</x:v>
      </x:c>
    </x:row>
    <x:row r="5636">
      <x:c r="A5636" t="n">
        <x:v>9</x:v>
      </x:c>
      <x:c r="B5636" t="str">
        <x:v>Marquise</x:v>
      </x:c>
      <x:c r="C5636" t="str">
        <x:v>D</x:v>
      </x:c>
      <x:c r="D5636" t="str">
        <x:v>VVS1</x:v>
      </x:c>
      <x:c r="E5636" s="36" t="n">
        <x:v>363000</x:v>
      </x:c>
      <x:c r="F5636" s="36" t="n">
        <x:v>9555</x:v>
      </x:c>
      <x:c r="G5636" s="42" t="n">
        <x:v>2.0495495495495497</x:v>
      </x:c>
      <x:c r="H5636" s="36" t="n">
        <x:f>E5636*G5636</x:f>
        <x:v>743986.4864864865</x:v>
      </x:c>
      <x:c r="I5636" s="36" t="n">
        <x:f>IFERROR(H5636/A5636,0)</x:f>
        <x:v>82665.16516516516</x:v>
      </x:c>
      <x:c r="J5636" s="67" t="str">
        <x:v>Modeled from live base + Sep-2026 quality ratio</x:v>
      </x:c>
      <x:c r="K5636" s="67" t="str">
        <x:v>https://www.stonealgo.com/diamond-prices/</x:v>
      </x:c>
      <x:c r="L5636" s="67" t="str">
        <x:v>https://www.pricescope.com/blog/natural-diamond-prices-september-2026</x:v>
      </x:c>
    </x:row>
    <x:row r="5637">
      <x:c r="A5637" t="n">
        <x:v>9</x:v>
      </x:c>
      <x:c r="B5637" t="str">
        <x:v>Marquise</x:v>
      </x:c>
      <x:c r="C5637" t="str">
        <x:v>D</x:v>
      </x:c>
      <x:c r="D5637" t="str">
        <x:v>VVS2</x:v>
      </x:c>
      <x:c r="E5637" s="36" t="n">
        <x:v>363000</x:v>
      </x:c>
      <x:c r="F5637" s="36" t="n">
        <x:v>6660</x:v>
      </x:c>
      <x:c r="G5637" s="42" t="n">
        <x:v>1.4285714285714286</x:v>
      </x:c>
      <x:c r="H5637" s="36" t="n">
        <x:f>E5637*G5637</x:f>
        <x:v>518571.4285714286</x:v>
      </x:c>
      <x:c r="I5637" s="36" t="n">
        <x:f>IFERROR(H5637/A5637,0)</x:f>
        <x:v>57619.04761904762</x:v>
      </x:c>
      <x:c r="J5637" s="67" t="str">
        <x:v>Modeled from live base + Sep-2026 quality ratio</x:v>
      </x:c>
      <x:c r="K5637" s="67" t="str">
        <x:v>https://www.stonealgo.com/diamond-prices/</x:v>
      </x:c>
      <x:c r="L5637" s="67" t="str">
        <x:v>https://www.pricescope.com/blog/natural-diamond-prices-september-2026</x:v>
      </x:c>
    </x:row>
    <x:row r="5638">
      <x:c r="A5638" t="n">
        <x:v>9</x:v>
      </x:c>
      <x:c r="B5638" t="str">
        <x:v>Marquise</x:v>
      </x:c>
      <x:c r="C5638" t="str">
        <x:v>D</x:v>
      </x:c>
      <x:c r="D5638" t="str">
        <x:v>VS1</x:v>
      </x:c>
      <x:c r="E5638" s="36" t="n">
        <x:v>363000</x:v>
      </x:c>
      <x:c r="F5638" s="36" t="n">
        <x:v>6247</x:v>
      </x:c>
      <x:c r="G5638" s="42" t="n">
        <x:v>1.33998283998284</x:v>
      </x:c>
      <x:c r="H5638" s="36" t="n">
        <x:f>E5638*G5638</x:f>
        <x:v>486413.7709137709</x:v>
      </x:c>
      <x:c r="I5638" s="36" t="n">
        <x:f>IFERROR(H5638/A5638,0)</x:f>
        <x:v>54045.974545974546</x:v>
      </x:c>
      <x:c r="J5638" s="67" t="str">
        <x:v>Modeled from live base + Sep-2026 quality ratio</x:v>
      </x:c>
      <x:c r="K5638" s="67" t="str">
        <x:v>https://www.stonealgo.com/diamond-prices/</x:v>
      </x:c>
      <x:c r="L5638" s="67" t="str">
        <x:v>https://www.pricescope.com/blog/natural-diamond-prices-september-2026</x:v>
      </x:c>
    </x:row>
    <x:row r="5639">
      <x:c r="A5639" t="n">
        <x:v>9</x:v>
      </x:c>
      <x:c r="B5639" t="str">
        <x:v>Marquise</x:v>
      </x:c>
      <x:c r="C5639" t="str">
        <x:v>D</x:v>
      </x:c>
      <x:c r="D5639" t="str">
        <x:v>VS2</x:v>
      </x:c>
      <x:c r="E5639" s="36" t="n">
        <x:v>363000</x:v>
      </x:c>
      <x:c r="F5639" s="36" t="n">
        <x:v>5841</x:v>
      </x:c>
      <x:c r="G5639" s="42" t="n">
        <x:v>1.252895752895753</x:v>
      </x:c>
      <x:c r="H5639" s="36" t="n">
        <x:f>E5639*G5639</x:f>
        <x:v>454801.15830115834</x:v>
      </x:c>
      <x:c r="I5639" s="36" t="n">
        <x:f>IFERROR(H5639/A5639,0)</x:f>
        <x:v>50533.46203346204</x:v>
      </x:c>
      <x:c r="J5639" s="67" t="str">
        <x:v>Modeled from live base + Sep-2026 quality ratio</x:v>
      </x:c>
      <x:c r="K5639" s="67" t="str">
        <x:v>https://www.stonealgo.com/diamond-prices/</x:v>
      </x:c>
      <x:c r="L5639" s="67" t="str">
        <x:v>https://www.pricescope.com/blog/natural-diamond-prices-september-2026</x:v>
      </x:c>
    </x:row>
    <x:row r="5640">
      <x:c r="A5640" t="n">
        <x:v>9</x:v>
      </x:c>
      <x:c r="B5640" t="str">
        <x:v>Marquise</x:v>
      </x:c>
      <x:c r="C5640" t="str">
        <x:v>D</x:v>
      </x:c>
      <x:c r="D5640" t="str">
        <x:v>SI1</x:v>
      </x:c>
      <x:c r="E5640" s="36" t="n">
        <x:v>363000</x:v>
      </x:c>
      <x:c r="F5640" s="36" t="n">
        <x:v>3762</x:v>
      </x:c>
      <x:c r="G5640" s="42" t="n">
        <x:v>0.806949806949807</x:v>
      </x:c>
      <x:c r="H5640" s="36" t="n">
        <x:f>E5640*G5640</x:f>
        <x:v>292922.77992277994</x:v>
      </x:c>
      <x:c r="I5640" s="36" t="n">
        <x:f>IFERROR(H5640/A5640,0)</x:f>
        <x:v>32546.975546975547</x:v>
      </x:c>
      <x:c r="J5640" s="67" t="str">
        <x:v>Modeled from live base + Sep-2026 quality ratio</x:v>
      </x:c>
      <x:c r="K5640" s="67" t="str">
        <x:v>https://www.stonealgo.com/diamond-prices/</x:v>
      </x:c>
      <x:c r="L5640" s="67" t="str">
        <x:v>https://www.pricescope.com/blog/natural-diamond-prices-september-2026</x:v>
      </x:c>
    </x:row>
    <x:row r="5641">
      <x:c r="A5641" t="n">
        <x:v>9</x:v>
      </x:c>
      <x:c r="B5641" t="str">
        <x:v>Marquise</x:v>
      </x:c>
      <x:c r="C5641" t="str">
        <x:v>D</x:v>
      </x:c>
      <x:c r="D5641" t="str">
        <x:v>SI2</x:v>
      </x:c>
      <x:c r="E5641" s="36" t="n">
        <x:v>363000</x:v>
      </x:c>
      <x:c r="F5641" s="36" t="n">
        <x:v>3026</x:v>
      </x:c>
      <x:c r="G5641" s="42" t="n">
        <x:v>0.6490776490776491</x:v>
      </x:c>
      <x:c r="H5641" s="36" t="n">
        <x:f>E5641*G5641</x:f>
        <x:v>235615.18661518663</x:v>
      </x:c>
      <x:c r="I5641" s="36" t="n">
        <x:f>IFERROR(H5641/A5641,0)</x:f>
        <x:v>26179.46517946518</x:v>
      </x:c>
      <x:c r="J5641" s="67" t="str">
        <x:v>Modeled from live base + Sep-2026 quality ratio</x:v>
      </x:c>
      <x:c r="K5641" s="67" t="str">
        <x:v>https://www.stonealgo.com/diamond-prices/</x:v>
      </x:c>
      <x:c r="L5641" s="67" t="str">
        <x:v>https://www.pricescope.com/blog/natural-diamond-prices-september-2026</x:v>
      </x:c>
    </x:row>
    <x:row r="5642">
      <x:c r="A5642" t="n">
        <x:v>9</x:v>
      </x:c>
      <x:c r="B5642" t="str">
        <x:v>Marquise</x:v>
      </x:c>
      <x:c r="C5642" t="str">
        <x:v>E</x:v>
      </x:c>
      <x:c r="D5642" t="str">
        <x:v>FL</x:v>
      </x:c>
      <x:c r="E5642" s="36" t="n">
        <x:v>363000</x:v>
      </x:c>
      <x:c r="F5642" s="36" t="n">
        <x:v>10072</x:v>
      </x:c>
      <x:c r="G5642" s="42" t="n">
        <x:v>2.1604461604461602</x:v>
      </x:c>
      <x:c r="H5642" s="36" t="n">
        <x:f>E5642*G5642</x:f>
        <x:v>784241.9562419562</x:v>
      </x:c>
      <x:c r="I5642" s="36" t="n">
        <x:f>IFERROR(H5642/A5642,0)</x:f>
        <x:v>87137.99513799514</x:v>
      </x:c>
      <x:c r="J5642" s="67" t="str">
        <x:v>Modeled from live base + Sep-2026 quality ratio</x:v>
      </x:c>
      <x:c r="K5642" s="67" t="str">
        <x:v>https://www.stonealgo.com/diamond-prices/</x:v>
      </x:c>
      <x:c r="L5642" s="67" t="str">
        <x:v>https://www.pricescope.com/blog/natural-diamond-prices-september-2026</x:v>
      </x:c>
    </x:row>
    <x:row r="5643">
      <x:c r="A5643" t="n">
        <x:v>9</x:v>
      </x:c>
      <x:c r="B5643" t="str">
        <x:v>Marquise</x:v>
      </x:c>
      <x:c r="C5643" t="str">
        <x:v>E</x:v>
      </x:c>
      <x:c r="D5643" t="str">
        <x:v>IF</x:v>
      </x:c>
      <x:c r="E5643" s="36" t="n">
        <x:v>363000</x:v>
      </x:c>
      <x:c r="F5643" s="36" t="n">
        <x:v>8672</x:v>
      </x:c>
      <x:c r="G5643" s="42" t="n">
        <x:v>1.8601458601458603</x:v>
      </x:c>
      <x:c r="H5643" s="36" t="n">
        <x:f>E5643*G5643</x:f>
        <x:v>675232.9472329472</x:v>
      </x:c>
      <x:c r="I5643" s="36" t="n">
        <x:f>IFERROR(H5643/A5643,0)</x:f>
        <x:v>75025.88302588303</x:v>
      </x:c>
      <x:c r="J5643" s="67" t="str">
        <x:v>Modeled from live base + Sep-2026 quality ratio</x:v>
      </x:c>
      <x:c r="K5643" s="67" t="str">
        <x:v>https://www.stonealgo.com/diamond-prices/</x:v>
      </x:c>
      <x:c r="L5643" s="67" t="str">
        <x:v>https://www.pricescope.com/blog/natural-diamond-prices-september-2026</x:v>
      </x:c>
    </x:row>
    <x:row r="5644">
      <x:c r="A5644" t="n">
        <x:v>9</x:v>
      </x:c>
      <x:c r="B5644" t="str">
        <x:v>Marquise</x:v>
      </x:c>
      <x:c r="C5644" t="str">
        <x:v>E</x:v>
      </x:c>
      <x:c r="D5644" t="str">
        <x:v>VVS1</x:v>
      </x:c>
      <x:c r="E5644" s="36" t="n">
        <x:v>363000</x:v>
      </x:c>
      <x:c r="F5644" s="36" t="n">
        <x:v>7842</x:v>
      </x:c>
      <x:c r="G5644" s="42" t="n">
        <x:v>1.6821106821106822</x:v>
      </x:c>
      <x:c r="H5644" s="36" t="n">
        <x:f>E5644*G5644</x:f>
        <x:v>610606.1776061776</x:v>
      </x:c>
      <x:c r="I5644" s="36" t="n">
        <x:f>IFERROR(H5644/A5644,0)</x:f>
        <x:v>67845.13084513084</x:v>
      </x:c>
      <x:c r="J5644" s="67" t="str">
        <x:v>Modeled from live base + Sep-2026 quality ratio</x:v>
      </x:c>
      <x:c r="K5644" s="67" t="str">
        <x:v>https://www.stonealgo.com/diamond-prices/</x:v>
      </x:c>
      <x:c r="L5644" s="67" t="str">
        <x:v>https://www.pricescope.com/blog/natural-diamond-prices-september-2026</x:v>
      </x:c>
    </x:row>
    <x:row r="5645">
      <x:c r="A5645" t="n">
        <x:v>9</x:v>
      </x:c>
      <x:c r="B5645" t="str">
        <x:v>Marquise</x:v>
      </x:c>
      <x:c r="C5645" t="str">
        <x:v>E</x:v>
      </x:c>
      <x:c r="D5645" t="str">
        <x:v>VVS2</x:v>
      </x:c>
      <x:c r="E5645" s="36" t="n">
        <x:v>363000</x:v>
      </x:c>
      <x:c r="F5645" s="36" t="n">
        <x:v>6880</x:v>
      </x:c>
      <x:c r="G5645" s="42" t="n">
        <x:v>1.4757614757614759</x:v>
      </x:c>
      <x:c r="H5645" s="36" t="n">
        <x:f>E5645*G5645</x:f>
        <x:v>535701.4157014157</x:v>
      </x:c>
      <x:c r="I5645" s="36" t="n">
        <x:f>IFERROR(H5645/A5645,0)</x:f>
        <x:v>59522.379522379524</x:v>
      </x:c>
      <x:c r="J5645" s="67" t="str">
        <x:v>Modeled from live base + Sep-2026 quality ratio</x:v>
      </x:c>
      <x:c r="K5645" s="67" t="str">
        <x:v>https://www.stonealgo.com/diamond-prices/</x:v>
      </x:c>
      <x:c r="L5645" s="67" t="str">
        <x:v>https://www.pricescope.com/blog/natural-diamond-prices-september-2026</x:v>
      </x:c>
    </x:row>
    <x:row r="5646">
      <x:c r="A5646" t="n">
        <x:v>9</x:v>
      </x:c>
      <x:c r="B5646" t="str">
        <x:v>Marquise</x:v>
      </x:c>
      <x:c r="C5646" t="str">
        <x:v>E</x:v>
      </x:c>
      <x:c r="D5646" t="str">
        <x:v>VS1</x:v>
      </x:c>
      <x:c r="E5646" s="36" t="n">
        <x:v>363000</x:v>
      </x:c>
      <x:c r="F5646" s="36" t="n">
        <x:v>6307</x:v>
      </x:c>
      <x:c r="G5646" s="42" t="n">
        <x:v>1.352852852852853</x:v>
      </x:c>
      <x:c r="H5646" s="36" t="n">
        <x:f>E5646*G5646</x:f>
        <x:v>491085.5855855856</x:v>
      </x:c>
      <x:c r="I5646" s="36" t="n">
        <x:f>IFERROR(H5646/A5646,0)</x:f>
        <x:v>54565.06506506507</x:v>
      </x:c>
      <x:c r="J5646" s="67" t="str">
        <x:v>Modeled from live base + Sep-2026 quality ratio</x:v>
      </x:c>
      <x:c r="K5646" s="67" t="str">
        <x:v>https://www.stonealgo.com/diamond-prices/</x:v>
      </x:c>
      <x:c r="L5646" s="67" t="str">
        <x:v>https://www.pricescope.com/blog/natural-diamond-prices-september-2026</x:v>
      </x:c>
    </x:row>
    <x:row r="5647">
      <x:c r="A5647" t="n">
        <x:v>9</x:v>
      </x:c>
      <x:c r="B5647" t="str">
        <x:v>Marquise</x:v>
      </x:c>
      <x:c r="C5647" t="str">
        <x:v>E</x:v>
      </x:c>
      <x:c r="D5647" t="str">
        <x:v>VS2</x:v>
      </x:c>
      <x:c r="E5647" s="36" t="n">
        <x:v>363000</x:v>
      </x:c>
      <x:c r="F5647" s="36" t="n">
        <x:v>5249</x:v>
      </x:c>
      <x:c r="G5647" s="42" t="n">
        <x:v>1.125911625911626</x:v>
      </x:c>
      <x:c r="H5647" s="36" t="n">
        <x:f>E5647*G5647</x:f>
        <x:v>408705.92020592024</x:v>
      </x:c>
      <x:c r="I5647" s="36" t="n">
        <x:f>IFERROR(H5647/A5647,0)</x:f>
        <x:v>45411.768911768915</x:v>
      </x:c>
      <x:c r="J5647" s="67" t="str">
        <x:v>Modeled from live base + Sep-2026 quality ratio</x:v>
      </x:c>
      <x:c r="K5647" s="67" t="str">
        <x:v>https://www.stonealgo.com/diamond-prices/</x:v>
      </x:c>
      <x:c r="L5647" s="67" t="str">
        <x:v>https://www.pricescope.com/blog/natural-diamond-prices-september-2026</x:v>
      </x:c>
    </x:row>
    <x:row r="5648">
      <x:c r="A5648" t="n">
        <x:v>9</x:v>
      </x:c>
      <x:c r="B5648" t="str">
        <x:v>Marquise</x:v>
      </x:c>
      <x:c r="C5648" t="str">
        <x:v>E</x:v>
      </x:c>
      <x:c r="D5648" t="str">
        <x:v>SI1</x:v>
      </x:c>
      <x:c r="E5648" s="36" t="n">
        <x:v>363000</x:v>
      </x:c>
      <x:c r="F5648" s="36" t="n">
        <x:v>3551</x:v>
      </x:c>
      <x:c r="G5648" s="42" t="n">
        <x:v>0.7616902616902617</x:v>
      </x:c>
      <x:c r="H5648" s="36" t="n">
        <x:f>E5648*G5648</x:f>
        <x:v>276493.56499356497</x:v>
      </x:c>
      <x:c r="I5648" s="36" t="n">
        <x:f>IFERROR(H5648/A5648,0)</x:f>
        <x:v>30721.507221507218</x:v>
      </x:c>
      <x:c r="J5648" s="67" t="str">
        <x:v>Modeled from live base + Sep-2026 quality ratio</x:v>
      </x:c>
      <x:c r="K5648" s="67" t="str">
        <x:v>https://www.stonealgo.com/diamond-prices/</x:v>
      </x:c>
      <x:c r="L5648" s="67" t="str">
        <x:v>https://www.pricescope.com/blog/natural-diamond-prices-september-2026</x:v>
      </x:c>
    </x:row>
    <x:row r="5649">
      <x:c r="A5649" t="n">
        <x:v>9</x:v>
      </x:c>
      <x:c r="B5649" t="str">
        <x:v>Marquise</x:v>
      </x:c>
      <x:c r="C5649" t="str">
        <x:v>E</x:v>
      </x:c>
      <x:c r="D5649" t="str">
        <x:v>SI2</x:v>
      </x:c>
      <x:c r="E5649" s="36" t="n">
        <x:v>363000</x:v>
      </x:c>
      <x:c r="F5649" s="36" t="n">
        <x:v>2993</x:v>
      </x:c>
      <x:c r="G5649" s="42" t="n">
        <x:v>0.641999141999142</x:v>
      </x:c>
      <x:c r="H5649" s="36" t="n">
        <x:f>E5649*G5649</x:f>
        <x:v>233045.68854568855</x:v>
      </x:c>
      <x:c r="I5649" s="36" t="n">
        <x:f>IFERROR(H5649/A5649,0)</x:f>
        <x:v>25893.965393965394</x:v>
      </x:c>
      <x:c r="J5649" s="67" t="str">
        <x:v>Modeled from live base + Sep-2026 quality ratio</x:v>
      </x:c>
      <x:c r="K5649" s="67" t="str">
        <x:v>https://www.stonealgo.com/diamond-prices/</x:v>
      </x:c>
      <x:c r="L5649" s="67" t="str">
        <x:v>https://www.pricescope.com/blog/natural-diamond-prices-september-2026</x:v>
      </x:c>
    </x:row>
    <x:row r="5650">
      <x:c r="A5650" t="n">
        <x:v>9</x:v>
      </x:c>
      <x:c r="B5650" t="str">
        <x:v>Marquise</x:v>
      </x:c>
      <x:c r="C5650" t="str">
        <x:v>F</x:v>
      </x:c>
      <x:c r="D5650" t="str">
        <x:v>FL</x:v>
      </x:c>
      <x:c r="E5650" s="36" t="n">
        <x:v>363000</x:v>
      </x:c>
      <x:c r="F5650" s="36" t="n">
        <x:v>6830</x:v>
      </x:c>
      <x:c r="G5650" s="42" t="n">
        <x:v>1.4650364650364651</x:v>
      </x:c>
      <x:c r="H5650" s="36" t="n">
        <x:f>E5650*G5650</x:f>
        <x:v>531808.2368082368</x:v>
      </x:c>
      <x:c r="I5650" s="36" t="n">
        <x:f>IFERROR(H5650/A5650,0)</x:f>
        <x:v>59089.80408980409</x:v>
      </x:c>
      <x:c r="J5650" s="67" t="str">
        <x:v>Modeled from live base + Sep-2026 quality ratio</x:v>
      </x:c>
      <x:c r="K5650" s="67" t="str">
        <x:v>https://www.stonealgo.com/diamond-prices/</x:v>
      </x:c>
      <x:c r="L5650" s="67" t="str">
        <x:v>https://www.pricescope.com/blog/natural-diamond-prices-september-2026</x:v>
      </x:c>
    </x:row>
    <x:row r="5651">
      <x:c r="A5651" t="n">
        <x:v>9</x:v>
      </x:c>
      <x:c r="B5651" t="str">
        <x:v>Marquise</x:v>
      </x:c>
      <x:c r="C5651" t="str">
        <x:v>F</x:v>
      </x:c>
      <x:c r="D5651" t="str">
        <x:v>IF</x:v>
      </x:c>
      <x:c r="E5651" s="36" t="n">
        <x:v>363000</x:v>
      </x:c>
      <x:c r="F5651" s="36" t="n">
        <x:v>7302</x:v>
      </x:c>
      <x:c r="G5651" s="42" t="n">
        <x:v>1.5662805662805663</x:v>
      </x:c>
      <x:c r="H5651" s="36" t="n">
        <x:f>E5651*G5651</x:f>
        <x:v>568559.8455598456</x:v>
      </x:c>
      <x:c r="I5651" s="36" t="n">
        <x:f>IFERROR(H5651/A5651,0)</x:f>
        <x:v>63173.316173316176</x:v>
      </x:c>
      <x:c r="J5651" s="67" t="str">
        <x:v>Modeled from live base + Sep-2026 quality ratio</x:v>
      </x:c>
      <x:c r="K5651" s="67" t="str">
        <x:v>https://www.stonealgo.com/diamond-prices/</x:v>
      </x:c>
      <x:c r="L5651" s="67" t="str">
        <x:v>https://www.pricescope.com/blog/natural-diamond-prices-september-2026</x:v>
      </x:c>
    </x:row>
    <x:row r="5652">
      <x:c r="A5652" t="n">
        <x:v>9</x:v>
      </x:c>
      <x:c r="B5652" t="str">
        <x:v>Marquise</x:v>
      </x:c>
      <x:c r="C5652" t="str">
        <x:v>F</x:v>
      </x:c>
      <x:c r="D5652" t="str">
        <x:v>VVS1</x:v>
      </x:c>
      <x:c r="E5652" s="36" t="n">
        <x:v>363000</x:v>
      </x:c>
      <x:c r="F5652" s="36" t="n">
        <x:v>7542</x:v>
      </x:c>
      <x:c r="G5652" s="42" t="n">
        <x:v>1.6177606177606179</x:v>
      </x:c>
      <x:c r="H5652" s="36" t="n">
        <x:f>E5652*G5652</x:f>
        <x:v>587247.1042471043</x:v>
      </x:c>
      <x:c r="I5652" s="36" t="n">
        <x:f>IFERROR(H5652/A5652,0)</x:f>
        <x:v>65249.678249678254</x:v>
      </x:c>
      <x:c r="J5652" s="67" t="str">
        <x:v>Modeled from live base + Sep-2026 quality ratio</x:v>
      </x:c>
      <x:c r="K5652" s="67" t="str">
        <x:v>https://www.stonealgo.com/diamond-prices/</x:v>
      </x:c>
      <x:c r="L5652" s="67" t="str">
        <x:v>https://www.pricescope.com/blog/natural-diamond-prices-september-2026</x:v>
      </x:c>
    </x:row>
    <x:row r="5653">
      <x:c r="A5653" t="n">
        <x:v>9</x:v>
      </x:c>
      <x:c r="B5653" t="str">
        <x:v>Marquise</x:v>
      </x:c>
      <x:c r="C5653" t="str">
        <x:v>F</x:v>
      </x:c>
      <x:c r="D5653" t="str">
        <x:v>VVS2</x:v>
      </x:c>
      <x:c r="E5653" s="36" t="n">
        <x:v>363000</x:v>
      </x:c>
      <x:c r="F5653" s="36" t="n">
        <x:v>6352</x:v>
      </x:c>
      <x:c r="G5653" s="42" t="n">
        <x:v>1.3625053625053625</x:v>
      </x:c>
      <x:c r="H5653" s="36" t="n">
        <x:f>E5653*G5653</x:f>
        <x:v>494589.44658944657</x:v>
      </x:c>
      <x:c r="I5653" s="36" t="n">
        <x:f>IFERROR(H5653/A5653,0)</x:f>
        <x:v>54954.38295438295</x:v>
      </x:c>
      <x:c r="J5653" s="67" t="str">
        <x:v>Modeled from live base + Sep-2026 quality ratio</x:v>
      </x:c>
      <x:c r="K5653" s="67" t="str">
        <x:v>https://www.stonealgo.com/diamond-prices/</x:v>
      </x:c>
      <x:c r="L5653" s="67" t="str">
        <x:v>https://www.pricescope.com/blog/natural-diamond-prices-september-2026</x:v>
      </x:c>
    </x:row>
    <x:row r="5654">
      <x:c r="A5654" t="n">
        <x:v>9</x:v>
      </x:c>
      <x:c r="B5654" t="str">
        <x:v>Marquise</x:v>
      </x:c>
      <x:c r="C5654" t="str">
        <x:v>F</x:v>
      </x:c>
      <x:c r="D5654" t="str">
        <x:v>VS1</x:v>
      </x:c>
      <x:c r="E5654" s="36" t="n">
        <x:v>363000</x:v>
      </x:c>
      <x:c r="F5654" s="36" t="n">
        <x:v>5647</x:v>
      </x:c>
      <x:c r="G5654" s="42" t="n">
        <x:v>1.2112827112827114</x:v>
      </x:c>
      <x:c r="H5654" s="36" t="n">
        <x:f>E5654*G5654</x:f>
        <x:v>439695.6241956242</x:v>
      </x:c>
      <x:c r="I5654" s="36" t="n">
        <x:f>IFERROR(H5654/A5654,0)</x:f>
        <x:v>48855.069355069354</x:v>
      </x:c>
      <x:c r="J5654" s="67" t="str">
        <x:v>Modeled from live base + Sep-2026 quality ratio</x:v>
      </x:c>
      <x:c r="K5654" s="67" t="str">
        <x:v>https://www.stonealgo.com/diamond-prices/</x:v>
      </x:c>
      <x:c r="L5654" s="67" t="str">
        <x:v>https://www.pricescope.com/blog/natural-diamond-prices-september-2026</x:v>
      </x:c>
    </x:row>
    <x:row r="5655">
      <x:c r="A5655" t="n">
        <x:v>9</x:v>
      </x:c>
      <x:c r="B5655" t="str">
        <x:v>Marquise</x:v>
      </x:c>
      <x:c r="C5655" t="str">
        <x:v>F</x:v>
      </x:c>
      <x:c r="D5655" t="str">
        <x:v>VS2</x:v>
      </x:c>
      <x:c r="E5655" s="36" t="n">
        <x:v>363000</x:v>
      </x:c>
      <x:c r="F5655" s="36" t="n">
        <x:v>4730</x:v>
      </x:c>
      <x:c r="G5655" s="42" t="n">
        <x:v>1.0145860145860146</x:v>
      </x:c>
      <x:c r="H5655" s="36" t="n">
        <x:f>E5655*G5655</x:f>
        <x:v>368294.7232947233</x:v>
      </x:c>
      <x:c r="I5655" s="36" t="n">
        <x:f>IFERROR(H5655/A5655,0)</x:f>
        <x:v>40921.63592163593</x:v>
      </x:c>
      <x:c r="J5655" s="67" t="str">
        <x:v>Modeled from live base + Sep-2026 quality ratio</x:v>
      </x:c>
      <x:c r="K5655" s="67" t="str">
        <x:v>https://www.stonealgo.com/diamond-prices/</x:v>
      </x:c>
      <x:c r="L5655" s="67" t="str">
        <x:v>https://www.pricescope.com/blog/natural-diamond-prices-september-2026</x:v>
      </x:c>
    </x:row>
    <x:row r="5656">
      <x:c r="A5656" t="n">
        <x:v>9</x:v>
      </x:c>
      <x:c r="B5656" t="str">
        <x:v>Marquise</x:v>
      </x:c>
      <x:c r="C5656" t="str">
        <x:v>F</x:v>
      </x:c>
      <x:c r="D5656" t="str">
        <x:v>SI1</x:v>
      </x:c>
      <x:c r="E5656" s="36" t="n">
        <x:v>363000</x:v>
      </x:c>
      <x:c r="F5656" s="36" t="n">
        <x:v>3331</x:v>
      </x:c>
      <x:c r="G5656" s="42" t="n">
        <x:v>0.7145002145002145</x:v>
      </x:c>
      <x:c r="H5656" s="36" t="n">
        <x:f>E5656*G5656</x:f>
        <x:v>259363.57786357787</x:v>
      </x:c>
      <x:c r="I5656" s="36" t="n">
        <x:f>IFERROR(H5656/A5656,0)</x:f>
        <x:v>28818.17531817532</x:v>
      </x:c>
      <x:c r="J5656" s="67" t="str">
        <x:v>Modeled from live base + Sep-2026 quality ratio</x:v>
      </x:c>
      <x:c r="K5656" s="67" t="str">
        <x:v>https://www.stonealgo.com/diamond-prices/</x:v>
      </x:c>
      <x:c r="L5656" s="67" t="str">
        <x:v>https://www.pricescope.com/blog/natural-diamond-prices-september-2026</x:v>
      </x:c>
    </x:row>
    <x:row r="5657">
      <x:c r="A5657" t="n">
        <x:v>9</x:v>
      </x:c>
      <x:c r="B5657" t="str">
        <x:v>Marquise</x:v>
      </x:c>
      <x:c r="C5657" t="str">
        <x:v>F</x:v>
      </x:c>
      <x:c r="D5657" t="str">
        <x:v>SI2</x:v>
      </x:c>
      <x:c r="E5657" s="36" t="n">
        <x:v>363000</x:v>
      </x:c>
      <x:c r="F5657" s="36" t="n">
        <x:v>2733</x:v>
      </x:c>
      <x:c r="G5657" s="42" t="n">
        <x:v>0.5862290862290862</x:v>
      </x:c>
      <x:c r="H5657" s="36" t="n">
        <x:f>E5657*G5657</x:f>
        <x:v>212801.15830115828</x:v>
      </x:c>
      <x:c r="I5657" s="36" t="n">
        <x:f>IFERROR(H5657/A5657,0)</x:f>
        <x:v>23644.573144573144</x:v>
      </x:c>
      <x:c r="J5657" s="67" t="str">
        <x:v>Modeled from live base + Sep-2026 quality ratio</x:v>
      </x:c>
      <x:c r="K5657" s="67" t="str">
        <x:v>https://www.stonealgo.com/diamond-prices/</x:v>
      </x:c>
      <x:c r="L5657" s="67" t="str">
        <x:v>https://www.pricescope.com/blog/natural-diamond-prices-september-2026</x:v>
      </x:c>
    </x:row>
    <x:row r="5658">
      <x:c r="A5658" t="n">
        <x:v>9</x:v>
      </x:c>
      <x:c r="B5658" t="str">
        <x:v>Marquise</x:v>
      </x:c>
      <x:c r="C5658" t="str">
        <x:v>G</x:v>
      </x:c>
      <x:c r="D5658" t="str">
        <x:v>FL</x:v>
      </x:c>
      <x:c r="E5658" s="36" t="n">
        <x:v>363000</x:v>
      </x:c>
      <x:c r="F5658" s="36" t="n">
        <x:v>5905</x:v>
      </x:c>
      <x:c r="G5658" s="42" t="n">
        <x:v>1.2666237666237665</x:v>
      </x:c>
      <x:c r="H5658" s="36" t="n">
        <x:f>E5658*G5658</x:f>
        <x:v>459784.4272844272</x:v>
      </x:c>
      <x:c r="I5658" s="36" t="n">
        <x:f>IFERROR(H5658/A5658,0)</x:f>
        <x:v>51087.15858715858</x:v>
      </x:c>
      <x:c r="J5658" s="67" t="str">
        <x:v>Modeled from live base + Sep-2026 quality ratio</x:v>
      </x:c>
      <x:c r="K5658" s="67" t="str">
        <x:v>https://www.stonealgo.com/diamond-prices/</x:v>
      </x:c>
      <x:c r="L5658" s="67" t="str">
        <x:v>https://www.pricescope.com/blog/natural-diamond-prices-september-2026</x:v>
      </x:c>
    </x:row>
    <x:row r="5659">
      <x:c r="A5659" t="n">
        <x:v>9</x:v>
      </x:c>
      <x:c r="B5659" t="str">
        <x:v>Marquise</x:v>
      </x:c>
      <x:c r="C5659" t="str">
        <x:v>G</x:v>
      </x:c>
      <x:c r="D5659" t="str">
        <x:v>IF</x:v>
      </x:c>
      <x:c r="E5659" s="36" t="n">
        <x:v>363000</x:v>
      </x:c>
      <x:c r="F5659" s="36" t="n">
        <x:v>5601</x:v>
      </x:c>
      <x:c r="G5659" s="42" t="n">
        <x:v>1.2014157014157014</x:v>
      </x:c>
      <x:c r="H5659" s="36" t="n">
        <x:f>E5659*G5659</x:f>
        <x:v>436113.89961389964</x:v>
      </x:c>
      <x:c r="I5659" s="36" t="n">
        <x:f>IFERROR(H5659/A5659,0)</x:f>
        <x:v>48457.09995709996</x:v>
      </x:c>
      <x:c r="J5659" s="67" t="str">
        <x:v>Modeled from live base + Sep-2026 quality ratio</x:v>
      </x:c>
      <x:c r="K5659" s="67" t="str">
        <x:v>https://www.stonealgo.com/diamond-prices/</x:v>
      </x:c>
      <x:c r="L5659" s="67" t="str">
        <x:v>https://www.pricescope.com/blog/natural-diamond-prices-september-2026</x:v>
      </x:c>
    </x:row>
    <x:row r="5660">
      <x:c r="A5660" t="n">
        <x:v>9</x:v>
      </x:c>
      <x:c r="B5660" t="str">
        <x:v>Marquise</x:v>
      </x:c>
      <x:c r="C5660" t="str">
        <x:v>G</x:v>
      </x:c>
      <x:c r="D5660" t="str">
        <x:v>VVS1</x:v>
      </x:c>
      <x:c r="E5660" s="36" t="n">
        <x:v>363000</x:v>
      </x:c>
      <x:c r="F5660" s="36" t="n">
        <x:v>5124</x:v>
      </x:c>
      <x:c r="G5660" s="42" t="n">
        <x:v>1.0990990990990992</x:v>
      </x:c>
      <x:c r="H5660" s="36" t="n">
        <x:f>E5660*G5660</x:f>
        <x:v>398972.972972973</x:v>
      </x:c>
      <x:c r="I5660" s="36" t="n">
        <x:f>IFERROR(H5660/A5660,0)</x:f>
        <x:v>44330.33033033033</x:v>
      </x:c>
      <x:c r="J5660" s="67" t="str">
        <x:v>Modeled from live base + Sep-2026 quality ratio</x:v>
      </x:c>
      <x:c r="K5660" s="67" t="str">
        <x:v>https://www.stonealgo.com/diamond-prices/</x:v>
      </x:c>
      <x:c r="L5660" s="67" t="str">
        <x:v>https://www.pricescope.com/blog/natural-diamond-prices-september-2026</x:v>
      </x:c>
    </x:row>
    <x:row r="5661">
      <x:c r="A5661" t="n">
        <x:v>9</x:v>
      </x:c>
      <x:c r="B5661" t="str">
        <x:v>Marquise</x:v>
      </x:c>
      <x:c r="C5661" t="str">
        <x:v>G</x:v>
      </x:c>
      <x:c r="D5661" t="str">
        <x:v>VVS2</x:v>
      </x:c>
      <x:c r="E5661" s="36" t="n">
        <x:v>363000</x:v>
      </x:c>
      <x:c r="F5661" s="36" t="n">
        <x:v>4962</x:v>
      </x:c>
      <x:c r="G5661" s="42" t="n">
        <x:v>1.0643500643500643</x:v>
      </x:c>
      <x:c r="H5661" s="36" t="n">
        <x:f>E5661*G5661</x:f>
        <x:v>386359.0733590733</x:v>
      </x:c>
      <x:c r="I5661" s="36" t="n">
        <x:f>IFERROR(H5661/A5661,0)</x:f>
        <x:v>42928.785928785925</x:v>
      </x:c>
      <x:c r="J5661" s="67" t="str">
        <x:v>Modeled from live base + Sep-2026 quality ratio</x:v>
      </x:c>
      <x:c r="K5661" s="67" t="str">
        <x:v>https://www.stonealgo.com/diamond-prices/</x:v>
      </x:c>
      <x:c r="L5661" s="67" t="str">
        <x:v>https://www.pricescope.com/blog/natural-diamond-prices-september-2026</x:v>
      </x:c>
    </x:row>
    <x:row r="5662">
      <x:c r="A5662" t="n">
        <x:v>9</x:v>
      </x:c>
      <x:c r="B5662" t="str">
        <x:v>Marquise</x:v>
      </x:c>
      <x:c r="C5662" t="str">
        <x:v>G</x:v>
      </x:c>
      <x:c r="D5662" t="str">
        <x:v>VS1</x:v>
      </x:c>
      <x:c r="E5662" s="36" t="n">
        <x:v>363000</x:v>
      </x:c>
      <x:c r="F5662" s="36" t="n">
        <x:v>4615</x:v>
      </x:c>
      <x:c r="G5662" s="42" t="n">
        <x:v>0.98991848991849</x:v>
      </x:c>
      <x:c r="H5662" s="36" t="n">
        <x:f>E5662*G5662</x:f>
        <x:v>359340.41184041183</x:v>
      </x:c>
      <x:c r="I5662" s="36" t="n">
        <x:f>IFERROR(H5662/A5662,0)</x:f>
        <x:v>39926.71242671242</x:v>
      </x:c>
      <x:c r="J5662" s="67" t="str">
        <x:v>Modeled from live base + Sep-2026 quality ratio</x:v>
      </x:c>
      <x:c r="K5662" s="67" t="str">
        <x:v>https://www.stonealgo.com/diamond-prices/</x:v>
      </x:c>
      <x:c r="L5662" s="67" t="str">
        <x:v>https://www.pricescope.com/blog/natural-diamond-prices-september-2026</x:v>
      </x:c>
    </x:row>
    <x:row r="5663">
      <x:c r="A5663" t="n">
        <x:v>9</x:v>
      </x:c>
      <x:c r="B5663" t="str">
        <x:v>Marquise</x:v>
      </x:c>
      <x:c r="C5663" t="str">
        <x:v>G</x:v>
      </x:c>
      <x:c r="D5663" t="str">
        <x:v>VS2</x:v>
      </x:c>
      <x:c r="E5663" s="36" t="n">
        <x:v>363000</x:v>
      </x:c>
      <x:c r="F5663" s="36" t="n">
        <x:v>4585</x:v>
      </x:c>
      <x:c r="G5663" s="42" t="n">
        <x:v>0.9834834834834835</x:v>
      </x:c>
      <x:c r="H5663" s="36" t="n">
        <x:f>E5663*G5663</x:f>
        <x:v>357004.5045045045</x:v>
      </x:c>
      <x:c r="I5663" s="36" t="n">
        <x:f>IFERROR(H5663/A5663,0)</x:f>
        <x:v>39667.167167167165</x:v>
      </x:c>
      <x:c r="J5663" s="67" t="str">
        <x:v>Modeled from live base + Sep-2026 quality ratio</x:v>
      </x:c>
      <x:c r="K5663" s="67" t="str">
        <x:v>https://www.stonealgo.com/diamond-prices/</x:v>
      </x:c>
      <x:c r="L5663" s="67" t="str">
        <x:v>https://www.pricescope.com/blog/natural-diamond-prices-september-2026</x:v>
      </x:c>
    </x:row>
    <x:row r="5664">
      <x:c r="A5664" t="n">
        <x:v>9</x:v>
      </x:c>
      <x:c r="B5664" t="str">
        <x:v>Marquise</x:v>
      </x:c>
      <x:c r="C5664" t="str">
        <x:v>G</x:v>
      </x:c>
      <x:c r="D5664" t="str">
        <x:v>SI1</x:v>
      </x:c>
      <x:c r="E5664" s="36" t="n">
        <x:v>363000</x:v>
      </x:c>
      <x:c r="F5664" s="36" t="n">
        <x:v>3664</x:v>
      </x:c>
      <x:c r="G5664" s="42" t="n">
        <x:v>0.7859287859287859</x:v>
      </x:c>
      <x:c r="H5664" s="36" t="n">
        <x:f>E5664*G5664</x:f>
        <x:v>285292.1492921493</x:v>
      </x:c>
      <x:c r="I5664" s="36" t="n">
        <x:f>IFERROR(H5664/A5664,0)</x:f>
        <x:v>31699.127699127697</x:v>
      </x:c>
      <x:c r="J5664" s="67" t="str">
        <x:v>Modeled from live base + Sep-2026 quality ratio</x:v>
      </x:c>
      <x:c r="K5664" s="67" t="str">
        <x:v>https://www.stonealgo.com/diamond-prices/</x:v>
      </x:c>
      <x:c r="L5664" s="67" t="str">
        <x:v>https://www.pricescope.com/blog/natural-diamond-prices-september-2026</x:v>
      </x:c>
    </x:row>
    <x:row r="5665">
      <x:c r="A5665" t="n">
        <x:v>9</x:v>
      </x:c>
      <x:c r="B5665" t="str">
        <x:v>Marquise</x:v>
      </x:c>
      <x:c r="C5665" t="str">
        <x:v>G</x:v>
      </x:c>
      <x:c r="D5665" t="str">
        <x:v>SI2</x:v>
      </x:c>
      <x:c r="E5665" s="36" t="n">
        <x:v>363000</x:v>
      </x:c>
      <x:c r="F5665" s="36" t="n">
        <x:v>2537</x:v>
      </x:c>
      <x:c r="G5665" s="42" t="n">
        <x:v>0.5441870441870442</x:v>
      </x:c>
      <x:c r="H5665" s="36" t="n">
        <x:f>E5665*G5665</x:f>
        <x:v>197539.89703989704</x:v>
      </x:c>
      <x:c r="I5665" s="36" t="n">
        <x:f>IFERROR(H5665/A5665,0)</x:f>
        <x:v>21948.87744887745</x:v>
      </x:c>
      <x:c r="J5665" s="67" t="str">
        <x:v>Modeled from live base + Sep-2026 quality ratio</x:v>
      </x:c>
      <x:c r="K5665" s="67" t="str">
        <x:v>https://www.stonealgo.com/diamond-prices/</x:v>
      </x:c>
      <x:c r="L5665" s="67" t="str">
        <x:v>https://www.pricescope.com/blog/natural-diamond-prices-september-2026</x:v>
      </x:c>
    </x:row>
    <x:row r="5666">
      <x:c r="A5666" t="n">
        <x:v>9</x:v>
      </x:c>
      <x:c r="B5666" t="str">
        <x:v>Marquise</x:v>
      </x:c>
      <x:c r="C5666" t="str">
        <x:v>H</x:v>
      </x:c>
      <x:c r="D5666" t="str">
        <x:v>FL</x:v>
      </x:c>
      <x:c r="E5666" s="36" t="n">
        <x:v>363000</x:v>
      </x:c>
      <x:c r="F5666" s="36" t="n">
        <x:v>4563</x:v>
      </x:c>
      <x:c r="G5666" s="42" t="n">
        <x:v>0.9787644787644788</x:v>
      </x:c>
      <x:c r="H5666" s="36" t="n">
        <x:f>E5666*G5666</x:f>
        <x:v>355291.5057915058</x:v>
      </x:c>
      <x:c r="I5666" s="36" t="n">
        <x:f>IFERROR(H5666/A5666,0)</x:f>
        <x:v>39476.83397683398</x:v>
      </x:c>
      <x:c r="J5666" s="67" t="str">
        <x:v>Modeled from live base + Sep-2026 quality ratio</x:v>
      </x:c>
      <x:c r="K5666" s="67" t="str">
        <x:v>https://www.stonealgo.com/diamond-prices/</x:v>
      </x:c>
      <x:c r="L5666" s="67" t="str">
        <x:v>https://www.pricescope.com/blog/natural-diamond-prices-september-2026</x:v>
      </x:c>
    </x:row>
    <x:row r="5667">
      <x:c r="A5667" t="n">
        <x:v>9</x:v>
      </x:c>
      <x:c r="B5667" t="str">
        <x:v>Marquise</x:v>
      </x:c>
      <x:c r="C5667" t="str">
        <x:v>H</x:v>
      </x:c>
      <x:c r="D5667" t="str">
        <x:v>IF</x:v>
      </x:c>
      <x:c r="E5667" s="36" t="n">
        <x:v>363000</x:v>
      </x:c>
      <x:c r="F5667" s="36" t="n">
        <x:v>4809</x:v>
      </x:c>
      <x:c r="G5667" s="42" t="n">
        <x:v>1.0315315315315314</x:v>
      </x:c>
      <x:c r="H5667" s="36" t="n">
        <x:f>E5667*G5667</x:f>
        <x:v>374445.9459459459</x:v>
      </x:c>
      <x:c r="I5667" s="36" t="n">
        <x:f>IFERROR(H5667/A5667,0)</x:f>
        <x:v>41605.1051051051</x:v>
      </x:c>
      <x:c r="J5667" s="67" t="str">
        <x:v>Modeled from live base + Sep-2026 quality ratio</x:v>
      </x:c>
      <x:c r="K5667" s="67" t="str">
        <x:v>https://www.stonealgo.com/diamond-prices/</x:v>
      </x:c>
      <x:c r="L5667" s="67" t="str">
        <x:v>https://www.pricescope.com/blog/natural-diamond-prices-september-2026</x:v>
      </x:c>
    </x:row>
    <x:row r="5668">
      <x:c r="A5668" t="n">
        <x:v>9</x:v>
      </x:c>
      <x:c r="B5668" t="str">
        <x:v>Marquise</x:v>
      </x:c>
      <x:c r="C5668" t="str">
        <x:v>H</x:v>
      </x:c>
      <x:c r="D5668" t="str">
        <x:v>VVS1</x:v>
      </x:c>
      <x:c r="E5668" s="36" t="n">
        <x:v>363000</x:v>
      </x:c>
      <x:c r="F5668" s="36" t="n">
        <x:v>4911</x:v>
      </x:c>
      <x:c r="G5668" s="42" t="n">
        <x:v>1.0534105534105533</x:v>
      </x:c>
      <x:c r="H5668" s="36" t="n">
        <x:f>E5668*G5668</x:f>
        <x:v>382388.0308880309</x:v>
      </x:c>
      <x:c r="I5668" s="36" t="n">
        <x:f>IFERROR(H5668/A5668,0)</x:f>
        <x:v>42487.55898755899</x:v>
      </x:c>
      <x:c r="J5668" s="67" t="str">
        <x:v>Modeled from live base + Sep-2026 quality ratio</x:v>
      </x:c>
      <x:c r="K5668" s="67" t="str">
        <x:v>https://www.stonealgo.com/diamond-prices/</x:v>
      </x:c>
      <x:c r="L5668" s="67" t="str">
        <x:v>https://www.pricescope.com/blog/natural-diamond-prices-september-2026</x:v>
      </x:c>
    </x:row>
    <x:row r="5669">
      <x:c r="A5669" t="n">
        <x:v>9</x:v>
      </x:c>
      <x:c r="B5669" t="str">
        <x:v>Marquise</x:v>
      </x:c>
      <x:c r="C5669" t="str">
        <x:v>H</x:v>
      </x:c>
      <x:c r="D5669" t="str">
        <x:v>VVS2</x:v>
      </x:c>
      <x:c r="E5669" s="36" t="n">
        <x:v>363000</x:v>
      </x:c>
      <x:c r="F5669" s="36" t="n">
        <x:v>4046</x:v>
      </x:c>
      <x:c r="G5669" s="42" t="n">
        <x:v>0.8678678678678678</x:v>
      </x:c>
      <x:c r="H5669" s="36" t="n">
        <x:f>E5669*G5669</x:f>
        <x:v>315036.03603603604</x:v>
      </x:c>
      <x:c r="I5669" s="36" t="n">
        <x:f>IFERROR(H5669/A5669,0)</x:f>
        <x:v>35004.004004004004</x:v>
      </x:c>
      <x:c r="J5669" s="67" t="str">
        <x:v>Modeled from live base + Sep-2026 quality ratio</x:v>
      </x:c>
      <x:c r="K5669" s="67" t="str">
        <x:v>https://www.stonealgo.com/diamond-prices/</x:v>
      </x:c>
      <x:c r="L5669" s="67" t="str">
        <x:v>https://www.pricescope.com/blog/natural-diamond-prices-september-2026</x:v>
      </x:c>
    </x:row>
    <x:row r="5670">
      <x:c r="A5670" t="n">
        <x:v>9</x:v>
      </x:c>
      <x:c r="B5670" t="str">
        <x:v>Marquise</x:v>
      </x:c>
      <x:c r="C5670" t="str">
        <x:v>H</x:v>
      </x:c>
      <x:c r="D5670" t="str">
        <x:v>VS1</x:v>
      </x:c>
      <x:c r="E5670" s="36" t="n">
        <x:v>363000</x:v>
      </x:c>
      <x:c r="F5670" s="36" t="n">
        <x:v>3893</x:v>
      </x:c>
      <x:c r="G5670" s="42" t="n">
        <x:v>0.8350493350493351</x:v>
      </x:c>
      <x:c r="H5670" s="36" t="n">
        <x:f>E5670*G5670</x:f>
        <x:v>303122.90862290864</x:v>
      </x:c>
      <x:c r="I5670" s="36" t="n">
        <x:f>IFERROR(H5670/A5670,0)</x:f>
        <x:v>33680.32318032318</x:v>
      </x:c>
      <x:c r="J5670" s="67" t="str">
        <x:v>Modeled from live base + Sep-2026 quality ratio</x:v>
      </x:c>
      <x:c r="K5670" s="67" t="str">
        <x:v>https://www.stonealgo.com/diamond-prices/</x:v>
      </x:c>
      <x:c r="L5670" s="67" t="str">
        <x:v>https://www.pricescope.com/blog/natural-diamond-prices-september-2026</x:v>
      </x:c>
    </x:row>
    <x:row r="5671">
      <x:c r="A5671" t="n">
        <x:v>9</x:v>
      </x:c>
      <x:c r="B5671" t="str">
        <x:v>Marquise</x:v>
      </x:c>
      <x:c r="C5671" t="str">
        <x:v>H</x:v>
      </x:c>
      <x:c r="D5671" t="str">
        <x:v>VS2</x:v>
      </x:c>
      <x:c r="E5671" s="36" t="n">
        <x:v>363000</x:v>
      </x:c>
      <x:c r="F5671" s="36" t="n">
        <x:v>3989</x:v>
      </x:c>
      <x:c r="G5671" s="42" t="n">
        <x:v>0.8556413556413557</x:v>
      </x:c>
      <x:c r="H5671" s="36" t="n">
        <x:f>E5671*G5671</x:f>
        <x:v>310597.81209781213</x:v>
      </x:c>
      <x:c r="I5671" s="36" t="n">
        <x:f>IFERROR(H5671/A5671,0)</x:f>
        <x:v>34510.86801086801</x:v>
      </x:c>
      <x:c r="J5671" s="67" t="str">
        <x:v>Modeled from live base + Sep-2026 quality ratio</x:v>
      </x:c>
      <x:c r="K5671" s="67" t="str">
        <x:v>https://www.stonealgo.com/diamond-prices/</x:v>
      </x:c>
      <x:c r="L5671" s="67" t="str">
        <x:v>https://www.pricescope.com/blog/natural-diamond-prices-september-2026</x:v>
      </x:c>
    </x:row>
    <x:row r="5672">
      <x:c r="A5672" t="n">
        <x:v>9</x:v>
      </x:c>
      <x:c r="B5672" t="str">
        <x:v>Marquise</x:v>
      </x:c>
      <x:c r="C5672" t="str">
        <x:v>H</x:v>
      </x:c>
      <x:c r="D5672" t="str">
        <x:v>SI1</x:v>
      </x:c>
      <x:c r="E5672" s="36" t="n">
        <x:v>363000</x:v>
      </x:c>
      <x:c r="F5672" s="36" t="n">
        <x:v>2828</x:v>
      </x:c>
      <x:c r="G5672" s="42" t="n">
        <x:v>0.6066066066066066</x:v>
      </x:c>
      <x:c r="H5672" s="36" t="n">
        <x:f>E5672*G5672</x:f>
        <x:v>220198.1981981982</x:v>
      </x:c>
      <x:c r="I5672" s="36" t="n">
        <x:f>IFERROR(H5672/A5672,0)</x:f>
        <x:v>24466.466466466467</x:v>
      </x:c>
      <x:c r="J5672" s="67" t="str">
        <x:v>Modeled from live base + Sep-2026 quality ratio</x:v>
      </x:c>
      <x:c r="K5672" s="67" t="str">
        <x:v>https://www.stonealgo.com/diamond-prices/</x:v>
      </x:c>
      <x:c r="L5672" s="67" t="str">
        <x:v>https://www.pricescope.com/blog/natural-diamond-prices-september-2026</x:v>
      </x:c>
    </x:row>
    <x:row r="5673">
      <x:c r="A5673" t="n">
        <x:v>9</x:v>
      </x:c>
      <x:c r="B5673" t="str">
        <x:v>Marquise</x:v>
      </x:c>
      <x:c r="C5673" t="str">
        <x:v>H</x:v>
      </x:c>
      <x:c r="D5673" t="str">
        <x:v>SI2</x:v>
      </x:c>
      <x:c r="E5673" s="36" t="n">
        <x:v>363000</x:v>
      </x:c>
      <x:c r="F5673" s="36" t="n">
        <x:v>2328</x:v>
      </x:c>
      <x:c r="G5673" s="42" t="n">
        <x:v>0.49935649935649934</x:v>
      </x:c>
      <x:c r="H5673" s="36" t="n">
        <x:f>E5673*G5673</x:f>
        <x:v>181266.40926640926</x:v>
      </x:c>
      <x:c r="I5673" s="36" t="n">
        <x:f>IFERROR(H5673/A5673,0)</x:f>
        <x:v>20140.71214071214</x:v>
      </x:c>
      <x:c r="J5673" s="67" t="str">
        <x:v>Modeled from live base + Sep-2026 quality ratio</x:v>
      </x:c>
      <x:c r="K5673" s="67" t="str">
        <x:v>https://www.stonealgo.com/diamond-prices/</x:v>
      </x:c>
      <x:c r="L5673" s="67" t="str">
        <x:v>https://www.pricescope.com/blog/natural-diamond-prices-september-2026</x:v>
      </x:c>
    </x:row>
    <x:row r="5674">
      <x:c r="A5674" t="n">
        <x:v>9</x:v>
      </x:c>
      <x:c r="B5674" t="str">
        <x:v>Marquise</x:v>
      </x:c>
      <x:c r="C5674" t="str">
        <x:v>I</x:v>
      </x:c>
      <x:c r="D5674" t="str">
        <x:v>FL</x:v>
      </x:c>
      <x:c r="E5674" s="36" t="n">
        <x:v>363000</x:v>
      </x:c>
      <x:c r="F5674" s="36" t="n">
        <x:v>4623</x:v>
      </x:c>
      <x:c r="G5674" s="42" t="n">
        <x:v>0.9916344916344917</x:v>
      </x:c>
      <x:c r="H5674" s="36" t="n">
        <x:f>E5674*G5674</x:f>
        <x:v>359963.3204633205</x:v>
      </x:c>
      <x:c r="I5674" s="36" t="n">
        <x:f>IFERROR(H5674/A5674,0)</x:f>
        <x:v>39995.9244959245</x:v>
      </x:c>
      <x:c r="J5674" s="67" t="str">
        <x:v>Modeled from live base + Sep-2026 quality ratio</x:v>
      </x:c>
      <x:c r="K5674" s="67" t="str">
        <x:v>https://www.stonealgo.com/diamond-prices/</x:v>
      </x:c>
      <x:c r="L5674" s="67" t="str">
        <x:v>https://www.pricescope.com/blog/natural-diamond-prices-september-2026</x:v>
      </x:c>
    </x:row>
    <x:row r="5675">
      <x:c r="A5675" t="n">
        <x:v>9</x:v>
      </x:c>
      <x:c r="B5675" t="str">
        <x:v>Marquise</x:v>
      </x:c>
      <x:c r="C5675" t="str">
        <x:v>I</x:v>
      </x:c>
      <x:c r="D5675" t="str">
        <x:v>IF</x:v>
      </x:c>
      <x:c r="E5675" s="36" t="n">
        <x:v>363000</x:v>
      </x:c>
      <x:c r="F5675" s="36" t="n">
        <x:v>4005</x:v>
      </x:c>
      <x:c r="G5675" s="42" t="n">
        <x:v>0.859073359073359</x:v>
      </x:c>
      <x:c r="H5675" s="36" t="n">
        <x:f>E5675*G5675</x:f>
        <x:v>311843.62934362935</x:v>
      </x:c>
      <x:c r="I5675" s="36" t="n">
        <x:f>IFERROR(H5675/A5675,0)</x:f>
        <x:v>34649.29214929215</x:v>
      </x:c>
      <x:c r="J5675" s="67" t="str">
        <x:v>Modeled from live base + Sep-2026 quality ratio</x:v>
      </x:c>
      <x:c r="K5675" s="67" t="str">
        <x:v>https://www.stonealgo.com/diamond-prices/</x:v>
      </x:c>
      <x:c r="L5675" s="67" t="str">
        <x:v>https://www.pricescope.com/blog/natural-diamond-prices-september-2026</x:v>
      </x:c>
    </x:row>
    <x:row r="5676">
      <x:c r="A5676" t="n">
        <x:v>9</x:v>
      </x:c>
      <x:c r="B5676" t="str">
        <x:v>Marquise</x:v>
      </x:c>
      <x:c r="C5676" t="str">
        <x:v>I</x:v>
      </x:c>
      <x:c r="D5676" t="str">
        <x:v>VVS1</x:v>
      </x:c>
      <x:c r="E5676" s="36" t="n">
        <x:v>363000</x:v>
      </x:c>
      <x:c r="F5676" s="36" t="n">
        <x:v>3670</x:v>
      </x:c>
      <x:c r="G5676" s="42" t="n">
        <x:v>0.7872157872157872</x:v>
      </x:c>
      <x:c r="H5676" s="36" t="n">
        <x:f>E5676*G5676</x:f>
        <x:v>285759.33075933077</x:v>
      </x:c>
      <x:c r="I5676" s="36" t="n">
        <x:f>IFERROR(H5676/A5676,0)</x:f>
        <x:v>31751.03675103675</x:v>
      </x:c>
      <x:c r="J5676" s="67" t="str">
        <x:v>Modeled from live base + Sep-2026 quality ratio</x:v>
      </x:c>
      <x:c r="K5676" s="67" t="str">
        <x:v>https://www.stonealgo.com/diamond-prices/</x:v>
      </x:c>
      <x:c r="L5676" s="67" t="str">
        <x:v>https://www.pricescope.com/blog/natural-diamond-prices-september-2026</x:v>
      </x:c>
    </x:row>
    <x:row r="5677">
      <x:c r="A5677" t="n">
        <x:v>9</x:v>
      </x:c>
      <x:c r="B5677" t="str">
        <x:v>Marquise</x:v>
      </x:c>
      <x:c r="C5677" t="str">
        <x:v>I</x:v>
      </x:c>
      <x:c r="D5677" t="str">
        <x:v>VVS2</x:v>
      </x:c>
      <x:c r="E5677" s="36" t="n">
        <x:v>363000</x:v>
      </x:c>
      <x:c r="F5677" s="36" t="n">
        <x:v>3447</x:v>
      </x:c>
      <x:c r="G5677" s="42" t="n">
        <x:v>0.7393822393822393</x:v>
      </x:c>
      <x:c r="H5677" s="36" t="n">
        <x:f>E5677*G5677</x:f>
        <x:v>268395.7528957529</x:v>
      </x:c>
      <x:c r="I5677" s="36" t="n">
        <x:f>IFERROR(H5677/A5677,0)</x:f>
        <x:v>29821.75032175032</x:v>
      </x:c>
      <x:c r="J5677" s="67" t="str">
        <x:v>Modeled from live base + Sep-2026 quality ratio</x:v>
      </x:c>
      <x:c r="K5677" s="67" t="str">
        <x:v>https://www.stonealgo.com/diamond-prices/</x:v>
      </x:c>
      <x:c r="L5677" s="67" t="str">
        <x:v>https://www.pricescope.com/blog/natural-diamond-prices-september-2026</x:v>
      </x:c>
    </x:row>
    <x:row r="5678">
      <x:c r="A5678" t="n">
        <x:v>9</x:v>
      </x:c>
      <x:c r="B5678" t="str">
        <x:v>Marquise</x:v>
      </x:c>
      <x:c r="C5678" t="str">
        <x:v>I</x:v>
      </x:c>
      <x:c r="D5678" t="str">
        <x:v>VS1</x:v>
      </x:c>
      <x:c r="E5678" s="36" t="n">
        <x:v>363000</x:v>
      </x:c>
      <x:c r="F5678" s="36" t="n">
        <x:v>3313</x:v>
      </x:c>
      <x:c r="G5678" s="42" t="n">
        <x:v>0.7106392106392107</x:v>
      </x:c>
      <x:c r="H5678" s="36" t="n">
        <x:f>E5678*G5678</x:f>
        <x:v>257962.03346203346</x:v>
      </x:c>
      <x:c r="I5678" s="36" t="n">
        <x:f>IFERROR(H5678/A5678,0)</x:f>
        <x:v>28662.448162448163</x:v>
      </x:c>
      <x:c r="J5678" s="67" t="str">
        <x:v>Modeled from live base + Sep-2026 quality ratio</x:v>
      </x:c>
      <x:c r="K5678" s="67" t="str">
        <x:v>https://www.stonealgo.com/diamond-prices/</x:v>
      </x:c>
      <x:c r="L5678" s="67" t="str">
        <x:v>https://www.pricescope.com/blog/natural-diamond-prices-september-2026</x:v>
      </x:c>
    </x:row>
    <x:row r="5679">
      <x:c r="A5679" t="n">
        <x:v>9</x:v>
      </x:c>
      <x:c r="B5679" t="str">
        <x:v>Marquise</x:v>
      </x:c>
      <x:c r="C5679" t="str">
        <x:v>I</x:v>
      </x:c>
      <x:c r="D5679" t="str">
        <x:v>VS2</x:v>
      </x:c>
      <x:c r="E5679" s="36" t="n">
        <x:v>363000</x:v>
      </x:c>
      <x:c r="F5679" s="36" t="n">
        <x:v>3240</x:v>
      </x:c>
      <x:c r="G5679" s="42" t="n">
        <x:v>0.694980694980695</x:v>
      </x:c>
      <x:c r="H5679" s="36" t="n">
        <x:f>E5679*G5679</x:f>
        <x:v>252277.9922779923</x:v>
      </x:c>
      <x:c r="I5679" s="36" t="n">
        <x:f>IFERROR(H5679/A5679,0)</x:f>
        <x:v>28030.888030888033</x:v>
      </x:c>
      <x:c r="J5679" s="67" t="str">
        <x:v>Modeled from live base + Sep-2026 quality ratio</x:v>
      </x:c>
      <x:c r="K5679" s="67" t="str">
        <x:v>https://www.stonealgo.com/diamond-prices/</x:v>
      </x:c>
      <x:c r="L5679" s="67" t="str">
        <x:v>https://www.pricescope.com/blog/natural-diamond-prices-september-2026</x:v>
      </x:c>
    </x:row>
    <x:row r="5680">
      <x:c r="A5680" t="n">
        <x:v>9</x:v>
      </x:c>
      <x:c r="B5680" t="str">
        <x:v>Marquise</x:v>
      </x:c>
      <x:c r="C5680" t="str">
        <x:v>I</x:v>
      </x:c>
      <x:c r="D5680" t="str">
        <x:v>SI1</x:v>
      </x:c>
      <x:c r="E5680" s="36" t="n">
        <x:v>363000</x:v>
      </x:c>
      <x:c r="F5680" s="36" t="n">
        <x:v>3199</x:v>
      </x:c>
      <x:c r="G5680" s="42" t="n">
        <x:v>0.6861861861861862</x:v>
      </x:c>
      <x:c r="H5680" s="36" t="n">
        <x:f>E5680*G5680</x:f>
        <x:v>249085.5855855856</x:v>
      </x:c>
      <x:c r="I5680" s="36" t="n">
        <x:f>IFERROR(H5680/A5680,0)</x:f>
        <x:v>27676.176176176177</x:v>
      </x:c>
      <x:c r="J5680" s="67" t="str">
        <x:v>Modeled from live base + Sep-2026 quality ratio</x:v>
      </x:c>
      <x:c r="K5680" s="67" t="str">
        <x:v>https://www.stonealgo.com/diamond-prices/</x:v>
      </x:c>
      <x:c r="L5680" s="67" t="str">
        <x:v>https://www.pricescope.com/blog/natural-diamond-prices-september-2026</x:v>
      </x:c>
    </x:row>
    <x:row r="5681">
      <x:c r="A5681" t="n">
        <x:v>9</x:v>
      </x:c>
      <x:c r="B5681" t="str">
        <x:v>Marquise</x:v>
      </x:c>
      <x:c r="C5681" t="str">
        <x:v>I</x:v>
      </x:c>
      <x:c r="D5681" t="str">
        <x:v>SI2</x:v>
      </x:c>
      <x:c r="E5681" s="36" t="n">
        <x:v>363000</x:v>
      </x:c>
      <x:c r="F5681" s="36" t="n">
        <x:v>2874</x:v>
      </x:c>
      <x:c r="G5681" s="42" t="n">
        <x:v>0.6164736164736164</x:v>
      </x:c>
      <x:c r="H5681" s="36" t="n">
        <x:f>E5681*G5681</x:f>
        <x:v>223779.92277992275</x:v>
      </x:c>
      <x:c r="I5681" s="36" t="n">
        <x:f>IFERROR(H5681/A5681,0)</x:f>
        <x:v>24864.43586443586</x:v>
      </x:c>
      <x:c r="J5681" s="67" t="str">
        <x:v>Modeled from live base + Sep-2026 quality ratio</x:v>
      </x:c>
      <x:c r="K5681" s="67" t="str">
        <x:v>https://www.stonealgo.com/diamond-prices/</x:v>
      </x:c>
      <x:c r="L5681" s="67" t="str">
        <x:v>https://www.pricescope.com/blog/natural-diamond-prices-september-2026</x:v>
      </x:c>
    </x:row>
    <x:row r="5682">
      <x:c r="A5682" t="n">
        <x:v>9</x:v>
      </x:c>
      <x:c r="B5682" t="str">
        <x:v>Marquise</x:v>
      </x:c>
      <x:c r="C5682" t="str">
        <x:v>J</x:v>
      </x:c>
      <x:c r="D5682" t="str">
        <x:v>FL</x:v>
      </x:c>
      <x:c r="E5682" s="36" t="n">
        <x:v>363000</x:v>
      </x:c>
      <x:c r="F5682" s="36" t="n">
        <x:v>3646</x:v>
      </x:c>
      <x:c r="G5682" s="42" t="n">
        <x:v>0.782067782067782</x:v>
      </x:c>
      <x:c r="H5682" s="36" t="n">
        <x:f>E5682*G5682</x:f>
        <x:v>283890.6048906049</x:v>
      </x:c>
      <x:c r="I5682" s="36" t="n">
        <x:f>IFERROR(H5682/A5682,0)</x:f>
        <x:v>31543.400543400545</x:v>
      </x:c>
      <x:c r="J5682" s="67" t="str">
        <x:v>Modeled from live base + Sep-2026 quality ratio</x:v>
      </x:c>
      <x:c r="K5682" s="67" t="str">
        <x:v>https://www.stonealgo.com/diamond-prices/</x:v>
      </x:c>
      <x:c r="L5682" s="67" t="str">
        <x:v>https://www.pricescope.com/blog/natural-diamond-prices-september-2026</x:v>
      </x:c>
    </x:row>
    <x:row r="5683">
      <x:c r="A5683" t="n">
        <x:v>9</x:v>
      </x:c>
      <x:c r="B5683" t="str">
        <x:v>Marquise</x:v>
      </x:c>
      <x:c r="C5683" t="str">
        <x:v>J</x:v>
      </x:c>
      <x:c r="D5683" t="str">
        <x:v>IF</x:v>
      </x:c>
      <x:c r="E5683" s="36" t="n">
        <x:v>363000</x:v>
      </x:c>
      <x:c r="F5683" s="36" t="n">
        <x:v>3368</x:v>
      </x:c>
      <x:c r="G5683" s="42" t="n">
        <x:v>0.7224367224367224</x:v>
      </x:c>
      <x:c r="H5683" s="36" t="n">
        <x:f>E5683*G5683</x:f>
        <x:v>262244.53024453024</x:v>
      </x:c>
      <x:c r="I5683" s="36" t="n">
        <x:f>IFERROR(H5683/A5683,0)</x:f>
        <x:v>29138.281138281138</x:v>
      </x:c>
      <x:c r="J5683" s="67" t="str">
        <x:v>Modeled from live base + Sep-2026 quality ratio</x:v>
      </x:c>
      <x:c r="K5683" s="67" t="str">
        <x:v>https://www.stonealgo.com/diamond-prices/</x:v>
      </x:c>
      <x:c r="L5683" s="67" t="str">
        <x:v>https://www.pricescope.com/blog/natural-diamond-prices-september-2026</x:v>
      </x:c>
    </x:row>
    <x:row r="5684">
      <x:c r="A5684" t="n">
        <x:v>9</x:v>
      </x:c>
      <x:c r="B5684" t="str">
        <x:v>Marquise</x:v>
      </x:c>
      <x:c r="C5684" t="str">
        <x:v>J</x:v>
      </x:c>
      <x:c r="D5684" t="str">
        <x:v>VVS1</x:v>
      </x:c>
      <x:c r="E5684" s="36" t="n">
        <x:v>363000</x:v>
      </x:c>
      <x:c r="F5684" s="36" t="n">
        <x:v>2956</x:v>
      </x:c>
      <x:c r="G5684" s="42" t="n">
        <x:v>0.6340626340626341</x:v>
      </x:c>
      <x:c r="H5684" s="36" t="n">
        <x:f>E5684*G5684</x:f>
        <x:v>230164.73616473618</x:v>
      </x:c>
      <x:c r="I5684" s="36" t="n">
        <x:f>IFERROR(H5684/A5684,0)</x:f>
        <x:v>25573.859573859576</x:v>
      </x:c>
      <x:c r="J5684" s="67" t="str">
        <x:v>Modeled from live base + Sep-2026 quality ratio</x:v>
      </x:c>
      <x:c r="K5684" s="67" t="str">
        <x:v>https://www.stonealgo.com/diamond-prices/</x:v>
      </x:c>
      <x:c r="L5684" s="67" t="str">
        <x:v>https://www.pricescope.com/blog/natural-diamond-prices-september-2026</x:v>
      </x:c>
    </x:row>
    <x:row r="5685">
      <x:c r="A5685" t="n">
        <x:v>9</x:v>
      </x:c>
      <x:c r="B5685" t="str">
        <x:v>Marquise</x:v>
      </x:c>
      <x:c r="C5685" t="str">
        <x:v>J</x:v>
      </x:c>
      <x:c r="D5685" t="str">
        <x:v>VVS2</x:v>
      </x:c>
      <x:c r="E5685" s="36" t="n">
        <x:v>363000</x:v>
      </x:c>
      <x:c r="F5685" s="36" t="n">
        <x:v>2612</x:v>
      </x:c>
      <x:c r="G5685" s="42" t="n">
        <x:v>0.5602745602745602</x:v>
      </x:c>
      <x:c r="H5685" s="36" t="n">
        <x:f>E5685*G5685</x:f>
        <x:v>203379.66537966536</x:v>
      </x:c>
      <x:c r="I5685" s="36" t="n">
        <x:f>IFERROR(H5685/A5685,0)</x:f>
        <x:v>22597.740597740594</x:v>
      </x:c>
      <x:c r="J5685" s="67" t="str">
        <x:v>Modeled from live base + Sep-2026 quality ratio</x:v>
      </x:c>
      <x:c r="K5685" s="67" t="str">
        <x:v>https://www.stonealgo.com/diamond-prices/</x:v>
      </x:c>
      <x:c r="L5685" s="67" t="str">
        <x:v>https://www.pricescope.com/blog/natural-diamond-prices-september-2026</x:v>
      </x:c>
    </x:row>
    <x:row r="5686">
      <x:c r="A5686" t="n">
        <x:v>9</x:v>
      </x:c>
      <x:c r="B5686" t="str">
        <x:v>Marquise</x:v>
      </x:c>
      <x:c r="C5686" t="str">
        <x:v>J</x:v>
      </x:c>
      <x:c r="D5686" t="str">
        <x:v>VS1</x:v>
      </x:c>
      <x:c r="E5686" s="36" t="n">
        <x:v>363000</x:v>
      </x:c>
      <x:c r="F5686" s="36" t="n">
        <x:v>3002</x:v>
      </x:c>
      <x:c r="G5686" s="42" t="n">
        <x:v>0.6439296439296439</x:v>
      </x:c>
      <x:c r="H5686" s="36" t="n">
        <x:f>E5686*G5686</x:f>
        <x:v>233746.46074646074</x:v>
      </x:c>
      <x:c r="I5686" s="36" t="n">
        <x:f>IFERROR(H5686/A5686,0)</x:f>
        <x:v>25971.82897182897</x:v>
      </x:c>
      <x:c r="J5686" s="67" t="str">
        <x:v>Modeled from live base + Sep-2026 quality ratio</x:v>
      </x:c>
      <x:c r="K5686" s="67" t="str">
        <x:v>https://www.stonealgo.com/diamond-prices/</x:v>
      </x:c>
      <x:c r="L5686" s="67" t="str">
        <x:v>https://www.pricescope.com/blog/natural-diamond-prices-september-2026</x:v>
      </x:c>
    </x:row>
    <x:row r="5687">
      <x:c r="A5687" t="n">
        <x:v>9</x:v>
      </x:c>
      <x:c r="B5687" t="str">
        <x:v>Marquise</x:v>
      </x:c>
      <x:c r="C5687" t="str">
        <x:v>J</x:v>
      </x:c>
      <x:c r="D5687" t="str">
        <x:v>VS2</x:v>
      </x:c>
      <x:c r="E5687" s="36" t="n">
        <x:v>363000</x:v>
      </x:c>
      <x:c r="F5687" s="36" t="n">
        <x:v>2559</x:v>
      </x:c>
      <x:c r="G5687" s="42" t="n">
        <x:v>0.5489060489060489</x:v>
      </x:c>
      <x:c r="H5687" s="36" t="n">
        <x:f>E5687*G5687</x:f>
        <x:v>199252.89575289574</x:v>
      </x:c>
      <x:c r="I5687" s="36" t="n">
        <x:f>IFERROR(H5687/A5687,0)</x:f>
        <x:v>22139.210639210636</x:v>
      </x:c>
      <x:c r="J5687" s="67" t="str">
        <x:v>Modeled from live base + Sep-2026 quality ratio</x:v>
      </x:c>
      <x:c r="K5687" s="67" t="str">
        <x:v>https://www.stonealgo.com/diamond-prices/</x:v>
      </x:c>
      <x:c r="L5687" s="67" t="str">
        <x:v>https://www.pricescope.com/blog/natural-diamond-prices-september-2026</x:v>
      </x:c>
    </x:row>
    <x:row r="5688">
      <x:c r="A5688" t="n">
        <x:v>9</x:v>
      </x:c>
      <x:c r="B5688" t="str">
        <x:v>Marquise</x:v>
      </x:c>
      <x:c r="C5688" t="str">
        <x:v>J</x:v>
      </x:c>
      <x:c r="D5688" t="str">
        <x:v>SI1</x:v>
      </x:c>
      <x:c r="E5688" s="36" t="n">
        <x:v>363000</x:v>
      </x:c>
      <x:c r="F5688" s="36" t="n">
        <x:v>2195</x:v>
      </x:c>
      <x:c r="G5688" s="42" t="n">
        <x:v>0.47082797082797084</x:v>
      </x:c>
      <x:c r="H5688" s="36" t="n">
        <x:f>E5688*G5688</x:f>
        <x:v>170910.5534105534</x:v>
      </x:c>
      <x:c r="I5688" s="36" t="n">
        <x:f>IFERROR(H5688/A5688,0)</x:f>
        <x:v>18990.06149006149</x:v>
      </x:c>
      <x:c r="J5688" s="67" t="str">
        <x:v>Modeled from live base + Sep-2026 quality ratio</x:v>
      </x:c>
      <x:c r="K5688" s="67" t="str">
        <x:v>https://www.stonealgo.com/diamond-prices/</x:v>
      </x:c>
      <x:c r="L5688" s="67" t="str">
        <x:v>https://www.pricescope.com/blog/natural-diamond-prices-september-2026</x:v>
      </x:c>
    </x:row>
    <x:row r="5689">
      <x:c r="A5689" t="n">
        <x:v>9</x:v>
      </x:c>
      <x:c r="B5689" t="str">
        <x:v>Marquise</x:v>
      </x:c>
      <x:c r="C5689" t="str">
        <x:v>J</x:v>
      </x:c>
      <x:c r="D5689" t="str">
        <x:v>SI2</x:v>
      </x:c>
      <x:c r="E5689" s="36" t="n">
        <x:v>363000</x:v>
      </x:c>
      <x:c r="F5689" s="36" t="n">
        <x:v>2079</x:v>
      </x:c>
      <x:c r="G5689" s="42" t="n">
        <x:v>0.44594594594594594</x:v>
      </x:c>
      <x:c r="H5689" s="36" t="n">
        <x:f>E5689*G5689</x:f>
        <x:v>161878.37837837837</x:v>
      </x:c>
      <x:c r="I5689" s="36" t="n">
        <x:f>IFERROR(H5689/A5689,0)</x:f>
        <x:v>17986.486486486487</x:v>
      </x:c>
      <x:c r="J5689" s="67" t="str">
        <x:v>Modeled from live base + Sep-2026 quality ratio</x:v>
      </x:c>
      <x:c r="K5689" s="67" t="str">
        <x:v>https://www.stonealgo.com/diamond-prices/</x:v>
      </x:c>
      <x:c r="L5689" s="67" t="str">
        <x:v>https://www.pricescope.com/blog/natural-diamond-prices-september-2026</x:v>
      </x:c>
    </x:row>
    <x:row r="5690">
      <x:c r="A5690" t="n">
        <x:v>9</x:v>
      </x:c>
      <x:c r="B5690" t="str">
        <x:v>Marquise</x:v>
      </x:c>
      <x:c r="C5690" t="str">
        <x:v>K</x:v>
      </x:c>
      <x:c r="D5690" t="str">
        <x:v>FL</x:v>
      </x:c>
      <x:c r="E5690" s="36" t="n">
        <x:v>363000</x:v>
      </x:c>
      <x:c r="F5690" s="36" t="n">
        <x:v>2858</x:v>
      </x:c>
      <x:c r="G5690" s="42" t="n">
        <x:v>0.6130416130416131</x:v>
      </x:c>
      <x:c r="H5690" s="36" t="n">
        <x:f>E5690*G5690</x:f>
        <x:v>222534.10553410556</x:v>
      </x:c>
      <x:c r="I5690" s="36" t="n">
        <x:f>IFERROR(H5690/A5690,0)</x:f>
        <x:v>24726.01172601173</x:v>
      </x:c>
      <x:c r="J5690" s="67" t="str">
        <x:v>Modeled from live base + Sep-2026 quality ratio; K/FL quality cell modeled</x:v>
      </x:c>
      <x:c r="K5690" s="67" t="str">
        <x:v>https://www.stonealgo.com/diamond-prices/</x:v>
      </x:c>
      <x:c r="L5690" s="67" t="str">
        <x:v>https://www.pricescope.com/blog/natural-diamond-prices-september-2026</x:v>
      </x:c>
    </x:row>
    <x:row r="5691">
      <x:c r="A5691" t="n">
        <x:v>9</x:v>
      </x:c>
      <x:c r="B5691" t="str">
        <x:v>Marquise</x:v>
      </x:c>
      <x:c r="C5691" t="str">
        <x:v>K</x:v>
      </x:c>
      <x:c r="D5691" t="str">
        <x:v>IF</x:v>
      </x:c>
      <x:c r="E5691" s="36" t="n">
        <x:v>363000</x:v>
      </x:c>
      <x:c r="F5691" s="36" t="n">
        <x:v>2743</x:v>
      </x:c>
      <x:c r="G5691" s="42" t="n">
        <x:v>0.5883740883740883</x:v>
      </x:c>
      <x:c r="H5691" s="36" t="n">
        <x:f>E5691*G5691</x:f>
        <x:v>213579.79407979405</x:v>
      </x:c>
      <x:c r="I5691" s="36" t="n">
        <x:f>IFERROR(H5691/A5691,0)</x:f>
        <x:v>23731.08823108823</x:v>
      </x:c>
      <x:c r="J5691" s="67" t="str">
        <x:v>Modeled from live base + Sep-2026 quality ratio</x:v>
      </x:c>
      <x:c r="K5691" s="67" t="str">
        <x:v>https://www.stonealgo.com/diamond-prices/</x:v>
      </x:c>
      <x:c r="L5691" s="67" t="str">
        <x:v>https://www.pricescope.com/blog/natural-diamond-prices-september-2026</x:v>
      </x:c>
    </x:row>
    <x:row r="5692">
      <x:c r="A5692" t="n">
        <x:v>9</x:v>
      </x:c>
      <x:c r="B5692" t="str">
        <x:v>Marquise</x:v>
      </x:c>
      <x:c r="C5692" t="str">
        <x:v>K</x:v>
      </x:c>
      <x:c r="D5692" t="str">
        <x:v>VVS1</x:v>
      </x:c>
      <x:c r="E5692" s="36" t="n">
        <x:v>363000</x:v>
      </x:c>
      <x:c r="F5692" s="36" t="n">
        <x:v>2529</x:v>
      </x:c>
      <x:c r="G5692" s="42" t="n">
        <x:v>0.5424710424710425</x:v>
      </x:c>
      <x:c r="H5692" s="36" t="n">
        <x:f>E5692*G5692</x:f>
        <x:v>196916.98841698843</x:v>
      </x:c>
      <x:c r="I5692" s="36" t="n">
        <x:f>IFERROR(H5692/A5692,0)</x:f>
        <x:v>21879.66537966538</x:v>
      </x:c>
      <x:c r="J5692" s="67" t="str">
        <x:v>Modeled from live base + Sep-2026 quality ratio</x:v>
      </x:c>
      <x:c r="K5692" s="67" t="str">
        <x:v>https://www.stonealgo.com/diamond-prices/</x:v>
      </x:c>
      <x:c r="L5692" s="67" t="str">
        <x:v>https://www.pricescope.com/blog/natural-diamond-prices-september-2026</x:v>
      </x:c>
    </x:row>
    <x:row r="5693">
      <x:c r="A5693" t="n">
        <x:v>9</x:v>
      </x:c>
      <x:c r="B5693" t="str">
        <x:v>Marquise</x:v>
      </x:c>
      <x:c r="C5693" t="str">
        <x:v>K</x:v>
      </x:c>
      <x:c r="D5693" t="str">
        <x:v>VVS2</x:v>
      </x:c>
      <x:c r="E5693" s="36" t="n">
        <x:v>363000</x:v>
      </x:c>
      <x:c r="F5693" s="36" t="n">
        <x:v>2374</x:v>
      </x:c>
      <x:c r="G5693" s="42" t="n">
        <x:v>0.5092235092235092</x:v>
      </x:c>
      <x:c r="H5693" s="36" t="n">
        <x:f>E5693*G5693</x:f>
        <x:v>184848.13384813385</x:v>
      </x:c>
      <x:c r="I5693" s="36" t="n">
        <x:f>IFERROR(H5693/A5693,0)</x:f>
        <x:v>20538.68153868154</x:v>
      </x:c>
      <x:c r="J5693" s="67" t="str">
        <x:v>Modeled from live base + Sep-2026 quality ratio</x:v>
      </x:c>
      <x:c r="K5693" s="67" t="str">
        <x:v>https://www.stonealgo.com/diamond-prices/</x:v>
      </x:c>
      <x:c r="L5693" s="67" t="str">
        <x:v>https://www.pricescope.com/blog/natural-diamond-prices-september-2026</x:v>
      </x:c>
    </x:row>
    <x:row r="5694">
      <x:c r="A5694" t="n">
        <x:v>9</x:v>
      </x:c>
      <x:c r="B5694" t="str">
        <x:v>Marquise</x:v>
      </x:c>
      <x:c r="C5694" t="str">
        <x:v>K</x:v>
      </x:c>
      <x:c r="D5694" t="str">
        <x:v>VS1</x:v>
      </x:c>
      <x:c r="E5694" s="36" t="n">
        <x:v>363000</x:v>
      </x:c>
      <x:c r="F5694" s="36" t="n">
        <x:v>2223</x:v>
      </x:c>
      <x:c r="G5694" s="42" t="n">
        <x:v>0.4768339768339768</x:v>
      </x:c>
      <x:c r="H5694" s="36" t="n">
        <x:f>E5694*G5694</x:f>
        <x:v>173090.73359073358</x:v>
      </x:c>
      <x:c r="I5694" s="36" t="n">
        <x:f>IFERROR(H5694/A5694,0)</x:f>
        <x:v>19232.30373230373</x:v>
      </x:c>
      <x:c r="J5694" s="67" t="str">
        <x:v>Modeled from live base + Sep-2026 quality ratio</x:v>
      </x:c>
      <x:c r="K5694" s="67" t="str">
        <x:v>https://www.stonealgo.com/diamond-prices/</x:v>
      </x:c>
      <x:c r="L5694" s="67" t="str">
        <x:v>https://www.pricescope.com/blog/natural-diamond-prices-september-2026</x:v>
      </x:c>
    </x:row>
    <x:row r="5695">
      <x:c r="A5695" t="n">
        <x:v>9</x:v>
      </x:c>
      <x:c r="B5695" t="str">
        <x:v>Marquise</x:v>
      </x:c>
      <x:c r="C5695" t="str">
        <x:v>K</x:v>
      </x:c>
      <x:c r="D5695" t="str">
        <x:v>VS2</x:v>
      </x:c>
      <x:c r="E5695" s="36" t="n">
        <x:v>363000</x:v>
      </x:c>
      <x:c r="F5695" s="36" t="n">
        <x:v>2098</x:v>
      </x:c>
      <x:c r="G5695" s="42" t="n">
        <x:v>0.45002145002145</x:v>
      </x:c>
      <x:c r="H5695" s="36" t="n">
        <x:f>E5695*G5695</x:f>
        <x:v>163357.78635778636</x:v>
      </x:c>
      <x:c r="I5695" s="36" t="n">
        <x:f>IFERROR(H5695/A5695,0)</x:f>
        <x:v>18150.865150865153</x:v>
      </x:c>
      <x:c r="J5695" s="67" t="str">
        <x:v>Modeled from live base + Sep-2026 quality ratio</x:v>
      </x:c>
      <x:c r="K5695" s="67" t="str">
        <x:v>https://www.stonealgo.com/diamond-prices/</x:v>
      </x:c>
      <x:c r="L5695" s="67" t="str">
        <x:v>https://www.pricescope.com/blog/natural-diamond-prices-september-2026</x:v>
      </x:c>
    </x:row>
    <x:row r="5696">
      <x:c r="A5696" t="n">
        <x:v>9</x:v>
      </x:c>
      <x:c r="B5696" t="str">
        <x:v>Marquise</x:v>
      </x:c>
      <x:c r="C5696" t="str">
        <x:v>K</x:v>
      </x:c>
      <x:c r="D5696" t="str">
        <x:v>SI1</x:v>
      </x:c>
      <x:c r="E5696" s="36" t="n">
        <x:v>363000</x:v>
      </x:c>
      <x:c r="F5696" s="36" t="n">
        <x:v>1922</x:v>
      </x:c>
      <x:c r="G5696" s="42" t="n">
        <x:v>0.41226941226941227</x:v>
      </x:c>
      <x:c r="H5696" s="36" t="n">
        <x:f>E5696*G5696</x:f>
        <x:v>149653.79665379666</x:v>
      </x:c>
      <x:c r="I5696" s="36" t="n">
        <x:f>IFERROR(H5696/A5696,0)</x:f>
        <x:v>16628.19962819963</x:v>
      </x:c>
      <x:c r="J5696" s="67" t="str">
        <x:v>Modeled from live base + Sep-2026 quality ratio</x:v>
      </x:c>
      <x:c r="K5696" s="67" t="str">
        <x:v>https://www.stonealgo.com/diamond-prices/</x:v>
      </x:c>
      <x:c r="L5696" s="67" t="str">
        <x:v>https://www.pricescope.com/blog/natural-diamond-prices-september-2026</x:v>
      </x:c>
    </x:row>
    <x:row r="5697">
      <x:c r="A5697" t="n">
        <x:v>9</x:v>
      </x:c>
      <x:c r="B5697" t="str">
        <x:v>Marquise</x:v>
      </x:c>
      <x:c r="C5697" t="str">
        <x:v>K</x:v>
      </x:c>
      <x:c r="D5697" t="str">
        <x:v>SI2</x:v>
      </x:c>
      <x:c r="E5697" s="36" t="n">
        <x:v>363000</x:v>
      </x:c>
      <x:c r="F5697" s="36" t="n">
        <x:v>1764</x:v>
      </x:c>
      <x:c r="G5697" s="42" t="n">
        <x:v>0.3783783783783784</x:v>
      </x:c>
      <x:c r="H5697" s="36" t="n">
        <x:f>E5697*G5697</x:f>
        <x:v>137351.35135135136</x:v>
      </x:c>
      <x:c r="I5697" s="36" t="n">
        <x:f>IFERROR(H5697/A5697,0)</x:f>
        <x:v>15261.261261261263</x:v>
      </x:c>
      <x:c r="J5697" s="67" t="str">
        <x:v>Modeled from live base + Sep-2026 quality ratio</x:v>
      </x:c>
      <x:c r="K5697" s="67" t="str">
        <x:v>https://www.stonealgo.com/diamond-prices/</x:v>
      </x:c>
      <x:c r="L5697" s="67" t="str">
        <x:v>https://www.pricescope.com/blog/natural-diamond-prices-september-2026</x:v>
      </x:c>
    </x:row>
    <x:row r="5698">
      <x:c r="A5698" t="n">
        <x:v>9</x:v>
      </x:c>
      <x:c r="B5698" t="str">
        <x:v>Asscher</x:v>
      </x:c>
      <x:c r="C5698" t="str">
        <x:v>D</x:v>
      </x:c>
      <x:c r="D5698" t="str">
        <x:v>FL</x:v>
      </x:c>
      <x:c r="E5698" s="36" t="n">
        <x:v>388000</x:v>
      </x:c>
      <x:c r="F5698" s="36" t="n">
        <x:v>12665</x:v>
      </x:c>
      <x:c r="G5698" s="42" t="n">
        <x:v>2.7166452166452166</x:v>
      </x:c>
      <x:c r="H5698" s="36" t="n">
        <x:f>E5698*G5698</x:f>
        <x:v>1054058.3440583441</x:v>
      </x:c>
      <x:c r="I5698" s="36" t="n">
        <x:f>IFERROR(H5698/A5698,0)</x:f>
        <x:v>117117.59378426046</x:v>
      </x:c>
      <x:c r="J5698" s="67" t="str">
        <x:v>Modeled from live base + Sep-2026 quality ratio</x:v>
      </x:c>
      <x:c r="K5698" s="67" t="str">
        <x:v>https://www.stonealgo.com/diamond-prices/</x:v>
      </x:c>
      <x:c r="L5698" s="67" t="str">
        <x:v>https://www.pricescope.com/blog/natural-diamond-prices-september-2026</x:v>
      </x:c>
    </x:row>
    <x:row r="5699">
      <x:c r="A5699" t="n">
        <x:v>9</x:v>
      </x:c>
      <x:c r="B5699" t="str">
        <x:v>Asscher</x:v>
      </x:c>
      <x:c r="C5699" t="str">
        <x:v>D</x:v>
      </x:c>
      <x:c r="D5699" t="str">
        <x:v>IF</x:v>
      </x:c>
      <x:c r="E5699" s="36" t="n">
        <x:v>388000</x:v>
      </x:c>
      <x:c r="F5699" s="36" t="n">
        <x:v>13240</x:v>
      </x:c>
      <x:c r="G5699" s="42" t="n">
        <x:v>2.83998283998284</x:v>
      </x:c>
      <x:c r="H5699" s="36" t="n">
        <x:f>E5699*G5699</x:f>
        <x:v>1101913.341913342</x:v>
      </x:c>
      <x:c r="I5699" s="36" t="n">
        <x:f>IFERROR(H5699/A5699,0)</x:f>
        <x:v>122434.81576814911</x:v>
      </x:c>
      <x:c r="J5699" s="67" t="str">
        <x:v>Modeled from live base + Sep-2026 quality ratio</x:v>
      </x:c>
      <x:c r="K5699" s="67" t="str">
        <x:v>https://www.stonealgo.com/diamond-prices/</x:v>
      </x:c>
      <x:c r="L5699" s="67" t="str">
        <x:v>https://www.pricescope.com/blog/natural-diamond-prices-september-2026</x:v>
      </x:c>
    </x:row>
    <x:row r="5700">
      <x:c r="A5700" t="n">
        <x:v>9</x:v>
      </x:c>
      <x:c r="B5700" t="str">
        <x:v>Asscher</x:v>
      </x:c>
      <x:c r="C5700" t="str">
        <x:v>D</x:v>
      </x:c>
      <x:c r="D5700" t="str">
        <x:v>VVS1</x:v>
      </x:c>
      <x:c r="E5700" s="36" t="n">
        <x:v>388000</x:v>
      </x:c>
      <x:c r="F5700" s="36" t="n">
        <x:v>9555</x:v>
      </x:c>
      <x:c r="G5700" s="42" t="n">
        <x:v>2.0495495495495497</x:v>
      </x:c>
      <x:c r="H5700" s="36" t="n">
        <x:f>E5700*G5700</x:f>
        <x:v>795225.2252252253</x:v>
      </x:c>
      <x:c r="I5700" s="36" t="n">
        <x:f>IFERROR(H5700/A5700,0)</x:f>
        <x:v>88358.35835835837</x:v>
      </x:c>
      <x:c r="J5700" s="67" t="str">
        <x:v>Modeled from live base + Sep-2026 quality ratio</x:v>
      </x:c>
      <x:c r="K5700" s="67" t="str">
        <x:v>https://www.stonealgo.com/diamond-prices/</x:v>
      </x:c>
      <x:c r="L5700" s="67" t="str">
        <x:v>https://www.pricescope.com/blog/natural-diamond-prices-september-2026</x:v>
      </x:c>
    </x:row>
    <x:row r="5701">
      <x:c r="A5701" t="n">
        <x:v>9</x:v>
      </x:c>
      <x:c r="B5701" t="str">
        <x:v>Asscher</x:v>
      </x:c>
      <x:c r="C5701" t="str">
        <x:v>D</x:v>
      </x:c>
      <x:c r="D5701" t="str">
        <x:v>VVS2</x:v>
      </x:c>
      <x:c r="E5701" s="36" t="n">
        <x:v>388000</x:v>
      </x:c>
      <x:c r="F5701" s="36" t="n">
        <x:v>6660</x:v>
      </x:c>
      <x:c r="G5701" s="42" t="n">
        <x:v>1.4285714285714286</x:v>
      </x:c>
      <x:c r="H5701" s="36" t="n">
        <x:f>E5701*G5701</x:f>
        <x:v>554285.7142857143</x:v>
      </x:c>
      <x:c r="I5701" s="36" t="n">
        <x:f>IFERROR(H5701/A5701,0)</x:f>
        <x:v>61587.30158730159</x:v>
      </x:c>
      <x:c r="J5701" s="67" t="str">
        <x:v>Modeled from live base + Sep-2026 quality ratio</x:v>
      </x:c>
      <x:c r="K5701" s="67" t="str">
        <x:v>https://www.stonealgo.com/diamond-prices/</x:v>
      </x:c>
      <x:c r="L5701" s="67" t="str">
        <x:v>https://www.pricescope.com/blog/natural-diamond-prices-september-2026</x:v>
      </x:c>
    </x:row>
    <x:row r="5702">
      <x:c r="A5702" t="n">
        <x:v>9</x:v>
      </x:c>
      <x:c r="B5702" t="str">
        <x:v>Asscher</x:v>
      </x:c>
      <x:c r="C5702" t="str">
        <x:v>D</x:v>
      </x:c>
      <x:c r="D5702" t="str">
        <x:v>VS1</x:v>
      </x:c>
      <x:c r="E5702" s="36" t="n">
        <x:v>388000</x:v>
      </x:c>
      <x:c r="F5702" s="36" t="n">
        <x:v>6247</x:v>
      </x:c>
      <x:c r="G5702" s="42" t="n">
        <x:v>1.33998283998284</x:v>
      </x:c>
      <x:c r="H5702" s="36" t="n">
        <x:f>E5702*G5702</x:f>
        <x:v>519913.3419133419</x:v>
      </x:c>
      <x:c r="I5702" s="36" t="n">
        <x:f>IFERROR(H5702/A5702,0)</x:f>
        <x:v>57768.149101482435</x:v>
      </x:c>
      <x:c r="J5702" s="67" t="str">
        <x:v>Modeled from live base + Sep-2026 quality ratio</x:v>
      </x:c>
      <x:c r="K5702" s="67" t="str">
        <x:v>https://www.stonealgo.com/diamond-prices/</x:v>
      </x:c>
      <x:c r="L5702" s="67" t="str">
        <x:v>https://www.pricescope.com/blog/natural-diamond-prices-september-2026</x:v>
      </x:c>
    </x:row>
    <x:row r="5703">
      <x:c r="A5703" t="n">
        <x:v>9</x:v>
      </x:c>
      <x:c r="B5703" t="str">
        <x:v>Asscher</x:v>
      </x:c>
      <x:c r="C5703" t="str">
        <x:v>D</x:v>
      </x:c>
      <x:c r="D5703" t="str">
        <x:v>VS2</x:v>
      </x:c>
      <x:c r="E5703" s="36" t="n">
        <x:v>388000</x:v>
      </x:c>
      <x:c r="F5703" s="36" t="n">
        <x:v>5841</x:v>
      </x:c>
      <x:c r="G5703" s="42" t="n">
        <x:v>1.252895752895753</x:v>
      </x:c>
      <x:c r="H5703" s="36" t="n">
        <x:f>E5703*G5703</x:f>
        <x:v>486123.55212355213</x:v>
      </x:c>
      <x:c r="I5703" s="36" t="n">
        <x:f>IFERROR(H5703/A5703,0)</x:f>
        <x:v>54013.72801372802</x:v>
      </x:c>
      <x:c r="J5703" s="67" t="str">
        <x:v>Modeled from live base + Sep-2026 quality ratio</x:v>
      </x:c>
      <x:c r="K5703" s="67" t="str">
        <x:v>https://www.stonealgo.com/diamond-prices/</x:v>
      </x:c>
      <x:c r="L5703" s="67" t="str">
        <x:v>https://www.pricescope.com/blog/natural-diamond-prices-september-2026</x:v>
      </x:c>
    </x:row>
    <x:row r="5704">
      <x:c r="A5704" t="n">
        <x:v>9</x:v>
      </x:c>
      <x:c r="B5704" t="str">
        <x:v>Asscher</x:v>
      </x:c>
      <x:c r="C5704" t="str">
        <x:v>D</x:v>
      </x:c>
      <x:c r="D5704" t="str">
        <x:v>SI1</x:v>
      </x:c>
      <x:c r="E5704" s="36" t="n">
        <x:v>388000</x:v>
      </x:c>
      <x:c r="F5704" s="36" t="n">
        <x:v>3762</x:v>
      </x:c>
      <x:c r="G5704" s="42" t="n">
        <x:v>0.806949806949807</x:v>
      </x:c>
      <x:c r="H5704" s="36" t="n">
        <x:f>E5704*G5704</x:f>
        <x:v>313096.5250965251</x:v>
      </x:c>
      <x:c r="I5704" s="36" t="n">
        <x:f>IFERROR(H5704/A5704,0)</x:f>
        <x:v>34788.50278850279</x:v>
      </x:c>
      <x:c r="J5704" s="67" t="str">
        <x:v>Modeled from live base + Sep-2026 quality ratio</x:v>
      </x:c>
      <x:c r="K5704" s="67" t="str">
        <x:v>https://www.stonealgo.com/diamond-prices/</x:v>
      </x:c>
      <x:c r="L5704" s="67" t="str">
        <x:v>https://www.pricescope.com/blog/natural-diamond-prices-september-2026</x:v>
      </x:c>
    </x:row>
    <x:row r="5705">
      <x:c r="A5705" t="n">
        <x:v>9</x:v>
      </x:c>
      <x:c r="B5705" t="str">
        <x:v>Asscher</x:v>
      </x:c>
      <x:c r="C5705" t="str">
        <x:v>D</x:v>
      </x:c>
      <x:c r="D5705" t="str">
        <x:v>SI2</x:v>
      </x:c>
      <x:c r="E5705" s="36" t="n">
        <x:v>388000</x:v>
      </x:c>
      <x:c r="F5705" s="36" t="n">
        <x:v>3026</x:v>
      </x:c>
      <x:c r="G5705" s="42" t="n">
        <x:v>0.6490776490776491</x:v>
      </x:c>
      <x:c r="H5705" s="36" t="n">
        <x:f>E5705*G5705</x:f>
        <x:v>251842.12784212784</x:v>
      </x:c>
      <x:c r="I5705" s="36" t="n">
        <x:f>IFERROR(H5705/A5705,0)</x:f>
        <x:v>27982.458649125314</x:v>
      </x:c>
      <x:c r="J5705" s="67" t="str">
        <x:v>Modeled from live base + Sep-2026 quality ratio</x:v>
      </x:c>
      <x:c r="K5705" s="67" t="str">
        <x:v>https://www.stonealgo.com/diamond-prices/</x:v>
      </x:c>
      <x:c r="L5705" s="67" t="str">
        <x:v>https://www.pricescope.com/blog/natural-diamond-prices-september-2026</x:v>
      </x:c>
    </x:row>
    <x:row r="5706">
      <x:c r="A5706" t="n">
        <x:v>9</x:v>
      </x:c>
      <x:c r="B5706" t="str">
        <x:v>Asscher</x:v>
      </x:c>
      <x:c r="C5706" t="str">
        <x:v>E</x:v>
      </x:c>
      <x:c r="D5706" t="str">
        <x:v>FL</x:v>
      </x:c>
      <x:c r="E5706" s="36" t="n">
        <x:v>388000</x:v>
      </x:c>
      <x:c r="F5706" s="36" t="n">
        <x:v>10072</x:v>
      </x:c>
      <x:c r="G5706" s="42" t="n">
        <x:v>2.1604461604461602</x:v>
      </x:c>
      <x:c r="H5706" s="36" t="n">
        <x:f>E5706*G5706</x:f>
        <x:v>838253.1102531102</x:v>
      </x:c>
      <x:c r="I5706" s="36" t="n">
        <x:f>IFERROR(H5706/A5706,0)</x:f>
        <x:v>93139.2344725678</x:v>
      </x:c>
      <x:c r="J5706" s="67" t="str">
        <x:v>Modeled from live base + Sep-2026 quality ratio</x:v>
      </x:c>
      <x:c r="K5706" s="67" t="str">
        <x:v>https://www.stonealgo.com/diamond-prices/</x:v>
      </x:c>
      <x:c r="L5706" s="67" t="str">
        <x:v>https://www.pricescope.com/blog/natural-diamond-prices-september-2026</x:v>
      </x:c>
    </x:row>
    <x:row r="5707">
      <x:c r="A5707" t="n">
        <x:v>9</x:v>
      </x:c>
      <x:c r="B5707" t="str">
        <x:v>Asscher</x:v>
      </x:c>
      <x:c r="C5707" t="str">
        <x:v>E</x:v>
      </x:c>
      <x:c r="D5707" t="str">
        <x:v>IF</x:v>
      </x:c>
      <x:c r="E5707" s="36" t="n">
        <x:v>388000</x:v>
      </x:c>
      <x:c r="F5707" s="36" t="n">
        <x:v>8672</x:v>
      </x:c>
      <x:c r="G5707" s="42" t="n">
        <x:v>1.8601458601458603</x:v>
      </x:c>
      <x:c r="H5707" s="36" t="n">
        <x:f>E5707*G5707</x:f>
        <x:v>721736.5937365937</x:v>
      </x:c>
      <x:c r="I5707" s="36" t="n">
        <x:f>IFERROR(H5707/A5707,0)</x:f>
        <x:v>80192.95485962153</x:v>
      </x:c>
      <x:c r="J5707" s="67" t="str">
        <x:v>Modeled from live base + Sep-2026 quality ratio</x:v>
      </x:c>
      <x:c r="K5707" s="67" t="str">
        <x:v>https://www.stonealgo.com/diamond-prices/</x:v>
      </x:c>
      <x:c r="L5707" s="67" t="str">
        <x:v>https://www.pricescope.com/blog/natural-diamond-prices-september-2026</x:v>
      </x:c>
    </x:row>
    <x:row r="5708">
      <x:c r="A5708" t="n">
        <x:v>9</x:v>
      </x:c>
      <x:c r="B5708" t="str">
        <x:v>Asscher</x:v>
      </x:c>
      <x:c r="C5708" t="str">
        <x:v>E</x:v>
      </x:c>
      <x:c r="D5708" t="str">
        <x:v>VVS1</x:v>
      </x:c>
      <x:c r="E5708" s="36" t="n">
        <x:v>388000</x:v>
      </x:c>
      <x:c r="F5708" s="36" t="n">
        <x:v>7842</x:v>
      </x:c>
      <x:c r="G5708" s="42" t="n">
        <x:v>1.6821106821106822</x:v>
      </x:c>
      <x:c r="H5708" s="36" t="n">
        <x:f>E5708*G5708</x:f>
        <x:v>652658.9446589447</x:v>
      </x:c>
      <x:c r="I5708" s="36" t="n">
        <x:f>IFERROR(H5708/A5708,0)</x:f>
        <x:v>72517.66051766052</x:v>
      </x:c>
      <x:c r="J5708" s="67" t="str">
        <x:v>Modeled from live base + Sep-2026 quality ratio</x:v>
      </x:c>
      <x:c r="K5708" s="67" t="str">
        <x:v>https://www.stonealgo.com/diamond-prices/</x:v>
      </x:c>
      <x:c r="L5708" s="67" t="str">
        <x:v>https://www.pricescope.com/blog/natural-diamond-prices-september-2026</x:v>
      </x:c>
    </x:row>
    <x:row r="5709">
      <x:c r="A5709" t="n">
        <x:v>9</x:v>
      </x:c>
      <x:c r="B5709" t="str">
        <x:v>Asscher</x:v>
      </x:c>
      <x:c r="C5709" t="str">
        <x:v>E</x:v>
      </x:c>
      <x:c r="D5709" t="str">
        <x:v>VVS2</x:v>
      </x:c>
      <x:c r="E5709" s="36" t="n">
        <x:v>388000</x:v>
      </x:c>
      <x:c r="F5709" s="36" t="n">
        <x:v>6880</x:v>
      </x:c>
      <x:c r="G5709" s="42" t="n">
        <x:v>1.4757614757614759</x:v>
      </x:c>
      <x:c r="H5709" s="36" t="n">
        <x:f>E5709*G5709</x:f>
        <x:v>572595.4525954527</x:v>
      </x:c>
      <x:c r="I5709" s="36" t="n">
        <x:f>IFERROR(H5709/A5709,0)</x:f>
        <x:v>63621.716955050295</x:v>
      </x:c>
      <x:c r="J5709" s="67" t="str">
        <x:v>Modeled from live base + Sep-2026 quality ratio</x:v>
      </x:c>
      <x:c r="K5709" s="67" t="str">
        <x:v>https://www.stonealgo.com/diamond-prices/</x:v>
      </x:c>
      <x:c r="L5709" s="67" t="str">
        <x:v>https://www.pricescope.com/blog/natural-diamond-prices-september-2026</x:v>
      </x:c>
    </x:row>
    <x:row r="5710">
      <x:c r="A5710" t="n">
        <x:v>9</x:v>
      </x:c>
      <x:c r="B5710" t="str">
        <x:v>Asscher</x:v>
      </x:c>
      <x:c r="C5710" t="str">
        <x:v>E</x:v>
      </x:c>
      <x:c r="D5710" t="str">
        <x:v>VS1</x:v>
      </x:c>
      <x:c r="E5710" s="36" t="n">
        <x:v>388000</x:v>
      </x:c>
      <x:c r="F5710" s="36" t="n">
        <x:v>6307</x:v>
      </x:c>
      <x:c r="G5710" s="42" t="n">
        <x:v>1.352852852852853</x:v>
      </x:c>
      <x:c r="H5710" s="36" t="n">
        <x:f>E5710*G5710</x:f>
        <x:v>524906.906906907</x:v>
      </x:c>
      <x:c r="I5710" s="36" t="n">
        <x:f>IFERROR(H5710/A5710,0)</x:f>
        <x:v>58322.989656323</x:v>
      </x:c>
      <x:c r="J5710" s="67" t="str">
        <x:v>Modeled from live base + Sep-2026 quality ratio</x:v>
      </x:c>
      <x:c r="K5710" s="67" t="str">
        <x:v>https://www.stonealgo.com/diamond-prices/</x:v>
      </x:c>
      <x:c r="L5710" s="67" t="str">
        <x:v>https://www.pricescope.com/blog/natural-diamond-prices-september-2026</x:v>
      </x:c>
    </x:row>
    <x:row r="5711">
      <x:c r="A5711" t="n">
        <x:v>9</x:v>
      </x:c>
      <x:c r="B5711" t="str">
        <x:v>Asscher</x:v>
      </x:c>
      <x:c r="C5711" t="str">
        <x:v>E</x:v>
      </x:c>
      <x:c r="D5711" t="str">
        <x:v>VS2</x:v>
      </x:c>
      <x:c r="E5711" s="36" t="n">
        <x:v>388000</x:v>
      </x:c>
      <x:c r="F5711" s="36" t="n">
        <x:v>5249</x:v>
      </x:c>
      <x:c r="G5711" s="42" t="n">
        <x:v>1.125911625911626</x:v>
      </x:c>
      <x:c r="H5711" s="36" t="n">
        <x:f>E5711*G5711</x:f>
        <x:v>436853.7108537109</x:v>
      </x:c>
      <x:c r="I5711" s="36" t="n">
        <x:f>IFERROR(H5711/A5711,0)</x:f>
        <x:v>48539.30120596787</x:v>
      </x:c>
      <x:c r="J5711" s="67" t="str">
        <x:v>Modeled from live base + Sep-2026 quality ratio</x:v>
      </x:c>
      <x:c r="K5711" s="67" t="str">
        <x:v>https://www.stonealgo.com/diamond-prices/</x:v>
      </x:c>
      <x:c r="L5711" s="67" t="str">
        <x:v>https://www.pricescope.com/blog/natural-diamond-prices-september-2026</x:v>
      </x:c>
    </x:row>
    <x:row r="5712">
      <x:c r="A5712" t="n">
        <x:v>9</x:v>
      </x:c>
      <x:c r="B5712" t="str">
        <x:v>Asscher</x:v>
      </x:c>
      <x:c r="C5712" t="str">
        <x:v>E</x:v>
      </x:c>
      <x:c r="D5712" t="str">
        <x:v>SI1</x:v>
      </x:c>
      <x:c r="E5712" s="36" t="n">
        <x:v>388000</x:v>
      </x:c>
      <x:c r="F5712" s="36" t="n">
        <x:v>3551</x:v>
      </x:c>
      <x:c r="G5712" s="42" t="n">
        <x:v>0.7616902616902617</x:v>
      </x:c>
      <x:c r="H5712" s="36" t="n">
        <x:f>E5712*G5712</x:f>
        <x:v>295535.82153582154</x:v>
      </x:c>
      <x:c r="I5712" s="36" t="n">
        <x:f>IFERROR(H5712/A5712,0)</x:f>
        <x:v>32837.31350398017</x:v>
      </x:c>
      <x:c r="J5712" s="67" t="str">
        <x:v>Modeled from live base + Sep-2026 quality ratio</x:v>
      </x:c>
      <x:c r="K5712" s="67" t="str">
        <x:v>https://www.stonealgo.com/diamond-prices/</x:v>
      </x:c>
      <x:c r="L5712" s="67" t="str">
        <x:v>https://www.pricescope.com/blog/natural-diamond-prices-september-2026</x:v>
      </x:c>
    </x:row>
    <x:row r="5713">
      <x:c r="A5713" t="n">
        <x:v>9</x:v>
      </x:c>
      <x:c r="B5713" t="str">
        <x:v>Asscher</x:v>
      </x:c>
      <x:c r="C5713" t="str">
        <x:v>E</x:v>
      </x:c>
      <x:c r="D5713" t="str">
        <x:v>SI2</x:v>
      </x:c>
      <x:c r="E5713" s="36" t="n">
        <x:v>388000</x:v>
      </x:c>
      <x:c r="F5713" s="36" t="n">
        <x:v>2993</x:v>
      </x:c>
      <x:c r="G5713" s="42" t="n">
        <x:v>0.641999141999142</x:v>
      </x:c>
      <x:c r="H5713" s="36" t="n">
        <x:f>E5713*G5713</x:f>
        <x:v>249095.6670956671</x:v>
      </x:c>
      <x:c r="I5713" s="36" t="n">
        <x:f>IFERROR(H5713/A5713,0)</x:f>
        <x:v>27677.29634396301</x:v>
      </x:c>
      <x:c r="J5713" s="67" t="str">
        <x:v>Modeled from live base + Sep-2026 quality ratio</x:v>
      </x:c>
      <x:c r="K5713" s="67" t="str">
        <x:v>https://www.stonealgo.com/diamond-prices/</x:v>
      </x:c>
      <x:c r="L5713" s="67" t="str">
        <x:v>https://www.pricescope.com/blog/natural-diamond-prices-september-2026</x:v>
      </x:c>
    </x:row>
    <x:row r="5714">
      <x:c r="A5714" t="n">
        <x:v>9</x:v>
      </x:c>
      <x:c r="B5714" t="str">
        <x:v>Asscher</x:v>
      </x:c>
      <x:c r="C5714" t="str">
        <x:v>F</x:v>
      </x:c>
      <x:c r="D5714" t="str">
        <x:v>FL</x:v>
      </x:c>
      <x:c r="E5714" s="36" t="n">
        <x:v>388000</x:v>
      </x:c>
      <x:c r="F5714" s="36" t="n">
        <x:v>6830</x:v>
      </x:c>
      <x:c r="G5714" s="42" t="n">
        <x:v>1.4650364650364651</x:v>
      </x:c>
      <x:c r="H5714" s="36" t="n">
        <x:f>E5714*G5714</x:f>
        <x:v>568434.1484341485</x:v>
      </x:c>
      <x:c r="I5714" s="36" t="n">
        <x:f>IFERROR(H5714/A5714,0)</x:f>
        <x:v>63159.3498260165</x:v>
      </x:c>
      <x:c r="J5714" s="67" t="str">
        <x:v>Modeled from live base + Sep-2026 quality ratio</x:v>
      </x:c>
      <x:c r="K5714" s="67" t="str">
        <x:v>https://www.stonealgo.com/diamond-prices/</x:v>
      </x:c>
      <x:c r="L5714" s="67" t="str">
        <x:v>https://www.pricescope.com/blog/natural-diamond-prices-september-2026</x:v>
      </x:c>
    </x:row>
    <x:row r="5715">
      <x:c r="A5715" t="n">
        <x:v>9</x:v>
      </x:c>
      <x:c r="B5715" t="str">
        <x:v>Asscher</x:v>
      </x:c>
      <x:c r="C5715" t="str">
        <x:v>F</x:v>
      </x:c>
      <x:c r="D5715" t="str">
        <x:v>IF</x:v>
      </x:c>
      <x:c r="E5715" s="36" t="n">
        <x:v>388000</x:v>
      </x:c>
      <x:c r="F5715" s="36" t="n">
        <x:v>7302</x:v>
      </x:c>
      <x:c r="G5715" s="42" t="n">
        <x:v>1.5662805662805663</x:v>
      </x:c>
      <x:c r="H5715" s="36" t="n">
        <x:f>E5715*G5715</x:f>
        <x:v>607716.8597168598</x:v>
      </x:c>
      <x:c r="I5715" s="36" t="n">
        <x:f>IFERROR(H5715/A5715,0)</x:f>
        <x:v>67524.09552409552</x:v>
      </x:c>
      <x:c r="J5715" s="67" t="str">
        <x:v>Modeled from live base + Sep-2026 quality ratio</x:v>
      </x:c>
      <x:c r="K5715" s="67" t="str">
        <x:v>https://www.stonealgo.com/diamond-prices/</x:v>
      </x:c>
      <x:c r="L5715" s="67" t="str">
        <x:v>https://www.pricescope.com/blog/natural-diamond-prices-september-2026</x:v>
      </x:c>
    </x:row>
    <x:row r="5716">
      <x:c r="A5716" t="n">
        <x:v>9</x:v>
      </x:c>
      <x:c r="B5716" t="str">
        <x:v>Asscher</x:v>
      </x:c>
      <x:c r="C5716" t="str">
        <x:v>F</x:v>
      </x:c>
      <x:c r="D5716" t="str">
        <x:v>VVS1</x:v>
      </x:c>
      <x:c r="E5716" s="36" t="n">
        <x:v>388000</x:v>
      </x:c>
      <x:c r="F5716" s="36" t="n">
        <x:v>7542</x:v>
      </x:c>
      <x:c r="G5716" s="42" t="n">
        <x:v>1.6177606177606179</x:v>
      </x:c>
      <x:c r="H5716" s="36" t="n">
        <x:f>E5716*G5716</x:f>
        <x:v>627691.1196911198</x:v>
      </x:c>
      <x:c r="I5716" s="36" t="n">
        <x:f>IFERROR(H5716/A5716,0)</x:f>
        <x:v>69743.45774345775</x:v>
      </x:c>
      <x:c r="J5716" s="67" t="str">
        <x:v>Modeled from live base + Sep-2026 quality ratio</x:v>
      </x:c>
      <x:c r="K5716" s="67" t="str">
        <x:v>https://www.stonealgo.com/diamond-prices/</x:v>
      </x:c>
      <x:c r="L5716" s="67" t="str">
        <x:v>https://www.pricescope.com/blog/natural-diamond-prices-september-2026</x:v>
      </x:c>
    </x:row>
    <x:row r="5717">
      <x:c r="A5717" t="n">
        <x:v>9</x:v>
      </x:c>
      <x:c r="B5717" t="str">
        <x:v>Asscher</x:v>
      </x:c>
      <x:c r="C5717" t="str">
        <x:v>F</x:v>
      </x:c>
      <x:c r="D5717" t="str">
        <x:v>VVS2</x:v>
      </x:c>
      <x:c r="E5717" s="36" t="n">
        <x:v>388000</x:v>
      </x:c>
      <x:c r="F5717" s="36" t="n">
        <x:v>6352</x:v>
      </x:c>
      <x:c r="G5717" s="42" t="n">
        <x:v>1.3625053625053625</x:v>
      </x:c>
      <x:c r="H5717" s="36" t="n">
        <x:f>E5717*G5717</x:f>
        <x:v>528652.0806520806</x:v>
      </x:c>
      <x:c r="I5717" s="36" t="n">
        <x:f>IFERROR(H5717/A5717,0)</x:f>
        <x:v>58739.1200724534</x:v>
      </x:c>
      <x:c r="J5717" s="67" t="str">
        <x:v>Modeled from live base + Sep-2026 quality ratio</x:v>
      </x:c>
      <x:c r="K5717" s="67" t="str">
        <x:v>https://www.stonealgo.com/diamond-prices/</x:v>
      </x:c>
      <x:c r="L5717" s="67" t="str">
        <x:v>https://www.pricescope.com/blog/natural-diamond-prices-september-2026</x:v>
      </x:c>
    </x:row>
    <x:row r="5718">
      <x:c r="A5718" t="n">
        <x:v>9</x:v>
      </x:c>
      <x:c r="B5718" t="str">
        <x:v>Asscher</x:v>
      </x:c>
      <x:c r="C5718" t="str">
        <x:v>F</x:v>
      </x:c>
      <x:c r="D5718" t="str">
        <x:v>VS1</x:v>
      </x:c>
      <x:c r="E5718" s="36" t="n">
        <x:v>388000</x:v>
      </x:c>
      <x:c r="F5718" s="36" t="n">
        <x:v>5647</x:v>
      </x:c>
      <x:c r="G5718" s="42" t="n">
        <x:v>1.2112827112827114</x:v>
      </x:c>
      <x:c r="H5718" s="36" t="n">
        <x:f>E5718*G5718</x:f>
        <x:v>469977.691977692</x:v>
      </x:c>
      <x:c r="I5718" s="36" t="n">
        <x:f>IFERROR(H5718/A5718,0)</x:f>
        <x:v>52219.74355307689</x:v>
      </x:c>
      <x:c r="J5718" s="67" t="str">
        <x:v>Modeled from live base + Sep-2026 quality ratio</x:v>
      </x:c>
      <x:c r="K5718" s="67" t="str">
        <x:v>https://www.stonealgo.com/diamond-prices/</x:v>
      </x:c>
      <x:c r="L5718" s="67" t="str">
        <x:v>https://www.pricescope.com/blog/natural-diamond-prices-september-2026</x:v>
      </x:c>
    </x:row>
    <x:row r="5719">
      <x:c r="A5719" t="n">
        <x:v>9</x:v>
      </x:c>
      <x:c r="B5719" t="str">
        <x:v>Asscher</x:v>
      </x:c>
      <x:c r="C5719" t="str">
        <x:v>F</x:v>
      </x:c>
      <x:c r="D5719" t="str">
        <x:v>VS2</x:v>
      </x:c>
      <x:c r="E5719" s="36" t="n">
        <x:v>388000</x:v>
      </x:c>
      <x:c r="F5719" s="36" t="n">
        <x:v>4730</x:v>
      </x:c>
      <x:c r="G5719" s="42" t="n">
        <x:v>1.0145860145860146</x:v>
      </x:c>
      <x:c r="H5719" s="36" t="n">
        <x:f>E5719*G5719</x:f>
        <x:v>393659.37365937367</x:v>
      </x:c>
      <x:c r="I5719" s="36" t="n">
        <x:f>IFERROR(H5719/A5719,0)</x:f>
        <x:v>43739.93040659707</x:v>
      </x:c>
      <x:c r="J5719" s="67" t="str">
        <x:v>Modeled from live base + Sep-2026 quality ratio</x:v>
      </x:c>
      <x:c r="K5719" s="67" t="str">
        <x:v>https://www.stonealgo.com/diamond-prices/</x:v>
      </x:c>
      <x:c r="L5719" s="67" t="str">
        <x:v>https://www.pricescope.com/blog/natural-diamond-prices-september-2026</x:v>
      </x:c>
    </x:row>
    <x:row r="5720">
      <x:c r="A5720" t="n">
        <x:v>9</x:v>
      </x:c>
      <x:c r="B5720" t="str">
        <x:v>Asscher</x:v>
      </x:c>
      <x:c r="C5720" t="str">
        <x:v>F</x:v>
      </x:c>
      <x:c r="D5720" t="str">
        <x:v>SI1</x:v>
      </x:c>
      <x:c r="E5720" s="36" t="n">
        <x:v>388000</x:v>
      </x:c>
      <x:c r="F5720" s="36" t="n">
        <x:v>3331</x:v>
      </x:c>
      <x:c r="G5720" s="42" t="n">
        <x:v>0.7145002145002145</x:v>
      </x:c>
      <x:c r="H5720" s="36" t="n">
        <x:f>E5720*G5720</x:f>
        <x:v>277226.08322608325</x:v>
      </x:c>
      <x:c r="I5720" s="36" t="n">
        <x:f>IFERROR(H5720/A5720,0)</x:f>
        <x:v>30802.898136231473</x:v>
      </x:c>
      <x:c r="J5720" s="67" t="str">
        <x:v>Modeled from live base + Sep-2026 quality ratio</x:v>
      </x:c>
      <x:c r="K5720" s="67" t="str">
        <x:v>https://www.stonealgo.com/diamond-prices/</x:v>
      </x:c>
      <x:c r="L5720" s="67" t="str">
        <x:v>https://www.pricescope.com/blog/natural-diamond-prices-september-2026</x:v>
      </x:c>
    </x:row>
    <x:row r="5721">
      <x:c r="A5721" t="n">
        <x:v>9</x:v>
      </x:c>
      <x:c r="B5721" t="str">
        <x:v>Asscher</x:v>
      </x:c>
      <x:c r="C5721" t="str">
        <x:v>F</x:v>
      </x:c>
      <x:c r="D5721" t="str">
        <x:v>SI2</x:v>
      </x:c>
      <x:c r="E5721" s="36" t="n">
        <x:v>388000</x:v>
      </x:c>
      <x:c r="F5721" s="36" t="n">
        <x:v>2733</x:v>
      </x:c>
      <x:c r="G5721" s="42" t="n">
        <x:v>0.5862290862290862</x:v>
      </x:c>
      <x:c r="H5721" s="36" t="n">
        <x:f>E5721*G5721</x:f>
        <x:v>227456.88545688544</x:v>
      </x:c>
      <x:c r="I5721" s="36" t="n">
        <x:f>IFERROR(H5721/A5721,0)</x:f>
        <x:v>25272.987272987273</x:v>
      </x:c>
      <x:c r="J5721" s="67" t="str">
        <x:v>Modeled from live base + Sep-2026 quality ratio</x:v>
      </x:c>
      <x:c r="K5721" s="67" t="str">
        <x:v>https://www.stonealgo.com/diamond-prices/</x:v>
      </x:c>
      <x:c r="L5721" s="67" t="str">
        <x:v>https://www.pricescope.com/blog/natural-diamond-prices-september-2026</x:v>
      </x:c>
    </x:row>
    <x:row r="5722">
      <x:c r="A5722" t="n">
        <x:v>9</x:v>
      </x:c>
      <x:c r="B5722" t="str">
        <x:v>Asscher</x:v>
      </x:c>
      <x:c r="C5722" t="str">
        <x:v>G</x:v>
      </x:c>
      <x:c r="D5722" t="str">
        <x:v>FL</x:v>
      </x:c>
      <x:c r="E5722" s="36" t="n">
        <x:v>388000</x:v>
      </x:c>
      <x:c r="F5722" s="36" t="n">
        <x:v>5905</x:v>
      </x:c>
      <x:c r="G5722" s="42" t="n">
        <x:v>1.2666237666237665</x:v>
      </x:c>
      <x:c r="H5722" s="36" t="n">
        <x:f>E5722*G5722</x:f>
        <x:v>491450.0214500214</x:v>
      </x:c>
      <x:c r="I5722" s="36" t="n">
        <x:f>IFERROR(H5722/A5722,0)</x:f>
        <x:v>54605.55793889127</x:v>
      </x:c>
      <x:c r="J5722" s="67" t="str">
        <x:v>Modeled from live base + Sep-2026 quality ratio</x:v>
      </x:c>
      <x:c r="K5722" s="67" t="str">
        <x:v>https://www.stonealgo.com/diamond-prices/</x:v>
      </x:c>
      <x:c r="L5722" s="67" t="str">
        <x:v>https://www.pricescope.com/blog/natural-diamond-prices-september-2026</x:v>
      </x:c>
    </x:row>
    <x:row r="5723">
      <x:c r="A5723" t="n">
        <x:v>9</x:v>
      </x:c>
      <x:c r="B5723" t="str">
        <x:v>Asscher</x:v>
      </x:c>
      <x:c r="C5723" t="str">
        <x:v>G</x:v>
      </x:c>
      <x:c r="D5723" t="str">
        <x:v>IF</x:v>
      </x:c>
      <x:c r="E5723" s="36" t="n">
        <x:v>388000</x:v>
      </x:c>
      <x:c r="F5723" s="36" t="n">
        <x:v>5601</x:v>
      </x:c>
      <x:c r="G5723" s="42" t="n">
        <x:v>1.2014157014157014</x:v>
      </x:c>
      <x:c r="H5723" s="36" t="n">
        <x:f>E5723*G5723</x:f>
        <x:v>466149.29214929213</x:v>
      </x:c>
      <x:c r="I5723" s="36" t="n">
        <x:f>IFERROR(H5723/A5723,0)</x:f>
        <x:v>51794.36579436579</x:v>
      </x:c>
      <x:c r="J5723" s="67" t="str">
        <x:v>Modeled from live base + Sep-2026 quality ratio</x:v>
      </x:c>
      <x:c r="K5723" s="67" t="str">
        <x:v>https://www.stonealgo.com/diamond-prices/</x:v>
      </x:c>
      <x:c r="L5723" s="67" t="str">
        <x:v>https://www.pricescope.com/blog/natural-diamond-prices-september-2026</x:v>
      </x:c>
    </x:row>
    <x:row r="5724">
      <x:c r="A5724" t="n">
        <x:v>9</x:v>
      </x:c>
      <x:c r="B5724" t="str">
        <x:v>Asscher</x:v>
      </x:c>
      <x:c r="C5724" t="str">
        <x:v>G</x:v>
      </x:c>
      <x:c r="D5724" t="str">
        <x:v>VVS1</x:v>
      </x:c>
      <x:c r="E5724" s="36" t="n">
        <x:v>388000</x:v>
      </x:c>
      <x:c r="F5724" s="36" t="n">
        <x:v>5124</x:v>
      </x:c>
      <x:c r="G5724" s="42" t="n">
        <x:v>1.0990990990990992</x:v>
      </x:c>
      <x:c r="H5724" s="36" t="n">
        <x:f>E5724*G5724</x:f>
        <x:v>426450.4504504505</x:v>
      </x:c>
      <x:c r="I5724" s="36" t="n">
        <x:f>IFERROR(H5724/A5724,0)</x:f>
        <x:v>47383.383383383385</x:v>
      </x:c>
      <x:c r="J5724" s="67" t="str">
        <x:v>Modeled from live base + Sep-2026 quality ratio</x:v>
      </x:c>
      <x:c r="K5724" s="67" t="str">
        <x:v>https://www.stonealgo.com/diamond-prices/</x:v>
      </x:c>
      <x:c r="L5724" s="67" t="str">
        <x:v>https://www.pricescope.com/blog/natural-diamond-prices-september-2026</x:v>
      </x:c>
    </x:row>
    <x:row r="5725">
      <x:c r="A5725" t="n">
        <x:v>9</x:v>
      </x:c>
      <x:c r="B5725" t="str">
        <x:v>Asscher</x:v>
      </x:c>
      <x:c r="C5725" t="str">
        <x:v>G</x:v>
      </x:c>
      <x:c r="D5725" t="str">
        <x:v>VVS2</x:v>
      </x:c>
      <x:c r="E5725" s="36" t="n">
        <x:v>388000</x:v>
      </x:c>
      <x:c r="F5725" s="36" t="n">
        <x:v>4962</x:v>
      </x:c>
      <x:c r="G5725" s="42" t="n">
        <x:v>1.0643500643500643</x:v>
      </x:c>
      <x:c r="H5725" s="36" t="n">
        <x:f>E5725*G5725</x:f>
        <x:v>412967.82496782497</x:v>
      </x:c>
      <x:c r="I5725" s="36" t="n">
        <x:f>IFERROR(H5725/A5725,0)</x:f>
        <x:v>45885.31388531389</x:v>
      </x:c>
      <x:c r="J5725" s="67" t="str">
        <x:v>Modeled from live base + Sep-2026 quality ratio</x:v>
      </x:c>
      <x:c r="K5725" s="67" t="str">
        <x:v>https://www.stonealgo.com/diamond-prices/</x:v>
      </x:c>
      <x:c r="L5725" s="67" t="str">
        <x:v>https://www.pricescope.com/blog/natural-diamond-prices-september-2026</x:v>
      </x:c>
    </x:row>
    <x:row r="5726">
      <x:c r="A5726" t="n">
        <x:v>9</x:v>
      </x:c>
      <x:c r="B5726" t="str">
        <x:v>Asscher</x:v>
      </x:c>
      <x:c r="C5726" t="str">
        <x:v>G</x:v>
      </x:c>
      <x:c r="D5726" t="str">
        <x:v>VS1</x:v>
      </x:c>
      <x:c r="E5726" s="36" t="n">
        <x:v>388000</x:v>
      </x:c>
      <x:c r="F5726" s="36" t="n">
        <x:v>4615</x:v>
      </x:c>
      <x:c r="G5726" s="42" t="n">
        <x:v>0.98991848991849</x:v>
      </x:c>
      <x:c r="H5726" s="36" t="n">
        <x:f>E5726*G5726</x:f>
        <x:v>384088.3740883741</x:v>
      </x:c>
      <x:c r="I5726" s="36" t="n">
        <x:f>IFERROR(H5726/A5726,0)</x:f>
        <x:v>42676.486009819346</x:v>
      </x:c>
      <x:c r="J5726" s="67" t="str">
        <x:v>Modeled from live base + Sep-2026 quality ratio</x:v>
      </x:c>
      <x:c r="K5726" s="67" t="str">
        <x:v>https://www.stonealgo.com/diamond-prices/</x:v>
      </x:c>
      <x:c r="L5726" s="67" t="str">
        <x:v>https://www.pricescope.com/blog/natural-diamond-prices-september-2026</x:v>
      </x:c>
    </x:row>
    <x:row r="5727">
      <x:c r="A5727" t="n">
        <x:v>9</x:v>
      </x:c>
      <x:c r="B5727" t="str">
        <x:v>Asscher</x:v>
      </x:c>
      <x:c r="C5727" t="str">
        <x:v>G</x:v>
      </x:c>
      <x:c r="D5727" t="str">
        <x:v>VS2</x:v>
      </x:c>
      <x:c r="E5727" s="36" t="n">
        <x:v>388000</x:v>
      </x:c>
      <x:c r="F5727" s="36" t="n">
        <x:v>4585</x:v>
      </x:c>
      <x:c r="G5727" s="42" t="n">
        <x:v>0.9834834834834835</x:v>
      </x:c>
      <x:c r="H5727" s="36" t="n">
        <x:f>E5727*G5727</x:f>
        <x:v>381591.5915915916</x:v>
      </x:c>
      <x:c r="I5727" s="36" t="n">
        <x:f>IFERROR(H5727/A5727,0)</x:f>
        <x:v>42399.06573239907</x:v>
      </x:c>
      <x:c r="J5727" s="67" t="str">
        <x:v>Modeled from live base + Sep-2026 quality ratio</x:v>
      </x:c>
      <x:c r="K5727" s="67" t="str">
        <x:v>https://www.stonealgo.com/diamond-prices/</x:v>
      </x:c>
      <x:c r="L5727" s="67" t="str">
        <x:v>https://www.pricescope.com/blog/natural-diamond-prices-september-2026</x:v>
      </x:c>
    </x:row>
    <x:row r="5728">
      <x:c r="A5728" t="n">
        <x:v>9</x:v>
      </x:c>
      <x:c r="B5728" t="str">
        <x:v>Asscher</x:v>
      </x:c>
      <x:c r="C5728" t="str">
        <x:v>G</x:v>
      </x:c>
      <x:c r="D5728" t="str">
        <x:v>SI1</x:v>
      </x:c>
      <x:c r="E5728" s="36" t="n">
        <x:v>388000</x:v>
      </x:c>
      <x:c r="F5728" s="36" t="n">
        <x:v>3664</x:v>
      </x:c>
      <x:c r="G5728" s="42" t="n">
        <x:v>0.7859287859287859</x:v>
      </x:c>
      <x:c r="H5728" s="36" t="n">
        <x:f>E5728*G5728</x:f>
        <x:v>304940.36894036894</x:v>
      </x:c>
      <x:c r="I5728" s="36" t="n">
        <x:f>IFERROR(H5728/A5728,0)</x:f>
        <x:v>33882.26321559655</x:v>
      </x:c>
      <x:c r="J5728" s="67" t="str">
        <x:v>Modeled from live base + Sep-2026 quality ratio</x:v>
      </x:c>
      <x:c r="K5728" s="67" t="str">
        <x:v>https://www.stonealgo.com/diamond-prices/</x:v>
      </x:c>
      <x:c r="L5728" s="67" t="str">
        <x:v>https://www.pricescope.com/blog/natural-diamond-prices-september-2026</x:v>
      </x:c>
    </x:row>
    <x:row r="5729">
      <x:c r="A5729" t="n">
        <x:v>9</x:v>
      </x:c>
      <x:c r="B5729" t="str">
        <x:v>Asscher</x:v>
      </x:c>
      <x:c r="C5729" t="str">
        <x:v>G</x:v>
      </x:c>
      <x:c r="D5729" t="str">
        <x:v>SI2</x:v>
      </x:c>
      <x:c r="E5729" s="36" t="n">
        <x:v>388000</x:v>
      </x:c>
      <x:c r="F5729" s="36" t="n">
        <x:v>2537</x:v>
      </x:c>
      <x:c r="G5729" s="42" t="n">
        <x:v>0.5441870441870442</x:v>
      </x:c>
      <x:c r="H5729" s="36" t="n">
        <x:f>E5729*G5729</x:f>
        <x:v>211144.57314457317</x:v>
      </x:c>
      <x:c r="I5729" s="36" t="n">
        <x:f>IFERROR(H5729/A5729,0)</x:f>
        <x:v>23460.508127174795</x:v>
      </x:c>
      <x:c r="J5729" s="67" t="str">
        <x:v>Modeled from live base + Sep-2026 quality ratio</x:v>
      </x:c>
      <x:c r="K5729" s="67" t="str">
        <x:v>https://www.stonealgo.com/diamond-prices/</x:v>
      </x:c>
      <x:c r="L5729" s="67" t="str">
        <x:v>https://www.pricescope.com/blog/natural-diamond-prices-september-2026</x:v>
      </x:c>
    </x:row>
    <x:row r="5730">
      <x:c r="A5730" t="n">
        <x:v>9</x:v>
      </x:c>
      <x:c r="B5730" t="str">
        <x:v>Asscher</x:v>
      </x:c>
      <x:c r="C5730" t="str">
        <x:v>H</x:v>
      </x:c>
      <x:c r="D5730" t="str">
        <x:v>FL</x:v>
      </x:c>
      <x:c r="E5730" s="36" t="n">
        <x:v>388000</x:v>
      </x:c>
      <x:c r="F5730" s="36" t="n">
        <x:v>4563</x:v>
      </x:c>
      <x:c r="G5730" s="42" t="n">
        <x:v>0.9787644787644788</x:v>
      </x:c>
      <x:c r="H5730" s="36" t="n">
        <x:f>E5730*G5730</x:f>
        <x:v>379760.61776061775</x:v>
      </x:c>
      <x:c r="I5730" s="36" t="n">
        <x:f>IFERROR(H5730/A5730,0)</x:f>
        <x:v>42195.624195624194</x:v>
      </x:c>
      <x:c r="J5730" s="67" t="str">
        <x:v>Modeled from live base + Sep-2026 quality ratio</x:v>
      </x:c>
      <x:c r="K5730" s="67" t="str">
        <x:v>https://www.stonealgo.com/diamond-prices/</x:v>
      </x:c>
      <x:c r="L5730" s="67" t="str">
        <x:v>https://www.pricescope.com/blog/natural-diamond-prices-september-2026</x:v>
      </x:c>
    </x:row>
    <x:row r="5731">
      <x:c r="A5731" t="n">
        <x:v>9</x:v>
      </x:c>
      <x:c r="B5731" t="str">
        <x:v>Asscher</x:v>
      </x:c>
      <x:c r="C5731" t="str">
        <x:v>H</x:v>
      </x:c>
      <x:c r="D5731" t="str">
        <x:v>IF</x:v>
      </x:c>
      <x:c r="E5731" s="36" t="n">
        <x:v>388000</x:v>
      </x:c>
      <x:c r="F5731" s="36" t="n">
        <x:v>4809</x:v>
      </x:c>
      <x:c r="G5731" s="42" t="n">
        <x:v>1.0315315315315314</x:v>
      </x:c>
      <x:c r="H5731" s="36" t="n">
        <x:f>E5731*G5731</x:f>
        <x:v>400234.2342342342</x:v>
      </x:c>
      <x:c r="I5731" s="36" t="n">
        <x:f>IFERROR(H5731/A5731,0)</x:f>
        <x:v>44470.47047047046</x:v>
      </x:c>
      <x:c r="J5731" s="67" t="str">
        <x:v>Modeled from live base + Sep-2026 quality ratio</x:v>
      </x:c>
      <x:c r="K5731" s="67" t="str">
        <x:v>https://www.stonealgo.com/diamond-prices/</x:v>
      </x:c>
      <x:c r="L5731" s="67" t="str">
        <x:v>https://www.pricescope.com/blog/natural-diamond-prices-september-2026</x:v>
      </x:c>
    </x:row>
    <x:row r="5732">
      <x:c r="A5732" t="n">
        <x:v>9</x:v>
      </x:c>
      <x:c r="B5732" t="str">
        <x:v>Asscher</x:v>
      </x:c>
      <x:c r="C5732" t="str">
        <x:v>H</x:v>
      </x:c>
      <x:c r="D5732" t="str">
        <x:v>VVS1</x:v>
      </x:c>
      <x:c r="E5732" s="36" t="n">
        <x:v>388000</x:v>
      </x:c>
      <x:c r="F5732" s="36" t="n">
        <x:v>4911</x:v>
      </x:c>
      <x:c r="G5732" s="42" t="n">
        <x:v>1.0534105534105533</x:v>
      </x:c>
      <x:c r="H5732" s="36" t="n">
        <x:f>E5732*G5732</x:f>
        <x:v>408723.2947232947</x:v>
      </x:c>
      <x:c r="I5732" s="36" t="n">
        <x:f>IFERROR(H5732/A5732,0)</x:f>
        <x:v>45413.69941369941</x:v>
      </x:c>
      <x:c r="J5732" s="67" t="str">
        <x:v>Modeled from live base + Sep-2026 quality ratio</x:v>
      </x:c>
      <x:c r="K5732" s="67" t="str">
        <x:v>https://www.stonealgo.com/diamond-prices/</x:v>
      </x:c>
      <x:c r="L5732" s="67" t="str">
        <x:v>https://www.pricescope.com/blog/natural-diamond-prices-september-2026</x:v>
      </x:c>
    </x:row>
    <x:row r="5733">
      <x:c r="A5733" t="n">
        <x:v>9</x:v>
      </x:c>
      <x:c r="B5733" t="str">
        <x:v>Asscher</x:v>
      </x:c>
      <x:c r="C5733" t="str">
        <x:v>H</x:v>
      </x:c>
      <x:c r="D5733" t="str">
        <x:v>VVS2</x:v>
      </x:c>
      <x:c r="E5733" s="36" t="n">
        <x:v>388000</x:v>
      </x:c>
      <x:c r="F5733" s="36" t="n">
        <x:v>4046</x:v>
      </x:c>
      <x:c r="G5733" s="42" t="n">
        <x:v>0.8678678678678678</x:v>
      </x:c>
      <x:c r="H5733" s="36" t="n">
        <x:f>E5733*G5733</x:f>
        <x:v>336732.7327327327</x:v>
      </x:c>
      <x:c r="I5733" s="36" t="n">
        <x:f>IFERROR(H5733/A5733,0)</x:f>
        <x:v>37414.74808141475</x:v>
      </x:c>
      <x:c r="J5733" s="67" t="str">
        <x:v>Modeled from live base + Sep-2026 quality ratio</x:v>
      </x:c>
      <x:c r="K5733" s="67" t="str">
        <x:v>https://www.stonealgo.com/diamond-prices/</x:v>
      </x:c>
      <x:c r="L5733" s="67" t="str">
        <x:v>https://www.pricescope.com/blog/natural-diamond-prices-september-2026</x:v>
      </x:c>
    </x:row>
    <x:row r="5734">
      <x:c r="A5734" t="n">
        <x:v>9</x:v>
      </x:c>
      <x:c r="B5734" t="str">
        <x:v>Asscher</x:v>
      </x:c>
      <x:c r="C5734" t="str">
        <x:v>H</x:v>
      </x:c>
      <x:c r="D5734" t="str">
        <x:v>VS1</x:v>
      </x:c>
      <x:c r="E5734" s="36" t="n">
        <x:v>388000</x:v>
      </x:c>
      <x:c r="F5734" s="36" t="n">
        <x:v>3893</x:v>
      </x:c>
      <x:c r="G5734" s="42" t="n">
        <x:v>0.8350493350493351</x:v>
      </x:c>
      <x:c r="H5734" s="36" t="n">
        <x:f>E5734*G5734</x:f>
        <x:v>323999.141999142</x:v>
      </x:c>
      <x:c r="I5734" s="36" t="n">
        <x:f>IFERROR(H5734/A5734,0)</x:f>
        <x:v>35999.90466657133</x:v>
      </x:c>
      <x:c r="J5734" s="67" t="str">
        <x:v>Modeled from live base + Sep-2026 quality ratio</x:v>
      </x:c>
      <x:c r="K5734" s="67" t="str">
        <x:v>https://www.stonealgo.com/diamond-prices/</x:v>
      </x:c>
      <x:c r="L5734" s="67" t="str">
        <x:v>https://www.pricescope.com/blog/natural-diamond-prices-september-2026</x:v>
      </x:c>
    </x:row>
    <x:row r="5735">
      <x:c r="A5735" t="n">
        <x:v>9</x:v>
      </x:c>
      <x:c r="B5735" t="str">
        <x:v>Asscher</x:v>
      </x:c>
      <x:c r="C5735" t="str">
        <x:v>H</x:v>
      </x:c>
      <x:c r="D5735" t="str">
        <x:v>VS2</x:v>
      </x:c>
      <x:c r="E5735" s="36" t="n">
        <x:v>388000</x:v>
      </x:c>
      <x:c r="F5735" s="36" t="n">
        <x:v>3989</x:v>
      </x:c>
      <x:c r="G5735" s="42" t="n">
        <x:v>0.8556413556413557</x:v>
      </x:c>
      <x:c r="H5735" s="36" t="n">
        <x:f>E5735*G5735</x:f>
        <x:v>331988.845988846</x:v>
      </x:c>
      <x:c r="I5735" s="36" t="n">
        <x:f>IFERROR(H5735/A5735,0)</x:f>
        <x:v>36887.64955431622</x:v>
      </x:c>
      <x:c r="J5735" s="67" t="str">
        <x:v>Modeled from live base + Sep-2026 quality ratio</x:v>
      </x:c>
      <x:c r="K5735" s="67" t="str">
        <x:v>https://www.stonealgo.com/diamond-prices/</x:v>
      </x:c>
      <x:c r="L5735" s="67" t="str">
        <x:v>https://www.pricescope.com/blog/natural-diamond-prices-september-2026</x:v>
      </x:c>
    </x:row>
    <x:row r="5736">
      <x:c r="A5736" t="n">
        <x:v>9</x:v>
      </x:c>
      <x:c r="B5736" t="str">
        <x:v>Asscher</x:v>
      </x:c>
      <x:c r="C5736" t="str">
        <x:v>H</x:v>
      </x:c>
      <x:c r="D5736" t="str">
        <x:v>SI1</x:v>
      </x:c>
      <x:c r="E5736" s="36" t="n">
        <x:v>388000</x:v>
      </x:c>
      <x:c r="F5736" s="36" t="n">
        <x:v>2828</x:v>
      </x:c>
      <x:c r="G5736" s="42" t="n">
        <x:v>0.6066066066066066</x:v>
      </x:c>
      <x:c r="H5736" s="36" t="n">
        <x:f>E5736*G5736</x:f>
        <x:v>235363.36336336334</x:v>
      </x:c>
      <x:c r="I5736" s="36" t="n">
        <x:f>IFERROR(H5736/A5736,0)</x:f>
        <x:v>26151.484818151483</x:v>
      </x:c>
      <x:c r="J5736" s="67" t="str">
        <x:v>Modeled from live base + Sep-2026 quality ratio</x:v>
      </x:c>
      <x:c r="K5736" s="67" t="str">
        <x:v>https://www.stonealgo.com/diamond-prices/</x:v>
      </x:c>
      <x:c r="L5736" s="67" t="str">
        <x:v>https://www.pricescope.com/blog/natural-diamond-prices-september-2026</x:v>
      </x:c>
    </x:row>
    <x:row r="5737">
      <x:c r="A5737" t="n">
        <x:v>9</x:v>
      </x:c>
      <x:c r="B5737" t="str">
        <x:v>Asscher</x:v>
      </x:c>
      <x:c r="C5737" t="str">
        <x:v>H</x:v>
      </x:c>
      <x:c r="D5737" t="str">
        <x:v>SI2</x:v>
      </x:c>
      <x:c r="E5737" s="36" t="n">
        <x:v>388000</x:v>
      </x:c>
      <x:c r="F5737" s="36" t="n">
        <x:v>2328</x:v>
      </x:c>
      <x:c r="G5737" s="42" t="n">
        <x:v>0.49935649935649934</x:v>
      </x:c>
      <x:c r="H5737" s="36" t="n">
        <x:f>E5737*G5737</x:f>
        <x:v>193750.32175032175</x:v>
      </x:c>
      <x:c r="I5737" s="36" t="n">
        <x:f>IFERROR(H5737/A5737,0)</x:f>
        <x:v>21527.813527813527</x:v>
      </x:c>
      <x:c r="J5737" s="67" t="str">
        <x:v>Modeled from live base + Sep-2026 quality ratio</x:v>
      </x:c>
      <x:c r="K5737" s="67" t="str">
        <x:v>https://www.stonealgo.com/diamond-prices/</x:v>
      </x:c>
      <x:c r="L5737" s="67" t="str">
        <x:v>https://www.pricescope.com/blog/natural-diamond-prices-september-2026</x:v>
      </x:c>
    </x:row>
    <x:row r="5738">
      <x:c r="A5738" t="n">
        <x:v>9</x:v>
      </x:c>
      <x:c r="B5738" t="str">
        <x:v>Asscher</x:v>
      </x:c>
      <x:c r="C5738" t="str">
        <x:v>I</x:v>
      </x:c>
      <x:c r="D5738" t="str">
        <x:v>FL</x:v>
      </x:c>
      <x:c r="E5738" s="36" t="n">
        <x:v>388000</x:v>
      </x:c>
      <x:c r="F5738" s="36" t="n">
        <x:v>4623</x:v>
      </x:c>
      <x:c r="G5738" s="42" t="n">
        <x:v>0.9916344916344917</x:v>
      </x:c>
      <x:c r="H5738" s="36" t="n">
        <x:f>E5738*G5738</x:f>
        <x:v>384754.1827541828</x:v>
      </x:c>
      <x:c r="I5738" s="36" t="n">
        <x:f>IFERROR(H5738/A5738,0)</x:f>
        <x:v>42750.46475046475</x:v>
      </x:c>
      <x:c r="J5738" s="67" t="str">
        <x:v>Modeled from live base + Sep-2026 quality ratio</x:v>
      </x:c>
      <x:c r="K5738" s="67" t="str">
        <x:v>https://www.stonealgo.com/diamond-prices/</x:v>
      </x:c>
      <x:c r="L5738" s="67" t="str">
        <x:v>https://www.pricescope.com/blog/natural-diamond-prices-september-2026</x:v>
      </x:c>
    </x:row>
    <x:row r="5739">
      <x:c r="A5739" t="n">
        <x:v>9</x:v>
      </x:c>
      <x:c r="B5739" t="str">
        <x:v>Asscher</x:v>
      </x:c>
      <x:c r="C5739" t="str">
        <x:v>I</x:v>
      </x:c>
      <x:c r="D5739" t="str">
        <x:v>IF</x:v>
      </x:c>
      <x:c r="E5739" s="36" t="n">
        <x:v>388000</x:v>
      </x:c>
      <x:c r="F5739" s="36" t="n">
        <x:v>4005</x:v>
      </x:c>
      <x:c r="G5739" s="42" t="n">
        <x:v>0.859073359073359</x:v>
      </x:c>
      <x:c r="H5739" s="36" t="n">
        <x:f>E5739*G5739</x:f>
        <x:v>333320.4633204633</x:v>
      </x:c>
      <x:c r="I5739" s="36" t="n">
        <x:f>IFERROR(H5739/A5739,0)</x:f>
        <x:v>37035.607035607034</x:v>
      </x:c>
      <x:c r="J5739" s="67" t="str">
        <x:v>Modeled from live base + Sep-2026 quality ratio</x:v>
      </x:c>
      <x:c r="K5739" s="67" t="str">
        <x:v>https://www.stonealgo.com/diamond-prices/</x:v>
      </x:c>
      <x:c r="L5739" s="67" t="str">
        <x:v>https://www.pricescope.com/blog/natural-diamond-prices-september-2026</x:v>
      </x:c>
    </x:row>
    <x:row r="5740">
      <x:c r="A5740" t="n">
        <x:v>9</x:v>
      </x:c>
      <x:c r="B5740" t="str">
        <x:v>Asscher</x:v>
      </x:c>
      <x:c r="C5740" t="str">
        <x:v>I</x:v>
      </x:c>
      <x:c r="D5740" t="str">
        <x:v>VVS1</x:v>
      </x:c>
      <x:c r="E5740" s="36" t="n">
        <x:v>388000</x:v>
      </x:c>
      <x:c r="F5740" s="36" t="n">
        <x:v>3670</x:v>
      </x:c>
      <x:c r="G5740" s="42" t="n">
        <x:v>0.7872157872157872</x:v>
      </x:c>
      <x:c r="H5740" s="36" t="n">
        <x:f>E5740*G5740</x:f>
        <x:v>305439.72543972544</x:v>
      </x:c>
      <x:c r="I5740" s="36" t="n">
        <x:f>IFERROR(H5740/A5740,0)</x:f>
        <x:v>33937.7472710806</x:v>
      </x:c>
      <x:c r="J5740" s="67" t="str">
        <x:v>Modeled from live base + Sep-2026 quality ratio</x:v>
      </x:c>
      <x:c r="K5740" s="67" t="str">
        <x:v>https://www.stonealgo.com/diamond-prices/</x:v>
      </x:c>
      <x:c r="L5740" s="67" t="str">
        <x:v>https://www.pricescope.com/blog/natural-diamond-prices-september-2026</x:v>
      </x:c>
    </x:row>
    <x:row r="5741">
      <x:c r="A5741" t="n">
        <x:v>9</x:v>
      </x:c>
      <x:c r="B5741" t="str">
        <x:v>Asscher</x:v>
      </x:c>
      <x:c r="C5741" t="str">
        <x:v>I</x:v>
      </x:c>
      <x:c r="D5741" t="str">
        <x:v>VVS2</x:v>
      </x:c>
      <x:c r="E5741" s="36" t="n">
        <x:v>388000</x:v>
      </x:c>
      <x:c r="F5741" s="36" t="n">
        <x:v>3447</x:v>
      </x:c>
      <x:c r="G5741" s="42" t="n">
        <x:v>0.7393822393822393</x:v>
      </x:c>
      <x:c r="H5741" s="36" t="n">
        <x:f>E5741*G5741</x:f>
        <x:v>286880.3088803089</x:v>
      </x:c>
      <x:c r="I5741" s="36" t="n">
        <x:f>IFERROR(H5741/A5741,0)</x:f>
        <x:v>31875.589875589874</x:v>
      </x:c>
      <x:c r="J5741" s="67" t="str">
        <x:v>Modeled from live base + Sep-2026 quality ratio</x:v>
      </x:c>
      <x:c r="K5741" s="67" t="str">
        <x:v>https://www.stonealgo.com/diamond-prices/</x:v>
      </x:c>
      <x:c r="L5741" s="67" t="str">
        <x:v>https://www.pricescope.com/blog/natural-diamond-prices-september-2026</x:v>
      </x:c>
    </x:row>
    <x:row r="5742">
      <x:c r="A5742" t="n">
        <x:v>9</x:v>
      </x:c>
      <x:c r="B5742" t="str">
        <x:v>Asscher</x:v>
      </x:c>
      <x:c r="C5742" t="str">
        <x:v>I</x:v>
      </x:c>
      <x:c r="D5742" t="str">
        <x:v>VS1</x:v>
      </x:c>
      <x:c r="E5742" s="36" t="n">
        <x:v>388000</x:v>
      </x:c>
      <x:c r="F5742" s="36" t="n">
        <x:v>3313</x:v>
      </x:c>
      <x:c r="G5742" s="42" t="n">
        <x:v>0.7106392106392107</x:v>
      </x:c>
      <x:c r="H5742" s="36" t="n">
        <x:f>E5742*G5742</x:f>
        <x:v>275728.0137280137</x:v>
      </x:c>
      <x:c r="I5742" s="36" t="n">
        <x:f>IFERROR(H5742/A5742,0)</x:f>
        <x:v>30636.445969779303</x:v>
      </x:c>
      <x:c r="J5742" s="67" t="str">
        <x:v>Modeled from live base + Sep-2026 quality ratio</x:v>
      </x:c>
      <x:c r="K5742" s="67" t="str">
        <x:v>https://www.stonealgo.com/diamond-prices/</x:v>
      </x:c>
      <x:c r="L5742" s="67" t="str">
        <x:v>https://www.pricescope.com/blog/natural-diamond-prices-september-2026</x:v>
      </x:c>
    </x:row>
    <x:row r="5743">
      <x:c r="A5743" t="n">
        <x:v>9</x:v>
      </x:c>
      <x:c r="B5743" t="str">
        <x:v>Asscher</x:v>
      </x:c>
      <x:c r="C5743" t="str">
        <x:v>I</x:v>
      </x:c>
      <x:c r="D5743" t="str">
        <x:v>VS2</x:v>
      </x:c>
      <x:c r="E5743" s="36" t="n">
        <x:v>388000</x:v>
      </x:c>
      <x:c r="F5743" s="36" t="n">
        <x:v>3240</x:v>
      </x:c>
      <x:c r="G5743" s="42" t="n">
        <x:v>0.694980694980695</x:v>
      </x:c>
      <x:c r="H5743" s="36" t="n">
        <x:f>E5743*G5743</x:f>
        <x:v>269652.50965250965</x:v>
      </x:c>
      <x:c r="I5743" s="36" t="n">
        <x:f>IFERROR(H5743/A5743,0)</x:f>
        <x:v>29961.38996138996</x:v>
      </x:c>
      <x:c r="J5743" s="67" t="str">
        <x:v>Modeled from live base + Sep-2026 quality ratio</x:v>
      </x:c>
      <x:c r="K5743" s="67" t="str">
        <x:v>https://www.stonealgo.com/diamond-prices/</x:v>
      </x:c>
      <x:c r="L5743" s="67" t="str">
        <x:v>https://www.pricescope.com/blog/natural-diamond-prices-september-2026</x:v>
      </x:c>
    </x:row>
    <x:row r="5744">
      <x:c r="A5744" t="n">
        <x:v>9</x:v>
      </x:c>
      <x:c r="B5744" t="str">
        <x:v>Asscher</x:v>
      </x:c>
      <x:c r="C5744" t="str">
        <x:v>I</x:v>
      </x:c>
      <x:c r="D5744" t="str">
        <x:v>SI1</x:v>
      </x:c>
      <x:c r="E5744" s="36" t="n">
        <x:v>388000</x:v>
      </x:c>
      <x:c r="F5744" s="36" t="n">
        <x:v>3199</x:v>
      </x:c>
      <x:c r="G5744" s="42" t="n">
        <x:v>0.6861861861861862</x:v>
      </x:c>
      <x:c r="H5744" s="36" t="n">
        <x:f>E5744*G5744</x:f>
        <x:v>266240.24024024024</x:v>
      </x:c>
      <x:c r="I5744" s="36" t="n">
        <x:f>IFERROR(H5744/A5744,0)</x:f>
        <x:v>29582.248915582248</x:v>
      </x:c>
      <x:c r="J5744" s="67" t="str">
        <x:v>Modeled from live base + Sep-2026 quality ratio</x:v>
      </x:c>
      <x:c r="K5744" s="67" t="str">
        <x:v>https://www.stonealgo.com/diamond-prices/</x:v>
      </x:c>
      <x:c r="L5744" s="67" t="str">
        <x:v>https://www.pricescope.com/blog/natural-diamond-prices-september-2026</x:v>
      </x:c>
    </x:row>
    <x:row r="5745">
      <x:c r="A5745" t="n">
        <x:v>9</x:v>
      </x:c>
      <x:c r="B5745" t="str">
        <x:v>Asscher</x:v>
      </x:c>
      <x:c r="C5745" t="str">
        <x:v>I</x:v>
      </x:c>
      <x:c r="D5745" t="str">
        <x:v>SI2</x:v>
      </x:c>
      <x:c r="E5745" s="36" t="n">
        <x:v>388000</x:v>
      </x:c>
      <x:c r="F5745" s="36" t="n">
        <x:v>2874</x:v>
      </x:c>
      <x:c r="G5745" s="42" t="n">
        <x:v>0.6164736164736164</x:v>
      </x:c>
      <x:c r="H5745" s="36" t="n">
        <x:f>E5745*G5745</x:f>
        <x:v>239191.76319176317</x:v>
      </x:c>
      <x:c r="I5745" s="36" t="n">
        <x:f>IFERROR(H5745/A5745,0)</x:f>
        <x:v>26576.862576862575</x:v>
      </x:c>
      <x:c r="J5745" s="67" t="str">
        <x:v>Modeled from live base + Sep-2026 quality ratio</x:v>
      </x:c>
      <x:c r="K5745" s="67" t="str">
        <x:v>https://www.stonealgo.com/diamond-prices/</x:v>
      </x:c>
      <x:c r="L5745" s="67" t="str">
        <x:v>https://www.pricescope.com/blog/natural-diamond-prices-september-2026</x:v>
      </x:c>
    </x:row>
    <x:row r="5746">
      <x:c r="A5746" t="n">
        <x:v>9</x:v>
      </x:c>
      <x:c r="B5746" t="str">
        <x:v>Asscher</x:v>
      </x:c>
      <x:c r="C5746" t="str">
        <x:v>J</x:v>
      </x:c>
      <x:c r="D5746" t="str">
        <x:v>FL</x:v>
      </x:c>
      <x:c r="E5746" s="36" t="n">
        <x:v>388000</x:v>
      </x:c>
      <x:c r="F5746" s="36" t="n">
        <x:v>3646</x:v>
      </x:c>
      <x:c r="G5746" s="42" t="n">
        <x:v>0.782067782067782</x:v>
      </x:c>
      <x:c r="H5746" s="36" t="n">
        <x:f>E5746*G5746</x:f>
        <x:v>303442.2994422994</x:v>
      </x:c>
      <x:c r="I5746" s="36" t="n">
        <x:f>IFERROR(H5746/A5746,0)</x:f>
        <x:v>33715.81104914438</x:v>
      </x:c>
      <x:c r="J5746" s="67" t="str">
        <x:v>Modeled from live base + Sep-2026 quality ratio</x:v>
      </x:c>
      <x:c r="K5746" s="67" t="str">
        <x:v>https://www.stonealgo.com/diamond-prices/</x:v>
      </x:c>
      <x:c r="L5746" s="67" t="str">
        <x:v>https://www.pricescope.com/blog/natural-diamond-prices-september-2026</x:v>
      </x:c>
    </x:row>
    <x:row r="5747">
      <x:c r="A5747" t="n">
        <x:v>9</x:v>
      </x:c>
      <x:c r="B5747" t="str">
        <x:v>Asscher</x:v>
      </x:c>
      <x:c r="C5747" t="str">
        <x:v>J</x:v>
      </x:c>
      <x:c r="D5747" t="str">
        <x:v>IF</x:v>
      </x:c>
      <x:c r="E5747" s="36" t="n">
        <x:v>388000</x:v>
      </x:c>
      <x:c r="F5747" s="36" t="n">
        <x:v>3368</x:v>
      </x:c>
      <x:c r="G5747" s="42" t="n">
        <x:v>0.7224367224367224</x:v>
      </x:c>
      <x:c r="H5747" s="36" t="n">
        <x:f>E5747*G5747</x:f>
        <x:v>280305.4483054483</x:v>
      </x:c>
      <x:c r="I5747" s="36" t="n">
        <x:f>IFERROR(H5747/A5747,0)</x:f>
        <x:v>31145.049811716475</x:v>
      </x:c>
      <x:c r="J5747" s="67" t="str">
        <x:v>Modeled from live base + Sep-2026 quality ratio</x:v>
      </x:c>
      <x:c r="K5747" s="67" t="str">
        <x:v>https://www.stonealgo.com/diamond-prices/</x:v>
      </x:c>
      <x:c r="L5747" s="67" t="str">
        <x:v>https://www.pricescope.com/blog/natural-diamond-prices-september-2026</x:v>
      </x:c>
    </x:row>
    <x:row r="5748">
      <x:c r="A5748" t="n">
        <x:v>9</x:v>
      </x:c>
      <x:c r="B5748" t="str">
        <x:v>Asscher</x:v>
      </x:c>
      <x:c r="C5748" t="str">
        <x:v>J</x:v>
      </x:c>
      <x:c r="D5748" t="str">
        <x:v>VVS1</x:v>
      </x:c>
      <x:c r="E5748" s="36" t="n">
        <x:v>388000</x:v>
      </x:c>
      <x:c r="F5748" s="36" t="n">
        <x:v>2956</x:v>
      </x:c>
      <x:c r="G5748" s="42" t="n">
        <x:v>0.6340626340626341</x:v>
      </x:c>
      <x:c r="H5748" s="36" t="n">
        <x:f>E5748*G5748</x:f>
        <x:v>246016.302016302</x:v>
      </x:c>
      <x:c r="I5748" s="36" t="n">
        <x:f>IFERROR(H5748/A5748,0)</x:f>
        <x:v>27335.144668478002</x:v>
      </x:c>
      <x:c r="J5748" s="67" t="str">
        <x:v>Modeled from live base + Sep-2026 quality ratio</x:v>
      </x:c>
      <x:c r="K5748" s="67" t="str">
        <x:v>https://www.stonealgo.com/diamond-prices/</x:v>
      </x:c>
      <x:c r="L5748" s="67" t="str">
        <x:v>https://www.pricescope.com/blog/natural-diamond-prices-september-2026</x:v>
      </x:c>
    </x:row>
    <x:row r="5749">
      <x:c r="A5749" t="n">
        <x:v>9</x:v>
      </x:c>
      <x:c r="B5749" t="str">
        <x:v>Asscher</x:v>
      </x:c>
      <x:c r="C5749" t="str">
        <x:v>J</x:v>
      </x:c>
      <x:c r="D5749" t="str">
        <x:v>VVS2</x:v>
      </x:c>
      <x:c r="E5749" s="36" t="n">
        <x:v>388000</x:v>
      </x:c>
      <x:c r="F5749" s="36" t="n">
        <x:v>2612</x:v>
      </x:c>
      <x:c r="G5749" s="42" t="n">
        <x:v>0.5602745602745602</x:v>
      </x:c>
      <x:c r="H5749" s="36" t="n">
        <x:f>E5749*G5749</x:f>
        <x:v>217386.52938652938</x:v>
      </x:c>
      <x:c r="I5749" s="36" t="n">
        <x:f>IFERROR(H5749/A5749,0)</x:f>
        <x:v>24154.058820725488</x:v>
      </x:c>
      <x:c r="J5749" s="67" t="str">
        <x:v>Modeled from live base + Sep-2026 quality ratio</x:v>
      </x:c>
      <x:c r="K5749" s="67" t="str">
        <x:v>https://www.stonealgo.com/diamond-prices/</x:v>
      </x:c>
      <x:c r="L5749" s="67" t="str">
        <x:v>https://www.pricescope.com/blog/natural-diamond-prices-september-2026</x:v>
      </x:c>
    </x:row>
    <x:row r="5750">
      <x:c r="A5750" t="n">
        <x:v>9</x:v>
      </x:c>
      <x:c r="B5750" t="str">
        <x:v>Asscher</x:v>
      </x:c>
      <x:c r="C5750" t="str">
        <x:v>J</x:v>
      </x:c>
      <x:c r="D5750" t="str">
        <x:v>VS1</x:v>
      </x:c>
      <x:c r="E5750" s="36" t="n">
        <x:v>388000</x:v>
      </x:c>
      <x:c r="F5750" s="36" t="n">
        <x:v>3002</x:v>
      </x:c>
      <x:c r="G5750" s="42" t="n">
        <x:v>0.6439296439296439</x:v>
      </x:c>
      <x:c r="H5750" s="36" t="n">
        <x:f>E5750*G5750</x:f>
        <x:v>249844.70184470183</x:v>
      </x:c>
      <x:c r="I5750" s="36" t="n">
        <x:f>IFERROR(H5750/A5750,0)</x:f>
        <x:v>27760.52242718909</x:v>
      </x:c>
      <x:c r="J5750" s="67" t="str">
        <x:v>Modeled from live base + Sep-2026 quality ratio</x:v>
      </x:c>
      <x:c r="K5750" s="67" t="str">
        <x:v>https://www.stonealgo.com/diamond-prices/</x:v>
      </x:c>
      <x:c r="L5750" s="67" t="str">
        <x:v>https://www.pricescope.com/blog/natural-diamond-prices-september-2026</x:v>
      </x:c>
    </x:row>
    <x:row r="5751">
      <x:c r="A5751" t="n">
        <x:v>9</x:v>
      </x:c>
      <x:c r="B5751" t="str">
        <x:v>Asscher</x:v>
      </x:c>
      <x:c r="C5751" t="str">
        <x:v>J</x:v>
      </x:c>
      <x:c r="D5751" t="str">
        <x:v>VS2</x:v>
      </x:c>
      <x:c r="E5751" s="36" t="n">
        <x:v>388000</x:v>
      </x:c>
      <x:c r="F5751" s="36" t="n">
        <x:v>2559</x:v>
      </x:c>
      <x:c r="G5751" s="42" t="n">
        <x:v>0.5489060489060489</x:v>
      </x:c>
      <x:c r="H5751" s="36" t="n">
        <x:f>E5751*G5751</x:f>
        <x:v>212975.54697554695</x:v>
      </x:c>
      <x:c r="I5751" s="36" t="n">
        <x:f>IFERROR(H5751/A5751,0)</x:f>
        <x:v>23663.94966394966</x:v>
      </x:c>
      <x:c r="J5751" s="67" t="str">
        <x:v>Modeled from live base + Sep-2026 quality ratio</x:v>
      </x:c>
      <x:c r="K5751" s="67" t="str">
        <x:v>https://www.stonealgo.com/diamond-prices/</x:v>
      </x:c>
      <x:c r="L5751" s="67" t="str">
        <x:v>https://www.pricescope.com/blog/natural-diamond-prices-september-2026</x:v>
      </x:c>
    </x:row>
    <x:row r="5752">
      <x:c r="A5752" t="n">
        <x:v>9</x:v>
      </x:c>
      <x:c r="B5752" t="str">
        <x:v>Asscher</x:v>
      </x:c>
      <x:c r="C5752" t="str">
        <x:v>J</x:v>
      </x:c>
      <x:c r="D5752" t="str">
        <x:v>SI1</x:v>
      </x:c>
      <x:c r="E5752" s="36" t="n">
        <x:v>388000</x:v>
      </x:c>
      <x:c r="F5752" s="36" t="n">
        <x:v>2195</x:v>
      </x:c>
      <x:c r="G5752" s="42" t="n">
        <x:v>0.47082797082797084</x:v>
      </x:c>
      <x:c r="H5752" s="36" t="n">
        <x:f>E5752*G5752</x:f>
        <x:v>182681.2526812527</x:v>
      </x:c>
      <x:c r="I5752" s="36" t="n">
        <x:f>IFERROR(H5752/A5752,0)</x:f>
        <x:v>20297.916964583634</x:v>
      </x:c>
      <x:c r="J5752" s="67" t="str">
        <x:v>Modeled from live base + Sep-2026 quality ratio</x:v>
      </x:c>
      <x:c r="K5752" s="67" t="str">
        <x:v>https://www.stonealgo.com/diamond-prices/</x:v>
      </x:c>
      <x:c r="L5752" s="67" t="str">
        <x:v>https://www.pricescope.com/blog/natural-diamond-prices-september-2026</x:v>
      </x:c>
    </x:row>
    <x:row r="5753">
      <x:c r="A5753" t="n">
        <x:v>9</x:v>
      </x:c>
      <x:c r="B5753" t="str">
        <x:v>Asscher</x:v>
      </x:c>
      <x:c r="C5753" t="str">
        <x:v>J</x:v>
      </x:c>
      <x:c r="D5753" t="str">
        <x:v>SI2</x:v>
      </x:c>
      <x:c r="E5753" s="36" t="n">
        <x:v>388000</x:v>
      </x:c>
      <x:c r="F5753" s="36" t="n">
        <x:v>2079</x:v>
      </x:c>
      <x:c r="G5753" s="42" t="n">
        <x:v>0.44594594594594594</x:v>
      </x:c>
      <x:c r="H5753" s="36" t="n">
        <x:f>E5753*G5753</x:f>
        <x:v>173027.027027027</x:v>
      </x:c>
      <x:c r="I5753" s="36" t="n">
        <x:f>IFERROR(H5753/A5753,0)</x:f>
        <x:v>19225.225225225222</x:v>
      </x:c>
      <x:c r="J5753" s="67" t="str">
        <x:v>Modeled from live base + Sep-2026 quality ratio</x:v>
      </x:c>
      <x:c r="K5753" s="67" t="str">
        <x:v>https://www.stonealgo.com/diamond-prices/</x:v>
      </x:c>
      <x:c r="L5753" s="67" t="str">
        <x:v>https://www.pricescope.com/blog/natural-diamond-prices-september-2026</x:v>
      </x:c>
    </x:row>
    <x:row r="5754">
      <x:c r="A5754" t="n">
        <x:v>9</x:v>
      </x:c>
      <x:c r="B5754" t="str">
        <x:v>Asscher</x:v>
      </x:c>
      <x:c r="C5754" t="str">
        <x:v>K</x:v>
      </x:c>
      <x:c r="D5754" t="str">
        <x:v>FL</x:v>
      </x:c>
      <x:c r="E5754" s="36" t="n">
        <x:v>388000</x:v>
      </x:c>
      <x:c r="F5754" s="36" t="n">
        <x:v>2858</x:v>
      </x:c>
      <x:c r="G5754" s="42" t="n">
        <x:v>0.6130416130416131</x:v>
      </x:c>
      <x:c r="H5754" s="36" t="n">
        <x:f>E5754*G5754</x:f>
        <x:v>237860.1458601459</x:v>
      </x:c>
      <x:c r="I5754" s="36" t="n">
        <x:f>IFERROR(H5754/A5754,0)</x:f>
        <x:v>26428.905095571765</x:v>
      </x:c>
      <x:c r="J5754" s="67" t="str">
        <x:v>Modeled from live base + Sep-2026 quality ratio; K/FL quality cell modeled</x:v>
      </x:c>
      <x:c r="K5754" s="67" t="str">
        <x:v>https://www.stonealgo.com/diamond-prices/</x:v>
      </x:c>
      <x:c r="L5754" s="67" t="str">
        <x:v>https://www.pricescope.com/blog/natural-diamond-prices-september-2026</x:v>
      </x:c>
    </x:row>
    <x:row r="5755">
      <x:c r="A5755" t="n">
        <x:v>9</x:v>
      </x:c>
      <x:c r="B5755" t="str">
        <x:v>Asscher</x:v>
      </x:c>
      <x:c r="C5755" t="str">
        <x:v>K</x:v>
      </x:c>
      <x:c r="D5755" t="str">
        <x:v>IF</x:v>
      </x:c>
      <x:c r="E5755" s="36" t="n">
        <x:v>388000</x:v>
      </x:c>
      <x:c r="F5755" s="36" t="n">
        <x:v>2743</x:v>
      </x:c>
      <x:c r="G5755" s="42" t="n">
        <x:v>0.5883740883740883</x:v>
      </x:c>
      <x:c r="H5755" s="36" t="n">
        <x:f>E5755*G5755</x:f>
        <x:v>228289.14628914627</x:v>
      </x:c>
      <x:c r="I5755" s="36" t="n">
        <x:f>IFERROR(H5755/A5755,0)</x:f>
        <x:v>25365.46069879403</x:v>
      </x:c>
      <x:c r="J5755" s="67" t="str">
        <x:v>Modeled from live base + Sep-2026 quality ratio</x:v>
      </x:c>
      <x:c r="K5755" s="67" t="str">
        <x:v>https://www.stonealgo.com/diamond-prices/</x:v>
      </x:c>
      <x:c r="L5755" s="67" t="str">
        <x:v>https://www.pricescope.com/blog/natural-diamond-prices-september-2026</x:v>
      </x:c>
    </x:row>
    <x:row r="5756">
      <x:c r="A5756" t="n">
        <x:v>9</x:v>
      </x:c>
      <x:c r="B5756" t="str">
        <x:v>Asscher</x:v>
      </x:c>
      <x:c r="C5756" t="str">
        <x:v>K</x:v>
      </x:c>
      <x:c r="D5756" t="str">
        <x:v>VVS1</x:v>
      </x:c>
      <x:c r="E5756" s="36" t="n">
        <x:v>388000</x:v>
      </x:c>
      <x:c r="F5756" s="36" t="n">
        <x:v>2529</x:v>
      </x:c>
      <x:c r="G5756" s="42" t="n">
        <x:v>0.5424710424710425</x:v>
      </x:c>
      <x:c r="H5756" s="36" t="n">
        <x:f>E5756*G5756</x:f>
        <x:v>210478.7644787645</x:v>
      </x:c>
      <x:c r="I5756" s="36" t="n">
        <x:f>IFERROR(H5756/A5756,0)</x:f>
        <x:v>23386.52938652939</x:v>
      </x:c>
      <x:c r="J5756" s="67" t="str">
        <x:v>Modeled from live base + Sep-2026 quality ratio</x:v>
      </x:c>
      <x:c r="K5756" s="67" t="str">
        <x:v>https://www.stonealgo.com/diamond-prices/</x:v>
      </x:c>
      <x:c r="L5756" s="67" t="str">
        <x:v>https://www.pricescope.com/blog/natural-diamond-prices-september-2026</x:v>
      </x:c>
    </x:row>
    <x:row r="5757">
      <x:c r="A5757" t="n">
        <x:v>9</x:v>
      </x:c>
      <x:c r="B5757" t="str">
        <x:v>Asscher</x:v>
      </x:c>
      <x:c r="C5757" t="str">
        <x:v>K</x:v>
      </x:c>
      <x:c r="D5757" t="str">
        <x:v>VVS2</x:v>
      </x:c>
      <x:c r="E5757" s="36" t="n">
        <x:v>388000</x:v>
      </x:c>
      <x:c r="F5757" s="36" t="n">
        <x:v>2374</x:v>
      </x:c>
      <x:c r="G5757" s="42" t="n">
        <x:v>0.5092235092235092</x:v>
      </x:c>
      <x:c r="H5757" s="36" t="n">
        <x:f>E5757*G5757</x:f>
        <x:v>197578.72157872157</x:v>
      </x:c>
      <x:c r="I5757" s="36" t="n">
        <x:f>IFERROR(H5757/A5757,0)</x:f>
        <x:v>21953.19128652462</x:v>
      </x:c>
      <x:c r="J5757" s="67" t="str">
        <x:v>Modeled from live base + Sep-2026 quality ratio</x:v>
      </x:c>
      <x:c r="K5757" s="67" t="str">
        <x:v>https://www.stonealgo.com/diamond-prices/</x:v>
      </x:c>
      <x:c r="L5757" s="67" t="str">
        <x:v>https://www.pricescope.com/blog/natural-diamond-prices-september-2026</x:v>
      </x:c>
    </x:row>
    <x:row r="5758">
      <x:c r="A5758" t="n">
        <x:v>9</x:v>
      </x:c>
      <x:c r="B5758" t="str">
        <x:v>Asscher</x:v>
      </x:c>
      <x:c r="C5758" t="str">
        <x:v>K</x:v>
      </x:c>
      <x:c r="D5758" t="str">
        <x:v>VS1</x:v>
      </x:c>
      <x:c r="E5758" s="36" t="n">
        <x:v>388000</x:v>
      </x:c>
      <x:c r="F5758" s="36" t="n">
        <x:v>2223</x:v>
      </x:c>
      <x:c r="G5758" s="42" t="n">
        <x:v>0.4768339768339768</x:v>
      </x:c>
      <x:c r="H5758" s="36" t="n">
        <x:f>E5758*G5758</x:f>
        <x:v>185011.58301158302</x:v>
      </x:c>
      <x:c r="I5758" s="36" t="n">
        <x:f>IFERROR(H5758/A5758,0)</x:f>
        <x:v>20556.84255684256</x:v>
      </x:c>
      <x:c r="J5758" s="67" t="str">
        <x:v>Modeled from live base + Sep-2026 quality ratio</x:v>
      </x:c>
      <x:c r="K5758" s="67" t="str">
        <x:v>https://www.stonealgo.com/diamond-prices/</x:v>
      </x:c>
      <x:c r="L5758" s="67" t="str">
        <x:v>https://www.pricescope.com/blog/natural-diamond-prices-september-2026</x:v>
      </x:c>
    </x:row>
    <x:row r="5759">
      <x:c r="A5759" t="n">
        <x:v>9</x:v>
      </x:c>
      <x:c r="B5759" t="str">
        <x:v>Asscher</x:v>
      </x:c>
      <x:c r="C5759" t="str">
        <x:v>K</x:v>
      </x:c>
      <x:c r="D5759" t="str">
        <x:v>VS2</x:v>
      </x:c>
      <x:c r="E5759" s="36" t="n">
        <x:v>388000</x:v>
      </x:c>
      <x:c r="F5759" s="36" t="n">
        <x:v>2098</x:v>
      </x:c>
      <x:c r="G5759" s="42" t="n">
        <x:v>0.45002145002145</x:v>
      </x:c>
      <x:c r="H5759" s="36" t="n">
        <x:f>E5759*G5759</x:f>
        <x:v>174608.3226083226</x:v>
      </x:c>
      <x:c r="I5759" s="36" t="n">
        <x:f>IFERROR(H5759/A5759,0)</x:f>
        <x:v>19400.924734258067</x:v>
      </x:c>
      <x:c r="J5759" s="67" t="str">
        <x:v>Modeled from live base + Sep-2026 quality ratio</x:v>
      </x:c>
      <x:c r="K5759" s="67" t="str">
        <x:v>https://www.stonealgo.com/diamond-prices/</x:v>
      </x:c>
      <x:c r="L5759" s="67" t="str">
        <x:v>https://www.pricescope.com/blog/natural-diamond-prices-september-2026</x:v>
      </x:c>
    </x:row>
    <x:row r="5760">
      <x:c r="A5760" t="n">
        <x:v>9</x:v>
      </x:c>
      <x:c r="B5760" t="str">
        <x:v>Asscher</x:v>
      </x:c>
      <x:c r="C5760" t="str">
        <x:v>K</x:v>
      </x:c>
      <x:c r="D5760" t="str">
        <x:v>SI1</x:v>
      </x:c>
      <x:c r="E5760" s="36" t="n">
        <x:v>388000</x:v>
      </x:c>
      <x:c r="F5760" s="36" t="n">
        <x:v>1922</x:v>
      </x:c>
      <x:c r="G5760" s="42" t="n">
        <x:v>0.41226941226941227</x:v>
      </x:c>
      <x:c r="H5760" s="36" t="n">
        <x:f>E5760*G5760</x:f>
        <x:v>159960.53196053195</x:v>
      </x:c>
      <x:c r="I5760" s="36" t="n">
        <x:f>IFERROR(H5760/A5760,0)</x:f>
        <x:v>17773.392440059106</x:v>
      </x:c>
      <x:c r="J5760" s="67" t="str">
        <x:v>Modeled from live base + Sep-2026 quality ratio</x:v>
      </x:c>
      <x:c r="K5760" s="67" t="str">
        <x:v>https://www.stonealgo.com/diamond-prices/</x:v>
      </x:c>
      <x:c r="L5760" s="67" t="str">
        <x:v>https://www.pricescope.com/blog/natural-diamond-prices-september-2026</x:v>
      </x:c>
    </x:row>
    <x:row r="5761">
      <x:c r="A5761" t="n">
        <x:v>9</x:v>
      </x:c>
      <x:c r="B5761" t="str">
        <x:v>Asscher</x:v>
      </x:c>
      <x:c r="C5761" t="str">
        <x:v>K</x:v>
      </x:c>
      <x:c r="D5761" t="str">
        <x:v>SI2</x:v>
      </x:c>
      <x:c r="E5761" s="36" t="n">
        <x:v>388000</x:v>
      </x:c>
      <x:c r="F5761" s="36" t="n">
        <x:v>1764</x:v>
      </x:c>
      <x:c r="G5761" s="42" t="n">
        <x:v>0.3783783783783784</x:v>
      </x:c>
      <x:c r="H5761" s="36" t="n">
        <x:f>E5761*G5761</x:f>
        <x:v>146810.81081081083</x:v>
      </x:c>
      <x:c r="I5761" s="36" t="n">
        <x:f>IFERROR(H5761/A5761,0)</x:f>
        <x:v>16312.312312312315</x:v>
      </x:c>
      <x:c r="J5761" s="67" t="str">
        <x:v>Modeled from live base + Sep-2026 quality ratio</x:v>
      </x:c>
      <x:c r="K5761" s="67" t="str">
        <x:v>https://www.stonealgo.com/diamond-prices/</x:v>
      </x:c>
      <x:c r="L5761" s="67" t="str">
        <x:v>https://www.pricescope.com/blog/natural-diamond-prices-september-2026</x:v>
      </x:c>
    </x:row>
    <x:row r="5762">
      <x:c r="A5762" t="n">
        <x:v>10</x:v>
      </x:c>
      <x:c r="B5762" t="str">
        <x:v>Round</x:v>
      </x:c>
      <x:c r="C5762" t="str">
        <x:v>D</x:v>
      </x:c>
      <x:c r="D5762" t="str">
        <x:v>FL</x:v>
      </x:c>
      <x:c r="E5762" s="36" t="n">
        <x:v>374385</x:v>
      </x:c>
      <x:c r="F5762" s="36" t="n">
        <x:v>12665</x:v>
      </x:c>
      <x:c r="G5762" s="42" t="n">
        <x:v>2.7166452166452166</x:v>
      </x:c>
      <x:c r="H5762" s="36" t="n">
        <x:f>E5762*G5762</x:f>
        <x:v>1017071.2194337194</x:v>
      </x:c>
      <x:c r="I5762" s="36" t="n">
        <x:f>IFERROR(H5762/A5762,0)</x:f>
        <x:v>101707.12194337194</x:v>
      </x:c>
      <x:c r="J5762" s="67" t="str">
        <x:v>Modeled from live base + Sep-2026 quality ratio</x:v>
      </x:c>
      <x:c r="K5762" s="67" t="str">
        <x:v>https://www.stonealgo.com/diamond-prices/</x:v>
      </x:c>
      <x:c r="L5762" s="67" t="str">
        <x:v>https://www.pricescope.com/blog/natural-diamond-prices-september-2026</x:v>
      </x:c>
    </x:row>
    <x:row r="5763">
      <x:c r="A5763" t="n">
        <x:v>10</x:v>
      </x:c>
      <x:c r="B5763" t="str">
        <x:v>Round</x:v>
      </x:c>
      <x:c r="C5763" t="str">
        <x:v>D</x:v>
      </x:c>
      <x:c r="D5763" t="str">
        <x:v>IF</x:v>
      </x:c>
      <x:c r="E5763" s="36" t="n">
        <x:v>374385</x:v>
      </x:c>
      <x:c r="F5763" s="36" t="n">
        <x:v>13240</x:v>
      </x:c>
      <x:c r="G5763" s="42" t="n">
        <x:v>2.83998283998284</x:v>
      </x:c>
      <x:c r="H5763" s="36" t="n">
        <x:f>E5763*G5763</x:f>
        <x:v>1063246.9755469756</x:v>
      </x:c>
      <x:c r="I5763" s="36" t="n">
        <x:f>IFERROR(H5763/A5763,0)</x:f>
        <x:v>106324.69755469756</x:v>
      </x:c>
      <x:c r="J5763" s="67" t="str">
        <x:v>Modeled from live base + Sep-2026 quality ratio</x:v>
      </x:c>
      <x:c r="K5763" s="67" t="str">
        <x:v>https://www.stonealgo.com/diamond-prices/</x:v>
      </x:c>
      <x:c r="L5763" s="67" t="str">
        <x:v>https://www.pricescope.com/blog/natural-diamond-prices-september-2026</x:v>
      </x:c>
    </x:row>
    <x:row r="5764">
      <x:c r="A5764" t="n">
        <x:v>10</x:v>
      </x:c>
      <x:c r="B5764" t="str">
        <x:v>Round</x:v>
      </x:c>
      <x:c r="C5764" t="str">
        <x:v>D</x:v>
      </x:c>
      <x:c r="D5764" t="str">
        <x:v>VVS1</x:v>
      </x:c>
      <x:c r="E5764" s="36" t="n">
        <x:v>374385</x:v>
      </x:c>
      <x:c r="F5764" s="36" t="n">
        <x:v>9555</x:v>
      </x:c>
      <x:c r="G5764" s="42" t="n">
        <x:v>2.0495495495495497</x:v>
      </x:c>
      <x:c r="H5764" s="36" t="n">
        <x:f>E5764*G5764</x:f>
        <x:v>767320.6081081082</x:v>
      </x:c>
      <x:c r="I5764" s="36" t="n">
        <x:f>IFERROR(H5764/A5764,0)</x:f>
        <x:v>76732.06081081081</x:v>
      </x:c>
      <x:c r="J5764" s="67" t="str">
        <x:v>Modeled from live base + Sep-2026 quality ratio</x:v>
      </x:c>
      <x:c r="K5764" s="67" t="str">
        <x:v>https://www.stonealgo.com/diamond-prices/</x:v>
      </x:c>
      <x:c r="L5764" s="67" t="str">
        <x:v>https://www.pricescope.com/blog/natural-diamond-prices-september-2026</x:v>
      </x:c>
    </x:row>
    <x:row r="5765">
      <x:c r="A5765" t="n">
        <x:v>10</x:v>
      </x:c>
      <x:c r="B5765" t="str">
        <x:v>Round</x:v>
      </x:c>
      <x:c r="C5765" t="str">
        <x:v>D</x:v>
      </x:c>
      <x:c r="D5765" t="str">
        <x:v>VVS2</x:v>
      </x:c>
      <x:c r="E5765" s="36" t="n">
        <x:v>374385</x:v>
      </x:c>
      <x:c r="F5765" s="36" t="n">
        <x:v>6660</x:v>
      </x:c>
      <x:c r="G5765" s="42" t="n">
        <x:v>1.4285714285714286</x:v>
      </x:c>
      <x:c r="H5765" s="36" t="n">
        <x:f>E5765*G5765</x:f>
        <x:v>534835.7142857143</x:v>
      </x:c>
      <x:c r="I5765" s="36" t="n">
        <x:f>IFERROR(H5765/A5765,0)</x:f>
        <x:v>53483.571428571435</x:v>
      </x:c>
      <x:c r="J5765" s="67" t="str">
        <x:v>Modeled from live base + Sep-2026 quality ratio</x:v>
      </x:c>
      <x:c r="K5765" s="67" t="str">
        <x:v>https://www.stonealgo.com/diamond-prices/</x:v>
      </x:c>
      <x:c r="L5765" s="67" t="str">
        <x:v>https://www.pricescope.com/blog/natural-diamond-prices-september-2026</x:v>
      </x:c>
    </x:row>
    <x:row r="5766">
      <x:c r="A5766" t="n">
        <x:v>10</x:v>
      </x:c>
      <x:c r="B5766" t="str">
        <x:v>Round</x:v>
      </x:c>
      <x:c r="C5766" t="str">
        <x:v>D</x:v>
      </x:c>
      <x:c r="D5766" t="str">
        <x:v>VS1</x:v>
      </x:c>
      <x:c r="E5766" s="36" t="n">
        <x:v>374385</x:v>
      </x:c>
      <x:c r="F5766" s="36" t="n">
        <x:v>6247</x:v>
      </x:c>
      <x:c r="G5766" s="42" t="n">
        <x:v>1.33998283998284</x:v>
      </x:c>
      <x:c r="H5766" s="36" t="n">
        <x:f>E5766*G5766</x:f>
        <x:v>501669.47554697556</x:v>
      </x:c>
      <x:c r="I5766" s="36" t="n">
        <x:f>IFERROR(H5766/A5766,0)</x:f>
        <x:v>50166.94755469756</x:v>
      </x:c>
      <x:c r="J5766" s="67" t="str">
        <x:v>Modeled from live base + Sep-2026 quality ratio</x:v>
      </x:c>
      <x:c r="K5766" s="67" t="str">
        <x:v>https://www.stonealgo.com/diamond-prices/</x:v>
      </x:c>
      <x:c r="L5766" s="67" t="str">
        <x:v>https://www.pricescope.com/blog/natural-diamond-prices-september-2026</x:v>
      </x:c>
    </x:row>
    <x:row r="5767">
      <x:c r="A5767" t="n">
        <x:v>10</x:v>
      </x:c>
      <x:c r="B5767" t="str">
        <x:v>Round</x:v>
      </x:c>
      <x:c r="C5767" t="str">
        <x:v>D</x:v>
      </x:c>
      <x:c r="D5767" t="str">
        <x:v>VS2</x:v>
      </x:c>
      <x:c r="E5767" s="36" t="n">
        <x:v>374385</x:v>
      </x:c>
      <x:c r="F5767" s="36" t="n">
        <x:v>5841</x:v>
      </x:c>
      <x:c r="G5767" s="42" t="n">
        <x:v>1.252895752895753</x:v>
      </x:c>
      <x:c r="H5767" s="36" t="n">
        <x:f>E5767*G5767</x:f>
        <x:v>469065.37644787645</x:v>
      </x:c>
      <x:c r="I5767" s="36" t="n">
        <x:f>IFERROR(H5767/A5767,0)</x:f>
        <x:v>46906.53764478765</x:v>
      </x:c>
      <x:c r="J5767" s="67" t="str">
        <x:v>Modeled from live base + Sep-2026 quality ratio</x:v>
      </x:c>
      <x:c r="K5767" s="67" t="str">
        <x:v>https://www.stonealgo.com/diamond-prices/</x:v>
      </x:c>
      <x:c r="L5767" s="67" t="str">
        <x:v>https://www.pricescope.com/blog/natural-diamond-prices-september-2026</x:v>
      </x:c>
    </x:row>
    <x:row r="5768">
      <x:c r="A5768" t="n">
        <x:v>10</x:v>
      </x:c>
      <x:c r="B5768" t="str">
        <x:v>Round</x:v>
      </x:c>
      <x:c r="C5768" t="str">
        <x:v>D</x:v>
      </x:c>
      <x:c r="D5768" t="str">
        <x:v>SI1</x:v>
      </x:c>
      <x:c r="E5768" s="36" t="n">
        <x:v>374385</x:v>
      </x:c>
      <x:c r="F5768" s="36" t="n">
        <x:v>3762</x:v>
      </x:c>
      <x:c r="G5768" s="42" t="n">
        <x:v>0.806949806949807</x:v>
      </x:c>
      <x:c r="H5768" s="36" t="n">
        <x:f>E5768*G5768</x:f>
        <x:v>302109.9034749035</x:v>
      </x:c>
      <x:c r="I5768" s="36" t="n">
        <x:f>IFERROR(H5768/A5768,0)</x:f>
        <x:v>30210.990347490348</x:v>
      </x:c>
      <x:c r="J5768" s="67" t="str">
        <x:v>Modeled from live base + Sep-2026 quality ratio</x:v>
      </x:c>
      <x:c r="K5768" s="67" t="str">
        <x:v>https://www.stonealgo.com/diamond-prices/</x:v>
      </x:c>
      <x:c r="L5768" s="67" t="str">
        <x:v>https://www.pricescope.com/blog/natural-diamond-prices-september-2026</x:v>
      </x:c>
    </x:row>
    <x:row r="5769">
      <x:c r="A5769" t="n">
        <x:v>10</x:v>
      </x:c>
      <x:c r="B5769" t="str">
        <x:v>Round</x:v>
      </x:c>
      <x:c r="C5769" t="str">
        <x:v>D</x:v>
      </x:c>
      <x:c r="D5769" t="str">
        <x:v>SI2</x:v>
      </x:c>
      <x:c r="E5769" s="36" t="n">
        <x:v>374385</x:v>
      </x:c>
      <x:c r="F5769" s="36" t="n">
        <x:v>3026</x:v>
      </x:c>
      <x:c r="G5769" s="42" t="n">
        <x:v>0.6490776490776491</x:v>
      </x:c>
      <x:c r="H5769" s="36" t="n">
        <x:f>E5769*G5769</x:f>
        <x:v>243004.93564993565</x:v>
      </x:c>
      <x:c r="I5769" s="36" t="n">
        <x:f>IFERROR(H5769/A5769,0)</x:f>
        <x:v>24300.493564993565</x:v>
      </x:c>
      <x:c r="J5769" s="67" t="str">
        <x:v>Modeled from live base + Sep-2026 quality ratio</x:v>
      </x:c>
      <x:c r="K5769" s="67" t="str">
        <x:v>https://www.stonealgo.com/diamond-prices/</x:v>
      </x:c>
      <x:c r="L5769" s="67" t="str">
        <x:v>https://www.pricescope.com/blog/natural-diamond-prices-september-2026</x:v>
      </x:c>
    </x:row>
    <x:row r="5770">
      <x:c r="A5770" t="n">
        <x:v>10</x:v>
      </x:c>
      <x:c r="B5770" t="str">
        <x:v>Round</x:v>
      </x:c>
      <x:c r="C5770" t="str">
        <x:v>E</x:v>
      </x:c>
      <x:c r="D5770" t="str">
        <x:v>FL</x:v>
      </x:c>
      <x:c r="E5770" s="36" t="n">
        <x:v>374385</x:v>
      </x:c>
      <x:c r="F5770" s="36" t="n">
        <x:v>10072</x:v>
      </x:c>
      <x:c r="G5770" s="42" t="n">
        <x:v>2.1604461604461602</x:v>
      </x:c>
      <x:c r="H5770" s="36" t="n">
        <x:f>E5770*G5770</x:f>
        <x:v>808838.6357786357</x:v>
      </x:c>
      <x:c r="I5770" s="36" t="n">
        <x:f>IFERROR(H5770/A5770,0)</x:f>
        <x:v>80883.86357786358</x:v>
      </x:c>
      <x:c r="J5770" s="67" t="str">
        <x:v>Modeled from live base + Sep-2026 quality ratio</x:v>
      </x:c>
      <x:c r="K5770" s="67" t="str">
        <x:v>https://www.stonealgo.com/diamond-prices/</x:v>
      </x:c>
      <x:c r="L5770" s="67" t="str">
        <x:v>https://www.pricescope.com/blog/natural-diamond-prices-september-2026</x:v>
      </x:c>
    </x:row>
    <x:row r="5771">
      <x:c r="A5771" t="n">
        <x:v>10</x:v>
      </x:c>
      <x:c r="B5771" t="str">
        <x:v>Round</x:v>
      </x:c>
      <x:c r="C5771" t="str">
        <x:v>E</x:v>
      </x:c>
      <x:c r="D5771" t="str">
        <x:v>IF</x:v>
      </x:c>
      <x:c r="E5771" s="36" t="n">
        <x:v>374385</x:v>
      </x:c>
      <x:c r="F5771" s="36" t="n">
        <x:v>8672</x:v>
      </x:c>
      <x:c r="G5771" s="42" t="n">
        <x:v>1.8601458601458603</x:v>
      </x:c>
      <x:c r="H5771" s="36" t="n">
        <x:f>E5771*G5771</x:f>
        <x:v>696410.7078507079</x:v>
      </x:c>
      <x:c r="I5771" s="36" t="n">
        <x:f>IFERROR(H5771/A5771,0)</x:f>
        <x:v>69641.0707850708</x:v>
      </x:c>
      <x:c r="J5771" s="67" t="str">
        <x:v>Modeled from live base + Sep-2026 quality ratio</x:v>
      </x:c>
      <x:c r="K5771" s="67" t="str">
        <x:v>https://www.stonealgo.com/diamond-prices/</x:v>
      </x:c>
      <x:c r="L5771" s="67" t="str">
        <x:v>https://www.pricescope.com/blog/natural-diamond-prices-september-2026</x:v>
      </x:c>
    </x:row>
    <x:row r="5772">
      <x:c r="A5772" t="n">
        <x:v>10</x:v>
      </x:c>
      <x:c r="B5772" t="str">
        <x:v>Round</x:v>
      </x:c>
      <x:c r="C5772" t="str">
        <x:v>E</x:v>
      </x:c>
      <x:c r="D5772" t="str">
        <x:v>VVS1</x:v>
      </x:c>
      <x:c r="E5772" s="36" t="n">
        <x:v>374385</x:v>
      </x:c>
      <x:c r="F5772" s="36" t="n">
        <x:v>7842</x:v>
      </x:c>
      <x:c r="G5772" s="42" t="n">
        <x:v>1.6821106821106822</x:v>
      </x:c>
      <x:c r="H5772" s="36" t="n">
        <x:f>E5772*G5772</x:f>
        <x:v>629757.0077220077</x:v>
      </x:c>
      <x:c r="I5772" s="36" t="n">
        <x:f>IFERROR(H5772/A5772,0)</x:f>
        <x:v>62975.70077220077</x:v>
      </x:c>
      <x:c r="J5772" s="67" t="str">
        <x:v>Modeled from live base + Sep-2026 quality ratio</x:v>
      </x:c>
      <x:c r="K5772" s="67" t="str">
        <x:v>https://www.stonealgo.com/diamond-prices/</x:v>
      </x:c>
      <x:c r="L5772" s="67" t="str">
        <x:v>https://www.pricescope.com/blog/natural-diamond-prices-september-2026</x:v>
      </x:c>
    </x:row>
    <x:row r="5773">
      <x:c r="A5773" t="n">
        <x:v>10</x:v>
      </x:c>
      <x:c r="B5773" t="str">
        <x:v>Round</x:v>
      </x:c>
      <x:c r="C5773" t="str">
        <x:v>E</x:v>
      </x:c>
      <x:c r="D5773" t="str">
        <x:v>VVS2</x:v>
      </x:c>
      <x:c r="E5773" s="36" t="n">
        <x:v>374385</x:v>
      </x:c>
      <x:c r="F5773" s="36" t="n">
        <x:v>6880</x:v>
      </x:c>
      <x:c r="G5773" s="42" t="n">
        <x:v>1.4757614757614759</x:v>
      </x:c>
      <x:c r="H5773" s="36" t="n">
        <x:f>E5773*G5773</x:f>
        <x:v>552502.9601029601</x:v>
      </x:c>
      <x:c r="I5773" s="36" t="n">
        <x:f>IFERROR(H5773/A5773,0)</x:f>
        <x:v>55250.29601029601</x:v>
      </x:c>
      <x:c r="J5773" s="67" t="str">
        <x:v>Modeled from live base + Sep-2026 quality ratio</x:v>
      </x:c>
      <x:c r="K5773" s="67" t="str">
        <x:v>https://www.stonealgo.com/diamond-prices/</x:v>
      </x:c>
      <x:c r="L5773" s="67" t="str">
        <x:v>https://www.pricescope.com/blog/natural-diamond-prices-september-2026</x:v>
      </x:c>
    </x:row>
    <x:row r="5774">
      <x:c r="A5774" t="n">
        <x:v>10</x:v>
      </x:c>
      <x:c r="B5774" t="str">
        <x:v>Round</x:v>
      </x:c>
      <x:c r="C5774" t="str">
        <x:v>E</x:v>
      </x:c>
      <x:c r="D5774" t="str">
        <x:v>VS1</x:v>
      </x:c>
      <x:c r="E5774" s="36" t="n">
        <x:v>374385</x:v>
      </x:c>
      <x:c r="F5774" s="36" t="n">
        <x:v>6307</x:v>
      </x:c>
      <x:c r="G5774" s="42" t="n">
        <x:v>1.352852852852853</x:v>
      </x:c>
      <x:c r="H5774" s="36" t="n">
        <x:f>E5774*G5774</x:f>
        <x:v>506487.8153153153</x:v>
      </x:c>
      <x:c r="I5774" s="36" t="n">
        <x:f>IFERROR(H5774/A5774,0)</x:f>
        <x:v>50648.78153153153</x:v>
      </x:c>
      <x:c r="J5774" s="67" t="str">
        <x:v>Modeled from live base + Sep-2026 quality ratio</x:v>
      </x:c>
      <x:c r="K5774" s="67" t="str">
        <x:v>https://www.stonealgo.com/diamond-prices/</x:v>
      </x:c>
      <x:c r="L5774" s="67" t="str">
        <x:v>https://www.pricescope.com/blog/natural-diamond-prices-september-2026</x:v>
      </x:c>
    </x:row>
    <x:row r="5775">
      <x:c r="A5775" t="n">
        <x:v>10</x:v>
      </x:c>
      <x:c r="B5775" t="str">
        <x:v>Round</x:v>
      </x:c>
      <x:c r="C5775" t="str">
        <x:v>E</x:v>
      </x:c>
      <x:c r="D5775" t="str">
        <x:v>VS2</x:v>
      </x:c>
      <x:c r="E5775" s="36" t="n">
        <x:v>374385</x:v>
      </x:c>
      <x:c r="F5775" s="36" t="n">
        <x:v>5249</x:v>
      </x:c>
      <x:c r="G5775" s="42" t="n">
        <x:v>1.125911625911626</x:v>
      </x:c>
      <x:c r="H5775" s="36" t="n">
        <x:f>E5775*G5775</x:f>
        <x:v>421524.4240669241</x:v>
      </x:c>
      <x:c r="I5775" s="36" t="n">
        <x:f>IFERROR(H5775/A5775,0)</x:f>
        <x:v>42152.44240669241</x:v>
      </x:c>
      <x:c r="J5775" s="67" t="str">
        <x:v>Modeled from live base + Sep-2026 quality ratio</x:v>
      </x:c>
      <x:c r="K5775" s="67" t="str">
        <x:v>https://www.stonealgo.com/diamond-prices/</x:v>
      </x:c>
      <x:c r="L5775" s="67" t="str">
        <x:v>https://www.pricescope.com/blog/natural-diamond-prices-september-2026</x:v>
      </x:c>
    </x:row>
    <x:row r="5776">
      <x:c r="A5776" t="n">
        <x:v>10</x:v>
      </x:c>
      <x:c r="B5776" t="str">
        <x:v>Round</x:v>
      </x:c>
      <x:c r="C5776" t="str">
        <x:v>E</x:v>
      </x:c>
      <x:c r="D5776" t="str">
        <x:v>SI1</x:v>
      </x:c>
      <x:c r="E5776" s="36" t="n">
        <x:v>374385</x:v>
      </x:c>
      <x:c r="F5776" s="36" t="n">
        <x:v>3551</x:v>
      </x:c>
      <x:c r="G5776" s="42" t="n">
        <x:v>0.7616902616902617</x:v>
      </x:c>
      <x:c r="H5776" s="36" t="n">
        <x:f>E5776*G5776</x:f>
        <x:v>285165.40862290864</x:v>
      </x:c>
      <x:c r="I5776" s="36" t="n">
        <x:f>IFERROR(H5776/A5776,0)</x:f>
        <x:v>28516.540862290865</x:v>
      </x:c>
      <x:c r="J5776" s="67" t="str">
        <x:v>Modeled from live base + Sep-2026 quality ratio</x:v>
      </x:c>
      <x:c r="K5776" s="67" t="str">
        <x:v>https://www.stonealgo.com/diamond-prices/</x:v>
      </x:c>
      <x:c r="L5776" s="67" t="str">
        <x:v>https://www.pricescope.com/blog/natural-diamond-prices-september-2026</x:v>
      </x:c>
    </x:row>
    <x:row r="5777">
      <x:c r="A5777" t="n">
        <x:v>10</x:v>
      </x:c>
      <x:c r="B5777" t="str">
        <x:v>Round</x:v>
      </x:c>
      <x:c r="C5777" t="str">
        <x:v>E</x:v>
      </x:c>
      <x:c r="D5777" t="str">
        <x:v>SI2</x:v>
      </x:c>
      <x:c r="E5777" s="36" t="n">
        <x:v>374385</x:v>
      </x:c>
      <x:c r="F5777" s="36" t="n">
        <x:v>2993</x:v>
      </x:c>
      <x:c r="G5777" s="42" t="n">
        <x:v>0.641999141999142</x:v>
      </x:c>
      <x:c r="H5777" s="36" t="n">
        <x:f>E5777*G5777</x:f>
        <x:v>240354.8487773488</x:v>
      </x:c>
      <x:c r="I5777" s="36" t="n">
        <x:f>IFERROR(H5777/A5777,0)</x:f>
        <x:v>24035.484877734878</x:v>
      </x:c>
      <x:c r="J5777" s="67" t="str">
        <x:v>Modeled from live base + Sep-2026 quality ratio</x:v>
      </x:c>
      <x:c r="K5777" s="67" t="str">
        <x:v>https://www.stonealgo.com/diamond-prices/</x:v>
      </x:c>
      <x:c r="L5777" s="67" t="str">
        <x:v>https://www.pricescope.com/blog/natural-diamond-prices-september-2026</x:v>
      </x:c>
    </x:row>
    <x:row r="5778">
      <x:c r="A5778" t="n">
        <x:v>10</x:v>
      </x:c>
      <x:c r="B5778" t="str">
        <x:v>Round</x:v>
      </x:c>
      <x:c r="C5778" t="str">
        <x:v>F</x:v>
      </x:c>
      <x:c r="D5778" t="str">
        <x:v>FL</x:v>
      </x:c>
      <x:c r="E5778" s="36" t="n">
        <x:v>374385</x:v>
      </x:c>
      <x:c r="F5778" s="36" t="n">
        <x:v>6830</x:v>
      </x:c>
      <x:c r="G5778" s="42" t="n">
        <x:v>1.4650364650364651</x:v>
      </x:c>
      <x:c r="H5778" s="36" t="n">
        <x:f>E5778*G5778</x:f>
        <x:v>548487.676962677</x:v>
      </x:c>
      <x:c r="I5778" s="36" t="n">
        <x:f>IFERROR(H5778/A5778,0)</x:f>
        <x:v>54848.76769626771</x:v>
      </x:c>
      <x:c r="J5778" s="67" t="str">
        <x:v>Modeled from live base + Sep-2026 quality ratio</x:v>
      </x:c>
      <x:c r="K5778" s="67" t="str">
        <x:v>https://www.stonealgo.com/diamond-prices/</x:v>
      </x:c>
      <x:c r="L5778" s="67" t="str">
        <x:v>https://www.pricescope.com/blog/natural-diamond-prices-september-2026</x:v>
      </x:c>
    </x:row>
    <x:row r="5779">
      <x:c r="A5779" t="n">
        <x:v>10</x:v>
      </x:c>
      <x:c r="B5779" t="str">
        <x:v>Round</x:v>
      </x:c>
      <x:c r="C5779" t="str">
        <x:v>F</x:v>
      </x:c>
      <x:c r="D5779" t="str">
        <x:v>IF</x:v>
      </x:c>
      <x:c r="E5779" s="36" t="n">
        <x:v>374385</x:v>
      </x:c>
      <x:c r="F5779" s="36" t="n">
        <x:v>7302</x:v>
      </x:c>
      <x:c r="G5779" s="42" t="n">
        <x:v>1.5662805662805663</x:v>
      </x:c>
      <x:c r="H5779" s="36" t="n">
        <x:f>E5779*G5779</x:f>
        <x:v>586391.9498069498</x:v>
      </x:c>
      <x:c r="I5779" s="36" t="n">
        <x:f>IFERROR(H5779/A5779,0)</x:f>
        <x:v>58639.194980694985</x:v>
      </x:c>
      <x:c r="J5779" s="67" t="str">
        <x:v>Modeled from live base + Sep-2026 quality ratio</x:v>
      </x:c>
      <x:c r="K5779" s="67" t="str">
        <x:v>https://www.stonealgo.com/diamond-prices/</x:v>
      </x:c>
      <x:c r="L5779" s="67" t="str">
        <x:v>https://www.pricescope.com/blog/natural-diamond-prices-september-2026</x:v>
      </x:c>
    </x:row>
    <x:row r="5780">
      <x:c r="A5780" t="n">
        <x:v>10</x:v>
      </x:c>
      <x:c r="B5780" t="str">
        <x:v>Round</x:v>
      </x:c>
      <x:c r="C5780" t="str">
        <x:v>F</x:v>
      </x:c>
      <x:c r="D5780" t="str">
        <x:v>VVS1</x:v>
      </x:c>
      <x:c r="E5780" s="36" t="n">
        <x:v>374385</x:v>
      </x:c>
      <x:c r="F5780" s="36" t="n">
        <x:v>7542</x:v>
      </x:c>
      <x:c r="G5780" s="42" t="n">
        <x:v>1.6177606177606179</x:v>
      </x:c>
      <x:c r="H5780" s="36" t="n">
        <x:f>E5780*G5780</x:f>
        <x:v>605665.3088803089</x:v>
      </x:c>
      <x:c r="I5780" s="36" t="n">
        <x:f>IFERROR(H5780/A5780,0)</x:f>
        <x:v>60566.53088803089</x:v>
      </x:c>
      <x:c r="J5780" s="67" t="str">
        <x:v>Modeled from live base + Sep-2026 quality ratio</x:v>
      </x:c>
      <x:c r="K5780" s="67" t="str">
        <x:v>https://www.stonealgo.com/diamond-prices/</x:v>
      </x:c>
      <x:c r="L5780" s="67" t="str">
        <x:v>https://www.pricescope.com/blog/natural-diamond-prices-september-2026</x:v>
      </x:c>
    </x:row>
    <x:row r="5781">
      <x:c r="A5781" t="n">
        <x:v>10</x:v>
      </x:c>
      <x:c r="B5781" t="str">
        <x:v>Round</x:v>
      </x:c>
      <x:c r="C5781" t="str">
        <x:v>F</x:v>
      </x:c>
      <x:c r="D5781" t="str">
        <x:v>VVS2</x:v>
      </x:c>
      <x:c r="E5781" s="36" t="n">
        <x:v>374385</x:v>
      </x:c>
      <x:c r="F5781" s="36" t="n">
        <x:v>6352</x:v>
      </x:c>
      <x:c r="G5781" s="42" t="n">
        <x:v>1.3625053625053625</x:v>
      </x:c>
      <x:c r="H5781" s="36" t="n">
        <x:f>E5781*G5781</x:f>
        <x:v>510101.5701415701</x:v>
      </x:c>
      <x:c r="I5781" s="36" t="n">
        <x:f>IFERROR(H5781/A5781,0)</x:f>
        <x:v>51010.15701415701</x:v>
      </x:c>
      <x:c r="J5781" s="67" t="str">
        <x:v>Modeled from live base + Sep-2026 quality ratio</x:v>
      </x:c>
      <x:c r="K5781" s="67" t="str">
        <x:v>https://www.stonealgo.com/diamond-prices/</x:v>
      </x:c>
      <x:c r="L5781" s="67" t="str">
        <x:v>https://www.pricescope.com/blog/natural-diamond-prices-september-2026</x:v>
      </x:c>
    </x:row>
    <x:row r="5782">
      <x:c r="A5782" t="n">
        <x:v>10</x:v>
      </x:c>
      <x:c r="B5782" t="str">
        <x:v>Round</x:v>
      </x:c>
      <x:c r="C5782" t="str">
        <x:v>F</x:v>
      </x:c>
      <x:c r="D5782" t="str">
        <x:v>VS1</x:v>
      </x:c>
      <x:c r="E5782" s="36" t="n">
        <x:v>374385</x:v>
      </x:c>
      <x:c r="F5782" s="36" t="n">
        <x:v>5647</x:v>
      </x:c>
      <x:c r="G5782" s="42" t="n">
        <x:v>1.2112827112827114</x:v>
      </x:c>
      <x:c r="H5782" s="36" t="n">
        <x:f>E5782*G5782</x:f>
        <x:v>453486.07786357787</x:v>
      </x:c>
      <x:c r="I5782" s="36" t="n">
        <x:f>IFERROR(H5782/A5782,0)</x:f>
        <x:v>45348.60778635779</x:v>
      </x:c>
      <x:c r="J5782" s="67" t="str">
        <x:v>Modeled from live base + Sep-2026 quality ratio</x:v>
      </x:c>
      <x:c r="K5782" s="67" t="str">
        <x:v>https://www.stonealgo.com/diamond-prices/</x:v>
      </x:c>
      <x:c r="L5782" s="67" t="str">
        <x:v>https://www.pricescope.com/blog/natural-diamond-prices-september-2026</x:v>
      </x:c>
    </x:row>
    <x:row r="5783">
      <x:c r="A5783" t="n">
        <x:v>10</x:v>
      </x:c>
      <x:c r="B5783" t="str">
        <x:v>Round</x:v>
      </x:c>
      <x:c r="C5783" t="str">
        <x:v>F</x:v>
      </x:c>
      <x:c r="D5783" t="str">
        <x:v>VS2</x:v>
      </x:c>
      <x:c r="E5783" s="36" t="n">
        <x:v>374385</x:v>
      </x:c>
      <x:c r="F5783" s="36" t="n">
        <x:v>4730</x:v>
      </x:c>
      <x:c r="G5783" s="42" t="n">
        <x:v>1.0145860145860146</x:v>
      </x:c>
      <x:c r="H5783" s="36" t="n">
        <x:f>E5783*G5783</x:f>
        <x:v>379845.7850707851</x:v>
      </x:c>
      <x:c r="I5783" s="36" t="n">
        <x:f>IFERROR(H5783/A5783,0)</x:f>
        <x:v>37984.578507078506</x:v>
      </x:c>
      <x:c r="J5783" s="67" t="str">
        <x:v>Modeled from live base + Sep-2026 quality ratio</x:v>
      </x:c>
      <x:c r="K5783" s="67" t="str">
        <x:v>https://www.stonealgo.com/diamond-prices/</x:v>
      </x:c>
      <x:c r="L5783" s="67" t="str">
        <x:v>https://www.pricescope.com/blog/natural-diamond-prices-september-2026</x:v>
      </x:c>
    </x:row>
    <x:row r="5784">
      <x:c r="A5784" t="n">
        <x:v>10</x:v>
      </x:c>
      <x:c r="B5784" t="str">
        <x:v>Round</x:v>
      </x:c>
      <x:c r="C5784" t="str">
        <x:v>F</x:v>
      </x:c>
      <x:c r="D5784" t="str">
        <x:v>SI1</x:v>
      </x:c>
      <x:c r="E5784" s="36" t="n">
        <x:v>374385</x:v>
      </x:c>
      <x:c r="F5784" s="36" t="n">
        <x:v>3331</x:v>
      </x:c>
      <x:c r="G5784" s="42" t="n">
        <x:v>0.7145002145002145</x:v>
      </x:c>
      <x:c r="H5784" s="36" t="n">
        <x:f>E5784*G5784</x:f>
        <x:v>267498.1628056628</x:v>
      </x:c>
      <x:c r="I5784" s="36" t="n">
        <x:f>IFERROR(H5784/A5784,0)</x:f>
        <x:v>26749.81628056628</x:v>
      </x:c>
      <x:c r="J5784" s="67" t="str">
        <x:v>Modeled from live base + Sep-2026 quality ratio</x:v>
      </x:c>
      <x:c r="K5784" s="67" t="str">
        <x:v>https://www.stonealgo.com/diamond-prices/</x:v>
      </x:c>
      <x:c r="L5784" s="67" t="str">
        <x:v>https://www.pricescope.com/blog/natural-diamond-prices-september-2026</x:v>
      </x:c>
    </x:row>
    <x:row r="5785">
      <x:c r="A5785" t="n">
        <x:v>10</x:v>
      </x:c>
      <x:c r="B5785" t="str">
        <x:v>Round</x:v>
      </x:c>
      <x:c r="C5785" t="str">
        <x:v>F</x:v>
      </x:c>
      <x:c r="D5785" t="str">
        <x:v>SI2</x:v>
      </x:c>
      <x:c r="E5785" s="36" t="n">
        <x:v>374385</x:v>
      </x:c>
      <x:c r="F5785" s="36" t="n">
        <x:v>2733</x:v>
      </x:c>
      <x:c r="G5785" s="42" t="n">
        <x:v>0.5862290862290862</x:v>
      </x:c>
      <x:c r="H5785" s="36" t="n">
        <x:f>E5785*G5785</x:f>
        <x:v>219475.37644787645</x:v>
      </x:c>
      <x:c r="I5785" s="36" t="n">
        <x:f>IFERROR(H5785/A5785,0)</x:f>
        <x:v>21947.537644787644</x:v>
      </x:c>
      <x:c r="J5785" s="67" t="str">
        <x:v>Modeled from live base + Sep-2026 quality ratio</x:v>
      </x:c>
      <x:c r="K5785" s="67" t="str">
        <x:v>https://www.stonealgo.com/diamond-prices/</x:v>
      </x:c>
      <x:c r="L5785" s="67" t="str">
        <x:v>https://www.pricescope.com/blog/natural-diamond-prices-september-2026</x:v>
      </x:c>
    </x:row>
    <x:row r="5786">
      <x:c r="A5786" t="n">
        <x:v>10</x:v>
      </x:c>
      <x:c r="B5786" t="str">
        <x:v>Round</x:v>
      </x:c>
      <x:c r="C5786" t="str">
        <x:v>G</x:v>
      </x:c>
      <x:c r="D5786" t="str">
        <x:v>FL</x:v>
      </x:c>
      <x:c r="E5786" s="36" t="n">
        <x:v>374385</x:v>
      </x:c>
      <x:c r="F5786" s="36" t="n">
        <x:v>5905</x:v>
      </x:c>
      <x:c r="G5786" s="42" t="n">
        <x:v>1.2666237666237665</x:v>
      </x:c>
      <x:c r="H5786" s="36" t="n">
        <x:f>E5786*G5786</x:f>
        <x:v>474204.9388674388</x:v>
      </x:c>
      <x:c r="I5786" s="36" t="n">
        <x:f>IFERROR(H5786/A5786,0)</x:f>
        <x:v>47420.49388674388</x:v>
      </x:c>
      <x:c r="J5786" s="67" t="str">
        <x:v>Modeled from live base + Sep-2026 quality ratio</x:v>
      </x:c>
      <x:c r="K5786" s="67" t="str">
        <x:v>https://www.stonealgo.com/diamond-prices/</x:v>
      </x:c>
      <x:c r="L5786" s="67" t="str">
        <x:v>https://www.pricescope.com/blog/natural-diamond-prices-september-2026</x:v>
      </x:c>
    </x:row>
    <x:row r="5787">
      <x:c r="A5787" t="n">
        <x:v>10</x:v>
      </x:c>
      <x:c r="B5787" t="str">
        <x:v>Round</x:v>
      </x:c>
      <x:c r="C5787" t="str">
        <x:v>G</x:v>
      </x:c>
      <x:c r="D5787" t="str">
        <x:v>IF</x:v>
      </x:c>
      <x:c r="E5787" s="36" t="n">
        <x:v>374385</x:v>
      </x:c>
      <x:c r="F5787" s="36" t="n">
        <x:v>5601</x:v>
      </x:c>
      <x:c r="G5787" s="42" t="n">
        <x:v>1.2014157014157014</x:v>
      </x:c>
      <x:c r="H5787" s="36" t="n">
        <x:f>E5787*G5787</x:f>
        <x:v>449792.0173745174</x:v>
      </x:c>
      <x:c r="I5787" s="36" t="n">
        <x:f>IFERROR(H5787/A5787,0)</x:f>
        <x:v>44979.20173745174</x:v>
      </x:c>
      <x:c r="J5787" s="67" t="str">
        <x:v>Modeled from live base + Sep-2026 quality ratio</x:v>
      </x:c>
      <x:c r="K5787" s="67" t="str">
        <x:v>https://www.stonealgo.com/diamond-prices/</x:v>
      </x:c>
      <x:c r="L5787" s="67" t="str">
        <x:v>https://www.pricescope.com/blog/natural-diamond-prices-september-2026</x:v>
      </x:c>
    </x:row>
    <x:row r="5788">
      <x:c r="A5788" t="n">
        <x:v>10</x:v>
      </x:c>
      <x:c r="B5788" t="str">
        <x:v>Round</x:v>
      </x:c>
      <x:c r="C5788" t="str">
        <x:v>G</x:v>
      </x:c>
      <x:c r="D5788" t="str">
        <x:v>VVS1</x:v>
      </x:c>
      <x:c r="E5788" s="36" t="n">
        <x:v>374385</x:v>
      </x:c>
      <x:c r="F5788" s="36" t="n">
        <x:v>5124</x:v>
      </x:c>
      <x:c r="G5788" s="42" t="n">
        <x:v>1.0990990990990992</x:v>
      </x:c>
      <x:c r="H5788" s="36" t="n">
        <x:f>E5788*G5788</x:f>
        <x:v>411486.2162162163</x:v>
      </x:c>
      <x:c r="I5788" s="36" t="n">
        <x:f>IFERROR(H5788/A5788,0)</x:f>
        <x:v>41148.62162162163</x:v>
      </x:c>
      <x:c r="J5788" s="67" t="str">
        <x:v>Modeled from live base + Sep-2026 quality ratio</x:v>
      </x:c>
      <x:c r="K5788" s="67" t="str">
        <x:v>https://www.stonealgo.com/diamond-prices/</x:v>
      </x:c>
      <x:c r="L5788" s="67" t="str">
        <x:v>https://www.pricescope.com/blog/natural-diamond-prices-september-2026</x:v>
      </x:c>
    </x:row>
    <x:row r="5789">
      <x:c r="A5789" t="n">
        <x:v>10</x:v>
      </x:c>
      <x:c r="B5789" t="str">
        <x:v>Round</x:v>
      </x:c>
      <x:c r="C5789" t="str">
        <x:v>G</x:v>
      </x:c>
      <x:c r="D5789" t="str">
        <x:v>VVS2</x:v>
      </x:c>
      <x:c r="E5789" s="36" t="n">
        <x:v>374385</x:v>
      </x:c>
      <x:c r="F5789" s="36" t="n">
        <x:v>4962</x:v>
      </x:c>
      <x:c r="G5789" s="42" t="n">
        <x:v>1.0643500643500643</x:v>
      </x:c>
      <x:c r="H5789" s="36" t="n">
        <x:f>E5789*G5789</x:f>
        <x:v>398476.6988416988</x:v>
      </x:c>
      <x:c r="I5789" s="36" t="n">
        <x:f>IFERROR(H5789/A5789,0)</x:f>
        <x:v>39847.66988416988</x:v>
      </x:c>
      <x:c r="J5789" s="67" t="str">
        <x:v>Modeled from live base + Sep-2026 quality ratio</x:v>
      </x:c>
      <x:c r="K5789" s="67" t="str">
        <x:v>https://www.stonealgo.com/diamond-prices/</x:v>
      </x:c>
      <x:c r="L5789" s="67" t="str">
        <x:v>https://www.pricescope.com/blog/natural-diamond-prices-september-2026</x:v>
      </x:c>
    </x:row>
    <x:row r="5790">
      <x:c r="A5790" t="n">
        <x:v>10</x:v>
      </x:c>
      <x:c r="B5790" t="str">
        <x:v>Round</x:v>
      </x:c>
      <x:c r="C5790" t="str">
        <x:v>G</x:v>
      </x:c>
      <x:c r="D5790" t="str">
        <x:v>VS1</x:v>
      </x:c>
      <x:c r="E5790" s="36" t="n">
        <x:v>374385</x:v>
      </x:c>
      <x:c r="F5790" s="36" t="n">
        <x:v>4615</x:v>
      </x:c>
      <x:c r="G5790" s="42" t="n">
        <x:v>0.98991848991849</x:v>
      </x:c>
      <x:c r="H5790" s="36" t="n">
        <x:f>E5790*G5790</x:f>
        <x:v>370610.63384813385</x:v>
      </x:c>
      <x:c r="I5790" s="36" t="n">
        <x:f>IFERROR(H5790/A5790,0)</x:f>
        <x:v>37061.06338481339</x:v>
      </x:c>
      <x:c r="J5790" s="67" t="str">
        <x:v>Modeled from live base + Sep-2026 quality ratio</x:v>
      </x:c>
      <x:c r="K5790" s="67" t="str">
        <x:v>https://www.stonealgo.com/diamond-prices/</x:v>
      </x:c>
      <x:c r="L5790" s="67" t="str">
        <x:v>https://www.pricescope.com/blog/natural-diamond-prices-september-2026</x:v>
      </x:c>
    </x:row>
    <x:row r="5791">
      <x:c r="A5791" t="n">
        <x:v>10</x:v>
      </x:c>
      <x:c r="B5791" t="str">
        <x:v>Round</x:v>
      </x:c>
      <x:c r="C5791" t="str">
        <x:v>G</x:v>
      </x:c>
      <x:c r="D5791" t="str">
        <x:v>VS2</x:v>
      </x:c>
      <x:c r="E5791" s="36" t="n">
        <x:v>374385</x:v>
      </x:c>
      <x:c r="F5791" s="36" t="n">
        <x:v>4585</x:v>
      </x:c>
      <x:c r="G5791" s="42" t="n">
        <x:v>0.9834834834834835</x:v>
      </x:c>
      <x:c r="H5791" s="36" t="n">
        <x:f>E5791*G5791</x:f>
        <x:v>368201.46396396396</x:v>
      </x:c>
      <x:c r="I5791" s="36" t="n">
        <x:f>IFERROR(H5791/A5791,0)</x:f>
        <x:v>36820.1463963964</x:v>
      </x:c>
      <x:c r="J5791" s="67" t="str">
        <x:v>Modeled from live base + Sep-2026 quality ratio</x:v>
      </x:c>
      <x:c r="K5791" s="67" t="str">
        <x:v>https://www.stonealgo.com/diamond-prices/</x:v>
      </x:c>
      <x:c r="L5791" s="67" t="str">
        <x:v>https://www.pricescope.com/blog/natural-diamond-prices-september-2026</x:v>
      </x:c>
    </x:row>
    <x:row r="5792">
      <x:c r="A5792" t="n">
        <x:v>10</x:v>
      </x:c>
      <x:c r="B5792" t="str">
        <x:v>Round</x:v>
      </x:c>
      <x:c r="C5792" t="str">
        <x:v>G</x:v>
      </x:c>
      <x:c r="D5792" t="str">
        <x:v>SI1</x:v>
      </x:c>
      <x:c r="E5792" s="36" t="n">
        <x:v>374385</x:v>
      </x:c>
      <x:c r="F5792" s="36" t="n">
        <x:v>3664</x:v>
      </x:c>
      <x:c r="G5792" s="42" t="n">
        <x:v>0.7859287859287859</x:v>
      </x:c>
      <x:c r="H5792" s="36" t="n">
        <x:f>E5792*G5792</x:f>
        <x:v>294239.9485199485</x:v>
      </x:c>
      <x:c r="I5792" s="36" t="n">
        <x:f>IFERROR(H5792/A5792,0)</x:f>
        <x:v>29423.994851994852</x:v>
      </x:c>
      <x:c r="J5792" s="67" t="str">
        <x:v>Modeled from live base + Sep-2026 quality ratio</x:v>
      </x:c>
      <x:c r="K5792" s="67" t="str">
        <x:v>https://www.stonealgo.com/diamond-prices/</x:v>
      </x:c>
      <x:c r="L5792" s="67" t="str">
        <x:v>https://www.pricescope.com/blog/natural-diamond-prices-september-2026</x:v>
      </x:c>
    </x:row>
    <x:row r="5793">
      <x:c r="A5793" t="n">
        <x:v>10</x:v>
      </x:c>
      <x:c r="B5793" t="str">
        <x:v>Round</x:v>
      </x:c>
      <x:c r="C5793" t="str">
        <x:v>G</x:v>
      </x:c>
      <x:c r="D5793" t="str">
        <x:v>SI2</x:v>
      </x:c>
      <x:c r="E5793" s="36" t="n">
        <x:v>374385</x:v>
      </x:c>
      <x:c r="F5793" s="36" t="n">
        <x:v>2537</x:v>
      </x:c>
      <x:c r="G5793" s="42" t="n">
        <x:v>0.5441870441870442</x:v>
      </x:c>
      <x:c r="H5793" s="36" t="n">
        <x:f>E5793*G5793</x:f>
        <x:v>203735.46653796654</x:v>
      </x:c>
      <x:c r="I5793" s="36" t="n">
        <x:f>IFERROR(H5793/A5793,0)</x:f>
        <x:v>20373.546653796653</x:v>
      </x:c>
      <x:c r="J5793" s="67" t="str">
        <x:v>Modeled from live base + Sep-2026 quality ratio</x:v>
      </x:c>
      <x:c r="K5793" s="67" t="str">
        <x:v>https://www.stonealgo.com/diamond-prices/</x:v>
      </x:c>
      <x:c r="L5793" s="67" t="str">
        <x:v>https://www.pricescope.com/blog/natural-diamond-prices-september-2026</x:v>
      </x:c>
    </x:row>
    <x:row r="5794">
      <x:c r="A5794" t="n">
        <x:v>10</x:v>
      </x:c>
      <x:c r="B5794" t="str">
        <x:v>Round</x:v>
      </x:c>
      <x:c r="C5794" t="str">
        <x:v>H</x:v>
      </x:c>
      <x:c r="D5794" t="str">
        <x:v>FL</x:v>
      </x:c>
      <x:c r="E5794" s="36" t="n">
        <x:v>374385</x:v>
      </x:c>
      <x:c r="F5794" s="36" t="n">
        <x:v>4563</x:v>
      </x:c>
      <x:c r="G5794" s="42" t="n">
        <x:v>0.9787644787644788</x:v>
      </x:c>
      <x:c r="H5794" s="36" t="n">
        <x:f>E5794*G5794</x:f>
        <x:v>366434.7393822394</x:v>
      </x:c>
      <x:c r="I5794" s="36" t="n">
        <x:f>IFERROR(H5794/A5794,0)</x:f>
        <x:v>36643.47393822394</x:v>
      </x:c>
      <x:c r="J5794" s="67" t="str">
        <x:v>Modeled from live base + Sep-2026 quality ratio</x:v>
      </x:c>
      <x:c r="K5794" s="67" t="str">
        <x:v>https://www.stonealgo.com/diamond-prices/</x:v>
      </x:c>
      <x:c r="L5794" s="67" t="str">
        <x:v>https://www.pricescope.com/blog/natural-diamond-prices-september-2026</x:v>
      </x:c>
    </x:row>
    <x:row r="5795">
      <x:c r="A5795" t="n">
        <x:v>10</x:v>
      </x:c>
      <x:c r="B5795" t="str">
        <x:v>Round</x:v>
      </x:c>
      <x:c r="C5795" t="str">
        <x:v>H</x:v>
      </x:c>
      <x:c r="D5795" t="str">
        <x:v>IF</x:v>
      </x:c>
      <x:c r="E5795" s="36" t="n">
        <x:v>374385</x:v>
      </x:c>
      <x:c r="F5795" s="36" t="n">
        <x:v>4809</x:v>
      </x:c>
      <x:c r="G5795" s="42" t="n">
        <x:v>1.0315315315315314</x:v>
      </x:c>
      <x:c r="H5795" s="36" t="n">
        <x:f>E5795*G5795</x:f>
        <x:v>386189.93243243237</x:v>
      </x:c>
      <x:c r="I5795" s="36" t="n">
        <x:f>IFERROR(H5795/A5795,0)</x:f>
        <x:v>38618.99324324324</x:v>
      </x:c>
      <x:c r="J5795" s="67" t="str">
        <x:v>Modeled from live base + Sep-2026 quality ratio</x:v>
      </x:c>
      <x:c r="K5795" s="67" t="str">
        <x:v>https://www.stonealgo.com/diamond-prices/</x:v>
      </x:c>
      <x:c r="L5795" s="67" t="str">
        <x:v>https://www.pricescope.com/blog/natural-diamond-prices-september-2026</x:v>
      </x:c>
    </x:row>
    <x:row r="5796">
      <x:c r="A5796" t="n">
        <x:v>10</x:v>
      </x:c>
      <x:c r="B5796" t="str">
        <x:v>Round</x:v>
      </x:c>
      <x:c r="C5796" t="str">
        <x:v>H</x:v>
      </x:c>
      <x:c r="D5796" t="str">
        <x:v>VVS1</x:v>
      </x:c>
      <x:c r="E5796" s="36" t="n">
        <x:v>374385</x:v>
      </x:c>
      <x:c r="F5796" s="36" t="n">
        <x:v>4911</x:v>
      </x:c>
      <x:c r="G5796" s="42" t="n">
        <x:v>1.0534105534105533</x:v>
      </x:c>
      <x:c r="H5796" s="36" t="n">
        <x:f>E5796*G5796</x:f>
        <x:v>394381.11003861</x:v>
      </x:c>
      <x:c r="I5796" s="36" t="n">
        <x:f>IFERROR(H5796/A5796,0)</x:f>
        <x:v>39438.111003861</x:v>
      </x:c>
      <x:c r="J5796" s="67" t="str">
        <x:v>Modeled from live base + Sep-2026 quality ratio</x:v>
      </x:c>
      <x:c r="K5796" s="67" t="str">
        <x:v>https://www.stonealgo.com/diamond-prices/</x:v>
      </x:c>
      <x:c r="L5796" s="67" t="str">
        <x:v>https://www.pricescope.com/blog/natural-diamond-prices-september-2026</x:v>
      </x:c>
    </x:row>
    <x:row r="5797">
      <x:c r="A5797" t="n">
        <x:v>10</x:v>
      </x:c>
      <x:c r="B5797" t="str">
        <x:v>Round</x:v>
      </x:c>
      <x:c r="C5797" t="str">
        <x:v>H</x:v>
      </x:c>
      <x:c r="D5797" t="str">
        <x:v>VVS2</x:v>
      </x:c>
      <x:c r="E5797" s="36" t="n">
        <x:v>374385</x:v>
      </x:c>
      <x:c r="F5797" s="36" t="n">
        <x:v>4046</x:v>
      </x:c>
      <x:c r="G5797" s="42" t="n">
        <x:v>0.8678678678678678</x:v>
      </x:c>
      <x:c r="H5797" s="36" t="n">
        <x:f>E5797*G5797</x:f>
        <x:v>324916.7117117117</x:v>
      </x:c>
      <x:c r="I5797" s="36" t="n">
        <x:f>IFERROR(H5797/A5797,0)</x:f>
        <x:v>32491.671171171172</x:v>
      </x:c>
      <x:c r="J5797" s="67" t="str">
        <x:v>Modeled from live base + Sep-2026 quality ratio</x:v>
      </x:c>
      <x:c r="K5797" s="67" t="str">
        <x:v>https://www.stonealgo.com/diamond-prices/</x:v>
      </x:c>
      <x:c r="L5797" s="67" t="str">
        <x:v>https://www.pricescope.com/blog/natural-diamond-prices-september-2026</x:v>
      </x:c>
    </x:row>
    <x:row r="5798">
      <x:c r="A5798" t="n">
        <x:v>10</x:v>
      </x:c>
      <x:c r="B5798" t="str">
        <x:v>Round</x:v>
      </x:c>
      <x:c r="C5798" t="str">
        <x:v>H</x:v>
      </x:c>
      <x:c r="D5798" t="str">
        <x:v>VS1</x:v>
      </x:c>
      <x:c r="E5798" s="36" t="n">
        <x:v>374385</x:v>
      </x:c>
      <x:c r="F5798" s="36" t="n">
        <x:v>3893</x:v>
      </x:c>
      <x:c r="G5798" s="42" t="n">
        <x:v>0.8350493350493351</x:v>
      </x:c>
      <x:c r="H5798" s="36" t="n">
        <x:f>E5798*G5798</x:f>
        <x:v>312629.9453024453</x:v>
      </x:c>
      <x:c r="I5798" s="36" t="n">
        <x:f>IFERROR(H5798/A5798,0)</x:f>
        <x:v>31262.994530244534</x:v>
      </x:c>
      <x:c r="J5798" s="67" t="str">
        <x:v>Modeled from live base + Sep-2026 quality ratio</x:v>
      </x:c>
      <x:c r="K5798" s="67" t="str">
        <x:v>https://www.stonealgo.com/diamond-prices/</x:v>
      </x:c>
      <x:c r="L5798" s="67" t="str">
        <x:v>https://www.pricescope.com/blog/natural-diamond-prices-september-2026</x:v>
      </x:c>
    </x:row>
    <x:row r="5799">
      <x:c r="A5799" t="n">
        <x:v>10</x:v>
      </x:c>
      <x:c r="B5799" t="str">
        <x:v>Round</x:v>
      </x:c>
      <x:c r="C5799" t="str">
        <x:v>H</x:v>
      </x:c>
      <x:c r="D5799" t="str">
        <x:v>VS2</x:v>
      </x:c>
      <x:c r="E5799" s="36" t="n">
        <x:v>374385</x:v>
      </x:c>
      <x:c r="F5799" s="36" t="n">
        <x:v>3989</x:v>
      </x:c>
      <x:c r="G5799" s="42" t="n">
        <x:v>0.8556413556413557</x:v>
      </x:c>
      <x:c r="H5799" s="36" t="n">
        <x:f>E5799*G5799</x:f>
        <x:v>320339.28893178893</x:v>
      </x:c>
      <x:c r="I5799" s="36" t="n">
        <x:f>IFERROR(H5799/A5799,0)</x:f>
        <x:v>32033.928893178894</x:v>
      </x:c>
      <x:c r="J5799" s="67" t="str">
        <x:v>Modeled from live base + Sep-2026 quality ratio</x:v>
      </x:c>
      <x:c r="K5799" s="67" t="str">
        <x:v>https://www.stonealgo.com/diamond-prices/</x:v>
      </x:c>
      <x:c r="L5799" s="67" t="str">
        <x:v>https://www.pricescope.com/blog/natural-diamond-prices-september-2026</x:v>
      </x:c>
    </x:row>
    <x:row r="5800">
      <x:c r="A5800" t="n">
        <x:v>10</x:v>
      </x:c>
      <x:c r="B5800" t="str">
        <x:v>Round</x:v>
      </x:c>
      <x:c r="C5800" t="str">
        <x:v>H</x:v>
      </x:c>
      <x:c r="D5800" t="str">
        <x:v>SI1</x:v>
      </x:c>
      <x:c r="E5800" s="36" t="n">
        <x:v>374385</x:v>
      </x:c>
      <x:c r="F5800" s="36" t="n">
        <x:v>2828</x:v>
      </x:c>
      <x:c r="G5800" s="42" t="n">
        <x:v>0.6066066066066066</x:v>
      </x:c>
      <x:c r="H5800" s="36" t="n">
        <x:f>E5800*G5800</x:f>
        <x:v>227104.4144144144</x:v>
      </x:c>
      <x:c r="I5800" s="36" t="n">
        <x:f>IFERROR(H5800/A5800,0)</x:f>
        <x:v>22710.441441441442</x:v>
      </x:c>
      <x:c r="J5800" s="67" t="str">
        <x:v>Modeled from live base + Sep-2026 quality ratio</x:v>
      </x:c>
      <x:c r="K5800" s="67" t="str">
        <x:v>https://www.stonealgo.com/diamond-prices/</x:v>
      </x:c>
      <x:c r="L5800" s="67" t="str">
        <x:v>https://www.pricescope.com/blog/natural-diamond-prices-september-2026</x:v>
      </x:c>
    </x:row>
    <x:row r="5801">
      <x:c r="A5801" t="n">
        <x:v>10</x:v>
      </x:c>
      <x:c r="B5801" t="str">
        <x:v>Round</x:v>
      </x:c>
      <x:c r="C5801" t="str">
        <x:v>H</x:v>
      </x:c>
      <x:c r="D5801" t="str">
        <x:v>SI2</x:v>
      </x:c>
      <x:c r="E5801" s="36" t="n">
        <x:v>374385</x:v>
      </x:c>
      <x:c r="F5801" s="36" t="n">
        <x:v>2328</x:v>
      </x:c>
      <x:c r="G5801" s="42" t="n">
        <x:v>0.49935649935649934</x:v>
      </x:c>
      <x:c r="H5801" s="36" t="n">
        <x:f>E5801*G5801</x:f>
        <x:v>186951.58301158302</x:v>
      </x:c>
      <x:c r="I5801" s="36" t="n">
        <x:f>IFERROR(H5801/A5801,0)</x:f>
        <x:v>18695.158301158302</x:v>
      </x:c>
      <x:c r="J5801" s="67" t="str">
        <x:v>Modeled from live base + Sep-2026 quality ratio</x:v>
      </x:c>
      <x:c r="K5801" s="67" t="str">
        <x:v>https://www.stonealgo.com/diamond-prices/</x:v>
      </x:c>
      <x:c r="L5801" s="67" t="str">
        <x:v>https://www.pricescope.com/blog/natural-diamond-prices-september-2026</x:v>
      </x:c>
    </x:row>
    <x:row r="5802">
      <x:c r="A5802" t="n">
        <x:v>10</x:v>
      </x:c>
      <x:c r="B5802" t="str">
        <x:v>Round</x:v>
      </x:c>
      <x:c r="C5802" t="str">
        <x:v>I</x:v>
      </x:c>
      <x:c r="D5802" t="str">
        <x:v>FL</x:v>
      </x:c>
      <x:c r="E5802" s="36" t="n">
        <x:v>374385</x:v>
      </x:c>
      <x:c r="F5802" s="36" t="n">
        <x:v>4623</x:v>
      </x:c>
      <x:c r="G5802" s="42" t="n">
        <x:v>0.9916344916344917</x:v>
      </x:c>
      <x:c r="H5802" s="36" t="n">
        <x:f>E5802*G5802</x:f>
        <x:v>371253.0791505792</x:v>
      </x:c>
      <x:c r="I5802" s="36" t="n">
        <x:f>IFERROR(H5802/A5802,0)</x:f>
        <x:v>37125.307915057914</x:v>
      </x:c>
      <x:c r="J5802" s="67" t="str">
        <x:v>Modeled from live base + Sep-2026 quality ratio</x:v>
      </x:c>
      <x:c r="K5802" s="67" t="str">
        <x:v>https://www.stonealgo.com/diamond-prices/</x:v>
      </x:c>
      <x:c r="L5802" s="67" t="str">
        <x:v>https://www.pricescope.com/blog/natural-diamond-prices-september-2026</x:v>
      </x:c>
    </x:row>
    <x:row r="5803">
      <x:c r="A5803" t="n">
        <x:v>10</x:v>
      </x:c>
      <x:c r="B5803" t="str">
        <x:v>Round</x:v>
      </x:c>
      <x:c r="C5803" t="str">
        <x:v>I</x:v>
      </x:c>
      <x:c r="D5803" t="str">
        <x:v>IF</x:v>
      </x:c>
      <x:c r="E5803" s="36" t="n">
        <x:v>374385</x:v>
      </x:c>
      <x:c r="F5803" s="36" t="n">
        <x:v>4005</x:v>
      </x:c>
      <x:c r="G5803" s="42" t="n">
        <x:v>0.859073359073359</x:v>
      </x:c>
      <x:c r="H5803" s="36" t="n">
        <x:f>E5803*G5803</x:f>
        <x:v>321624.1795366795</x:v>
      </x:c>
      <x:c r="I5803" s="36" t="n">
        <x:f>IFERROR(H5803/A5803,0)</x:f>
        <x:v>32162.41795366795</x:v>
      </x:c>
      <x:c r="J5803" s="67" t="str">
        <x:v>Modeled from live base + Sep-2026 quality ratio</x:v>
      </x:c>
      <x:c r="K5803" s="67" t="str">
        <x:v>https://www.stonealgo.com/diamond-prices/</x:v>
      </x:c>
      <x:c r="L5803" s="67" t="str">
        <x:v>https://www.pricescope.com/blog/natural-diamond-prices-september-2026</x:v>
      </x:c>
    </x:row>
    <x:row r="5804">
      <x:c r="A5804" t="n">
        <x:v>10</x:v>
      </x:c>
      <x:c r="B5804" t="str">
        <x:v>Round</x:v>
      </x:c>
      <x:c r="C5804" t="str">
        <x:v>I</x:v>
      </x:c>
      <x:c r="D5804" t="str">
        <x:v>VVS1</x:v>
      </x:c>
      <x:c r="E5804" s="36" t="n">
        <x:v>374385</x:v>
      </x:c>
      <x:c r="F5804" s="36" t="n">
        <x:v>3670</x:v>
      </x:c>
      <x:c r="G5804" s="42" t="n">
        <x:v>0.7872157872157872</x:v>
      </x:c>
      <x:c r="H5804" s="36" t="n">
        <x:f>E5804*G5804</x:f>
        <x:v>294721.7824967825</x:v>
      </x:c>
      <x:c r="I5804" s="36" t="n">
        <x:f>IFERROR(H5804/A5804,0)</x:f>
        <x:v>29472.178249678247</x:v>
      </x:c>
      <x:c r="J5804" s="67" t="str">
        <x:v>Modeled from live base + Sep-2026 quality ratio</x:v>
      </x:c>
      <x:c r="K5804" s="67" t="str">
        <x:v>https://www.stonealgo.com/diamond-prices/</x:v>
      </x:c>
      <x:c r="L5804" s="67" t="str">
        <x:v>https://www.pricescope.com/blog/natural-diamond-prices-september-2026</x:v>
      </x:c>
    </x:row>
    <x:row r="5805">
      <x:c r="A5805" t="n">
        <x:v>10</x:v>
      </x:c>
      <x:c r="B5805" t="str">
        <x:v>Round</x:v>
      </x:c>
      <x:c r="C5805" t="str">
        <x:v>I</x:v>
      </x:c>
      <x:c r="D5805" t="str">
        <x:v>VVS2</x:v>
      </x:c>
      <x:c r="E5805" s="36" t="n">
        <x:v>374385</x:v>
      </x:c>
      <x:c r="F5805" s="36" t="n">
        <x:v>3447</x:v>
      </x:c>
      <x:c r="G5805" s="42" t="n">
        <x:v>0.7393822393822393</x:v>
      </x:c>
      <x:c r="H5805" s="36" t="n">
        <x:f>E5805*G5805</x:f>
        <x:v>276813.6196911197</x:v>
      </x:c>
      <x:c r="I5805" s="36" t="n">
        <x:f>IFERROR(H5805/A5805,0)</x:f>
        <x:v>27681.36196911197</x:v>
      </x:c>
      <x:c r="J5805" s="67" t="str">
        <x:v>Modeled from live base + Sep-2026 quality ratio</x:v>
      </x:c>
      <x:c r="K5805" s="67" t="str">
        <x:v>https://www.stonealgo.com/diamond-prices/</x:v>
      </x:c>
      <x:c r="L5805" s="67" t="str">
        <x:v>https://www.pricescope.com/blog/natural-diamond-prices-september-2026</x:v>
      </x:c>
    </x:row>
    <x:row r="5806">
      <x:c r="A5806" t="n">
        <x:v>10</x:v>
      </x:c>
      <x:c r="B5806" t="str">
        <x:v>Round</x:v>
      </x:c>
      <x:c r="C5806" t="str">
        <x:v>I</x:v>
      </x:c>
      <x:c r="D5806" t="str">
        <x:v>VS1</x:v>
      </x:c>
      <x:c r="E5806" s="36" t="n">
        <x:v>374385</x:v>
      </x:c>
      <x:c r="F5806" s="36" t="n">
        <x:v>3313</x:v>
      </x:c>
      <x:c r="G5806" s="42" t="n">
        <x:v>0.7106392106392107</x:v>
      </x:c>
      <x:c r="H5806" s="36" t="n">
        <x:f>E5806*G5806</x:f>
        <x:v>266052.6608751609</x:v>
      </x:c>
      <x:c r="I5806" s="36" t="n">
        <x:f>IFERROR(H5806/A5806,0)</x:f>
        <x:v>26605.266087516087</x:v>
      </x:c>
      <x:c r="J5806" s="67" t="str">
        <x:v>Modeled from live base + Sep-2026 quality ratio</x:v>
      </x:c>
      <x:c r="K5806" s="67" t="str">
        <x:v>https://www.stonealgo.com/diamond-prices/</x:v>
      </x:c>
      <x:c r="L5806" s="67" t="str">
        <x:v>https://www.pricescope.com/blog/natural-diamond-prices-september-2026</x:v>
      </x:c>
    </x:row>
    <x:row r="5807">
      <x:c r="A5807" t="n">
        <x:v>10</x:v>
      </x:c>
      <x:c r="B5807" t="str">
        <x:v>Round</x:v>
      </x:c>
      <x:c r="C5807" t="str">
        <x:v>I</x:v>
      </x:c>
      <x:c r="D5807" t="str">
        <x:v>VS2</x:v>
      </x:c>
      <x:c r="E5807" s="36" t="n">
        <x:v>374385</x:v>
      </x:c>
      <x:c r="F5807" s="36" t="n">
        <x:v>3240</x:v>
      </x:c>
      <x:c r="G5807" s="42" t="n">
        <x:v>0.694980694980695</x:v>
      </x:c>
      <x:c r="H5807" s="36" t="n">
        <x:f>E5807*G5807</x:f>
        <x:v>260190.3474903475</x:v>
      </x:c>
      <x:c r="I5807" s="36" t="n">
        <x:f>IFERROR(H5807/A5807,0)</x:f>
        <x:v>26019.034749034752</x:v>
      </x:c>
      <x:c r="J5807" s="67" t="str">
        <x:v>Modeled from live base + Sep-2026 quality ratio</x:v>
      </x:c>
      <x:c r="K5807" s="67" t="str">
        <x:v>https://www.stonealgo.com/diamond-prices/</x:v>
      </x:c>
      <x:c r="L5807" s="67" t="str">
        <x:v>https://www.pricescope.com/blog/natural-diamond-prices-september-2026</x:v>
      </x:c>
    </x:row>
    <x:row r="5808">
      <x:c r="A5808" t="n">
        <x:v>10</x:v>
      </x:c>
      <x:c r="B5808" t="str">
        <x:v>Round</x:v>
      </x:c>
      <x:c r="C5808" t="str">
        <x:v>I</x:v>
      </x:c>
      <x:c r="D5808" t="str">
        <x:v>SI1</x:v>
      </x:c>
      <x:c r="E5808" s="36" t="n">
        <x:v>374385</x:v>
      </x:c>
      <x:c r="F5808" s="36" t="n">
        <x:v>3199</x:v>
      </x:c>
      <x:c r="G5808" s="42" t="n">
        <x:v>0.6861861861861862</x:v>
      </x:c>
      <x:c r="H5808" s="36" t="n">
        <x:f>E5808*G5808</x:f>
        <x:v>256897.81531531533</x:v>
      </x:c>
      <x:c r="I5808" s="36" t="n">
        <x:f>IFERROR(H5808/A5808,0)</x:f>
        <x:v>25689.78153153153</x:v>
      </x:c>
      <x:c r="J5808" s="67" t="str">
        <x:v>Modeled from live base + Sep-2026 quality ratio</x:v>
      </x:c>
      <x:c r="K5808" s="67" t="str">
        <x:v>https://www.stonealgo.com/diamond-prices/</x:v>
      </x:c>
      <x:c r="L5808" s="67" t="str">
        <x:v>https://www.pricescope.com/blog/natural-diamond-prices-september-2026</x:v>
      </x:c>
    </x:row>
    <x:row r="5809">
      <x:c r="A5809" t="n">
        <x:v>10</x:v>
      </x:c>
      <x:c r="B5809" t="str">
        <x:v>Round</x:v>
      </x:c>
      <x:c r="C5809" t="str">
        <x:v>I</x:v>
      </x:c>
      <x:c r="D5809" t="str">
        <x:v>SI2</x:v>
      </x:c>
      <x:c r="E5809" s="36" t="n">
        <x:v>374385</x:v>
      </x:c>
      <x:c r="F5809" s="36" t="n">
        <x:v>2874</x:v>
      </x:c>
      <x:c r="G5809" s="42" t="n">
        <x:v>0.6164736164736164</x:v>
      </x:c>
      <x:c r="H5809" s="36" t="n">
        <x:f>E5809*G5809</x:f>
        <x:v>230798.47490347488</x:v>
      </x:c>
      <x:c r="I5809" s="36" t="n">
        <x:f>IFERROR(H5809/A5809,0)</x:f>
        <x:v>23079.84749034749</x:v>
      </x:c>
      <x:c r="J5809" s="67" t="str">
        <x:v>Modeled from live base + Sep-2026 quality ratio</x:v>
      </x:c>
      <x:c r="K5809" s="67" t="str">
        <x:v>https://www.stonealgo.com/diamond-prices/</x:v>
      </x:c>
      <x:c r="L5809" s="67" t="str">
        <x:v>https://www.pricescope.com/blog/natural-diamond-prices-september-2026</x:v>
      </x:c>
    </x:row>
    <x:row r="5810">
      <x:c r="A5810" t="n">
        <x:v>10</x:v>
      </x:c>
      <x:c r="B5810" t="str">
        <x:v>Round</x:v>
      </x:c>
      <x:c r="C5810" t="str">
        <x:v>J</x:v>
      </x:c>
      <x:c r="D5810" t="str">
        <x:v>FL</x:v>
      </x:c>
      <x:c r="E5810" s="36" t="n">
        <x:v>374385</x:v>
      </x:c>
      <x:c r="F5810" s="36" t="n">
        <x:v>3646</x:v>
      </x:c>
      <x:c r="G5810" s="42" t="n">
        <x:v>0.782067782067782</x:v>
      </x:c>
      <x:c r="H5810" s="36" t="n">
        <x:f>E5810*G5810</x:f>
        <x:v>292794.44658944657</x:v>
      </x:c>
      <x:c r="I5810" s="36" t="n">
        <x:f>IFERROR(H5810/A5810,0)</x:f>
        <x:v>29279.444658944656</x:v>
      </x:c>
      <x:c r="J5810" s="67" t="str">
        <x:v>Modeled from live base + Sep-2026 quality ratio</x:v>
      </x:c>
      <x:c r="K5810" s="67" t="str">
        <x:v>https://www.stonealgo.com/diamond-prices/</x:v>
      </x:c>
      <x:c r="L5810" s="67" t="str">
        <x:v>https://www.pricescope.com/blog/natural-diamond-prices-september-2026</x:v>
      </x:c>
    </x:row>
    <x:row r="5811">
      <x:c r="A5811" t="n">
        <x:v>10</x:v>
      </x:c>
      <x:c r="B5811" t="str">
        <x:v>Round</x:v>
      </x:c>
      <x:c r="C5811" t="str">
        <x:v>J</x:v>
      </x:c>
      <x:c r="D5811" t="str">
        <x:v>IF</x:v>
      </x:c>
      <x:c r="E5811" s="36" t="n">
        <x:v>374385</x:v>
      </x:c>
      <x:c r="F5811" s="36" t="n">
        <x:v>3368</x:v>
      </x:c>
      <x:c r="G5811" s="42" t="n">
        <x:v>0.7224367224367224</x:v>
      </x:c>
      <x:c r="H5811" s="36" t="n">
        <x:f>E5811*G5811</x:f>
        <x:v>270469.4723294723</x:v>
      </x:c>
      <x:c r="I5811" s="36" t="n">
        <x:f>IFERROR(H5811/A5811,0)</x:f>
        <x:v>27046.94723294723</x:v>
      </x:c>
      <x:c r="J5811" s="67" t="str">
        <x:v>Modeled from live base + Sep-2026 quality ratio</x:v>
      </x:c>
      <x:c r="K5811" s="67" t="str">
        <x:v>https://www.stonealgo.com/diamond-prices/</x:v>
      </x:c>
      <x:c r="L5811" s="67" t="str">
        <x:v>https://www.pricescope.com/blog/natural-diamond-prices-september-2026</x:v>
      </x:c>
    </x:row>
    <x:row r="5812">
      <x:c r="A5812" t="n">
        <x:v>10</x:v>
      </x:c>
      <x:c r="B5812" t="str">
        <x:v>Round</x:v>
      </x:c>
      <x:c r="C5812" t="str">
        <x:v>J</x:v>
      </x:c>
      <x:c r="D5812" t="str">
        <x:v>VVS1</x:v>
      </x:c>
      <x:c r="E5812" s="36" t="n">
        <x:v>374385</x:v>
      </x:c>
      <x:c r="F5812" s="36" t="n">
        <x:v>2956</x:v>
      </x:c>
      <x:c r="G5812" s="42" t="n">
        <x:v>0.6340626340626341</x:v>
      </x:c>
      <x:c r="H5812" s="36" t="n">
        <x:f>E5812*G5812</x:f>
        <x:v>237383.53925353926</x:v>
      </x:c>
      <x:c r="I5812" s="36" t="n">
        <x:f>IFERROR(H5812/A5812,0)</x:f>
        <x:v>23738.353925353927</x:v>
      </x:c>
      <x:c r="J5812" s="67" t="str">
        <x:v>Modeled from live base + Sep-2026 quality ratio</x:v>
      </x:c>
      <x:c r="K5812" s="67" t="str">
        <x:v>https://www.stonealgo.com/diamond-prices/</x:v>
      </x:c>
      <x:c r="L5812" s="67" t="str">
        <x:v>https://www.pricescope.com/blog/natural-diamond-prices-september-2026</x:v>
      </x:c>
    </x:row>
    <x:row r="5813">
      <x:c r="A5813" t="n">
        <x:v>10</x:v>
      </x:c>
      <x:c r="B5813" t="str">
        <x:v>Round</x:v>
      </x:c>
      <x:c r="C5813" t="str">
        <x:v>J</x:v>
      </x:c>
      <x:c r="D5813" t="str">
        <x:v>VVS2</x:v>
      </x:c>
      <x:c r="E5813" s="36" t="n">
        <x:v>374385</x:v>
      </x:c>
      <x:c r="F5813" s="36" t="n">
        <x:v>2612</x:v>
      </x:c>
      <x:c r="G5813" s="42" t="n">
        <x:v>0.5602745602745602</x:v>
      </x:c>
      <x:c r="H5813" s="36" t="n">
        <x:f>E5813*G5813</x:f>
        <x:v>209758.39124839124</x:v>
      </x:c>
      <x:c r="I5813" s="36" t="n">
        <x:f>IFERROR(H5813/A5813,0)</x:f>
        <x:v>20975.839124839124</x:v>
      </x:c>
      <x:c r="J5813" s="67" t="str">
        <x:v>Modeled from live base + Sep-2026 quality ratio</x:v>
      </x:c>
      <x:c r="K5813" s="67" t="str">
        <x:v>https://www.stonealgo.com/diamond-prices/</x:v>
      </x:c>
      <x:c r="L5813" s="67" t="str">
        <x:v>https://www.pricescope.com/blog/natural-diamond-prices-september-2026</x:v>
      </x:c>
    </x:row>
    <x:row r="5814">
      <x:c r="A5814" t="n">
        <x:v>10</x:v>
      </x:c>
      <x:c r="B5814" t="str">
        <x:v>Round</x:v>
      </x:c>
      <x:c r="C5814" t="str">
        <x:v>J</x:v>
      </x:c>
      <x:c r="D5814" t="str">
        <x:v>VS1</x:v>
      </x:c>
      <x:c r="E5814" s="36" t="n">
        <x:v>374385</x:v>
      </x:c>
      <x:c r="F5814" s="36" t="n">
        <x:v>3002</x:v>
      </x:c>
      <x:c r="G5814" s="42" t="n">
        <x:v>0.6439296439296439</x:v>
      </x:c>
      <x:c r="H5814" s="36" t="n">
        <x:f>E5814*G5814</x:f>
        <x:v>241077.59974259973</x:v>
      </x:c>
      <x:c r="I5814" s="36" t="n">
        <x:f>IFERROR(H5814/A5814,0)</x:f>
        <x:v>24107.759974259974</x:v>
      </x:c>
      <x:c r="J5814" s="67" t="str">
        <x:v>Modeled from live base + Sep-2026 quality ratio</x:v>
      </x:c>
      <x:c r="K5814" s="67" t="str">
        <x:v>https://www.stonealgo.com/diamond-prices/</x:v>
      </x:c>
      <x:c r="L5814" s="67" t="str">
        <x:v>https://www.pricescope.com/blog/natural-diamond-prices-september-2026</x:v>
      </x:c>
    </x:row>
    <x:row r="5815">
      <x:c r="A5815" t="n">
        <x:v>10</x:v>
      </x:c>
      <x:c r="B5815" t="str">
        <x:v>Round</x:v>
      </x:c>
      <x:c r="C5815" t="str">
        <x:v>J</x:v>
      </x:c>
      <x:c r="D5815" t="str">
        <x:v>VS2</x:v>
      </x:c>
      <x:c r="E5815" s="36" t="n">
        <x:v>374385</x:v>
      </x:c>
      <x:c r="F5815" s="36" t="n">
        <x:v>2559</x:v>
      </x:c>
      <x:c r="G5815" s="42" t="n">
        <x:v>0.5489060489060489</x:v>
      </x:c>
      <x:c r="H5815" s="36" t="n">
        <x:f>E5815*G5815</x:f>
        <x:v>205502.19111969112</x:v>
      </x:c>
      <x:c r="I5815" s="36" t="n">
        <x:f>IFERROR(H5815/A5815,0)</x:f>
        <x:v>20550.219111969112</x:v>
      </x:c>
      <x:c r="J5815" s="67" t="str">
        <x:v>Modeled from live base + Sep-2026 quality ratio</x:v>
      </x:c>
      <x:c r="K5815" s="67" t="str">
        <x:v>https://www.stonealgo.com/diamond-prices/</x:v>
      </x:c>
      <x:c r="L5815" s="67" t="str">
        <x:v>https://www.pricescope.com/blog/natural-diamond-prices-september-2026</x:v>
      </x:c>
    </x:row>
    <x:row r="5816">
      <x:c r="A5816" t="n">
        <x:v>10</x:v>
      </x:c>
      <x:c r="B5816" t="str">
        <x:v>Round</x:v>
      </x:c>
      <x:c r="C5816" t="str">
        <x:v>J</x:v>
      </x:c>
      <x:c r="D5816" t="str">
        <x:v>SI1</x:v>
      </x:c>
      <x:c r="E5816" s="36" t="n">
        <x:v>374385</x:v>
      </x:c>
      <x:c r="F5816" s="36" t="n">
        <x:v>2195</x:v>
      </x:c>
      <x:c r="G5816" s="42" t="n">
        <x:v>0.47082797082797084</x:v>
      </x:c>
      <x:c r="H5816" s="36" t="n">
        <x:f>E5816*G5816</x:f>
        <x:v>176270.92985842985</x:v>
      </x:c>
      <x:c r="I5816" s="36" t="n">
        <x:f>IFERROR(H5816/A5816,0)</x:f>
        <x:v>17627.092985842984</x:v>
      </x:c>
      <x:c r="J5816" s="67" t="str">
        <x:v>Modeled from live base + Sep-2026 quality ratio</x:v>
      </x:c>
      <x:c r="K5816" s="67" t="str">
        <x:v>https://www.stonealgo.com/diamond-prices/</x:v>
      </x:c>
      <x:c r="L5816" s="67" t="str">
        <x:v>https://www.pricescope.com/blog/natural-diamond-prices-september-2026</x:v>
      </x:c>
    </x:row>
    <x:row r="5817">
      <x:c r="A5817" t="n">
        <x:v>10</x:v>
      </x:c>
      <x:c r="B5817" t="str">
        <x:v>Round</x:v>
      </x:c>
      <x:c r="C5817" t="str">
        <x:v>J</x:v>
      </x:c>
      <x:c r="D5817" t="str">
        <x:v>SI2</x:v>
      </x:c>
      <x:c r="E5817" s="36" t="n">
        <x:v>374385</x:v>
      </x:c>
      <x:c r="F5817" s="36" t="n">
        <x:v>2079</x:v>
      </x:c>
      <x:c r="G5817" s="42" t="n">
        <x:v>0.44594594594594594</x:v>
      </x:c>
      <x:c r="H5817" s="36" t="n">
        <x:f>E5817*G5817</x:f>
        <x:v>166955.47297297296</x:v>
      </x:c>
      <x:c r="I5817" s="36" t="n">
        <x:f>IFERROR(H5817/A5817,0)</x:f>
        <x:v>16695.547297297297</x:v>
      </x:c>
      <x:c r="J5817" s="67" t="str">
        <x:v>Modeled from live base + Sep-2026 quality ratio</x:v>
      </x:c>
      <x:c r="K5817" s="67" t="str">
        <x:v>https://www.stonealgo.com/diamond-prices/</x:v>
      </x:c>
      <x:c r="L5817" s="67" t="str">
        <x:v>https://www.pricescope.com/blog/natural-diamond-prices-september-2026</x:v>
      </x:c>
    </x:row>
    <x:row r="5818">
      <x:c r="A5818" t="n">
        <x:v>10</x:v>
      </x:c>
      <x:c r="B5818" t="str">
        <x:v>Round</x:v>
      </x:c>
      <x:c r="C5818" t="str">
        <x:v>K</x:v>
      </x:c>
      <x:c r="D5818" t="str">
        <x:v>FL</x:v>
      </x:c>
      <x:c r="E5818" s="36" t="n">
        <x:v>374385</x:v>
      </x:c>
      <x:c r="F5818" s="36" t="n">
        <x:v>2858</x:v>
      </x:c>
      <x:c r="G5818" s="42" t="n">
        <x:v>0.6130416130416131</x:v>
      </x:c>
      <x:c r="H5818" s="36" t="n">
        <x:f>E5818*G5818</x:f>
        <x:v>229513.58429858432</x:v>
      </x:c>
      <x:c r="I5818" s="36" t="n">
        <x:f>IFERROR(H5818/A5818,0)</x:f>
        <x:v>22951.358429858432</x:v>
      </x:c>
      <x:c r="J5818" s="67" t="str">
        <x:v>Modeled from live base + Sep-2026 quality ratio; K/FL quality cell modeled</x:v>
      </x:c>
      <x:c r="K5818" s="67" t="str">
        <x:v>https://www.stonealgo.com/diamond-prices/</x:v>
      </x:c>
      <x:c r="L5818" s="67" t="str">
        <x:v>https://www.pricescope.com/blog/natural-diamond-prices-september-2026</x:v>
      </x:c>
    </x:row>
    <x:row r="5819">
      <x:c r="A5819" t="n">
        <x:v>10</x:v>
      </x:c>
      <x:c r="B5819" t="str">
        <x:v>Round</x:v>
      </x:c>
      <x:c r="C5819" t="str">
        <x:v>K</x:v>
      </x:c>
      <x:c r="D5819" t="str">
        <x:v>IF</x:v>
      </x:c>
      <x:c r="E5819" s="36" t="n">
        <x:v>374385</x:v>
      </x:c>
      <x:c r="F5819" s="36" t="n">
        <x:v>2743</x:v>
      </x:c>
      <x:c r="G5819" s="42" t="n">
        <x:v>0.5883740883740883</x:v>
      </x:c>
      <x:c r="H5819" s="36" t="n">
        <x:f>E5819*G5819</x:f>
        <x:v>220278.43307593305</x:v>
      </x:c>
      <x:c r="I5819" s="36" t="n">
        <x:f>IFERROR(H5819/A5819,0)</x:f>
        <x:v>22027.843307593306</x:v>
      </x:c>
      <x:c r="J5819" s="67" t="str">
        <x:v>Modeled from live base + Sep-2026 quality ratio</x:v>
      </x:c>
      <x:c r="K5819" s="67" t="str">
        <x:v>https://www.stonealgo.com/diamond-prices/</x:v>
      </x:c>
      <x:c r="L5819" s="67" t="str">
        <x:v>https://www.pricescope.com/blog/natural-diamond-prices-september-2026</x:v>
      </x:c>
    </x:row>
    <x:row r="5820">
      <x:c r="A5820" t="n">
        <x:v>10</x:v>
      </x:c>
      <x:c r="B5820" t="str">
        <x:v>Round</x:v>
      </x:c>
      <x:c r="C5820" t="str">
        <x:v>K</x:v>
      </x:c>
      <x:c r="D5820" t="str">
        <x:v>VVS1</x:v>
      </x:c>
      <x:c r="E5820" s="36" t="n">
        <x:v>374385</x:v>
      </x:c>
      <x:c r="F5820" s="36" t="n">
        <x:v>2529</x:v>
      </x:c>
      <x:c r="G5820" s="42" t="n">
        <x:v>0.5424710424710425</x:v>
      </x:c>
      <x:c r="H5820" s="36" t="n">
        <x:f>E5820*G5820</x:f>
        <x:v>203093.02123552124</x:v>
      </x:c>
      <x:c r="I5820" s="36" t="n">
        <x:f>IFERROR(H5820/A5820,0)</x:f>
        <x:v>20309.302123552123</x:v>
      </x:c>
      <x:c r="J5820" s="67" t="str">
        <x:v>Modeled from live base + Sep-2026 quality ratio</x:v>
      </x:c>
      <x:c r="K5820" s="67" t="str">
        <x:v>https://www.stonealgo.com/diamond-prices/</x:v>
      </x:c>
      <x:c r="L5820" s="67" t="str">
        <x:v>https://www.pricescope.com/blog/natural-diamond-prices-september-2026</x:v>
      </x:c>
    </x:row>
    <x:row r="5821">
      <x:c r="A5821" t="n">
        <x:v>10</x:v>
      </x:c>
      <x:c r="B5821" t="str">
        <x:v>Round</x:v>
      </x:c>
      <x:c r="C5821" t="str">
        <x:v>K</x:v>
      </x:c>
      <x:c r="D5821" t="str">
        <x:v>VVS2</x:v>
      </x:c>
      <x:c r="E5821" s="36" t="n">
        <x:v>374385</x:v>
      </x:c>
      <x:c r="F5821" s="36" t="n">
        <x:v>2374</x:v>
      </x:c>
      <x:c r="G5821" s="42" t="n">
        <x:v>0.5092235092235092</x:v>
      </x:c>
      <x:c r="H5821" s="36" t="n">
        <x:f>E5821*G5821</x:f>
        <x:v>190645.6435006435</x:v>
      </x:c>
      <x:c r="I5821" s="36" t="n">
        <x:f>IFERROR(H5821/A5821,0)</x:f>
        <x:v>19064.56435006435</x:v>
      </x:c>
      <x:c r="J5821" s="67" t="str">
        <x:v>Modeled from live base + Sep-2026 quality ratio</x:v>
      </x:c>
      <x:c r="K5821" s="67" t="str">
        <x:v>https://www.stonealgo.com/diamond-prices/</x:v>
      </x:c>
      <x:c r="L5821" s="67" t="str">
        <x:v>https://www.pricescope.com/blog/natural-diamond-prices-september-2026</x:v>
      </x:c>
    </x:row>
    <x:row r="5822">
      <x:c r="A5822" t="n">
        <x:v>10</x:v>
      </x:c>
      <x:c r="B5822" t="str">
        <x:v>Round</x:v>
      </x:c>
      <x:c r="C5822" t="str">
        <x:v>K</x:v>
      </x:c>
      <x:c r="D5822" t="str">
        <x:v>VS1</x:v>
      </x:c>
      <x:c r="E5822" s="36" t="n">
        <x:v>374385</x:v>
      </x:c>
      <x:c r="F5822" s="36" t="n">
        <x:v>2223</x:v>
      </x:c>
      <x:c r="G5822" s="42" t="n">
        <x:v>0.4768339768339768</x:v>
      </x:c>
      <x:c r="H5822" s="36" t="n">
        <x:f>E5822*G5822</x:f>
        <x:v>178519.4884169884</x:v>
      </x:c>
      <x:c r="I5822" s="36" t="n">
        <x:f>IFERROR(H5822/A5822,0)</x:f>
        <x:v>17851.94884169884</x:v>
      </x:c>
      <x:c r="J5822" s="67" t="str">
        <x:v>Modeled from live base + Sep-2026 quality ratio</x:v>
      </x:c>
      <x:c r="K5822" s="67" t="str">
        <x:v>https://www.stonealgo.com/diamond-prices/</x:v>
      </x:c>
      <x:c r="L5822" s="67" t="str">
        <x:v>https://www.pricescope.com/blog/natural-diamond-prices-september-2026</x:v>
      </x:c>
    </x:row>
    <x:row r="5823">
      <x:c r="A5823" t="n">
        <x:v>10</x:v>
      </x:c>
      <x:c r="B5823" t="str">
        <x:v>Round</x:v>
      </x:c>
      <x:c r="C5823" t="str">
        <x:v>K</x:v>
      </x:c>
      <x:c r="D5823" t="str">
        <x:v>VS2</x:v>
      </x:c>
      <x:c r="E5823" s="36" t="n">
        <x:v>374385</x:v>
      </x:c>
      <x:c r="F5823" s="36" t="n">
        <x:v>2098</x:v>
      </x:c>
      <x:c r="G5823" s="42" t="n">
        <x:v>0.45002145002145</x:v>
      </x:c>
      <x:c r="H5823" s="36" t="n">
        <x:f>E5823*G5823</x:f>
        <x:v>168481.28056628056</x:v>
      </x:c>
      <x:c r="I5823" s="36" t="n">
        <x:f>IFERROR(H5823/A5823,0)</x:f>
        <x:v>16848.128056628055</x:v>
      </x:c>
      <x:c r="J5823" s="67" t="str">
        <x:v>Modeled from live base + Sep-2026 quality ratio</x:v>
      </x:c>
      <x:c r="K5823" s="67" t="str">
        <x:v>https://www.stonealgo.com/diamond-prices/</x:v>
      </x:c>
      <x:c r="L5823" s="67" t="str">
        <x:v>https://www.pricescope.com/blog/natural-diamond-prices-september-2026</x:v>
      </x:c>
    </x:row>
    <x:row r="5824">
      <x:c r="A5824" t="n">
        <x:v>10</x:v>
      </x:c>
      <x:c r="B5824" t="str">
        <x:v>Round</x:v>
      </x:c>
      <x:c r="C5824" t="str">
        <x:v>K</x:v>
      </x:c>
      <x:c r="D5824" t="str">
        <x:v>SI1</x:v>
      </x:c>
      <x:c r="E5824" s="36" t="n">
        <x:v>374385</x:v>
      </x:c>
      <x:c r="F5824" s="36" t="n">
        <x:v>1922</x:v>
      </x:c>
      <x:c r="G5824" s="42" t="n">
        <x:v>0.41226941226941227</x:v>
      </x:c>
      <x:c r="H5824" s="36" t="n">
        <x:f>E5824*G5824</x:f>
        <x:v>154347.4839124839</x:v>
      </x:c>
      <x:c r="I5824" s="36" t="n">
        <x:f>IFERROR(H5824/A5824,0)</x:f>
        <x:v>15434.748391248391</x:v>
      </x:c>
      <x:c r="J5824" s="67" t="str">
        <x:v>Modeled from live base + Sep-2026 quality ratio</x:v>
      </x:c>
      <x:c r="K5824" s="67" t="str">
        <x:v>https://www.stonealgo.com/diamond-prices/</x:v>
      </x:c>
      <x:c r="L5824" s="67" t="str">
        <x:v>https://www.pricescope.com/blog/natural-diamond-prices-september-2026</x:v>
      </x:c>
    </x:row>
    <x:row r="5825">
      <x:c r="A5825" t="n">
        <x:v>10</x:v>
      </x:c>
      <x:c r="B5825" t="str">
        <x:v>Round</x:v>
      </x:c>
      <x:c r="C5825" t="str">
        <x:v>K</x:v>
      </x:c>
      <x:c r="D5825" t="str">
        <x:v>SI2</x:v>
      </x:c>
      <x:c r="E5825" s="36" t="n">
        <x:v>374385</x:v>
      </x:c>
      <x:c r="F5825" s="36" t="n">
        <x:v>1764</x:v>
      </x:c>
      <x:c r="G5825" s="42" t="n">
        <x:v>0.3783783783783784</x:v>
      </x:c>
      <x:c r="H5825" s="36" t="n">
        <x:f>E5825*G5825</x:f>
        <x:v>141659.1891891892</x:v>
      </x:c>
      <x:c r="I5825" s="36" t="n">
        <x:f>IFERROR(H5825/A5825,0)</x:f>
        <x:v>14165.91891891892</x:v>
      </x:c>
      <x:c r="J5825" s="67" t="str">
        <x:v>Modeled from live base + Sep-2026 quality ratio</x:v>
      </x:c>
      <x:c r="K5825" s="67" t="str">
        <x:v>https://www.stonealgo.com/diamond-prices/</x:v>
      </x:c>
      <x:c r="L5825" s="67" t="str">
        <x:v>https://www.pricescope.com/blog/natural-diamond-prices-september-2026</x:v>
      </x:c>
    </x:row>
    <x:row r="5826">
      <x:c r="A5826" t="n">
        <x:v>10</x:v>
      </x:c>
      <x:c r="B5826" t="str">
        <x:v>Oval</x:v>
      </x:c>
      <x:c r="C5826" t="str">
        <x:v>D</x:v>
      </x:c>
      <x:c r="D5826" t="str">
        <x:v>FL</x:v>
      </x:c>
      <x:c r="E5826" s="36" t="n">
        <x:v>424760</x:v>
      </x:c>
      <x:c r="F5826" s="36" t="n">
        <x:v>12665</x:v>
      </x:c>
      <x:c r="G5826" s="42" t="n">
        <x:v>2.7166452166452166</x:v>
      </x:c>
      <x:c r="H5826" s="36" t="n">
        <x:f>E5826*G5826</x:f>
        <x:v>1153922.2222222222</x:v>
      </x:c>
      <x:c r="I5826" s="36" t="n">
        <x:f>IFERROR(H5826/A5826,0)</x:f>
        <x:v>115392.22222222222</x:v>
      </x:c>
      <x:c r="J5826" s="67" t="str">
        <x:v>Modeled from live base + Sep-2026 quality ratio</x:v>
      </x:c>
      <x:c r="K5826" s="67" t="str">
        <x:v>https://www.stonealgo.com/diamond-prices/</x:v>
      </x:c>
      <x:c r="L5826" s="67" t="str">
        <x:v>https://www.pricescope.com/blog/natural-diamond-prices-september-2026</x:v>
      </x:c>
    </x:row>
    <x:row r="5827">
      <x:c r="A5827" t="n">
        <x:v>10</x:v>
      </x:c>
      <x:c r="B5827" t="str">
        <x:v>Oval</x:v>
      </x:c>
      <x:c r="C5827" t="str">
        <x:v>D</x:v>
      </x:c>
      <x:c r="D5827" t="str">
        <x:v>IF</x:v>
      </x:c>
      <x:c r="E5827" s="36" t="n">
        <x:v>424760</x:v>
      </x:c>
      <x:c r="F5827" s="36" t="n">
        <x:v>13240</x:v>
      </x:c>
      <x:c r="G5827" s="42" t="n">
        <x:v>2.83998283998284</x:v>
      </x:c>
      <x:c r="H5827" s="36" t="n">
        <x:f>E5827*G5827</x:f>
        <x:v>1206311.1111111112</x:v>
      </x:c>
      <x:c r="I5827" s="36" t="n">
        <x:f>IFERROR(H5827/A5827,0)</x:f>
        <x:v>120631.11111111112</x:v>
      </x:c>
      <x:c r="J5827" s="67" t="str">
        <x:v>Modeled from live base + Sep-2026 quality ratio</x:v>
      </x:c>
      <x:c r="K5827" s="67" t="str">
        <x:v>https://www.stonealgo.com/diamond-prices/</x:v>
      </x:c>
      <x:c r="L5827" s="67" t="str">
        <x:v>https://www.pricescope.com/blog/natural-diamond-prices-september-2026</x:v>
      </x:c>
    </x:row>
    <x:row r="5828">
      <x:c r="A5828" t="n">
        <x:v>10</x:v>
      </x:c>
      <x:c r="B5828" t="str">
        <x:v>Oval</x:v>
      </x:c>
      <x:c r="C5828" t="str">
        <x:v>D</x:v>
      </x:c>
      <x:c r="D5828" t="str">
        <x:v>VVS1</x:v>
      </x:c>
      <x:c r="E5828" s="36" t="n">
        <x:v>424760</x:v>
      </x:c>
      <x:c r="F5828" s="36" t="n">
        <x:v>9555</x:v>
      </x:c>
      <x:c r="G5828" s="42" t="n">
        <x:v>2.0495495495495497</x:v>
      </x:c>
      <x:c r="H5828" s="36" t="n">
        <x:f>E5828*G5828</x:f>
        <x:v>870566.6666666667</x:v>
      </x:c>
      <x:c r="I5828" s="36" t="n">
        <x:f>IFERROR(H5828/A5828,0)</x:f>
        <x:v>87056.66666666667</x:v>
      </x:c>
      <x:c r="J5828" s="67" t="str">
        <x:v>Modeled from live base + Sep-2026 quality ratio</x:v>
      </x:c>
      <x:c r="K5828" s="67" t="str">
        <x:v>https://www.stonealgo.com/diamond-prices/</x:v>
      </x:c>
      <x:c r="L5828" s="67" t="str">
        <x:v>https://www.pricescope.com/blog/natural-diamond-prices-september-2026</x:v>
      </x:c>
    </x:row>
    <x:row r="5829">
      <x:c r="A5829" t="n">
        <x:v>10</x:v>
      </x:c>
      <x:c r="B5829" t="str">
        <x:v>Oval</x:v>
      </x:c>
      <x:c r="C5829" t="str">
        <x:v>D</x:v>
      </x:c>
      <x:c r="D5829" t="str">
        <x:v>VVS2</x:v>
      </x:c>
      <x:c r="E5829" s="36" t="n">
        <x:v>424760</x:v>
      </x:c>
      <x:c r="F5829" s="36" t="n">
        <x:v>6660</x:v>
      </x:c>
      <x:c r="G5829" s="42" t="n">
        <x:v>1.4285714285714286</x:v>
      </x:c>
      <x:c r="H5829" s="36" t="n">
        <x:f>E5829*G5829</x:f>
        <x:v>606800</x:v>
      </x:c>
      <x:c r="I5829" s="36" t="n">
        <x:f>IFERROR(H5829/A5829,0)</x:f>
        <x:v>60680</x:v>
      </x:c>
      <x:c r="J5829" s="67" t="str">
        <x:v>Modeled from live base + Sep-2026 quality ratio</x:v>
      </x:c>
      <x:c r="K5829" s="67" t="str">
        <x:v>https://www.stonealgo.com/diamond-prices/</x:v>
      </x:c>
      <x:c r="L5829" s="67" t="str">
        <x:v>https://www.pricescope.com/blog/natural-diamond-prices-september-2026</x:v>
      </x:c>
    </x:row>
    <x:row r="5830">
      <x:c r="A5830" t="n">
        <x:v>10</x:v>
      </x:c>
      <x:c r="B5830" t="str">
        <x:v>Oval</x:v>
      </x:c>
      <x:c r="C5830" t="str">
        <x:v>D</x:v>
      </x:c>
      <x:c r="D5830" t="str">
        <x:v>VS1</x:v>
      </x:c>
      <x:c r="E5830" s="36" t="n">
        <x:v>424760</x:v>
      </x:c>
      <x:c r="F5830" s="36" t="n">
        <x:v>6247</x:v>
      </x:c>
      <x:c r="G5830" s="42" t="n">
        <x:v>1.33998283998284</x:v>
      </x:c>
      <x:c r="H5830" s="36" t="n">
        <x:f>E5830*G5830</x:f>
        <x:v>569171.1111111111</x:v>
      </x:c>
      <x:c r="I5830" s="36" t="n">
        <x:f>IFERROR(H5830/A5830,0)</x:f>
        <x:v>56917.11111111111</x:v>
      </x:c>
      <x:c r="J5830" s="67" t="str">
        <x:v>Modeled from live base + Sep-2026 quality ratio</x:v>
      </x:c>
      <x:c r="K5830" s="67" t="str">
        <x:v>https://www.stonealgo.com/diamond-prices/</x:v>
      </x:c>
      <x:c r="L5830" s="67" t="str">
        <x:v>https://www.pricescope.com/blog/natural-diamond-prices-september-2026</x:v>
      </x:c>
    </x:row>
    <x:row r="5831">
      <x:c r="A5831" t="n">
        <x:v>10</x:v>
      </x:c>
      <x:c r="B5831" t="str">
        <x:v>Oval</x:v>
      </x:c>
      <x:c r="C5831" t="str">
        <x:v>D</x:v>
      </x:c>
      <x:c r="D5831" t="str">
        <x:v>VS2</x:v>
      </x:c>
      <x:c r="E5831" s="36" t="n">
        <x:v>424760</x:v>
      </x:c>
      <x:c r="F5831" s="36" t="n">
        <x:v>5841</x:v>
      </x:c>
      <x:c r="G5831" s="42" t="n">
        <x:v>1.252895752895753</x:v>
      </x:c>
      <x:c r="H5831" s="36" t="n">
        <x:f>E5831*G5831</x:f>
        <x:v>532180</x:v>
      </x:c>
      <x:c r="I5831" s="36" t="n">
        <x:f>IFERROR(H5831/A5831,0)</x:f>
        <x:v>53218</x:v>
      </x:c>
      <x:c r="J5831" s="67" t="str">
        <x:v>Modeled from live base + Sep-2026 quality ratio</x:v>
      </x:c>
      <x:c r="K5831" s="67" t="str">
        <x:v>https://www.stonealgo.com/diamond-prices/</x:v>
      </x:c>
      <x:c r="L5831" s="67" t="str">
        <x:v>https://www.pricescope.com/blog/natural-diamond-prices-september-2026</x:v>
      </x:c>
    </x:row>
    <x:row r="5832">
      <x:c r="A5832" t="n">
        <x:v>10</x:v>
      </x:c>
      <x:c r="B5832" t="str">
        <x:v>Oval</x:v>
      </x:c>
      <x:c r="C5832" t="str">
        <x:v>D</x:v>
      </x:c>
      <x:c r="D5832" t="str">
        <x:v>SI1</x:v>
      </x:c>
      <x:c r="E5832" s="36" t="n">
        <x:v>424760</x:v>
      </x:c>
      <x:c r="F5832" s="36" t="n">
        <x:v>3762</x:v>
      </x:c>
      <x:c r="G5832" s="42" t="n">
        <x:v>0.806949806949807</x:v>
      </x:c>
      <x:c r="H5832" s="36" t="n">
        <x:f>E5832*G5832</x:f>
        <x:v>342760</x:v>
      </x:c>
      <x:c r="I5832" s="36" t="n">
        <x:f>IFERROR(H5832/A5832,0)</x:f>
        <x:v>34276</x:v>
      </x:c>
      <x:c r="J5832" s="67" t="str">
        <x:v>Modeled from live base + Sep-2026 quality ratio</x:v>
      </x:c>
      <x:c r="K5832" s="67" t="str">
        <x:v>https://www.stonealgo.com/diamond-prices/</x:v>
      </x:c>
      <x:c r="L5832" s="67" t="str">
        <x:v>https://www.pricescope.com/blog/natural-diamond-prices-september-2026</x:v>
      </x:c>
    </x:row>
    <x:row r="5833">
      <x:c r="A5833" t="n">
        <x:v>10</x:v>
      </x:c>
      <x:c r="B5833" t="str">
        <x:v>Oval</x:v>
      </x:c>
      <x:c r="C5833" t="str">
        <x:v>D</x:v>
      </x:c>
      <x:c r="D5833" t="str">
        <x:v>SI2</x:v>
      </x:c>
      <x:c r="E5833" s="36" t="n">
        <x:v>424760</x:v>
      </x:c>
      <x:c r="F5833" s="36" t="n">
        <x:v>3026</x:v>
      </x:c>
      <x:c r="G5833" s="42" t="n">
        <x:v>0.6490776490776491</x:v>
      </x:c>
      <x:c r="H5833" s="36" t="n">
        <x:f>E5833*G5833</x:f>
        <x:v>275702.22222222225</x:v>
      </x:c>
      <x:c r="I5833" s="36" t="n">
        <x:f>IFERROR(H5833/A5833,0)</x:f>
        <x:v>27570.222222222226</x:v>
      </x:c>
      <x:c r="J5833" s="67" t="str">
        <x:v>Modeled from live base + Sep-2026 quality ratio</x:v>
      </x:c>
      <x:c r="K5833" s="67" t="str">
        <x:v>https://www.stonealgo.com/diamond-prices/</x:v>
      </x:c>
      <x:c r="L5833" s="67" t="str">
        <x:v>https://www.pricescope.com/blog/natural-diamond-prices-september-2026</x:v>
      </x:c>
    </x:row>
    <x:row r="5834">
      <x:c r="A5834" t="n">
        <x:v>10</x:v>
      </x:c>
      <x:c r="B5834" t="str">
        <x:v>Oval</x:v>
      </x:c>
      <x:c r="C5834" t="str">
        <x:v>E</x:v>
      </x:c>
      <x:c r="D5834" t="str">
        <x:v>FL</x:v>
      </x:c>
      <x:c r="E5834" s="36" t="n">
        <x:v>424760</x:v>
      </x:c>
      <x:c r="F5834" s="36" t="n">
        <x:v>10072</x:v>
      </x:c>
      <x:c r="G5834" s="42" t="n">
        <x:v>2.1604461604461602</x:v>
      </x:c>
      <x:c r="H5834" s="36" t="n">
        <x:f>E5834*G5834</x:f>
        <x:v>917671.111111111</x:v>
      </x:c>
      <x:c r="I5834" s="36" t="n">
        <x:f>IFERROR(H5834/A5834,0)</x:f>
        <x:v>91767.1111111111</x:v>
      </x:c>
      <x:c r="J5834" s="67" t="str">
        <x:v>Modeled from live base + Sep-2026 quality ratio</x:v>
      </x:c>
      <x:c r="K5834" s="67" t="str">
        <x:v>https://www.stonealgo.com/diamond-prices/</x:v>
      </x:c>
      <x:c r="L5834" s="67" t="str">
        <x:v>https://www.pricescope.com/blog/natural-diamond-prices-september-2026</x:v>
      </x:c>
    </x:row>
    <x:row r="5835">
      <x:c r="A5835" t="n">
        <x:v>10</x:v>
      </x:c>
      <x:c r="B5835" t="str">
        <x:v>Oval</x:v>
      </x:c>
      <x:c r="C5835" t="str">
        <x:v>E</x:v>
      </x:c>
      <x:c r="D5835" t="str">
        <x:v>IF</x:v>
      </x:c>
      <x:c r="E5835" s="36" t="n">
        <x:v>424760</x:v>
      </x:c>
      <x:c r="F5835" s="36" t="n">
        <x:v>8672</x:v>
      </x:c>
      <x:c r="G5835" s="42" t="n">
        <x:v>1.8601458601458603</x:v>
      </x:c>
      <x:c r="H5835" s="36" t="n">
        <x:f>E5835*G5835</x:f>
        <x:v>790115.5555555556</x:v>
      </x:c>
      <x:c r="I5835" s="36" t="n">
        <x:f>IFERROR(H5835/A5835,0)</x:f>
        <x:v>79011.55555555556</x:v>
      </x:c>
      <x:c r="J5835" s="67" t="str">
        <x:v>Modeled from live base + Sep-2026 quality ratio</x:v>
      </x:c>
      <x:c r="K5835" s="67" t="str">
        <x:v>https://www.stonealgo.com/diamond-prices/</x:v>
      </x:c>
      <x:c r="L5835" s="67" t="str">
        <x:v>https://www.pricescope.com/blog/natural-diamond-prices-september-2026</x:v>
      </x:c>
    </x:row>
    <x:row r="5836">
      <x:c r="A5836" t="n">
        <x:v>10</x:v>
      </x:c>
      <x:c r="B5836" t="str">
        <x:v>Oval</x:v>
      </x:c>
      <x:c r="C5836" t="str">
        <x:v>E</x:v>
      </x:c>
      <x:c r="D5836" t="str">
        <x:v>VVS1</x:v>
      </x:c>
      <x:c r="E5836" s="36" t="n">
        <x:v>424760</x:v>
      </x:c>
      <x:c r="F5836" s="36" t="n">
        <x:v>7842</x:v>
      </x:c>
      <x:c r="G5836" s="42" t="n">
        <x:v>1.6821106821106822</x:v>
      </x:c>
      <x:c r="H5836" s="36" t="n">
        <x:f>E5836*G5836</x:f>
        <x:v>714493.3333333334</x:v>
      </x:c>
      <x:c r="I5836" s="36" t="n">
        <x:f>IFERROR(H5836/A5836,0)</x:f>
        <x:v>71449.33333333334</x:v>
      </x:c>
      <x:c r="J5836" s="67" t="str">
        <x:v>Modeled from live base + Sep-2026 quality ratio</x:v>
      </x:c>
      <x:c r="K5836" s="67" t="str">
        <x:v>https://www.stonealgo.com/diamond-prices/</x:v>
      </x:c>
      <x:c r="L5836" s="67" t="str">
        <x:v>https://www.pricescope.com/blog/natural-diamond-prices-september-2026</x:v>
      </x:c>
    </x:row>
    <x:row r="5837">
      <x:c r="A5837" t="n">
        <x:v>10</x:v>
      </x:c>
      <x:c r="B5837" t="str">
        <x:v>Oval</x:v>
      </x:c>
      <x:c r="C5837" t="str">
        <x:v>E</x:v>
      </x:c>
      <x:c r="D5837" t="str">
        <x:v>VVS2</x:v>
      </x:c>
      <x:c r="E5837" s="36" t="n">
        <x:v>424760</x:v>
      </x:c>
      <x:c r="F5837" s="36" t="n">
        <x:v>6880</x:v>
      </x:c>
      <x:c r="G5837" s="42" t="n">
        <x:v>1.4757614757614759</x:v>
      </x:c>
      <x:c r="H5837" s="36" t="n">
        <x:f>E5837*G5837</x:f>
        <x:v>626844.4444444445</x:v>
      </x:c>
      <x:c r="I5837" s="36" t="n">
        <x:f>IFERROR(H5837/A5837,0)</x:f>
        <x:v>62684.44444444445</x:v>
      </x:c>
      <x:c r="J5837" s="67" t="str">
        <x:v>Modeled from live base + Sep-2026 quality ratio</x:v>
      </x:c>
      <x:c r="K5837" s="67" t="str">
        <x:v>https://www.stonealgo.com/diamond-prices/</x:v>
      </x:c>
      <x:c r="L5837" s="67" t="str">
        <x:v>https://www.pricescope.com/blog/natural-diamond-prices-september-2026</x:v>
      </x:c>
    </x:row>
    <x:row r="5838">
      <x:c r="A5838" t="n">
        <x:v>10</x:v>
      </x:c>
      <x:c r="B5838" t="str">
        <x:v>Oval</x:v>
      </x:c>
      <x:c r="C5838" t="str">
        <x:v>E</x:v>
      </x:c>
      <x:c r="D5838" t="str">
        <x:v>VS1</x:v>
      </x:c>
      <x:c r="E5838" s="36" t="n">
        <x:v>424760</x:v>
      </x:c>
      <x:c r="F5838" s="36" t="n">
        <x:v>6307</x:v>
      </x:c>
      <x:c r="G5838" s="42" t="n">
        <x:v>1.352852852852853</x:v>
      </x:c>
      <x:c r="H5838" s="36" t="n">
        <x:f>E5838*G5838</x:f>
        <x:v>574637.7777777779</x:v>
      </x:c>
      <x:c r="I5838" s="36" t="n">
        <x:f>IFERROR(H5838/A5838,0)</x:f>
        <x:v>57463.77777777779</x:v>
      </x:c>
      <x:c r="J5838" s="67" t="str">
        <x:v>Modeled from live base + Sep-2026 quality ratio</x:v>
      </x:c>
      <x:c r="K5838" s="67" t="str">
        <x:v>https://www.stonealgo.com/diamond-prices/</x:v>
      </x:c>
      <x:c r="L5838" s="67" t="str">
        <x:v>https://www.pricescope.com/blog/natural-diamond-prices-september-2026</x:v>
      </x:c>
    </x:row>
    <x:row r="5839">
      <x:c r="A5839" t="n">
        <x:v>10</x:v>
      </x:c>
      <x:c r="B5839" t="str">
        <x:v>Oval</x:v>
      </x:c>
      <x:c r="C5839" t="str">
        <x:v>E</x:v>
      </x:c>
      <x:c r="D5839" t="str">
        <x:v>VS2</x:v>
      </x:c>
      <x:c r="E5839" s="36" t="n">
        <x:v>424760</x:v>
      </x:c>
      <x:c r="F5839" s="36" t="n">
        <x:v>5249</x:v>
      </x:c>
      <x:c r="G5839" s="42" t="n">
        <x:v>1.125911625911626</x:v>
      </x:c>
      <x:c r="H5839" s="36" t="n">
        <x:f>E5839*G5839</x:f>
        <x:v>478242.22222222225</x:v>
      </x:c>
      <x:c r="I5839" s="36" t="n">
        <x:f>IFERROR(H5839/A5839,0)</x:f>
        <x:v>47824.222222222226</x:v>
      </x:c>
      <x:c r="J5839" s="67" t="str">
        <x:v>Modeled from live base + Sep-2026 quality ratio</x:v>
      </x:c>
      <x:c r="K5839" s="67" t="str">
        <x:v>https://www.stonealgo.com/diamond-prices/</x:v>
      </x:c>
      <x:c r="L5839" s="67" t="str">
        <x:v>https://www.pricescope.com/blog/natural-diamond-prices-september-2026</x:v>
      </x:c>
    </x:row>
    <x:row r="5840">
      <x:c r="A5840" t="n">
        <x:v>10</x:v>
      </x:c>
      <x:c r="B5840" t="str">
        <x:v>Oval</x:v>
      </x:c>
      <x:c r="C5840" t="str">
        <x:v>E</x:v>
      </x:c>
      <x:c r="D5840" t="str">
        <x:v>SI1</x:v>
      </x:c>
      <x:c r="E5840" s="36" t="n">
        <x:v>424760</x:v>
      </x:c>
      <x:c r="F5840" s="36" t="n">
        <x:v>3551</x:v>
      </x:c>
      <x:c r="G5840" s="42" t="n">
        <x:v>0.7616902616902617</x:v>
      </x:c>
      <x:c r="H5840" s="36" t="n">
        <x:f>E5840*G5840</x:f>
        <x:v>323535.55555555556</x:v>
      </x:c>
      <x:c r="I5840" s="36" t="n">
        <x:f>IFERROR(H5840/A5840,0)</x:f>
        <x:v>32353.555555555555</x:v>
      </x:c>
      <x:c r="J5840" s="67" t="str">
        <x:v>Modeled from live base + Sep-2026 quality ratio</x:v>
      </x:c>
      <x:c r="K5840" s="67" t="str">
        <x:v>https://www.stonealgo.com/diamond-prices/</x:v>
      </x:c>
      <x:c r="L5840" s="67" t="str">
        <x:v>https://www.pricescope.com/blog/natural-diamond-prices-september-2026</x:v>
      </x:c>
    </x:row>
    <x:row r="5841">
      <x:c r="A5841" t="n">
        <x:v>10</x:v>
      </x:c>
      <x:c r="B5841" t="str">
        <x:v>Oval</x:v>
      </x:c>
      <x:c r="C5841" t="str">
        <x:v>E</x:v>
      </x:c>
      <x:c r="D5841" t="str">
        <x:v>SI2</x:v>
      </x:c>
      <x:c r="E5841" s="36" t="n">
        <x:v>424760</x:v>
      </x:c>
      <x:c r="F5841" s="36" t="n">
        <x:v>2993</x:v>
      </x:c>
      <x:c r="G5841" s="42" t="n">
        <x:v>0.641999141999142</x:v>
      </x:c>
      <x:c r="H5841" s="36" t="n">
        <x:f>E5841*G5841</x:f>
        <x:v>272695.55555555556</x:v>
      </x:c>
      <x:c r="I5841" s="36" t="n">
        <x:f>IFERROR(H5841/A5841,0)</x:f>
        <x:v>27269.555555555555</x:v>
      </x:c>
      <x:c r="J5841" s="67" t="str">
        <x:v>Modeled from live base + Sep-2026 quality ratio</x:v>
      </x:c>
      <x:c r="K5841" s="67" t="str">
        <x:v>https://www.stonealgo.com/diamond-prices/</x:v>
      </x:c>
      <x:c r="L5841" s="67" t="str">
        <x:v>https://www.pricescope.com/blog/natural-diamond-prices-september-2026</x:v>
      </x:c>
    </x:row>
    <x:row r="5842">
      <x:c r="A5842" t="n">
        <x:v>10</x:v>
      </x:c>
      <x:c r="B5842" t="str">
        <x:v>Oval</x:v>
      </x:c>
      <x:c r="C5842" t="str">
        <x:v>F</x:v>
      </x:c>
      <x:c r="D5842" t="str">
        <x:v>FL</x:v>
      </x:c>
      <x:c r="E5842" s="36" t="n">
        <x:v>424760</x:v>
      </x:c>
      <x:c r="F5842" s="36" t="n">
        <x:v>6830</x:v>
      </x:c>
      <x:c r="G5842" s="42" t="n">
        <x:v>1.4650364650364651</x:v>
      </x:c>
      <x:c r="H5842" s="36" t="n">
        <x:f>E5842*G5842</x:f>
        <x:v>622288.8888888889</x:v>
      </x:c>
      <x:c r="I5842" s="36" t="n">
        <x:f>IFERROR(H5842/A5842,0)</x:f>
        <x:v>62228.88888888889</x:v>
      </x:c>
      <x:c r="J5842" s="67" t="str">
        <x:v>Modeled from live base + Sep-2026 quality ratio</x:v>
      </x:c>
      <x:c r="K5842" s="67" t="str">
        <x:v>https://www.stonealgo.com/diamond-prices/</x:v>
      </x:c>
      <x:c r="L5842" s="67" t="str">
        <x:v>https://www.pricescope.com/blog/natural-diamond-prices-september-2026</x:v>
      </x:c>
    </x:row>
    <x:row r="5843">
      <x:c r="A5843" t="n">
        <x:v>10</x:v>
      </x:c>
      <x:c r="B5843" t="str">
        <x:v>Oval</x:v>
      </x:c>
      <x:c r="C5843" t="str">
        <x:v>F</x:v>
      </x:c>
      <x:c r="D5843" t="str">
        <x:v>IF</x:v>
      </x:c>
      <x:c r="E5843" s="36" t="n">
        <x:v>424760</x:v>
      </x:c>
      <x:c r="F5843" s="36" t="n">
        <x:v>7302</x:v>
      </x:c>
      <x:c r="G5843" s="42" t="n">
        <x:v>1.5662805662805663</x:v>
      </x:c>
      <x:c r="H5843" s="36" t="n">
        <x:f>E5843*G5843</x:f>
        <x:v>665293.3333333334</x:v>
      </x:c>
      <x:c r="I5843" s="36" t="n">
        <x:f>IFERROR(H5843/A5843,0)</x:f>
        <x:v>66529.33333333334</x:v>
      </x:c>
      <x:c r="J5843" s="67" t="str">
        <x:v>Modeled from live base + Sep-2026 quality ratio</x:v>
      </x:c>
      <x:c r="K5843" s="67" t="str">
        <x:v>https://www.stonealgo.com/diamond-prices/</x:v>
      </x:c>
      <x:c r="L5843" s="67" t="str">
        <x:v>https://www.pricescope.com/blog/natural-diamond-prices-september-2026</x:v>
      </x:c>
    </x:row>
    <x:row r="5844">
      <x:c r="A5844" t="n">
        <x:v>10</x:v>
      </x:c>
      <x:c r="B5844" t="str">
        <x:v>Oval</x:v>
      </x:c>
      <x:c r="C5844" t="str">
        <x:v>F</x:v>
      </x:c>
      <x:c r="D5844" t="str">
        <x:v>VVS1</x:v>
      </x:c>
      <x:c r="E5844" s="36" t="n">
        <x:v>424760</x:v>
      </x:c>
      <x:c r="F5844" s="36" t="n">
        <x:v>7542</x:v>
      </x:c>
      <x:c r="G5844" s="42" t="n">
        <x:v>1.6177606177606179</x:v>
      </x:c>
      <x:c r="H5844" s="36" t="n">
        <x:f>E5844*G5844</x:f>
        <x:v>687160</x:v>
      </x:c>
      <x:c r="I5844" s="36" t="n">
        <x:f>IFERROR(H5844/A5844,0)</x:f>
        <x:v>68716</x:v>
      </x:c>
      <x:c r="J5844" s="67" t="str">
        <x:v>Modeled from live base + Sep-2026 quality ratio</x:v>
      </x:c>
      <x:c r="K5844" s="67" t="str">
        <x:v>https://www.stonealgo.com/diamond-prices/</x:v>
      </x:c>
      <x:c r="L5844" s="67" t="str">
        <x:v>https://www.pricescope.com/blog/natural-diamond-prices-september-2026</x:v>
      </x:c>
    </x:row>
    <x:row r="5845">
      <x:c r="A5845" t="n">
        <x:v>10</x:v>
      </x:c>
      <x:c r="B5845" t="str">
        <x:v>Oval</x:v>
      </x:c>
      <x:c r="C5845" t="str">
        <x:v>F</x:v>
      </x:c>
      <x:c r="D5845" t="str">
        <x:v>VVS2</x:v>
      </x:c>
      <x:c r="E5845" s="36" t="n">
        <x:v>424760</x:v>
      </x:c>
      <x:c r="F5845" s="36" t="n">
        <x:v>6352</x:v>
      </x:c>
      <x:c r="G5845" s="42" t="n">
        <x:v>1.3625053625053625</x:v>
      </x:c>
      <x:c r="H5845" s="36" t="n">
        <x:f>E5845*G5845</x:f>
        <x:v>578737.7777777778</x:v>
      </x:c>
      <x:c r="I5845" s="36" t="n">
        <x:f>IFERROR(H5845/A5845,0)</x:f>
        <x:v>57873.777777777774</x:v>
      </x:c>
      <x:c r="J5845" s="67" t="str">
        <x:v>Modeled from live base + Sep-2026 quality ratio</x:v>
      </x:c>
      <x:c r="K5845" s="67" t="str">
        <x:v>https://www.stonealgo.com/diamond-prices/</x:v>
      </x:c>
      <x:c r="L5845" s="67" t="str">
        <x:v>https://www.pricescope.com/blog/natural-diamond-prices-september-2026</x:v>
      </x:c>
    </x:row>
    <x:row r="5846">
      <x:c r="A5846" t="n">
        <x:v>10</x:v>
      </x:c>
      <x:c r="B5846" t="str">
        <x:v>Oval</x:v>
      </x:c>
      <x:c r="C5846" t="str">
        <x:v>F</x:v>
      </x:c>
      <x:c r="D5846" t="str">
        <x:v>VS1</x:v>
      </x:c>
      <x:c r="E5846" s="36" t="n">
        <x:v>424760</x:v>
      </x:c>
      <x:c r="F5846" s="36" t="n">
        <x:v>5647</x:v>
      </x:c>
      <x:c r="G5846" s="42" t="n">
        <x:v>1.2112827112827114</x:v>
      </x:c>
      <x:c r="H5846" s="36" t="n">
        <x:f>E5846*G5846</x:f>
        <x:v>514504.4444444445</x:v>
      </x:c>
      <x:c r="I5846" s="36" t="n">
        <x:f>IFERROR(H5846/A5846,0)</x:f>
        <x:v>51450.44444444445</x:v>
      </x:c>
      <x:c r="J5846" s="67" t="str">
        <x:v>Modeled from live base + Sep-2026 quality ratio</x:v>
      </x:c>
      <x:c r="K5846" s="67" t="str">
        <x:v>https://www.stonealgo.com/diamond-prices/</x:v>
      </x:c>
      <x:c r="L5846" s="67" t="str">
        <x:v>https://www.pricescope.com/blog/natural-diamond-prices-september-2026</x:v>
      </x:c>
    </x:row>
    <x:row r="5847">
      <x:c r="A5847" t="n">
        <x:v>10</x:v>
      </x:c>
      <x:c r="B5847" t="str">
        <x:v>Oval</x:v>
      </x:c>
      <x:c r="C5847" t="str">
        <x:v>F</x:v>
      </x:c>
      <x:c r="D5847" t="str">
        <x:v>VS2</x:v>
      </x:c>
      <x:c r="E5847" s="36" t="n">
        <x:v>424760</x:v>
      </x:c>
      <x:c r="F5847" s="36" t="n">
        <x:v>4730</x:v>
      </x:c>
      <x:c r="G5847" s="42" t="n">
        <x:v>1.0145860145860146</x:v>
      </x:c>
      <x:c r="H5847" s="36" t="n">
        <x:f>E5847*G5847</x:f>
        <x:v>430955.55555555556</x:v>
      </x:c>
      <x:c r="I5847" s="36" t="n">
        <x:f>IFERROR(H5847/A5847,0)</x:f>
        <x:v>43095.555555555555</x:v>
      </x:c>
      <x:c r="J5847" s="67" t="str">
        <x:v>Modeled from live base + Sep-2026 quality ratio</x:v>
      </x:c>
      <x:c r="K5847" s="67" t="str">
        <x:v>https://www.stonealgo.com/diamond-prices/</x:v>
      </x:c>
      <x:c r="L5847" s="67" t="str">
        <x:v>https://www.pricescope.com/blog/natural-diamond-prices-september-2026</x:v>
      </x:c>
    </x:row>
    <x:row r="5848">
      <x:c r="A5848" t="n">
        <x:v>10</x:v>
      </x:c>
      <x:c r="B5848" t="str">
        <x:v>Oval</x:v>
      </x:c>
      <x:c r="C5848" t="str">
        <x:v>F</x:v>
      </x:c>
      <x:c r="D5848" t="str">
        <x:v>SI1</x:v>
      </x:c>
      <x:c r="E5848" s="36" t="n">
        <x:v>424760</x:v>
      </x:c>
      <x:c r="F5848" s="36" t="n">
        <x:v>3331</x:v>
      </x:c>
      <x:c r="G5848" s="42" t="n">
        <x:v>0.7145002145002145</x:v>
      </x:c>
      <x:c r="H5848" s="36" t="n">
        <x:f>E5848*G5848</x:f>
        <x:v>303491.1111111111</x:v>
      </x:c>
      <x:c r="I5848" s="36" t="n">
        <x:f>IFERROR(H5848/A5848,0)</x:f>
        <x:v>30349.111111111113</x:v>
      </x:c>
      <x:c r="J5848" s="67" t="str">
        <x:v>Modeled from live base + Sep-2026 quality ratio</x:v>
      </x:c>
      <x:c r="K5848" s="67" t="str">
        <x:v>https://www.stonealgo.com/diamond-prices/</x:v>
      </x:c>
      <x:c r="L5848" s="67" t="str">
        <x:v>https://www.pricescope.com/blog/natural-diamond-prices-september-2026</x:v>
      </x:c>
    </x:row>
    <x:row r="5849">
      <x:c r="A5849" t="n">
        <x:v>10</x:v>
      </x:c>
      <x:c r="B5849" t="str">
        <x:v>Oval</x:v>
      </x:c>
      <x:c r="C5849" t="str">
        <x:v>F</x:v>
      </x:c>
      <x:c r="D5849" t="str">
        <x:v>SI2</x:v>
      </x:c>
      <x:c r="E5849" s="36" t="n">
        <x:v>424760</x:v>
      </x:c>
      <x:c r="F5849" s="36" t="n">
        <x:v>2733</x:v>
      </x:c>
      <x:c r="G5849" s="42" t="n">
        <x:v>0.5862290862290862</x:v>
      </x:c>
      <x:c r="H5849" s="36" t="n">
        <x:f>E5849*G5849</x:f>
        <x:v>249006.66666666666</x:v>
      </x:c>
      <x:c r="I5849" s="36" t="n">
        <x:f>IFERROR(H5849/A5849,0)</x:f>
        <x:v>24900.666666666664</x:v>
      </x:c>
      <x:c r="J5849" s="67" t="str">
        <x:v>Modeled from live base + Sep-2026 quality ratio</x:v>
      </x:c>
      <x:c r="K5849" s="67" t="str">
        <x:v>https://www.stonealgo.com/diamond-prices/</x:v>
      </x:c>
      <x:c r="L5849" s="67" t="str">
        <x:v>https://www.pricescope.com/blog/natural-diamond-prices-september-2026</x:v>
      </x:c>
    </x:row>
    <x:row r="5850">
      <x:c r="A5850" t="n">
        <x:v>10</x:v>
      </x:c>
      <x:c r="B5850" t="str">
        <x:v>Oval</x:v>
      </x:c>
      <x:c r="C5850" t="str">
        <x:v>G</x:v>
      </x:c>
      <x:c r="D5850" t="str">
        <x:v>FL</x:v>
      </x:c>
      <x:c r="E5850" s="36" t="n">
        <x:v>424760</x:v>
      </x:c>
      <x:c r="F5850" s="36" t="n">
        <x:v>5905</x:v>
      </x:c>
      <x:c r="G5850" s="42" t="n">
        <x:v>1.2666237666237665</x:v>
      </x:c>
      <x:c r="H5850" s="36" t="n">
        <x:f>E5850*G5850</x:f>
        <x:v>538011.1111111111</x:v>
      </x:c>
      <x:c r="I5850" s="36" t="n">
        <x:f>IFERROR(H5850/A5850,0)</x:f>
        <x:v>53801.11111111111</x:v>
      </x:c>
      <x:c r="J5850" s="67" t="str">
        <x:v>Modeled from live base + Sep-2026 quality ratio</x:v>
      </x:c>
      <x:c r="K5850" s="67" t="str">
        <x:v>https://www.stonealgo.com/diamond-prices/</x:v>
      </x:c>
      <x:c r="L5850" s="67" t="str">
        <x:v>https://www.pricescope.com/blog/natural-diamond-prices-september-2026</x:v>
      </x:c>
    </x:row>
    <x:row r="5851">
      <x:c r="A5851" t="n">
        <x:v>10</x:v>
      </x:c>
      <x:c r="B5851" t="str">
        <x:v>Oval</x:v>
      </x:c>
      <x:c r="C5851" t="str">
        <x:v>G</x:v>
      </x:c>
      <x:c r="D5851" t="str">
        <x:v>IF</x:v>
      </x:c>
      <x:c r="E5851" s="36" t="n">
        <x:v>424760</x:v>
      </x:c>
      <x:c r="F5851" s="36" t="n">
        <x:v>5601</x:v>
      </x:c>
      <x:c r="G5851" s="42" t="n">
        <x:v>1.2014157014157014</x:v>
      </x:c>
      <x:c r="H5851" s="36" t="n">
        <x:f>E5851*G5851</x:f>
        <x:v>510313.3333333333</x:v>
      </x:c>
      <x:c r="I5851" s="36" t="n">
        <x:f>IFERROR(H5851/A5851,0)</x:f>
        <x:v>51031.33333333333</x:v>
      </x:c>
      <x:c r="J5851" s="67" t="str">
        <x:v>Modeled from live base + Sep-2026 quality ratio</x:v>
      </x:c>
      <x:c r="K5851" s="67" t="str">
        <x:v>https://www.stonealgo.com/diamond-prices/</x:v>
      </x:c>
      <x:c r="L5851" s="67" t="str">
        <x:v>https://www.pricescope.com/blog/natural-diamond-prices-september-2026</x:v>
      </x:c>
    </x:row>
    <x:row r="5852">
      <x:c r="A5852" t="n">
        <x:v>10</x:v>
      </x:c>
      <x:c r="B5852" t="str">
        <x:v>Oval</x:v>
      </x:c>
      <x:c r="C5852" t="str">
        <x:v>G</x:v>
      </x:c>
      <x:c r="D5852" t="str">
        <x:v>VVS1</x:v>
      </x:c>
      <x:c r="E5852" s="36" t="n">
        <x:v>424760</x:v>
      </x:c>
      <x:c r="F5852" s="36" t="n">
        <x:v>5124</x:v>
      </x:c>
      <x:c r="G5852" s="42" t="n">
        <x:v>1.0990990990990992</x:v>
      </x:c>
      <x:c r="H5852" s="36" t="n">
        <x:f>E5852*G5852</x:f>
        <x:v>466853.3333333334</x:v>
      </x:c>
      <x:c r="I5852" s="36" t="n">
        <x:f>IFERROR(H5852/A5852,0)</x:f>
        <x:v>46685.333333333336</x:v>
      </x:c>
      <x:c r="J5852" s="67" t="str">
        <x:v>Modeled from live base + Sep-2026 quality ratio</x:v>
      </x:c>
      <x:c r="K5852" s="67" t="str">
        <x:v>https://www.stonealgo.com/diamond-prices/</x:v>
      </x:c>
      <x:c r="L5852" s="67" t="str">
        <x:v>https://www.pricescope.com/blog/natural-diamond-prices-september-2026</x:v>
      </x:c>
    </x:row>
    <x:row r="5853">
      <x:c r="A5853" t="n">
        <x:v>10</x:v>
      </x:c>
      <x:c r="B5853" t="str">
        <x:v>Oval</x:v>
      </x:c>
      <x:c r="C5853" t="str">
        <x:v>G</x:v>
      </x:c>
      <x:c r="D5853" t="str">
        <x:v>VVS2</x:v>
      </x:c>
      <x:c r="E5853" s="36" t="n">
        <x:v>424760</x:v>
      </x:c>
      <x:c r="F5853" s="36" t="n">
        <x:v>4962</x:v>
      </x:c>
      <x:c r="G5853" s="42" t="n">
        <x:v>1.0643500643500643</x:v>
      </x:c>
      <x:c r="H5853" s="36" t="n">
        <x:f>E5853*G5853</x:f>
        <x:v>452093.3333333333</x:v>
      </x:c>
      <x:c r="I5853" s="36" t="n">
        <x:f>IFERROR(H5853/A5853,0)</x:f>
        <x:v>45209.33333333333</x:v>
      </x:c>
      <x:c r="J5853" s="67" t="str">
        <x:v>Modeled from live base + Sep-2026 quality ratio</x:v>
      </x:c>
      <x:c r="K5853" s="67" t="str">
        <x:v>https://www.stonealgo.com/diamond-prices/</x:v>
      </x:c>
      <x:c r="L5853" s="67" t="str">
        <x:v>https://www.pricescope.com/blog/natural-diamond-prices-september-2026</x:v>
      </x:c>
    </x:row>
    <x:row r="5854">
      <x:c r="A5854" t="n">
        <x:v>10</x:v>
      </x:c>
      <x:c r="B5854" t="str">
        <x:v>Oval</x:v>
      </x:c>
      <x:c r="C5854" t="str">
        <x:v>G</x:v>
      </x:c>
      <x:c r="D5854" t="str">
        <x:v>VS1</x:v>
      </x:c>
      <x:c r="E5854" s="36" t="n">
        <x:v>424760</x:v>
      </x:c>
      <x:c r="F5854" s="36" t="n">
        <x:v>4615</x:v>
      </x:c>
      <x:c r="G5854" s="42" t="n">
        <x:v>0.98991848991849</x:v>
      </x:c>
      <x:c r="H5854" s="36" t="n">
        <x:f>E5854*G5854</x:f>
        <x:v>420477.7777777778</x:v>
      </x:c>
      <x:c r="I5854" s="36" t="n">
        <x:f>IFERROR(H5854/A5854,0)</x:f>
        <x:v>42047.77777777778</x:v>
      </x:c>
      <x:c r="J5854" s="67" t="str">
        <x:v>Modeled from live base + Sep-2026 quality ratio</x:v>
      </x:c>
      <x:c r="K5854" s="67" t="str">
        <x:v>https://www.stonealgo.com/diamond-prices/</x:v>
      </x:c>
      <x:c r="L5854" s="67" t="str">
        <x:v>https://www.pricescope.com/blog/natural-diamond-prices-september-2026</x:v>
      </x:c>
    </x:row>
    <x:row r="5855">
      <x:c r="A5855" t="n">
        <x:v>10</x:v>
      </x:c>
      <x:c r="B5855" t="str">
        <x:v>Oval</x:v>
      </x:c>
      <x:c r="C5855" t="str">
        <x:v>G</x:v>
      </x:c>
      <x:c r="D5855" t="str">
        <x:v>VS2</x:v>
      </x:c>
      <x:c r="E5855" s="36" t="n">
        <x:v>424760</x:v>
      </x:c>
      <x:c r="F5855" s="36" t="n">
        <x:v>4585</x:v>
      </x:c>
      <x:c r="G5855" s="42" t="n">
        <x:v>0.9834834834834835</x:v>
      </x:c>
      <x:c r="H5855" s="36" t="n">
        <x:f>E5855*G5855</x:f>
        <x:v>417744.44444444444</x:v>
      </x:c>
      <x:c r="I5855" s="36" t="n">
        <x:f>IFERROR(H5855/A5855,0)</x:f>
        <x:v>41774.444444444445</x:v>
      </x:c>
      <x:c r="J5855" s="67" t="str">
        <x:v>Modeled from live base + Sep-2026 quality ratio</x:v>
      </x:c>
      <x:c r="K5855" s="67" t="str">
        <x:v>https://www.stonealgo.com/diamond-prices/</x:v>
      </x:c>
      <x:c r="L5855" s="67" t="str">
        <x:v>https://www.pricescope.com/blog/natural-diamond-prices-september-2026</x:v>
      </x:c>
    </x:row>
    <x:row r="5856">
      <x:c r="A5856" t="n">
        <x:v>10</x:v>
      </x:c>
      <x:c r="B5856" t="str">
        <x:v>Oval</x:v>
      </x:c>
      <x:c r="C5856" t="str">
        <x:v>G</x:v>
      </x:c>
      <x:c r="D5856" t="str">
        <x:v>SI1</x:v>
      </x:c>
      <x:c r="E5856" s="36" t="n">
        <x:v>424760</x:v>
      </x:c>
      <x:c r="F5856" s="36" t="n">
        <x:v>3664</x:v>
      </x:c>
      <x:c r="G5856" s="42" t="n">
        <x:v>0.7859287859287859</x:v>
      </x:c>
      <x:c r="H5856" s="36" t="n">
        <x:f>E5856*G5856</x:f>
        <x:v>333831.1111111111</x:v>
      </x:c>
      <x:c r="I5856" s="36" t="n">
        <x:f>IFERROR(H5856/A5856,0)</x:f>
        <x:v>33383.11111111111</x:v>
      </x:c>
      <x:c r="J5856" s="67" t="str">
        <x:v>Modeled from live base + Sep-2026 quality ratio</x:v>
      </x:c>
      <x:c r="K5856" s="67" t="str">
        <x:v>https://www.stonealgo.com/diamond-prices/</x:v>
      </x:c>
      <x:c r="L5856" s="67" t="str">
        <x:v>https://www.pricescope.com/blog/natural-diamond-prices-september-2026</x:v>
      </x:c>
    </x:row>
    <x:row r="5857">
      <x:c r="A5857" t="n">
        <x:v>10</x:v>
      </x:c>
      <x:c r="B5857" t="str">
        <x:v>Oval</x:v>
      </x:c>
      <x:c r="C5857" t="str">
        <x:v>G</x:v>
      </x:c>
      <x:c r="D5857" t="str">
        <x:v>SI2</x:v>
      </x:c>
      <x:c r="E5857" s="36" t="n">
        <x:v>424760</x:v>
      </x:c>
      <x:c r="F5857" s="36" t="n">
        <x:v>2537</x:v>
      </x:c>
      <x:c r="G5857" s="42" t="n">
        <x:v>0.5441870441870442</x:v>
      </x:c>
      <x:c r="H5857" s="36" t="n">
        <x:f>E5857*G5857</x:f>
        <x:v>231148.8888888889</x:v>
      </x:c>
      <x:c r="I5857" s="36" t="n">
        <x:f>IFERROR(H5857/A5857,0)</x:f>
        <x:v>23114.88888888889</x:v>
      </x:c>
      <x:c r="J5857" s="67" t="str">
        <x:v>Modeled from live base + Sep-2026 quality ratio</x:v>
      </x:c>
      <x:c r="K5857" s="67" t="str">
        <x:v>https://www.stonealgo.com/diamond-prices/</x:v>
      </x:c>
      <x:c r="L5857" s="67" t="str">
        <x:v>https://www.pricescope.com/blog/natural-diamond-prices-september-2026</x:v>
      </x:c>
    </x:row>
    <x:row r="5858">
      <x:c r="A5858" t="n">
        <x:v>10</x:v>
      </x:c>
      <x:c r="B5858" t="str">
        <x:v>Oval</x:v>
      </x:c>
      <x:c r="C5858" t="str">
        <x:v>H</x:v>
      </x:c>
      <x:c r="D5858" t="str">
        <x:v>FL</x:v>
      </x:c>
      <x:c r="E5858" s="36" t="n">
        <x:v>424760</x:v>
      </x:c>
      <x:c r="F5858" s="36" t="n">
        <x:v>4563</x:v>
      </x:c>
      <x:c r="G5858" s="42" t="n">
        <x:v>0.9787644787644788</x:v>
      </x:c>
      <x:c r="H5858" s="36" t="n">
        <x:f>E5858*G5858</x:f>
        <x:v>415740</x:v>
      </x:c>
      <x:c r="I5858" s="36" t="n">
        <x:f>IFERROR(H5858/A5858,0)</x:f>
        <x:v>41574</x:v>
      </x:c>
      <x:c r="J5858" s="67" t="str">
        <x:v>Modeled from live base + Sep-2026 quality ratio</x:v>
      </x:c>
      <x:c r="K5858" s="67" t="str">
        <x:v>https://www.stonealgo.com/diamond-prices/</x:v>
      </x:c>
      <x:c r="L5858" s="67" t="str">
        <x:v>https://www.pricescope.com/blog/natural-diamond-prices-september-2026</x:v>
      </x:c>
    </x:row>
    <x:row r="5859">
      <x:c r="A5859" t="n">
        <x:v>10</x:v>
      </x:c>
      <x:c r="B5859" t="str">
        <x:v>Oval</x:v>
      </x:c>
      <x:c r="C5859" t="str">
        <x:v>H</x:v>
      </x:c>
      <x:c r="D5859" t="str">
        <x:v>IF</x:v>
      </x:c>
      <x:c r="E5859" s="36" t="n">
        <x:v>424760</x:v>
      </x:c>
      <x:c r="F5859" s="36" t="n">
        <x:v>4809</x:v>
      </x:c>
      <x:c r="G5859" s="42" t="n">
        <x:v>1.0315315315315314</x:v>
      </x:c>
      <x:c r="H5859" s="36" t="n">
        <x:f>E5859*G5859</x:f>
        <x:v>438153.3333333333</x:v>
      </x:c>
      <x:c r="I5859" s="36" t="n">
        <x:f>IFERROR(H5859/A5859,0)</x:f>
        <x:v>43815.33333333333</x:v>
      </x:c>
      <x:c r="J5859" s="67" t="str">
        <x:v>Modeled from live base + Sep-2026 quality ratio</x:v>
      </x:c>
      <x:c r="K5859" s="67" t="str">
        <x:v>https://www.stonealgo.com/diamond-prices/</x:v>
      </x:c>
      <x:c r="L5859" s="67" t="str">
        <x:v>https://www.pricescope.com/blog/natural-diamond-prices-september-2026</x:v>
      </x:c>
    </x:row>
    <x:row r="5860">
      <x:c r="A5860" t="n">
        <x:v>10</x:v>
      </x:c>
      <x:c r="B5860" t="str">
        <x:v>Oval</x:v>
      </x:c>
      <x:c r="C5860" t="str">
        <x:v>H</x:v>
      </x:c>
      <x:c r="D5860" t="str">
        <x:v>VVS1</x:v>
      </x:c>
      <x:c r="E5860" s="36" t="n">
        <x:v>424760</x:v>
      </x:c>
      <x:c r="F5860" s="36" t="n">
        <x:v>4911</x:v>
      </x:c>
      <x:c r="G5860" s="42" t="n">
        <x:v>1.0534105534105533</x:v>
      </x:c>
      <x:c r="H5860" s="36" t="n">
        <x:f>E5860*G5860</x:f>
        <x:v>447446.6666666666</x:v>
      </x:c>
      <x:c r="I5860" s="36" t="n">
        <x:f>IFERROR(H5860/A5860,0)</x:f>
        <x:v>44744.666666666664</x:v>
      </x:c>
      <x:c r="J5860" s="67" t="str">
        <x:v>Modeled from live base + Sep-2026 quality ratio</x:v>
      </x:c>
      <x:c r="K5860" s="67" t="str">
        <x:v>https://www.stonealgo.com/diamond-prices/</x:v>
      </x:c>
      <x:c r="L5860" s="67" t="str">
        <x:v>https://www.pricescope.com/blog/natural-diamond-prices-september-2026</x:v>
      </x:c>
    </x:row>
    <x:row r="5861">
      <x:c r="A5861" t="n">
        <x:v>10</x:v>
      </x:c>
      <x:c r="B5861" t="str">
        <x:v>Oval</x:v>
      </x:c>
      <x:c r="C5861" t="str">
        <x:v>H</x:v>
      </x:c>
      <x:c r="D5861" t="str">
        <x:v>VVS2</x:v>
      </x:c>
      <x:c r="E5861" s="36" t="n">
        <x:v>424760</x:v>
      </x:c>
      <x:c r="F5861" s="36" t="n">
        <x:v>4046</x:v>
      </x:c>
      <x:c r="G5861" s="42" t="n">
        <x:v>0.8678678678678678</x:v>
      </x:c>
      <x:c r="H5861" s="36" t="n">
        <x:f>E5861*G5861</x:f>
        <x:v>368635.55555555556</x:v>
      </x:c>
      <x:c r="I5861" s="36" t="n">
        <x:f>IFERROR(H5861/A5861,0)</x:f>
        <x:v>36863.555555555555</x:v>
      </x:c>
      <x:c r="J5861" s="67" t="str">
        <x:v>Modeled from live base + Sep-2026 quality ratio</x:v>
      </x:c>
      <x:c r="K5861" s="67" t="str">
        <x:v>https://www.stonealgo.com/diamond-prices/</x:v>
      </x:c>
      <x:c r="L5861" s="67" t="str">
        <x:v>https://www.pricescope.com/blog/natural-diamond-prices-september-2026</x:v>
      </x:c>
    </x:row>
    <x:row r="5862">
      <x:c r="A5862" t="n">
        <x:v>10</x:v>
      </x:c>
      <x:c r="B5862" t="str">
        <x:v>Oval</x:v>
      </x:c>
      <x:c r="C5862" t="str">
        <x:v>H</x:v>
      </x:c>
      <x:c r="D5862" t="str">
        <x:v>VS1</x:v>
      </x:c>
      <x:c r="E5862" s="36" t="n">
        <x:v>424760</x:v>
      </x:c>
      <x:c r="F5862" s="36" t="n">
        <x:v>3893</x:v>
      </x:c>
      <x:c r="G5862" s="42" t="n">
        <x:v>0.8350493350493351</x:v>
      </x:c>
      <x:c r="H5862" s="36" t="n">
        <x:f>E5862*G5862</x:f>
        <x:v>354695.55555555556</x:v>
      </x:c>
      <x:c r="I5862" s="36" t="n">
        <x:f>IFERROR(H5862/A5862,0)</x:f>
        <x:v>35469.555555555555</x:v>
      </x:c>
      <x:c r="J5862" s="67" t="str">
        <x:v>Modeled from live base + Sep-2026 quality ratio</x:v>
      </x:c>
      <x:c r="K5862" s="67" t="str">
        <x:v>https://www.stonealgo.com/diamond-prices/</x:v>
      </x:c>
      <x:c r="L5862" s="67" t="str">
        <x:v>https://www.pricescope.com/blog/natural-diamond-prices-september-2026</x:v>
      </x:c>
    </x:row>
    <x:row r="5863">
      <x:c r="A5863" t="n">
        <x:v>10</x:v>
      </x:c>
      <x:c r="B5863" t="str">
        <x:v>Oval</x:v>
      </x:c>
      <x:c r="C5863" t="str">
        <x:v>H</x:v>
      </x:c>
      <x:c r="D5863" t="str">
        <x:v>VS2</x:v>
      </x:c>
      <x:c r="E5863" s="36" t="n">
        <x:v>424760</x:v>
      </x:c>
      <x:c r="F5863" s="36" t="n">
        <x:v>3989</x:v>
      </x:c>
      <x:c r="G5863" s="42" t="n">
        <x:v>0.8556413556413557</x:v>
      </x:c>
      <x:c r="H5863" s="36" t="n">
        <x:f>E5863*G5863</x:f>
        <x:v>363442.22222222225</x:v>
      </x:c>
      <x:c r="I5863" s="36" t="n">
        <x:f>IFERROR(H5863/A5863,0)</x:f>
        <x:v>36344.222222222226</x:v>
      </x:c>
      <x:c r="J5863" s="67" t="str">
        <x:v>Modeled from live base + Sep-2026 quality ratio</x:v>
      </x:c>
      <x:c r="K5863" s="67" t="str">
        <x:v>https://www.stonealgo.com/diamond-prices/</x:v>
      </x:c>
      <x:c r="L5863" s="67" t="str">
        <x:v>https://www.pricescope.com/blog/natural-diamond-prices-september-2026</x:v>
      </x:c>
    </x:row>
    <x:row r="5864">
      <x:c r="A5864" t="n">
        <x:v>10</x:v>
      </x:c>
      <x:c r="B5864" t="str">
        <x:v>Oval</x:v>
      </x:c>
      <x:c r="C5864" t="str">
        <x:v>H</x:v>
      </x:c>
      <x:c r="D5864" t="str">
        <x:v>SI1</x:v>
      </x:c>
      <x:c r="E5864" s="36" t="n">
        <x:v>424760</x:v>
      </x:c>
      <x:c r="F5864" s="36" t="n">
        <x:v>2828</x:v>
      </x:c>
      <x:c r="G5864" s="42" t="n">
        <x:v>0.6066066066066066</x:v>
      </x:c>
      <x:c r="H5864" s="36" t="n">
        <x:f>E5864*G5864</x:f>
        <x:v>257662.22222222222</x:v>
      </x:c>
      <x:c r="I5864" s="36" t="n">
        <x:f>IFERROR(H5864/A5864,0)</x:f>
        <x:v>25766.222222222223</x:v>
      </x:c>
      <x:c r="J5864" s="67" t="str">
        <x:v>Modeled from live base + Sep-2026 quality ratio</x:v>
      </x:c>
      <x:c r="K5864" s="67" t="str">
        <x:v>https://www.stonealgo.com/diamond-prices/</x:v>
      </x:c>
      <x:c r="L5864" s="67" t="str">
        <x:v>https://www.pricescope.com/blog/natural-diamond-prices-september-2026</x:v>
      </x:c>
    </x:row>
    <x:row r="5865">
      <x:c r="A5865" t="n">
        <x:v>10</x:v>
      </x:c>
      <x:c r="B5865" t="str">
        <x:v>Oval</x:v>
      </x:c>
      <x:c r="C5865" t="str">
        <x:v>H</x:v>
      </x:c>
      <x:c r="D5865" t="str">
        <x:v>SI2</x:v>
      </x:c>
      <x:c r="E5865" s="36" t="n">
        <x:v>424760</x:v>
      </x:c>
      <x:c r="F5865" s="36" t="n">
        <x:v>2328</x:v>
      </x:c>
      <x:c r="G5865" s="42" t="n">
        <x:v>0.49935649935649934</x:v>
      </x:c>
      <x:c r="H5865" s="36" t="n">
        <x:f>E5865*G5865</x:f>
        <x:v>212106.66666666666</x:v>
      </x:c>
      <x:c r="I5865" s="36" t="n">
        <x:f>IFERROR(H5865/A5865,0)</x:f>
        <x:v>21210.666666666664</x:v>
      </x:c>
      <x:c r="J5865" s="67" t="str">
        <x:v>Modeled from live base + Sep-2026 quality ratio</x:v>
      </x:c>
      <x:c r="K5865" s="67" t="str">
        <x:v>https://www.stonealgo.com/diamond-prices/</x:v>
      </x:c>
      <x:c r="L5865" s="67" t="str">
        <x:v>https://www.pricescope.com/blog/natural-diamond-prices-september-2026</x:v>
      </x:c>
    </x:row>
    <x:row r="5866">
      <x:c r="A5866" t="n">
        <x:v>10</x:v>
      </x:c>
      <x:c r="B5866" t="str">
        <x:v>Oval</x:v>
      </x:c>
      <x:c r="C5866" t="str">
        <x:v>I</x:v>
      </x:c>
      <x:c r="D5866" t="str">
        <x:v>FL</x:v>
      </x:c>
      <x:c r="E5866" s="36" t="n">
        <x:v>424760</x:v>
      </x:c>
      <x:c r="F5866" s="36" t="n">
        <x:v>4623</x:v>
      </x:c>
      <x:c r="G5866" s="42" t="n">
        <x:v>0.9916344916344917</x:v>
      </x:c>
      <x:c r="H5866" s="36" t="n">
        <x:f>E5866*G5866</x:f>
        <x:v>421206.6666666667</x:v>
      </x:c>
      <x:c r="I5866" s="36" t="n">
        <x:f>IFERROR(H5866/A5866,0)</x:f>
        <x:v>42120.66666666667</x:v>
      </x:c>
      <x:c r="J5866" s="67" t="str">
        <x:v>Modeled from live base + Sep-2026 quality ratio</x:v>
      </x:c>
      <x:c r="K5866" s="67" t="str">
        <x:v>https://www.stonealgo.com/diamond-prices/</x:v>
      </x:c>
      <x:c r="L5866" s="67" t="str">
        <x:v>https://www.pricescope.com/blog/natural-diamond-prices-september-2026</x:v>
      </x:c>
    </x:row>
    <x:row r="5867">
      <x:c r="A5867" t="n">
        <x:v>10</x:v>
      </x:c>
      <x:c r="B5867" t="str">
        <x:v>Oval</x:v>
      </x:c>
      <x:c r="C5867" t="str">
        <x:v>I</x:v>
      </x:c>
      <x:c r="D5867" t="str">
        <x:v>IF</x:v>
      </x:c>
      <x:c r="E5867" s="36" t="n">
        <x:v>424760</x:v>
      </x:c>
      <x:c r="F5867" s="36" t="n">
        <x:v>4005</x:v>
      </x:c>
      <x:c r="G5867" s="42" t="n">
        <x:v>0.859073359073359</x:v>
      </x:c>
      <x:c r="H5867" s="36" t="n">
        <x:f>E5867*G5867</x:f>
        <x:v>364900</x:v>
      </x:c>
      <x:c r="I5867" s="36" t="n">
        <x:f>IFERROR(H5867/A5867,0)</x:f>
        <x:v>36490</x:v>
      </x:c>
      <x:c r="J5867" s="67" t="str">
        <x:v>Modeled from live base + Sep-2026 quality ratio</x:v>
      </x:c>
      <x:c r="K5867" s="67" t="str">
        <x:v>https://www.stonealgo.com/diamond-prices/</x:v>
      </x:c>
      <x:c r="L5867" s="67" t="str">
        <x:v>https://www.pricescope.com/blog/natural-diamond-prices-september-2026</x:v>
      </x:c>
    </x:row>
    <x:row r="5868">
      <x:c r="A5868" t="n">
        <x:v>10</x:v>
      </x:c>
      <x:c r="B5868" t="str">
        <x:v>Oval</x:v>
      </x:c>
      <x:c r="C5868" t="str">
        <x:v>I</x:v>
      </x:c>
      <x:c r="D5868" t="str">
        <x:v>VVS1</x:v>
      </x:c>
      <x:c r="E5868" s="36" t="n">
        <x:v>424760</x:v>
      </x:c>
      <x:c r="F5868" s="36" t="n">
        <x:v>3670</x:v>
      </x:c>
      <x:c r="G5868" s="42" t="n">
        <x:v>0.7872157872157872</x:v>
      </x:c>
      <x:c r="H5868" s="36" t="n">
        <x:f>E5868*G5868</x:f>
        <x:v>334377.77777777775</x:v>
      </x:c>
      <x:c r="I5868" s="36" t="n">
        <x:f>IFERROR(H5868/A5868,0)</x:f>
        <x:v>33437.777777777774</x:v>
      </x:c>
      <x:c r="J5868" s="67" t="str">
        <x:v>Modeled from live base + Sep-2026 quality ratio</x:v>
      </x:c>
      <x:c r="K5868" s="67" t="str">
        <x:v>https://www.stonealgo.com/diamond-prices/</x:v>
      </x:c>
      <x:c r="L5868" s="67" t="str">
        <x:v>https://www.pricescope.com/blog/natural-diamond-prices-september-2026</x:v>
      </x:c>
    </x:row>
    <x:row r="5869">
      <x:c r="A5869" t="n">
        <x:v>10</x:v>
      </x:c>
      <x:c r="B5869" t="str">
        <x:v>Oval</x:v>
      </x:c>
      <x:c r="C5869" t="str">
        <x:v>I</x:v>
      </x:c>
      <x:c r="D5869" t="str">
        <x:v>VVS2</x:v>
      </x:c>
      <x:c r="E5869" s="36" t="n">
        <x:v>424760</x:v>
      </x:c>
      <x:c r="F5869" s="36" t="n">
        <x:v>3447</x:v>
      </x:c>
      <x:c r="G5869" s="42" t="n">
        <x:v>0.7393822393822393</x:v>
      </x:c>
      <x:c r="H5869" s="36" t="n">
        <x:f>E5869*G5869</x:f>
        <x:v>314060</x:v>
      </x:c>
      <x:c r="I5869" s="36" t="n">
        <x:f>IFERROR(H5869/A5869,0)</x:f>
        <x:v>31406</x:v>
      </x:c>
      <x:c r="J5869" s="67" t="str">
        <x:v>Modeled from live base + Sep-2026 quality ratio</x:v>
      </x:c>
      <x:c r="K5869" s="67" t="str">
        <x:v>https://www.stonealgo.com/diamond-prices/</x:v>
      </x:c>
      <x:c r="L5869" s="67" t="str">
        <x:v>https://www.pricescope.com/blog/natural-diamond-prices-september-2026</x:v>
      </x:c>
    </x:row>
    <x:row r="5870">
      <x:c r="A5870" t="n">
        <x:v>10</x:v>
      </x:c>
      <x:c r="B5870" t="str">
        <x:v>Oval</x:v>
      </x:c>
      <x:c r="C5870" t="str">
        <x:v>I</x:v>
      </x:c>
      <x:c r="D5870" t="str">
        <x:v>VS1</x:v>
      </x:c>
      <x:c r="E5870" s="36" t="n">
        <x:v>424760</x:v>
      </x:c>
      <x:c r="F5870" s="36" t="n">
        <x:v>3313</x:v>
      </x:c>
      <x:c r="G5870" s="42" t="n">
        <x:v>0.7106392106392107</x:v>
      </x:c>
      <x:c r="H5870" s="36" t="n">
        <x:f>E5870*G5870</x:f>
        <x:v>301851.1111111111</x:v>
      </x:c>
      <x:c r="I5870" s="36" t="n">
        <x:f>IFERROR(H5870/A5870,0)</x:f>
        <x:v>30185.111111111113</x:v>
      </x:c>
      <x:c r="J5870" s="67" t="str">
        <x:v>Modeled from live base + Sep-2026 quality ratio</x:v>
      </x:c>
      <x:c r="K5870" s="67" t="str">
        <x:v>https://www.stonealgo.com/diamond-prices/</x:v>
      </x:c>
      <x:c r="L5870" s="67" t="str">
        <x:v>https://www.pricescope.com/blog/natural-diamond-prices-september-2026</x:v>
      </x:c>
    </x:row>
    <x:row r="5871">
      <x:c r="A5871" t="n">
        <x:v>10</x:v>
      </x:c>
      <x:c r="B5871" t="str">
        <x:v>Oval</x:v>
      </x:c>
      <x:c r="C5871" t="str">
        <x:v>I</x:v>
      </x:c>
      <x:c r="D5871" t="str">
        <x:v>VS2</x:v>
      </x:c>
      <x:c r="E5871" s="36" t="n">
        <x:v>424760</x:v>
      </x:c>
      <x:c r="F5871" s="36" t="n">
        <x:v>3240</x:v>
      </x:c>
      <x:c r="G5871" s="42" t="n">
        <x:v>0.694980694980695</x:v>
      </x:c>
      <x:c r="H5871" s="36" t="n">
        <x:f>E5871*G5871</x:f>
        <x:v>295200</x:v>
      </x:c>
      <x:c r="I5871" s="36" t="n">
        <x:f>IFERROR(H5871/A5871,0)</x:f>
        <x:v>29520</x:v>
      </x:c>
      <x:c r="J5871" s="67" t="str">
        <x:v>Modeled from live base + Sep-2026 quality ratio</x:v>
      </x:c>
      <x:c r="K5871" s="67" t="str">
        <x:v>https://www.stonealgo.com/diamond-prices/</x:v>
      </x:c>
      <x:c r="L5871" s="67" t="str">
        <x:v>https://www.pricescope.com/blog/natural-diamond-prices-september-2026</x:v>
      </x:c>
    </x:row>
    <x:row r="5872">
      <x:c r="A5872" t="n">
        <x:v>10</x:v>
      </x:c>
      <x:c r="B5872" t="str">
        <x:v>Oval</x:v>
      </x:c>
      <x:c r="C5872" t="str">
        <x:v>I</x:v>
      </x:c>
      <x:c r="D5872" t="str">
        <x:v>SI1</x:v>
      </x:c>
      <x:c r="E5872" s="36" t="n">
        <x:v>424760</x:v>
      </x:c>
      <x:c r="F5872" s="36" t="n">
        <x:v>3199</x:v>
      </x:c>
      <x:c r="G5872" s="42" t="n">
        <x:v>0.6861861861861862</x:v>
      </x:c>
      <x:c r="H5872" s="36" t="n">
        <x:f>E5872*G5872</x:f>
        <x:v>291464.44444444444</x:v>
      </x:c>
      <x:c r="I5872" s="36" t="n">
        <x:f>IFERROR(H5872/A5872,0)</x:f>
        <x:v>29146.444444444445</x:v>
      </x:c>
      <x:c r="J5872" s="67" t="str">
        <x:v>Modeled from live base + Sep-2026 quality ratio</x:v>
      </x:c>
      <x:c r="K5872" s="67" t="str">
        <x:v>https://www.stonealgo.com/diamond-prices/</x:v>
      </x:c>
      <x:c r="L5872" s="67" t="str">
        <x:v>https://www.pricescope.com/blog/natural-diamond-prices-september-2026</x:v>
      </x:c>
    </x:row>
    <x:row r="5873">
      <x:c r="A5873" t="n">
        <x:v>10</x:v>
      </x:c>
      <x:c r="B5873" t="str">
        <x:v>Oval</x:v>
      </x:c>
      <x:c r="C5873" t="str">
        <x:v>I</x:v>
      </x:c>
      <x:c r="D5873" t="str">
        <x:v>SI2</x:v>
      </x:c>
      <x:c r="E5873" s="36" t="n">
        <x:v>424760</x:v>
      </x:c>
      <x:c r="F5873" s="36" t="n">
        <x:v>2874</x:v>
      </x:c>
      <x:c r="G5873" s="42" t="n">
        <x:v>0.6164736164736164</x:v>
      </x:c>
      <x:c r="H5873" s="36" t="n">
        <x:f>E5873*G5873</x:f>
        <x:v>261853.3333333333</x:v>
      </x:c>
      <x:c r="I5873" s="36" t="n">
        <x:f>IFERROR(H5873/A5873,0)</x:f>
        <x:v>26185.333333333332</x:v>
      </x:c>
      <x:c r="J5873" s="67" t="str">
        <x:v>Modeled from live base + Sep-2026 quality ratio</x:v>
      </x:c>
      <x:c r="K5873" s="67" t="str">
        <x:v>https://www.stonealgo.com/diamond-prices/</x:v>
      </x:c>
      <x:c r="L5873" s="67" t="str">
        <x:v>https://www.pricescope.com/blog/natural-diamond-prices-september-2026</x:v>
      </x:c>
    </x:row>
    <x:row r="5874">
      <x:c r="A5874" t="n">
        <x:v>10</x:v>
      </x:c>
      <x:c r="B5874" t="str">
        <x:v>Oval</x:v>
      </x:c>
      <x:c r="C5874" t="str">
        <x:v>J</x:v>
      </x:c>
      <x:c r="D5874" t="str">
        <x:v>FL</x:v>
      </x:c>
      <x:c r="E5874" s="36" t="n">
        <x:v>424760</x:v>
      </x:c>
      <x:c r="F5874" s="36" t="n">
        <x:v>3646</x:v>
      </x:c>
      <x:c r="G5874" s="42" t="n">
        <x:v>0.782067782067782</x:v>
      </x:c>
      <x:c r="H5874" s="36" t="n">
        <x:f>E5874*G5874</x:f>
        <x:v>332191.1111111111</x:v>
      </x:c>
      <x:c r="I5874" s="36" t="n">
        <x:f>IFERROR(H5874/A5874,0)</x:f>
        <x:v>33219.11111111111</x:v>
      </x:c>
      <x:c r="J5874" s="67" t="str">
        <x:v>Modeled from live base + Sep-2026 quality ratio</x:v>
      </x:c>
      <x:c r="K5874" s="67" t="str">
        <x:v>https://www.stonealgo.com/diamond-prices/</x:v>
      </x:c>
      <x:c r="L5874" s="67" t="str">
        <x:v>https://www.pricescope.com/blog/natural-diamond-prices-september-2026</x:v>
      </x:c>
    </x:row>
    <x:row r="5875">
      <x:c r="A5875" t="n">
        <x:v>10</x:v>
      </x:c>
      <x:c r="B5875" t="str">
        <x:v>Oval</x:v>
      </x:c>
      <x:c r="C5875" t="str">
        <x:v>J</x:v>
      </x:c>
      <x:c r="D5875" t="str">
        <x:v>IF</x:v>
      </x:c>
      <x:c r="E5875" s="36" t="n">
        <x:v>424760</x:v>
      </x:c>
      <x:c r="F5875" s="36" t="n">
        <x:v>3368</x:v>
      </x:c>
      <x:c r="G5875" s="42" t="n">
        <x:v>0.7224367224367224</x:v>
      </x:c>
      <x:c r="H5875" s="36" t="n">
        <x:f>E5875*G5875</x:f>
        <x:v>306862.2222222222</x:v>
      </x:c>
      <x:c r="I5875" s="36" t="n">
        <x:f>IFERROR(H5875/A5875,0)</x:f>
        <x:v>30686.22222222222</x:v>
      </x:c>
      <x:c r="J5875" s="67" t="str">
        <x:v>Modeled from live base + Sep-2026 quality ratio</x:v>
      </x:c>
      <x:c r="K5875" s="67" t="str">
        <x:v>https://www.stonealgo.com/diamond-prices/</x:v>
      </x:c>
      <x:c r="L5875" s="67" t="str">
        <x:v>https://www.pricescope.com/blog/natural-diamond-prices-september-2026</x:v>
      </x:c>
    </x:row>
    <x:row r="5876">
      <x:c r="A5876" t="n">
        <x:v>10</x:v>
      </x:c>
      <x:c r="B5876" t="str">
        <x:v>Oval</x:v>
      </x:c>
      <x:c r="C5876" t="str">
        <x:v>J</x:v>
      </x:c>
      <x:c r="D5876" t="str">
        <x:v>VVS1</x:v>
      </x:c>
      <x:c r="E5876" s="36" t="n">
        <x:v>424760</x:v>
      </x:c>
      <x:c r="F5876" s="36" t="n">
        <x:v>2956</x:v>
      </x:c>
      <x:c r="G5876" s="42" t="n">
        <x:v>0.6340626340626341</x:v>
      </x:c>
      <x:c r="H5876" s="36" t="n">
        <x:f>E5876*G5876</x:f>
        <x:v>269324.44444444444</x:v>
      </x:c>
      <x:c r="I5876" s="36" t="n">
        <x:f>IFERROR(H5876/A5876,0)</x:f>
        <x:v>26932.444444444445</x:v>
      </x:c>
      <x:c r="J5876" s="67" t="str">
        <x:v>Modeled from live base + Sep-2026 quality ratio</x:v>
      </x:c>
      <x:c r="K5876" s="67" t="str">
        <x:v>https://www.stonealgo.com/diamond-prices/</x:v>
      </x:c>
      <x:c r="L5876" s="67" t="str">
        <x:v>https://www.pricescope.com/blog/natural-diamond-prices-september-2026</x:v>
      </x:c>
    </x:row>
    <x:row r="5877">
      <x:c r="A5877" t="n">
        <x:v>10</x:v>
      </x:c>
      <x:c r="B5877" t="str">
        <x:v>Oval</x:v>
      </x:c>
      <x:c r="C5877" t="str">
        <x:v>J</x:v>
      </x:c>
      <x:c r="D5877" t="str">
        <x:v>VVS2</x:v>
      </x:c>
      <x:c r="E5877" s="36" t="n">
        <x:v>424760</x:v>
      </x:c>
      <x:c r="F5877" s="36" t="n">
        <x:v>2612</x:v>
      </x:c>
      <x:c r="G5877" s="42" t="n">
        <x:v>0.5602745602745602</x:v>
      </x:c>
      <x:c r="H5877" s="36" t="n">
        <x:f>E5877*G5877</x:f>
        <x:v>237982.22222222222</x:v>
      </x:c>
      <x:c r="I5877" s="36" t="n">
        <x:f>IFERROR(H5877/A5877,0)</x:f>
        <x:v>23798.222222222223</x:v>
      </x:c>
      <x:c r="J5877" s="67" t="str">
        <x:v>Modeled from live base + Sep-2026 quality ratio</x:v>
      </x:c>
      <x:c r="K5877" s="67" t="str">
        <x:v>https://www.stonealgo.com/diamond-prices/</x:v>
      </x:c>
      <x:c r="L5877" s="67" t="str">
        <x:v>https://www.pricescope.com/blog/natural-diamond-prices-september-2026</x:v>
      </x:c>
    </x:row>
    <x:row r="5878">
      <x:c r="A5878" t="n">
        <x:v>10</x:v>
      </x:c>
      <x:c r="B5878" t="str">
        <x:v>Oval</x:v>
      </x:c>
      <x:c r="C5878" t="str">
        <x:v>J</x:v>
      </x:c>
      <x:c r="D5878" t="str">
        <x:v>VS1</x:v>
      </x:c>
      <x:c r="E5878" s="36" t="n">
        <x:v>424760</x:v>
      </x:c>
      <x:c r="F5878" s="36" t="n">
        <x:v>3002</x:v>
      </x:c>
      <x:c r="G5878" s="42" t="n">
        <x:v>0.6439296439296439</x:v>
      </x:c>
      <x:c r="H5878" s="36" t="n">
        <x:f>E5878*G5878</x:f>
        <x:v>273515.55555555556</x:v>
      </x:c>
      <x:c r="I5878" s="36" t="n">
        <x:f>IFERROR(H5878/A5878,0)</x:f>
        <x:v>27351.555555555555</x:v>
      </x:c>
      <x:c r="J5878" s="67" t="str">
        <x:v>Modeled from live base + Sep-2026 quality ratio</x:v>
      </x:c>
      <x:c r="K5878" s="67" t="str">
        <x:v>https://www.stonealgo.com/diamond-prices/</x:v>
      </x:c>
      <x:c r="L5878" s="67" t="str">
        <x:v>https://www.pricescope.com/blog/natural-diamond-prices-september-2026</x:v>
      </x:c>
    </x:row>
    <x:row r="5879">
      <x:c r="A5879" t="n">
        <x:v>10</x:v>
      </x:c>
      <x:c r="B5879" t="str">
        <x:v>Oval</x:v>
      </x:c>
      <x:c r="C5879" t="str">
        <x:v>J</x:v>
      </x:c>
      <x:c r="D5879" t="str">
        <x:v>VS2</x:v>
      </x:c>
      <x:c r="E5879" s="36" t="n">
        <x:v>424760</x:v>
      </x:c>
      <x:c r="F5879" s="36" t="n">
        <x:v>2559</x:v>
      </x:c>
      <x:c r="G5879" s="42" t="n">
        <x:v>0.5489060489060489</x:v>
      </x:c>
      <x:c r="H5879" s="36" t="n">
        <x:f>E5879*G5879</x:f>
        <x:v>233153.3333333333</x:v>
      </x:c>
      <x:c r="I5879" s="36" t="n">
        <x:f>IFERROR(H5879/A5879,0)</x:f>
        <x:v>23315.333333333332</x:v>
      </x:c>
      <x:c r="J5879" s="67" t="str">
        <x:v>Modeled from live base + Sep-2026 quality ratio</x:v>
      </x:c>
      <x:c r="K5879" s="67" t="str">
        <x:v>https://www.stonealgo.com/diamond-prices/</x:v>
      </x:c>
      <x:c r="L5879" s="67" t="str">
        <x:v>https://www.pricescope.com/blog/natural-diamond-prices-september-2026</x:v>
      </x:c>
    </x:row>
    <x:row r="5880">
      <x:c r="A5880" t="n">
        <x:v>10</x:v>
      </x:c>
      <x:c r="B5880" t="str">
        <x:v>Oval</x:v>
      </x:c>
      <x:c r="C5880" t="str">
        <x:v>J</x:v>
      </x:c>
      <x:c r="D5880" t="str">
        <x:v>SI1</x:v>
      </x:c>
      <x:c r="E5880" s="36" t="n">
        <x:v>424760</x:v>
      </x:c>
      <x:c r="F5880" s="36" t="n">
        <x:v>2195</x:v>
      </x:c>
      <x:c r="G5880" s="42" t="n">
        <x:v>0.47082797082797084</x:v>
      </x:c>
      <x:c r="H5880" s="36" t="n">
        <x:f>E5880*G5880</x:f>
        <x:v>199988.8888888889</x:v>
      </x:c>
      <x:c r="I5880" s="36" t="n">
        <x:f>IFERROR(H5880/A5880,0)</x:f>
        <x:v>19998.88888888889</x:v>
      </x:c>
      <x:c r="J5880" s="67" t="str">
        <x:v>Modeled from live base + Sep-2026 quality ratio</x:v>
      </x:c>
      <x:c r="K5880" s="67" t="str">
        <x:v>https://www.stonealgo.com/diamond-prices/</x:v>
      </x:c>
      <x:c r="L5880" s="67" t="str">
        <x:v>https://www.pricescope.com/blog/natural-diamond-prices-september-2026</x:v>
      </x:c>
    </x:row>
    <x:row r="5881">
      <x:c r="A5881" t="n">
        <x:v>10</x:v>
      </x:c>
      <x:c r="B5881" t="str">
        <x:v>Oval</x:v>
      </x:c>
      <x:c r="C5881" t="str">
        <x:v>J</x:v>
      </x:c>
      <x:c r="D5881" t="str">
        <x:v>SI2</x:v>
      </x:c>
      <x:c r="E5881" s="36" t="n">
        <x:v>424760</x:v>
      </x:c>
      <x:c r="F5881" s="36" t="n">
        <x:v>2079</x:v>
      </x:c>
      <x:c r="G5881" s="42" t="n">
        <x:v>0.44594594594594594</x:v>
      </x:c>
      <x:c r="H5881" s="36" t="n">
        <x:f>E5881*G5881</x:f>
        <x:v>189420</x:v>
      </x:c>
      <x:c r="I5881" s="36" t="n">
        <x:f>IFERROR(H5881/A5881,0)</x:f>
        <x:v>18942</x:v>
      </x:c>
      <x:c r="J5881" s="67" t="str">
        <x:v>Modeled from live base + Sep-2026 quality ratio</x:v>
      </x:c>
      <x:c r="K5881" s="67" t="str">
        <x:v>https://www.stonealgo.com/diamond-prices/</x:v>
      </x:c>
      <x:c r="L5881" s="67" t="str">
        <x:v>https://www.pricescope.com/blog/natural-diamond-prices-september-2026</x:v>
      </x:c>
    </x:row>
    <x:row r="5882">
      <x:c r="A5882" t="n">
        <x:v>10</x:v>
      </x:c>
      <x:c r="B5882" t="str">
        <x:v>Oval</x:v>
      </x:c>
      <x:c r="C5882" t="str">
        <x:v>K</x:v>
      </x:c>
      <x:c r="D5882" t="str">
        <x:v>FL</x:v>
      </x:c>
      <x:c r="E5882" s="36" t="n">
        <x:v>424760</x:v>
      </x:c>
      <x:c r="F5882" s="36" t="n">
        <x:v>2858</x:v>
      </x:c>
      <x:c r="G5882" s="42" t="n">
        <x:v>0.6130416130416131</x:v>
      </x:c>
      <x:c r="H5882" s="36" t="n">
        <x:f>E5882*G5882</x:f>
        <x:v>260395.55555555556</x:v>
      </x:c>
      <x:c r="I5882" s="36" t="n">
        <x:f>IFERROR(H5882/A5882,0)</x:f>
        <x:v>26039.555555555555</x:v>
      </x:c>
      <x:c r="J5882" s="67" t="str">
        <x:v>Modeled from live base + Sep-2026 quality ratio; K/FL quality cell modeled</x:v>
      </x:c>
      <x:c r="K5882" s="67" t="str">
        <x:v>https://www.stonealgo.com/diamond-prices/</x:v>
      </x:c>
      <x:c r="L5882" s="67" t="str">
        <x:v>https://www.pricescope.com/blog/natural-diamond-prices-september-2026</x:v>
      </x:c>
    </x:row>
    <x:row r="5883">
      <x:c r="A5883" t="n">
        <x:v>10</x:v>
      </x:c>
      <x:c r="B5883" t="str">
        <x:v>Oval</x:v>
      </x:c>
      <x:c r="C5883" t="str">
        <x:v>K</x:v>
      </x:c>
      <x:c r="D5883" t="str">
        <x:v>IF</x:v>
      </x:c>
      <x:c r="E5883" s="36" t="n">
        <x:v>424760</x:v>
      </x:c>
      <x:c r="F5883" s="36" t="n">
        <x:v>2743</x:v>
      </x:c>
      <x:c r="G5883" s="42" t="n">
        <x:v>0.5883740883740883</x:v>
      </x:c>
      <x:c r="H5883" s="36" t="n">
        <x:f>E5883*G5883</x:f>
        <x:v>249917.77777777775</x:v>
      </x:c>
      <x:c r="I5883" s="36" t="n">
        <x:f>IFERROR(H5883/A5883,0)</x:f>
        <x:v>24991.777777777774</x:v>
      </x:c>
      <x:c r="J5883" s="67" t="str">
        <x:v>Modeled from live base + Sep-2026 quality ratio</x:v>
      </x:c>
      <x:c r="K5883" s="67" t="str">
        <x:v>https://www.stonealgo.com/diamond-prices/</x:v>
      </x:c>
      <x:c r="L5883" s="67" t="str">
        <x:v>https://www.pricescope.com/blog/natural-diamond-prices-september-2026</x:v>
      </x:c>
    </x:row>
    <x:row r="5884">
      <x:c r="A5884" t="n">
        <x:v>10</x:v>
      </x:c>
      <x:c r="B5884" t="str">
        <x:v>Oval</x:v>
      </x:c>
      <x:c r="C5884" t="str">
        <x:v>K</x:v>
      </x:c>
      <x:c r="D5884" t="str">
        <x:v>VVS1</x:v>
      </x:c>
      <x:c r="E5884" s="36" t="n">
        <x:v>424760</x:v>
      </x:c>
      <x:c r="F5884" s="36" t="n">
        <x:v>2529</x:v>
      </x:c>
      <x:c r="G5884" s="42" t="n">
        <x:v>0.5424710424710425</x:v>
      </x:c>
      <x:c r="H5884" s="36" t="n">
        <x:f>E5884*G5884</x:f>
        <x:v>230420</x:v>
      </x:c>
      <x:c r="I5884" s="36" t="n">
        <x:f>IFERROR(H5884/A5884,0)</x:f>
        <x:v>23042</x:v>
      </x:c>
      <x:c r="J5884" s="67" t="str">
        <x:v>Modeled from live base + Sep-2026 quality ratio</x:v>
      </x:c>
      <x:c r="K5884" s="67" t="str">
        <x:v>https://www.stonealgo.com/diamond-prices/</x:v>
      </x:c>
      <x:c r="L5884" s="67" t="str">
        <x:v>https://www.pricescope.com/blog/natural-diamond-prices-september-2026</x:v>
      </x:c>
    </x:row>
    <x:row r="5885">
      <x:c r="A5885" t="n">
        <x:v>10</x:v>
      </x:c>
      <x:c r="B5885" t="str">
        <x:v>Oval</x:v>
      </x:c>
      <x:c r="C5885" t="str">
        <x:v>K</x:v>
      </x:c>
      <x:c r="D5885" t="str">
        <x:v>VVS2</x:v>
      </x:c>
      <x:c r="E5885" s="36" t="n">
        <x:v>424760</x:v>
      </x:c>
      <x:c r="F5885" s="36" t="n">
        <x:v>2374</x:v>
      </x:c>
      <x:c r="G5885" s="42" t="n">
        <x:v>0.5092235092235092</x:v>
      </x:c>
      <x:c r="H5885" s="36" t="n">
        <x:f>E5885*G5885</x:f>
        <x:v>216297.77777777778</x:v>
      </x:c>
      <x:c r="I5885" s="36" t="n">
        <x:f>IFERROR(H5885/A5885,0)</x:f>
        <x:v>21629.777777777777</x:v>
      </x:c>
      <x:c r="J5885" s="67" t="str">
        <x:v>Modeled from live base + Sep-2026 quality ratio</x:v>
      </x:c>
      <x:c r="K5885" s="67" t="str">
        <x:v>https://www.stonealgo.com/diamond-prices/</x:v>
      </x:c>
      <x:c r="L5885" s="67" t="str">
        <x:v>https://www.pricescope.com/blog/natural-diamond-prices-september-2026</x:v>
      </x:c>
    </x:row>
    <x:row r="5886">
      <x:c r="A5886" t="n">
        <x:v>10</x:v>
      </x:c>
      <x:c r="B5886" t="str">
        <x:v>Oval</x:v>
      </x:c>
      <x:c r="C5886" t="str">
        <x:v>K</x:v>
      </x:c>
      <x:c r="D5886" t="str">
        <x:v>VS1</x:v>
      </x:c>
      <x:c r="E5886" s="36" t="n">
        <x:v>424760</x:v>
      </x:c>
      <x:c r="F5886" s="36" t="n">
        <x:v>2223</x:v>
      </x:c>
      <x:c r="G5886" s="42" t="n">
        <x:v>0.4768339768339768</x:v>
      </x:c>
      <x:c r="H5886" s="36" t="n">
        <x:f>E5886*G5886</x:f>
        <x:v>202540</x:v>
      </x:c>
      <x:c r="I5886" s="36" t="n">
        <x:f>IFERROR(H5886/A5886,0)</x:f>
        <x:v>20254</x:v>
      </x:c>
      <x:c r="J5886" s="67" t="str">
        <x:v>Modeled from live base + Sep-2026 quality ratio</x:v>
      </x:c>
      <x:c r="K5886" s="67" t="str">
        <x:v>https://www.stonealgo.com/diamond-prices/</x:v>
      </x:c>
      <x:c r="L5886" s="67" t="str">
        <x:v>https://www.pricescope.com/blog/natural-diamond-prices-september-2026</x:v>
      </x:c>
    </x:row>
    <x:row r="5887">
      <x:c r="A5887" t="n">
        <x:v>10</x:v>
      </x:c>
      <x:c r="B5887" t="str">
        <x:v>Oval</x:v>
      </x:c>
      <x:c r="C5887" t="str">
        <x:v>K</x:v>
      </x:c>
      <x:c r="D5887" t="str">
        <x:v>VS2</x:v>
      </x:c>
      <x:c r="E5887" s="36" t="n">
        <x:v>424760</x:v>
      </x:c>
      <x:c r="F5887" s="36" t="n">
        <x:v>2098</x:v>
      </x:c>
      <x:c r="G5887" s="42" t="n">
        <x:v>0.45002145002145</x:v>
      </x:c>
      <x:c r="H5887" s="36" t="n">
        <x:f>E5887*G5887</x:f>
        <x:v>191151.1111111111</x:v>
      </x:c>
      <x:c r="I5887" s="36" t="n">
        <x:f>IFERROR(H5887/A5887,0)</x:f>
        <x:v>19115.11111111111</x:v>
      </x:c>
      <x:c r="J5887" s="67" t="str">
        <x:v>Modeled from live base + Sep-2026 quality ratio</x:v>
      </x:c>
      <x:c r="K5887" s="67" t="str">
        <x:v>https://www.stonealgo.com/diamond-prices/</x:v>
      </x:c>
      <x:c r="L5887" s="67" t="str">
        <x:v>https://www.pricescope.com/blog/natural-diamond-prices-september-2026</x:v>
      </x:c>
    </x:row>
    <x:row r="5888">
      <x:c r="A5888" t="n">
        <x:v>10</x:v>
      </x:c>
      <x:c r="B5888" t="str">
        <x:v>Oval</x:v>
      </x:c>
      <x:c r="C5888" t="str">
        <x:v>K</x:v>
      </x:c>
      <x:c r="D5888" t="str">
        <x:v>SI1</x:v>
      </x:c>
      <x:c r="E5888" s="36" t="n">
        <x:v>424760</x:v>
      </x:c>
      <x:c r="F5888" s="36" t="n">
        <x:v>1922</x:v>
      </x:c>
      <x:c r="G5888" s="42" t="n">
        <x:v>0.41226941226941227</x:v>
      </x:c>
      <x:c r="H5888" s="36" t="n">
        <x:f>E5888*G5888</x:f>
        <x:v>175115.55555555556</x:v>
      </x:c>
      <x:c r="I5888" s="36" t="n">
        <x:f>IFERROR(H5888/A5888,0)</x:f>
        <x:v>17511.555555555555</x:v>
      </x:c>
      <x:c r="J5888" s="67" t="str">
        <x:v>Modeled from live base + Sep-2026 quality ratio</x:v>
      </x:c>
      <x:c r="K5888" s="67" t="str">
        <x:v>https://www.stonealgo.com/diamond-prices/</x:v>
      </x:c>
      <x:c r="L5888" s="67" t="str">
        <x:v>https://www.pricescope.com/blog/natural-diamond-prices-september-2026</x:v>
      </x:c>
    </x:row>
    <x:row r="5889">
      <x:c r="A5889" t="n">
        <x:v>10</x:v>
      </x:c>
      <x:c r="B5889" t="str">
        <x:v>Oval</x:v>
      </x:c>
      <x:c r="C5889" t="str">
        <x:v>K</x:v>
      </x:c>
      <x:c r="D5889" t="str">
        <x:v>SI2</x:v>
      </x:c>
      <x:c r="E5889" s="36" t="n">
        <x:v>424760</x:v>
      </x:c>
      <x:c r="F5889" s="36" t="n">
        <x:v>1764</x:v>
      </x:c>
      <x:c r="G5889" s="42" t="n">
        <x:v>0.3783783783783784</x:v>
      </x:c>
      <x:c r="H5889" s="36" t="n">
        <x:f>E5889*G5889</x:f>
        <x:v>160720</x:v>
      </x:c>
      <x:c r="I5889" s="36" t="n">
        <x:f>IFERROR(H5889/A5889,0)</x:f>
        <x:v>16072</x:v>
      </x:c>
      <x:c r="J5889" s="67" t="str">
        <x:v>Modeled from live base + Sep-2026 quality ratio</x:v>
      </x:c>
      <x:c r="K5889" s="67" t="str">
        <x:v>https://www.stonealgo.com/diamond-prices/</x:v>
      </x:c>
      <x:c r="L5889" s="67" t="str">
        <x:v>https://www.pricescope.com/blog/natural-diamond-prices-september-2026</x:v>
      </x:c>
    </x:row>
    <x:row r="5890">
      <x:c r="A5890" t="n">
        <x:v>10</x:v>
      </x:c>
      <x:c r="B5890" t="str">
        <x:v>Princess</x:v>
      </x:c>
      <x:c r="C5890" t="str">
        <x:v>D</x:v>
      </x:c>
      <x:c r="D5890" t="str">
        <x:v>FL</x:v>
      </x:c>
      <x:c r="E5890" s="36" t="n">
        <x:v>343000</x:v>
      </x:c>
      <x:c r="F5890" s="36" t="n">
        <x:v>12665</x:v>
      </x:c>
      <x:c r="G5890" s="42" t="n">
        <x:v>2.7166452166452166</x:v>
      </x:c>
      <x:c r="H5890" s="36" t="n">
        <x:f>E5890*G5890</x:f>
        <x:v>931809.3093093093</x:v>
      </x:c>
      <x:c r="I5890" s="36" t="n">
        <x:f>IFERROR(H5890/A5890,0)</x:f>
        <x:v>93180.93093093093</x:v>
      </x:c>
      <x:c r="J5890" s="67" t="str">
        <x:v>Modeled from live base + Sep-2026 quality ratio</x:v>
      </x:c>
      <x:c r="K5890" s="67" t="str">
        <x:v>https://www.stonealgo.com/diamond-prices/</x:v>
      </x:c>
      <x:c r="L5890" s="67" t="str">
        <x:v>https://www.pricescope.com/blog/natural-diamond-prices-september-2026</x:v>
      </x:c>
    </x:row>
    <x:row r="5891">
      <x:c r="A5891" t="n">
        <x:v>10</x:v>
      </x:c>
      <x:c r="B5891" t="str">
        <x:v>Princess</x:v>
      </x:c>
      <x:c r="C5891" t="str">
        <x:v>D</x:v>
      </x:c>
      <x:c r="D5891" t="str">
        <x:v>IF</x:v>
      </x:c>
      <x:c r="E5891" s="36" t="n">
        <x:v>343000</x:v>
      </x:c>
      <x:c r="F5891" s="36" t="n">
        <x:v>13240</x:v>
      </x:c>
      <x:c r="G5891" s="42" t="n">
        <x:v>2.83998283998284</x:v>
      </x:c>
      <x:c r="H5891" s="36" t="n">
        <x:f>E5891*G5891</x:f>
        <x:v>974114.1141141142</x:v>
      </x:c>
      <x:c r="I5891" s="36" t="n">
        <x:f>IFERROR(H5891/A5891,0)</x:f>
        <x:v>97411.41141141142</x:v>
      </x:c>
      <x:c r="J5891" s="67" t="str">
        <x:v>Modeled from live base + Sep-2026 quality ratio</x:v>
      </x:c>
      <x:c r="K5891" s="67" t="str">
        <x:v>https://www.stonealgo.com/diamond-prices/</x:v>
      </x:c>
      <x:c r="L5891" s="67" t="str">
        <x:v>https://www.pricescope.com/blog/natural-diamond-prices-september-2026</x:v>
      </x:c>
    </x:row>
    <x:row r="5892">
      <x:c r="A5892" t="n">
        <x:v>10</x:v>
      </x:c>
      <x:c r="B5892" t="str">
        <x:v>Princess</x:v>
      </x:c>
      <x:c r="C5892" t="str">
        <x:v>D</x:v>
      </x:c>
      <x:c r="D5892" t="str">
        <x:v>VVS1</x:v>
      </x:c>
      <x:c r="E5892" s="36" t="n">
        <x:v>343000</x:v>
      </x:c>
      <x:c r="F5892" s="36" t="n">
        <x:v>9555</x:v>
      </x:c>
      <x:c r="G5892" s="42" t="n">
        <x:v>2.0495495495495497</x:v>
      </x:c>
      <x:c r="H5892" s="36" t="n">
        <x:f>E5892*G5892</x:f>
        <x:v>702995.4954954955</x:v>
      </x:c>
      <x:c r="I5892" s="36" t="n">
        <x:f>IFERROR(H5892/A5892,0)</x:f>
        <x:v>70299.54954954956</x:v>
      </x:c>
      <x:c r="J5892" s="67" t="str">
        <x:v>Modeled from live base + Sep-2026 quality ratio</x:v>
      </x:c>
      <x:c r="K5892" s="67" t="str">
        <x:v>https://www.stonealgo.com/diamond-prices/</x:v>
      </x:c>
      <x:c r="L5892" s="67" t="str">
        <x:v>https://www.pricescope.com/blog/natural-diamond-prices-september-2026</x:v>
      </x:c>
    </x:row>
    <x:row r="5893">
      <x:c r="A5893" t="n">
        <x:v>10</x:v>
      </x:c>
      <x:c r="B5893" t="str">
        <x:v>Princess</x:v>
      </x:c>
      <x:c r="C5893" t="str">
        <x:v>D</x:v>
      </x:c>
      <x:c r="D5893" t="str">
        <x:v>VVS2</x:v>
      </x:c>
      <x:c r="E5893" s="36" t="n">
        <x:v>343000</x:v>
      </x:c>
      <x:c r="F5893" s="36" t="n">
        <x:v>6660</x:v>
      </x:c>
      <x:c r="G5893" s="42" t="n">
        <x:v>1.4285714285714286</x:v>
      </x:c>
      <x:c r="H5893" s="36" t="n">
        <x:f>E5893*G5893</x:f>
        <x:v>490000</x:v>
      </x:c>
      <x:c r="I5893" s="36" t="n">
        <x:f>IFERROR(H5893/A5893,0)</x:f>
        <x:v>49000</x:v>
      </x:c>
      <x:c r="J5893" s="67" t="str">
        <x:v>Modeled from live base + Sep-2026 quality ratio</x:v>
      </x:c>
      <x:c r="K5893" s="67" t="str">
        <x:v>https://www.stonealgo.com/diamond-prices/</x:v>
      </x:c>
      <x:c r="L5893" s="67" t="str">
        <x:v>https://www.pricescope.com/blog/natural-diamond-prices-september-2026</x:v>
      </x:c>
    </x:row>
    <x:row r="5894">
      <x:c r="A5894" t="n">
        <x:v>10</x:v>
      </x:c>
      <x:c r="B5894" t="str">
        <x:v>Princess</x:v>
      </x:c>
      <x:c r="C5894" t="str">
        <x:v>D</x:v>
      </x:c>
      <x:c r="D5894" t="str">
        <x:v>VS1</x:v>
      </x:c>
      <x:c r="E5894" s="36" t="n">
        <x:v>343000</x:v>
      </x:c>
      <x:c r="F5894" s="36" t="n">
        <x:v>6247</x:v>
      </x:c>
      <x:c r="G5894" s="42" t="n">
        <x:v>1.33998283998284</x:v>
      </x:c>
      <x:c r="H5894" s="36" t="n">
        <x:f>E5894*G5894</x:f>
        <x:v>459614.1141141141</x:v>
      </x:c>
      <x:c r="I5894" s="36" t="n">
        <x:f>IFERROR(H5894/A5894,0)</x:f>
        <x:v>45961.411411411405</x:v>
      </x:c>
      <x:c r="J5894" s="67" t="str">
        <x:v>Modeled from live base + Sep-2026 quality ratio</x:v>
      </x:c>
      <x:c r="K5894" s="67" t="str">
        <x:v>https://www.stonealgo.com/diamond-prices/</x:v>
      </x:c>
      <x:c r="L5894" s="67" t="str">
        <x:v>https://www.pricescope.com/blog/natural-diamond-prices-september-2026</x:v>
      </x:c>
    </x:row>
    <x:row r="5895">
      <x:c r="A5895" t="n">
        <x:v>10</x:v>
      </x:c>
      <x:c r="B5895" t="str">
        <x:v>Princess</x:v>
      </x:c>
      <x:c r="C5895" t="str">
        <x:v>D</x:v>
      </x:c>
      <x:c r="D5895" t="str">
        <x:v>VS2</x:v>
      </x:c>
      <x:c r="E5895" s="36" t="n">
        <x:v>343000</x:v>
      </x:c>
      <x:c r="F5895" s="36" t="n">
        <x:v>5841</x:v>
      </x:c>
      <x:c r="G5895" s="42" t="n">
        <x:v>1.252895752895753</x:v>
      </x:c>
      <x:c r="H5895" s="36" t="n">
        <x:f>E5895*G5895</x:f>
        <x:v>429743.24324324325</x:v>
      </x:c>
      <x:c r="I5895" s="36" t="n">
        <x:f>IFERROR(H5895/A5895,0)</x:f>
        <x:v>42974.32432432433</x:v>
      </x:c>
      <x:c r="J5895" s="67" t="str">
        <x:v>Modeled from live base + Sep-2026 quality ratio</x:v>
      </x:c>
      <x:c r="K5895" s="67" t="str">
        <x:v>https://www.stonealgo.com/diamond-prices/</x:v>
      </x:c>
      <x:c r="L5895" s="67" t="str">
        <x:v>https://www.pricescope.com/blog/natural-diamond-prices-september-2026</x:v>
      </x:c>
    </x:row>
    <x:row r="5896">
      <x:c r="A5896" t="n">
        <x:v>10</x:v>
      </x:c>
      <x:c r="B5896" t="str">
        <x:v>Princess</x:v>
      </x:c>
      <x:c r="C5896" t="str">
        <x:v>D</x:v>
      </x:c>
      <x:c r="D5896" t="str">
        <x:v>SI1</x:v>
      </x:c>
      <x:c r="E5896" s="36" t="n">
        <x:v>343000</x:v>
      </x:c>
      <x:c r="F5896" s="36" t="n">
        <x:v>3762</x:v>
      </x:c>
      <x:c r="G5896" s="42" t="n">
        <x:v>0.806949806949807</x:v>
      </x:c>
      <x:c r="H5896" s="36" t="n">
        <x:f>E5896*G5896</x:f>
        <x:v>276783.7837837838</x:v>
      </x:c>
      <x:c r="I5896" s="36" t="n">
        <x:f>IFERROR(H5896/A5896,0)</x:f>
        <x:v>27678.37837837838</x:v>
      </x:c>
      <x:c r="J5896" s="67" t="str">
        <x:v>Modeled from live base + Sep-2026 quality ratio</x:v>
      </x:c>
      <x:c r="K5896" s="67" t="str">
        <x:v>https://www.stonealgo.com/diamond-prices/</x:v>
      </x:c>
      <x:c r="L5896" s="67" t="str">
        <x:v>https://www.pricescope.com/blog/natural-diamond-prices-september-2026</x:v>
      </x:c>
    </x:row>
    <x:row r="5897">
      <x:c r="A5897" t="n">
        <x:v>10</x:v>
      </x:c>
      <x:c r="B5897" t="str">
        <x:v>Princess</x:v>
      </x:c>
      <x:c r="C5897" t="str">
        <x:v>D</x:v>
      </x:c>
      <x:c r="D5897" t="str">
        <x:v>SI2</x:v>
      </x:c>
      <x:c r="E5897" s="36" t="n">
        <x:v>343000</x:v>
      </x:c>
      <x:c r="F5897" s="36" t="n">
        <x:v>3026</x:v>
      </x:c>
      <x:c r="G5897" s="42" t="n">
        <x:v>0.6490776490776491</x:v>
      </x:c>
      <x:c r="H5897" s="36" t="n">
        <x:f>E5897*G5897</x:f>
        <x:v>222633.63363363364</x:v>
      </x:c>
      <x:c r="I5897" s="36" t="n">
        <x:f>IFERROR(H5897/A5897,0)</x:f>
        <x:v>22263.363363363365</x:v>
      </x:c>
      <x:c r="J5897" s="67" t="str">
        <x:v>Modeled from live base + Sep-2026 quality ratio</x:v>
      </x:c>
      <x:c r="K5897" s="67" t="str">
        <x:v>https://www.stonealgo.com/diamond-prices/</x:v>
      </x:c>
      <x:c r="L5897" s="67" t="str">
        <x:v>https://www.pricescope.com/blog/natural-diamond-prices-september-2026</x:v>
      </x:c>
    </x:row>
    <x:row r="5898">
      <x:c r="A5898" t="n">
        <x:v>10</x:v>
      </x:c>
      <x:c r="B5898" t="str">
        <x:v>Princess</x:v>
      </x:c>
      <x:c r="C5898" t="str">
        <x:v>E</x:v>
      </x:c>
      <x:c r="D5898" t="str">
        <x:v>FL</x:v>
      </x:c>
      <x:c r="E5898" s="36" t="n">
        <x:v>343000</x:v>
      </x:c>
      <x:c r="F5898" s="36" t="n">
        <x:v>10072</x:v>
      </x:c>
      <x:c r="G5898" s="42" t="n">
        <x:v>2.1604461604461602</x:v>
      </x:c>
      <x:c r="H5898" s="36" t="n">
        <x:f>E5898*G5898</x:f>
        <x:v>741033.0330330329</x:v>
      </x:c>
      <x:c r="I5898" s="36" t="n">
        <x:f>IFERROR(H5898/A5898,0)</x:f>
        <x:v>74103.30330330328</x:v>
      </x:c>
      <x:c r="J5898" s="67" t="str">
        <x:v>Modeled from live base + Sep-2026 quality ratio</x:v>
      </x:c>
      <x:c r="K5898" s="67" t="str">
        <x:v>https://www.stonealgo.com/diamond-prices/</x:v>
      </x:c>
      <x:c r="L5898" s="67" t="str">
        <x:v>https://www.pricescope.com/blog/natural-diamond-prices-september-2026</x:v>
      </x:c>
    </x:row>
    <x:row r="5899">
      <x:c r="A5899" t="n">
        <x:v>10</x:v>
      </x:c>
      <x:c r="B5899" t="str">
        <x:v>Princess</x:v>
      </x:c>
      <x:c r="C5899" t="str">
        <x:v>E</x:v>
      </x:c>
      <x:c r="D5899" t="str">
        <x:v>IF</x:v>
      </x:c>
      <x:c r="E5899" s="36" t="n">
        <x:v>343000</x:v>
      </x:c>
      <x:c r="F5899" s="36" t="n">
        <x:v>8672</x:v>
      </x:c>
      <x:c r="G5899" s="42" t="n">
        <x:v>1.8601458601458603</x:v>
      </x:c>
      <x:c r="H5899" s="36" t="n">
        <x:f>E5899*G5899</x:f>
        <x:v>638030.0300300301</x:v>
      </x:c>
      <x:c r="I5899" s="36" t="n">
        <x:f>IFERROR(H5899/A5899,0)</x:f>
        <x:v>63803.003003003</x:v>
      </x:c>
      <x:c r="J5899" s="67" t="str">
        <x:v>Modeled from live base + Sep-2026 quality ratio</x:v>
      </x:c>
      <x:c r="K5899" s="67" t="str">
        <x:v>https://www.stonealgo.com/diamond-prices/</x:v>
      </x:c>
      <x:c r="L5899" s="67" t="str">
        <x:v>https://www.pricescope.com/blog/natural-diamond-prices-september-2026</x:v>
      </x:c>
    </x:row>
    <x:row r="5900">
      <x:c r="A5900" t="n">
        <x:v>10</x:v>
      </x:c>
      <x:c r="B5900" t="str">
        <x:v>Princess</x:v>
      </x:c>
      <x:c r="C5900" t="str">
        <x:v>E</x:v>
      </x:c>
      <x:c r="D5900" t="str">
        <x:v>VVS1</x:v>
      </x:c>
      <x:c r="E5900" s="36" t="n">
        <x:v>343000</x:v>
      </x:c>
      <x:c r="F5900" s="36" t="n">
        <x:v>7842</x:v>
      </x:c>
      <x:c r="G5900" s="42" t="n">
        <x:v>1.6821106821106822</x:v>
      </x:c>
      <x:c r="H5900" s="36" t="n">
        <x:f>E5900*G5900</x:f>
        <x:v>576963.963963964</x:v>
      </x:c>
      <x:c r="I5900" s="36" t="n">
        <x:f>IFERROR(H5900/A5900,0)</x:f>
        <x:v>57696.396396396405</x:v>
      </x:c>
      <x:c r="J5900" s="67" t="str">
        <x:v>Modeled from live base + Sep-2026 quality ratio</x:v>
      </x:c>
      <x:c r="K5900" s="67" t="str">
        <x:v>https://www.stonealgo.com/diamond-prices/</x:v>
      </x:c>
      <x:c r="L5900" s="67" t="str">
        <x:v>https://www.pricescope.com/blog/natural-diamond-prices-september-2026</x:v>
      </x:c>
    </x:row>
    <x:row r="5901">
      <x:c r="A5901" t="n">
        <x:v>10</x:v>
      </x:c>
      <x:c r="B5901" t="str">
        <x:v>Princess</x:v>
      </x:c>
      <x:c r="C5901" t="str">
        <x:v>E</x:v>
      </x:c>
      <x:c r="D5901" t="str">
        <x:v>VVS2</x:v>
      </x:c>
      <x:c r="E5901" s="36" t="n">
        <x:v>343000</x:v>
      </x:c>
      <x:c r="F5901" s="36" t="n">
        <x:v>6880</x:v>
      </x:c>
      <x:c r="G5901" s="42" t="n">
        <x:v>1.4757614757614759</x:v>
      </x:c>
      <x:c r="H5901" s="36" t="n">
        <x:f>E5901*G5901</x:f>
        <x:v>506186.1861861862</x:v>
      </x:c>
      <x:c r="I5901" s="36" t="n">
        <x:f>IFERROR(H5901/A5901,0)</x:f>
        <x:v>50618.618618618624</x:v>
      </x:c>
      <x:c r="J5901" s="67" t="str">
        <x:v>Modeled from live base + Sep-2026 quality ratio</x:v>
      </x:c>
      <x:c r="K5901" s="67" t="str">
        <x:v>https://www.stonealgo.com/diamond-prices/</x:v>
      </x:c>
      <x:c r="L5901" s="67" t="str">
        <x:v>https://www.pricescope.com/blog/natural-diamond-prices-september-2026</x:v>
      </x:c>
    </x:row>
    <x:row r="5902">
      <x:c r="A5902" t="n">
        <x:v>10</x:v>
      </x:c>
      <x:c r="B5902" t="str">
        <x:v>Princess</x:v>
      </x:c>
      <x:c r="C5902" t="str">
        <x:v>E</x:v>
      </x:c>
      <x:c r="D5902" t="str">
        <x:v>VS1</x:v>
      </x:c>
      <x:c r="E5902" s="36" t="n">
        <x:v>343000</x:v>
      </x:c>
      <x:c r="F5902" s="36" t="n">
        <x:v>6307</x:v>
      </x:c>
      <x:c r="G5902" s="42" t="n">
        <x:v>1.352852852852853</x:v>
      </x:c>
      <x:c r="H5902" s="36" t="n">
        <x:f>E5902*G5902</x:f>
        <x:v>464028.5285285286</x:v>
      </x:c>
      <x:c r="I5902" s="36" t="n">
        <x:f>IFERROR(H5902/A5902,0)</x:f>
        <x:v>46402.852852852855</x:v>
      </x:c>
      <x:c r="J5902" s="67" t="str">
        <x:v>Modeled from live base + Sep-2026 quality ratio</x:v>
      </x:c>
      <x:c r="K5902" s="67" t="str">
        <x:v>https://www.stonealgo.com/diamond-prices/</x:v>
      </x:c>
      <x:c r="L5902" s="67" t="str">
        <x:v>https://www.pricescope.com/blog/natural-diamond-prices-september-2026</x:v>
      </x:c>
    </x:row>
    <x:row r="5903">
      <x:c r="A5903" t="n">
        <x:v>10</x:v>
      </x:c>
      <x:c r="B5903" t="str">
        <x:v>Princess</x:v>
      </x:c>
      <x:c r="C5903" t="str">
        <x:v>E</x:v>
      </x:c>
      <x:c r="D5903" t="str">
        <x:v>VS2</x:v>
      </x:c>
      <x:c r="E5903" s="36" t="n">
        <x:v>343000</x:v>
      </x:c>
      <x:c r="F5903" s="36" t="n">
        <x:v>5249</x:v>
      </x:c>
      <x:c r="G5903" s="42" t="n">
        <x:v>1.125911625911626</x:v>
      </x:c>
      <x:c r="H5903" s="36" t="n">
        <x:f>E5903*G5903</x:f>
        <x:v>386187.6876876877</x:v>
      </x:c>
      <x:c r="I5903" s="36" t="n">
        <x:f>IFERROR(H5903/A5903,0)</x:f>
        <x:v>38618.76876876877</x:v>
      </x:c>
      <x:c r="J5903" s="67" t="str">
        <x:v>Modeled from live base + Sep-2026 quality ratio</x:v>
      </x:c>
      <x:c r="K5903" s="67" t="str">
        <x:v>https://www.stonealgo.com/diamond-prices/</x:v>
      </x:c>
      <x:c r="L5903" s="67" t="str">
        <x:v>https://www.pricescope.com/blog/natural-diamond-prices-september-2026</x:v>
      </x:c>
    </x:row>
    <x:row r="5904">
      <x:c r="A5904" t="n">
        <x:v>10</x:v>
      </x:c>
      <x:c r="B5904" t="str">
        <x:v>Princess</x:v>
      </x:c>
      <x:c r="C5904" t="str">
        <x:v>E</x:v>
      </x:c>
      <x:c r="D5904" t="str">
        <x:v>SI1</x:v>
      </x:c>
      <x:c r="E5904" s="36" t="n">
        <x:v>343000</x:v>
      </x:c>
      <x:c r="F5904" s="36" t="n">
        <x:v>3551</x:v>
      </x:c>
      <x:c r="G5904" s="42" t="n">
        <x:v>0.7616902616902617</x:v>
      </x:c>
      <x:c r="H5904" s="36" t="n">
        <x:f>E5904*G5904</x:f>
        <x:v>261259.75975975976</x:v>
      </x:c>
      <x:c r="I5904" s="36" t="n">
        <x:f>IFERROR(H5904/A5904,0)</x:f>
        <x:v>26125.975975975976</x:v>
      </x:c>
      <x:c r="J5904" s="67" t="str">
        <x:v>Modeled from live base + Sep-2026 quality ratio</x:v>
      </x:c>
      <x:c r="K5904" s="67" t="str">
        <x:v>https://www.stonealgo.com/diamond-prices/</x:v>
      </x:c>
      <x:c r="L5904" s="67" t="str">
        <x:v>https://www.pricescope.com/blog/natural-diamond-prices-september-2026</x:v>
      </x:c>
    </x:row>
    <x:row r="5905">
      <x:c r="A5905" t="n">
        <x:v>10</x:v>
      </x:c>
      <x:c r="B5905" t="str">
        <x:v>Princess</x:v>
      </x:c>
      <x:c r="C5905" t="str">
        <x:v>E</x:v>
      </x:c>
      <x:c r="D5905" t="str">
        <x:v>SI2</x:v>
      </x:c>
      <x:c r="E5905" s="36" t="n">
        <x:v>343000</x:v>
      </x:c>
      <x:c r="F5905" s="36" t="n">
        <x:v>2993</x:v>
      </x:c>
      <x:c r="G5905" s="42" t="n">
        <x:v>0.641999141999142</x:v>
      </x:c>
      <x:c r="H5905" s="36" t="n">
        <x:f>E5905*G5905</x:f>
        <x:v>220205.7057057057</x:v>
      </x:c>
      <x:c r="I5905" s="36" t="n">
        <x:f>IFERROR(H5905/A5905,0)</x:f>
        <x:v>22020.57057057057</x:v>
      </x:c>
      <x:c r="J5905" s="67" t="str">
        <x:v>Modeled from live base + Sep-2026 quality ratio</x:v>
      </x:c>
      <x:c r="K5905" s="67" t="str">
        <x:v>https://www.stonealgo.com/diamond-prices/</x:v>
      </x:c>
      <x:c r="L5905" s="67" t="str">
        <x:v>https://www.pricescope.com/blog/natural-diamond-prices-september-2026</x:v>
      </x:c>
    </x:row>
    <x:row r="5906">
      <x:c r="A5906" t="n">
        <x:v>10</x:v>
      </x:c>
      <x:c r="B5906" t="str">
        <x:v>Princess</x:v>
      </x:c>
      <x:c r="C5906" t="str">
        <x:v>F</x:v>
      </x:c>
      <x:c r="D5906" t="str">
        <x:v>FL</x:v>
      </x:c>
      <x:c r="E5906" s="36" t="n">
        <x:v>343000</x:v>
      </x:c>
      <x:c r="F5906" s="36" t="n">
        <x:v>6830</x:v>
      </x:c>
      <x:c r="G5906" s="42" t="n">
        <x:v>1.4650364650364651</x:v>
      </x:c>
      <x:c r="H5906" s="36" t="n">
        <x:f>E5906*G5906</x:f>
        <x:v>502507.5075075075</x:v>
      </x:c>
      <x:c r="I5906" s="36" t="n">
        <x:f>IFERROR(H5906/A5906,0)</x:f>
        <x:v>50250.750750750754</x:v>
      </x:c>
      <x:c r="J5906" s="67" t="str">
        <x:v>Modeled from live base + Sep-2026 quality ratio</x:v>
      </x:c>
      <x:c r="K5906" s="67" t="str">
        <x:v>https://www.stonealgo.com/diamond-prices/</x:v>
      </x:c>
      <x:c r="L5906" s="67" t="str">
        <x:v>https://www.pricescope.com/blog/natural-diamond-prices-september-2026</x:v>
      </x:c>
    </x:row>
    <x:row r="5907">
      <x:c r="A5907" t="n">
        <x:v>10</x:v>
      </x:c>
      <x:c r="B5907" t="str">
        <x:v>Princess</x:v>
      </x:c>
      <x:c r="C5907" t="str">
        <x:v>F</x:v>
      </x:c>
      <x:c r="D5907" t="str">
        <x:v>IF</x:v>
      </x:c>
      <x:c r="E5907" s="36" t="n">
        <x:v>343000</x:v>
      </x:c>
      <x:c r="F5907" s="36" t="n">
        <x:v>7302</x:v>
      </x:c>
      <x:c r="G5907" s="42" t="n">
        <x:v>1.5662805662805663</x:v>
      </x:c>
      <x:c r="H5907" s="36" t="n">
        <x:f>E5907*G5907</x:f>
        <x:v>537234.2342342342</x:v>
      </x:c>
      <x:c r="I5907" s="36" t="n">
        <x:f>IFERROR(H5907/A5907,0)</x:f>
        <x:v>53723.42342342342</x:v>
      </x:c>
      <x:c r="J5907" s="67" t="str">
        <x:v>Modeled from live base + Sep-2026 quality ratio</x:v>
      </x:c>
      <x:c r="K5907" s="67" t="str">
        <x:v>https://www.stonealgo.com/diamond-prices/</x:v>
      </x:c>
      <x:c r="L5907" s="67" t="str">
        <x:v>https://www.pricescope.com/blog/natural-diamond-prices-september-2026</x:v>
      </x:c>
    </x:row>
    <x:row r="5908">
      <x:c r="A5908" t="n">
        <x:v>10</x:v>
      </x:c>
      <x:c r="B5908" t="str">
        <x:v>Princess</x:v>
      </x:c>
      <x:c r="C5908" t="str">
        <x:v>F</x:v>
      </x:c>
      <x:c r="D5908" t="str">
        <x:v>VVS1</x:v>
      </x:c>
      <x:c r="E5908" s="36" t="n">
        <x:v>343000</x:v>
      </x:c>
      <x:c r="F5908" s="36" t="n">
        <x:v>7542</x:v>
      </x:c>
      <x:c r="G5908" s="42" t="n">
        <x:v>1.6177606177606179</x:v>
      </x:c>
      <x:c r="H5908" s="36" t="n">
        <x:f>E5908*G5908</x:f>
        <x:v>554891.891891892</x:v>
      </x:c>
      <x:c r="I5908" s="36" t="n">
        <x:f>IFERROR(H5908/A5908,0)</x:f>
        <x:v>55489.189189189194</x:v>
      </x:c>
      <x:c r="J5908" s="67" t="str">
        <x:v>Modeled from live base + Sep-2026 quality ratio</x:v>
      </x:c>
      <x:c r="K5908" s="67" t="str">
        <x:v>https://www.stonealgo.com/diamond-prices/</x:v>
      </x:c>
      <x:c r="L5908" s="67" t="str">
        <x:v>https://www.pricescope.com/blog/natural-diamond-prices-september-2026</x:v>
      </x:c>
    </x:row>
    <x:row r="5909">
      <x:c r="A5909" t="n">
        <x:v>10</x:v>
      </x:c>
      <x:c r="B5909" t="str">
        <x:v>Princess</x:v>
      </x:c>
      <x:c r="C5909" t="str">
        <x:v>F</x:v>
      </x:c>
      <x:c r="D5909" t="str">
        <x:v>VVS2</x:v>
      </x:c>
      <x:c r="E5909" s="36" t="n">
        <x:v>343000</x:v>
      </x:c>
      <x:c r="F5909" s="36" t="n">
        <x:v>6352</x:v>
      </x:c>
      <x:c r="G5909" s="42" t="n">
        <x:v>1.3625053625053625</x:v>
      </x:c>
      <x:c r="H5909" s="36" t="n">
        <x:f>E5909*G5909</x:f>
        <x:v>467339.33933933935</x:v>
      </x:c>
      <x:c r="I5909" s="36" t="n">
        <x:f>IFERROR(H5909/A5909,0)</x:f>
        <x:v>46733.933933933935</x:v>
      </x:c>
      <x:c r="J5909" s="67" t="str">
        <x:v>Modeled from live base + Sep-2026 quality ratio</x:v>
      </x:c>
      <x:c r="K5909" s="67" t="str">
        <x:v>https://www.stonealgo.com/diamond-prices/</x:v>
      </x:c>
      <x:c r="L5909" s="67" t="str">
        <x:v>https://www.pricescope.com/blog/natural-diamond-prices-september-2026</x:v>
      </x:c>
    </x:row>
    <x:row r="5910">
      <x:c r="A5910" t="n">
        <x:v>10</x:v>
      </x:c>
      <x:c r="B5910" t="str">
        <x:v>Princess</x:v>
      </x:c>
      <x:c r="C5910" t="str">
        <x:v>F</x:v>
      </x:c>
      <x:c r="D5910" t="str">
        <x:v>VS1</x:v>
      </x:c>
      <x:c r="E5910" s="36" t="n">
        <x:v>343000</x:v>
      </x:c>
      <x:c r="F5910" s="36" t="n">
        <x:v>5647</x:v>
      </x:c>
      <x:c r="G5910" s="42" t="n">
        <x:v>1.2112827112827114</x:v>
      </x:c>
      <x:c r="H5910" s="36" t="n">
        <x:f>E5910*G5910</x:f>
        <x:v>415469.96996997</x:v>
      </x:c>
      <x:c r="I5910" s="36" t="n">
        <x:f>IFERROR(H5910/A5910,0)</x:f>
        <x:v>41546.996996997</x:v>
      </x:c>
      <x:c r="J5910" s="67" t="str">
        <x:v>Modeled from live base + Sep-2026 quality ratio</x:v>
      </x:c>
      <x:c r="K5910" s="67" t="str">
        <x:v>https://www.stonealgo.com/diamond-prices/</x:v>
      </x:c>
      <x:c r="L5910" s="67" t="str">
        <x:v>https://www.pricescope.com/blog/natural-diamond-prices-september-2026</x:v>
      </x:c>
    </x:row>
    <x:row r="5911">
      <x:c r="A5911" t="n">
        <x:v>10</x:v>
      </x:c>
      <x:c r="B5911" t="str">
        <x:v>Princess</x:v>
      </x:c>
      <x:c r="C5911" t="str">
        <x:v>F</x:v>
      </x:c>
      <x:c r="D5911" t="str">
        <x:v>VS2</x:v>
      </x:c>
      <x:c r="E5911" s="36" t="n">
        <x:v>343000</x:v>
      </x:c>
      <x:c r="F5911" s="36" t="n">
        <x:v>4730</x:v>
      </x:c>
      <x:c r="G5911" s="42" t="n">
        <x:v>1.0145860145860146</x:v>
      </x:c>
      <x:c r="H5911" s="36" t="n">
        <x:f>E5911*G5911</x:f>
        <x:v>348003.003003003</x:v>
      </x:c>
      <x:c r="I5911" s="36" t="n">
        <x:f>IFERROR(H5911/A5911,0)</x:f>
        <x:v>34800.3003003003</x:v>
      </x:c>
      <x:c r="J5911" s="67" t="str">
        <x:v>Modeled from live base + Sep-2026 quality ratio</x:v>
      </x:c>
      <x:c r="K5911" s="67" t="str">
        <x:v>https://www.stonealgo.com/diamond-prices/</x:v>
      </x:c>
      <x:c r="L5911" s="67" t="str">
        <x:v>https://www.pricescope.com/blog/natural-diamond-prices-september-2026</x:v>
      </x:c>
    </x:row>
    <x:row r="5912">
      <x:c r="A5912" t="n">
        <x:v>10</x:v>
      </x:c>
      <x:c r="B5912" t="str">
        <x:v>Princess</x:v>
      </x:c>
      <x:c r="C5912" t="str">
        <x:v>F</x:v>
      </x:c>
      <x:c r="D5912" t="str">
        <x:v>SI1</x:v>
      </x:c>
      <x:c r="E5912" s="36" t="n">
        <x:v>343000</x:v>
      </x:c>
      <x:c r="F5912" s="36" t="n">
        <x:v>3331</x:v>
      </x:c>
      <x:c r="G5912" s="42" t="n">
        <x:v>0.7145002145002145</x:v>
      </x:c>
      <x:c r="H5912" s="36" t="n">
        <x:f>E5912*G5912</x:f>
        <x:v>245073.57357357358</x:v>
      </x:c>
      <x:c r="I5912" s="36" t="n">
        <x:f>IFERROR(H5912/A5912,0)</x:f>
        <x:v>24507.35735735736</x:v>
      </x:c>
      <x:c r="J5912" s="67" t="str">
        <x:v>Modeled from live base + Sep-2026 quality ratio</x:v>
      </x:c>
      <x:c r="K5912" s="67" t="str">
        <x:v>https://www.stonealgo.com/diamond-prices/</x:v>
      </x:c>
      <x:c r="L5912" s="67" t="str">
        <x:v>https://www.pricescope.com/blog/natural-diamond-prices-september-2026</x:v>
      </x:c>
    </x:row>
    <x:row r="5913">
      <x:c r="A5913" t="n">
        <x:v>10</x:v>
      </x:c>
      <x:c r="B5913" t="str">
        <x:v>Princess</x:v>
      </x:c>
      <x:c r="C5913" t="str">
        <x:v>F</x:v>
      </x:c>
      <x:c r="D5913" t="str">
        <x:v>SI2</x:v>
      </x:c>
      <x:c r="E5913" s="36" t="n">
        <x:v>343000</x:v>
      </x:c>
      <x:c r="F5913" s="36" t="n">
        <x:v>2733</x:v>
      </x:c>
      <x:c r="G5913" s="42" t="n">
        <x:v>0.5862290862290862</x:v>
      </x:c>
      <x:c r="H5913" s="36" t="n">
        <x:f>E5913*G5913</x:f>
        <x:v>201076.57657657657</x:v>
      </x:c>
      <x:c r="I5913" s="36" t="n">
        <x:f>IFERROR(H5913/A5913,0)</x:f>
        <x:v>20107.657657657655</x:v>
      </x:c>
      <x:c r="J5913" s="67" t="str">
        <x:v>Modeled from live base + Sep-2026 quality ratio</x:v>
      </x:c>
      <x:c r="K5913" s="67" t="str">
        <x:v>https://www.stonealgo.com/diamond-prices/</x:v>
      </x:c>
      <x:c r="L5913" s="67" t="str">
        <x:v>https://www.pricescope.com/blog/natural-diamond-prices-september-2026</x:v>
      </x:c>
    </x:row>
    <x:row r="5914">
      <x:c r="A5914" t="n">
        <x:v>10</x:v>
      </x:c>
      <x:c r="B5914" t="str">
        <x:v>Princess</x:v>
      </x:c>
      <x:c r="C5914" t="str">
        <x:v>G</x:v>
      </x:c>
      <x:c r="D5914" t="str">
        <x:v>FL</x:v>
      </x:c>
      <x:c r="E5914" s="36" t="n">
        <x:v>343000</x:v>
      </x:c>
      <x:c r="F5914" s="36" t="n">
        <x:v>5905</x:v>
      </x:c>
      <x:c r="G5914" s="42" t="n">
        <x:v>1.2666237666237665</x:v>
      </x:c>
      <x:c r="H5914" s="36" t="n">
        <x:f>E5914*G5914</x:f>
        <x:v>434451.9519519519</x:v>
      </x:c>
      <x:c r="I5914" s="36" t="n">
        <x:f>IFERROR(H5914/A5914,0)</x:f>
        <x:v>43445.19519519519</x:v>
      </x:c>
      <x:c r="J5914" s="67" t="str">
        <x:v>Modeled from live base + Sep-2026 quality ratio</x:v>
      </x:c>
      <x:c r="K5914" s="67" t="str">
        <x:v>https://www.stonealgo.com/diamond-prices/</x:v>
      </x:c>
      <x:c r="L5914" s="67" t="str">
        <x:v>https://www.pricescope.com/blog/natural-diamond-prices-september-2026</x:v>
      </x:c>
    </x:row>
    <x:row r="5915">
      <x:c r="A5915" t="n">
        <x:v>10</x:v>
      </x:c>
      <x:c r="B5915" t="str">
        <x:v>Princess</x:v>
      </x:c>
      <x:c r="C5915" t="str">
        <x:v>G</x:v>
      </x:c>
      <x:c r="D5915" t="str">
        <x:v>IF</x:v>
      </x:c>
      <x:c r="E5915" s="36" t="n">
        <x:v>343000</x:v>
      </x:c>
      <x:c r="F5915" s="36" t="n">
        <x:v>5601</x:v>
      </x:c>
      <x:c r="G5915" s="42" t="n">
        <x:v>1.2014157014157014</x:v>
      </x:c>
      <x:c r="H5915" s="36" t="n">
        <x:f>E5915*G5915</x:f>
        <x:v>412085.58558558556</x:v>
      </x:c>
      <x:c r="I5915" s="36" t="n">
        <x:f>IFERROR(H5915/A5915,0)</x:f>
        <x:v>41208.55855855856</x:v>
      </x:c>
      <x:c r="J5915" s="67" t="str">
        <x:v>Modeled from live base + Sep-2026 quality ratio</x:v>
      </x:c>
      <x:c r="K5915" s="67" t="str">
        <x:v>https://www.stonealgo.com/diamond-prices/</x:v>
      </x:c>
      <x:c r="L5915" s="67" t="str">
        <x:v>https://www.pricescope.com/blog/natural-diamond-prices-september-2026</x:v>
      </x:c>
    </x:row>
    <x:row r="5916">
      <x:c r="A5916" t="n">
        <x:v>10</x:v>
      </x:c>
      <x:c r="B5916" t="str">
        <x:v>Princess</x:v>
      </x:c>
      <x:c r="C5916" t="str">
        <x:v>G</x:v>
      </x:c>
      <x:c r="D5916" t="str">
        <x:v>VVS1</x:v>
      </x:c>
      <x:c r="E5916" s="36" t="n">
        <x:v>343000</x:v>
      </x:c>
      <x:c r="F5916" s="36" t="n">
        <x:v>5124</x:v>
      </x:c>
      <x:c r="G5916" s="42" t="n">
        <x:v>1.0990990990990992</x:v>
      </x:c>
      <x:c r="H5916" s="36" t="n">
        <x:f>E5916*G5916</x:f>
        <x:v>376990.990990991</x:v>
      </x:c>
      <x:c r="I5916" s="36" t="n">
        <x:f>IFERROR(H5916/A5916,0)</x:f>
        <x:v>37699.0990990991</x:v>
      </x:c>
      <x:c r="J5916" s="67" t="str">
        <x:v>Modeled from live base + Sep-2026 quality ratio</x:v>
      </x:c>
      <x:c r="K5916" s="67" t="str">
        <x:v>https://www.stonealgo.com/diamond-prices/</x:v>
      </x:c>
      <x:c r="L5916" s="67" t="str">
        <x:v>https://www.pricescope.com/blog/natural-diamond-prices-september-2026</x:v>
      </x:c>
    </x:row>
    <x:row r="5917">
      <x:c r="A5917" t="n">
        <x:v>10</x:v>
      </x:c>
      <x:c r="B5917" t="str">
        <x:v>Princess</x:v>
      </x:c>
      <x:c r="C5917" t="str">
        <x:v>G</x:v>
      </x:c>
      <x:c r="D5917" t="str">
        <x:v>VVS2</x:v>
      </x:c>
      <x:c r="E5917" s="36" t="n">
        <x:v>343000</x:v>
      </x:c>
      <x:c r="F5917" s="36" t="n">
        <x:v>4962</x:v>
      </x:c>
      <x:c r="G5917" s="42" t="n">
        <x:v>1.0643500643500643</x:v>
      </x:c>
      <x:c r="H5917" s="36" t="n">
        <x:f>E5917*G5917</x:f>
        <x:v>365072.0720720721</x:v>
      </x:c>
      <x:c r="I5917" s="36" t="n">
        <x:f>IFERROR(H5917/A5917,0)</x:f>
        <x:v>36507.207207207204</x:v>
      </x:c>
      <x:c r="J5917" s="67" t="str">
        <x:v>Modeled from live base + Sep-2026 quality ratio</x:v>
      </x:c>
      <x:c r="K5917" s="67" t="str">
        <x:v>https://www.stonealgo.com/diamond-prices/</x:v>
      </x:c>
      <x:c r="L5917" s="67" t="str">
        <x:v>https://www.pricescope.com/blog/natural-diamond-prices-september-2026</x:v>
      </x:c>
    </x:row>
    <x:row r="5918">
      <x:c r="A5918" t="n">
        <x:v>10</x:v>
      </x:c>
      <x:c r="B5918" t="str">
        <x:v>Princess</x:v>
      </x:c>
      <x:c r="C5918" t="str">
        <x:v>G</x:v>
      </x:c>
      <x:c r="D5918" t="str">
        <x:v>VS1</x:v>
      </x:c>
      <x:c r="E5918" s="36" t="n">
        <x:v>343000</x:v>
      </x:c>
      <x:c r="F5918" s="36" t="n">
        <x:v>4615</x:v>
      </x:c>
      <x:c r="G5918" s="42" t="n">
        <x:v>0.98991848991849</x:v>
      </x:c>
      <x:c r="H5918" s="36" t="n">
        <x:f>E5918*G5918</x:f>
        <x:v>339542.04204204207</x:v>
      </x:c>
      <x:c r="I5918" s="36" t="n">
        <x:f>IFERROR(H5918/A5918,0)</x:f>
        <x:v>33954.20420420421</x:v>
      </x:c>
      <x:c r="J5918" s="67" t="str">
        <x:v>Modeled from live base + Sep-2026 quality ratio</x:v>
      </x:c>
      <x:c r="K5918" s="67" t="str">
        <x:v>https://www.stonealgo.com/diamond-prices/</x:v>
      </x:c>
      <x:c r="L5918" s="67" t="str">
        <x:v>https://www.pricescope.com/blog/natural-diamond-prices-september-2026</x:v>
      </x:c>
    </x:row>
    <x:row r="5919">
      <x:c r="A5919" t="n">
        <x:v>10</x:v>
      </x:c>
      <x:c r="B5919" t="str">
        <x:v>Princess</x:v>
      </x:c>
      <x:c r="C5919" t="str">
        <x:v>G</x:v>
      </x:c>
      <x:c r="D5919" t="str">
        <x:v>VS2</x:v>
      </x:c>
      <x:c r="E5919" s="36" t="n">
        <x:v>343000</x:v>
      </x:c>
      <x:c r="F5919" s="36" t="n">
        <x:v>4585</x:v>
      </x:c>
      <x:c r="G5919" s="42" t="n">
        <x:v>0.9834834834834835</x:v>
      </x:c>
      <x:c r="H5919" s="36" t="n">
        <x:f>E5919*G5919</x:f>
        <x:v>337334.83483483485</x:v>
      </x:c>
      <x:c r="I5919" s="36" t="n">
        <x:f>IFERROR(H5919/A5919,0)</x:f>
        <x:v>33733.483483483484</x:v>
      </x:c>
      <x:c r="J5919" s="67" t="str">
        <x:v>Modeled from live base + Sep-2026 quality ratio</x:v>
      </x:c>
      <x:c r="K5919" s="67" t="str">
        <x:v>https://www.stonealgo.com/diamond-prices/</x:v>
      </x:c>
      <x:c r="L5919" s="67" t="str">
        <x:v>https://www.pricescope.com/blog/natural-diamond-prices-september-2026</x:v>
      </x:c>
    </x:row>
    <x:row r="5920">
      <x:c r="A5920" t="n">
        <x:v>10</x:v>
      </x:c>
      <x:c r="B5920" t="str">
        <x:v>Princess</x:v>
      </x:c>
      <x:c r="C5920" t="str">
        <x:v>G</x:v>
      </x:c>
      <x:c r="D5920" t="str">
        <x:v>SI1</x:v>
      </x:c>
      <x:c r="E5920" s="36" t="n">
        <x:v>343000</x:v>
      </x:c>
      <x:c r="F5920" s="36" t="n">
        <x:v>3664</x:v>
      </x:c>
      <x:c r="G5920" s="42" t="n">
        <x:v>0.7859287859287859</x:v>
      </x:c>
      <x:c r="H5920" s="36" t="n">
        <x:f>E5920*G5920</x:f>
        <x:v>269573.57357357355</x:v>
      </x:c>
      <x:c r="I5920" s="36" t="n">
        <x:f>IFERROR(H5920/A5920,0)</x:f>
        <x:v>26957.357357357356</x:v>
      </x:c>
      <x:c r="J5920" s="67" t="str">
        <x:v>Modeled from live base + Sep-2026 quality ratio</x:v>
      </x:c>
      <x:c r="K5920" s="67" t="str">
        <x:v>https://www.stonealgo.com/diamond-prices/</x:v>
      </x:c>
      <x:c r="L5920" s="67" t="str">
        <x:v>https://www.pricescope.com/blog/natural-diamond-prices-september-2026</x:v>
      </x:c>
    </x:row>
    <x:row r="5921">
      <x:c r="A5921" t="n">
        <x:v>10</x:v>
      </x:c>
      <x:c r="B5921" t="str">
        <x:v>Princess</x:v>
      </x:c>
      <x:c r="C5921" t="str">
        <x:v>G</x:v>
      </x:c>
      <x:c r="D5921" t="str">
        <x:v>SI2</x:v>
      </x:c>
      <x:c r="E5921" s="36" t="n">
        <x:v>343000</x:v>
      </x:c>
      <x:c r="F5921" s="36" t="n">
        <x:v>2537</x:v>
      </x:c>
      <x:c r="G5921" s="42" t="n">
        <x:v>0.5441870441870442</x:v>
      </x:c>
      <x:c r="H5921" s="36" t="n">
        <x:f>E5921*G5921</x:f>
        <x:v>186656.15615615615</x:v>
      </x:c>
      <x:c r="I5921" s="36" t="n">
        <x:f>IFERROR(H5921/A5921,0)</x:f>
        <x:v>18665.615615615614</x:v>
      </x:c>
      <x:c r="J5921" s="67" t="str">
        <x:v>Modeled from live base + Sep-2026 quality ratio</x:v>
      </x:c>
      <x:c r="K5921" s="67" t="str">
        <x:v>https://www.stonealgo.com/diamond-prices/</x:v>
      </x:c>
      <x:c r="L5921" s="67" t="str">
        <x:v>https://www.pricescope.com/blog/natural-diamond-prices-september-2026</x:v>
      </x:c>
    </x:row>
    <x:row r="5922">
      <x:c r="A5922" t="n">
        <x:v>10</x:v>
      </x:c>
      <x:c r="B5922" t="str">
        <x:v>Princess</x:v>
      </x:c>
      <x:c r="C5922" t="str">
        <x:v>H</x:v>
      </x:c>
      <x:c r="D5922" t="str">
        <x:v>FL</x:v>
      </x:c>
      <x:c r="E5922" s="36" t="n">
        <x:v>343000</x:v>
      </x:c>
      <x:c r="F5922" s="36" t="n">
        <x:v>4563</x:v>
      </x:c>
      <x:c r="G5922" s="42" t="n">
        <x:v>0.9787644787644788</x:v>
      </x:c>
      <x:c r="H5922" s="36" t="n">
        <x:f>E5922*G5922</x:f>
        <x:v>335716.2162162162</x:v>
      </x:c>
      <x:c r="I5922" s="36" t="n">
        <x:f>IFERROR(H5922/A5922,0)</x:f>
        <x:v>33571.62162162162</x:v>
      </x:c>
      <x:c r="J5922" s="67" t="str">
        <x:v>Modeled from live base + Sep-2026 quality ratio</x:v>
      </x:c>
      <x:c r="K5922" s="67" t="str">
        <x:v>https://www.stonealgo.com/diamond-prices/</x:v>
      </x:c>
      <x:c r="L5922" s="67" t="str">
        <x:v>https://www.pricescope.com/blog/natural-diamond-prices-september-2026</x:v>
      </x:c>
    </x:row>
    <x:row r="5923">
      <x:c r="A5923" t="n">
        <x:v>10</x:v>
      </x:c>
      <x:c r="B5923" t="str">
        <x:v>Princess</x:v>
      </x:c>
      <x:c r="C5923" t="str">
        <x:v>H</x:v>
      </x:c>
      <x:c r="D5923" t="str">
        <x:v>IF</x:v>
      </x:c>
      <x:c r="E5923" s="36" t="n">
        <x:v>343000</x:v>
      </x:c>
      <x:c r="F5923" s="36" t="n">
        <x:v>4809</x:v>
      </x:c>
      <x:c r="G5923" s="42" t="n">
        <x:v>1.0315315315315314</x:v>
      </x:c>
      <x:c r="H5923" s="36" t="n">
        <x:f>E5923*G5923</x:f>
        <x:v>353815.31531531527</x:v>
      </x:c>
      <x:c r="I5923" s="36" t="n">
        <x:f>IFERROR(H5923/A5923,0)</x:f>
        <x:v>35381.531531531524</x:v>
      </x:c>
      <x:c r="J5923" s="67" t="str">
        <x:v>Modeled from live base + Sep-2026 quality ratio</x:v>
      </x:c>
      <x:c r="K5923" s="67" t="str">
        <x:v>https://www.stonealgo.com/diamond-prices/</x:v>
      </x:c>
      <x:c r="L5923" s="67" t="str">
        <x:v>https://www.pricescope.com/blog/natural-diamond-prices-september-2026</x:v>
      </x:c>
    </x:row>
    <x:row r="5924">
      <x:c r="A5924" t="n">
        <x:v>10</x:v>
      </x:c>
      <x:c r="B5924" t="str">
        <x:v>Princess</x:v>
      </x:c>
      <x:c r="C5924" t="str">
        <x:v>H</x:v>
      </x:c>
      <x:c r="D5924" t="str">
        <x:v>VVS1</x:v>
      </x:c>
      <x:c r="E5924" s="36" t="n">
        <x:v>343000</x:v>
      </x:c>
      <x:c r="F5924" s="36" t="n">
        <x:v>4911</x:v>
      </x:c>
      <x:c r="G5924" s="42" t="n">
        <x:v>1.0534105534105533</x:v>
      </x:c>
      <x:c r="H5924" s="36" t="n">
        <x:f>E5924*G5924</x:f>
        <x:v>361319.8198198198</x:v>
      </x:c>
      <x:c r="I5924" s="36" t="n">
        <x:f>IFERROR(H5924/A5924,0)</x:f>
        <x:v>36131.98198198198</x:v>
      </x:c>
      <x:c r="J5924" s="67" t="str">
        <x:v>Modeled from live base + Sep-2026 quality ratio</x:v>
      </x:c>
      <x:c r="K5924" s="67" t="str">
        <x:v>https://www.stonealgo.com/diamond-prices/</x:v>
      </x:c>
      <x:c r="L5924" s="67" t="str">
        <x:v>https://www.pricescope.com/blog/natural-diamond-prices-september-2026</x:v>
      </x:c>
    </x:row>
    <x:row r="5925">
      <x:c r="A5925" t="n">
        <x:v>10</x:v>
      </x:c>
      <x:c r="B5925" t="str">
        <x:v>Princess</x:v>
      </x:c>
      <x:c r="C5925" t="str">
        <x:v>H</x:v>
      </x:c>
      <x:c r="D5925" t="str">
        <x:v>VVS2</x:v>
      </x:c>
      <x:c r="E5925" s="36" t="n">
        <x:v>343000</x:v>
      </x:c>
      <x:c r="F5925" s="36" t="n">
        <x:v>4046</x:v>
      </x:c>
      <x:c r="G5925" s="42" t="n">
        <x:v>0.8678678678678678</x:v>
      </x:c>
      <x:c r="H5925" s="36" t="n">
        <x:f>E5925*G5925</x:f>
        <x:v>297678.6786786787</x:v>
      </x:c>
      <x:c r="I5925" s="36" t="n">
        <x:f>IFERROR(H5925/A5925,0)</x:f>
        <x:v>29767.86786786787</x:v>
      </x:c>
      <x:c r="J5925" s="67" t="str">
        <x:v>Modeled from live base + Sep-2026 quality ratio</x:v>
      </x:c>
      <x:c r="K5925" s="67" t="str">
        <x:v>https://www.stonealgo.com/diamond-prices/</x:v>
      </x:c>
      <x:c r="L5925" s="67" t="str">
        <x:v>https://www.pricescope.com/blog/natural-diamond-prices-september-2026</x:v>
      </x:c>
    </x:row>
    <x:row r="5926">
      <x:c r="A5926" t="n">
        <x:v>10</x:v>
      </x:c>
      <x:c r="B5926" t="str">
        <x:v>Princess</x:v>
      </x:c>
      <x:c r="C5926" t="str">
        <x:v>H</x:v>
      </x:c>
      <x:c r="D5926" t="str">
        <x:v>VS1</x:v>
      </x:c>
      <x:c r="E5926" s="36" t="n">
        <x:v>343000</x:v>
      </x:c>
      <x:c r="F5926" s="36" t="n">
        <x:v>3893</x:v>
      </x:c>
      <x:c r="G5926" s="42" t="n">
        <x:v>0.8350493350493351</x:v>
      </x:c>
      <x:c r="H5926" s="36" t="n">
        <x:f>E5926*G5926</x:f>
        <x:v>286421.92192192195</x:v>
      </x:c>
      <x:c r="I5926" s="36" t="n">
        <x:f>IFERROR(H5926/A5926,0)</x:f>
        <x:v>28642.192192192197</x:v>
      </x:c>
      <x:c r="J5926" s="67" t="str">
        <x:v>Modeled from live base + Sep-2026 quality ratio</x:v>
      </x:c>
      <x:c r="K5926" s="67" t="str">
        <x:v>https://www.stonealgo.com/diamond-prices/</x:v>
      </x:c>
      <x:c r="L5926" s="67" t="str">
        <x:v>https://www.pricescope.com/blog/natural-diamond-prices-september-2026</x:v>
      </x:c>
    </x:row>
    <x:row r="5927">
      <x:c r="A5927" t="n">
        <x:v>10</x:v>
      </x:c>
      <x:c r="B5927" t="str">
        <x:v>Princess</x:v>
      </x:c>
      <x:c r="C5927" t="str">
        <x:v>H</x:v>
      </x:c>
      <x:c r="D5927" t="str">
        <x:v>VS2</x:v>
      </x:c>
      <x:c r="E5927" s="36" t="n">
        <x:v>343000</x:v>
      </x:c>
      <x:c r="F5927" s="36" t="n">
        <x:v>3989</x:v>
      </x:c>
      <x:c r="G5927" s="42" t="n">
        <x:v>0.8556413556413557</x:v>
      </x:c>
      <x:c r="H5927" s="36" t="n">
        <x:f>E5927*G5927</x:f>
        <x:v>293484.98498498497</x:v>
      </x:c>
      <x:c r="I5927" s="36" t="n">
        <x:f>IFERROR(H5927/A5927,0)</x:f>
        <x:v>29348.4984984985</x:v>
      </x:c>
      <x:c r="J5927" s="67" t="str">
        <x:v>Modeled from live base + Sep-2026 quality ratio</x:v>
      </x:c>
      <x:c r="K5927" s="67" t="str">
        <x:v>https://www.stonealgo.com/diamond-prices/</x:v>
      </x:c>
      <x:c r="L5927" s="67" t="str">
        <x:v>https://www.pricescope.com/blog/natural-diamond-prices-september-2026</x:v>
      </x:c>
    </x:row>
    <x:row r="5928">
      <x:c r="A5928" t="n">
        <x:v>10</x:v>
      </x:c>
      <x:c r="B5928" t="str">
        <x:v>Princess</x:v>
      </x:c>
      <x:c r="C5928" t="str">
        <x:v>H</x:v>
      </x:c>
      <x:c r="D5928" t="str">
        <x:v>SI1</x:v>
      </x:c>
      <x:c r="E5928" s="36" t="n">
        <x:v>343000</x:v>
      </x:c>
      <x:c r="F5928" s="36" t="n">
        <x:v>2828</x:v>
      </x:c>
      <x:c r="G5928" s="42" t="n">
        <x:v>0.6066066066066066</x:v>
      </x:c>
      <x:c r="H5928" s="36" t="n">
        <x:f>E5928*G5928</x:f>
        <x:v>208066.06606606607</x:v>
      </x:c>
      <x:c r="I5928" s="36" t="n">
        <x:f>IFERROR(H5928/A5928,0)</x:f>
        <x:v>20806.606606606605</x:v>
      </x:c>
      <x:c r="J5928" s="67" t="str">
        <x:v>Modeled from live base + Sep-2026 quality ratio</x:v>
      </x:c>
      <x:c r="K5928" s="67" t="str">
        <x:v>https://www.stonealgo.com/diamond-prices/</x:v>
      </x:c>
      <x:c r="L5928" s="67" t="str">
        <x:v>https://www.pricescope.com/blog/natural-diamond-prices-september-2026</x:v>
      </x:c>
    </x:row>
    <x:row r="5929">
      <x:c r="A5929" t="n">
        <x:v>10</x:v>
      </x:c>
      <x:c r="B5929" t="str">
        <x:v>Princess</x:v>
      </x:c>
      <x:c r="C5929" t="str">
        <x:v>H</x:v>
      </x:c>
      <x:c r="D5929" t="str">
        <x:v>SI2</x:v>
      </x:c>
      <x:c r="E5929" s="36" t="n">
        <x:v>343000</x:v>
      </x:c>
      <x:c r="F5929" s="36" t="n">
        <x:v>2328</x:v>
      </x:c>
      <x:c r="G5929" s="42" t="n">
        <x:v>0.49935649935649934</x:v>
      </x:c>
      <x:c r="H5929" s="36" t="n">
        <x:f>E5929*G5929</x:f>
        <x:v>171279.27927927926</x:v>
      </x:c>
      <x:c r="I5929" s="36" t="n">
        <x:f>IFERROR(H5929/A5929,0)</x:f>
        <x:v>17127.927927927925</x:v>
      </x:c>
      <x:c r="J5929" s="67" t="str">
        <x:v>Modeled from live base + Sep-2026 quality ratio</x:v>
      </x:c>
      <x:c r="K5929" s="67" t="str">
        <x:v>https://www.stonealgo.com/diamond-prices/</x:v>
      </x:c>
      <x:c r="L5929" s="67" t="str">
        <x:v>https://www.pricescope.com/blog/natural-diamond-prices-september-2026</x:v>
      </x:c>
    </x:row>
    <x:row r="5930">
      <x:c r="A5930" t="n">
        <x:v>10</x:v>
      </x:c>
      <x:c r="B5930" t="str">
        <x:v>Princess</x:v>
      </x:c>
      <x:c r="C5930" t="str">
        <x:v>I</x:v>
      </x:c>
      <x:c r="D5930" t="str">
        <x:v>FL</x:v>
      </x:c>
      <x:c r="E5930" s="36" t="n">
        <x:v>343000</x:v>
      </x:c>
      <x:c r="F5930" s="36" t="n">
        <x:v>4623</x:v>
      </x:c>
      <x:c r="G5930" s="42" t="n">
        <x:v>0.9916344916344917</x:v>
      </x:c>
      <x:c r="H5930" s="36" t="n">
        <x:f>E5930*G5930</x:f>
        <x:v>340130.63063063065</x:v>
      </x:c>
      <x:c r="I5930" s="36" t="n">
        <x:f>IFERROR(H5930/A5930,0)</x:f>
        <x:v>34013.06306306306</x:v>
      </x:c>
      <x:c r="J5930" s="67" t="str">
        <x:v>Modeled from live base + Sep-2026 quality ratio</x:v>
      </x:c>
      <x:c r="K5930" s="67" t="str">
        <x:v>https://www.stonealgo.com/diamond-prices/</x:v>
      </x:c>
      <x:c r="L5930" s="67" t="str">
        <x:v>https://www.pricescope.com/blog/natural-diamond-prices-september-2026</x:v>
      </x:c>
    </x:row>
    <x:row r="5931">
      <x:c r="A5931" t="n">
        <x:v>10</x:v>
      </x:c>
      <x:c r="B5931" t="str">
        <x:v>Princess</x:v>
      </x:c>
      <x:c r="C5931" t="str">
        <x:v>I</x:v>
      </x:c>
      <x:c r="D5931" t="str">
        <x:v>IF</x:v>
      </x:c>
      <x:c r="E5931" s="36" t="n">
        <x:v>343000</x:v>
      </x:c>
      <x:c r="F5931" s="36" t="n">
        <x:v>4005</x:v>
      </x:c>
      <x:c r="G5931" s="42" t="n">
        <x:v>0.859073359073359</x:v>
      </x:c>
      <x:c r="H5931" s="36" t="n">
        <x:f>E5931*G5931</x:f>
        <x:v>294662.16216216213</x:v>
      </x:c>
      <x:c r="I5931" s="36" t="n">
        <x:f>IFERROR(H5931/A5931,0)</x:f>
        <x:v>29466.216216216213</x:v>
      </x:c>
      <x:c r="J5931" s="67" t="str">
        <x:v>Modeled from live base + Sep-2026 quality ratio</x:v>
      </x:c>
      <x:c r="K5931" s="67" t="str">
        <x:v>https://www.stonealgo.com/diamond-prices/</x:v>
      </x:c>
      <x:c r="L5931" s="67" t="str">
        <x:v>https://www.pricescope.com/blog/natural-diamond-prices-september-2026</x:v>
      </x:c>
    </x:row>
    <x:row r="5932">
      <x:c r="A5932" t="n">
        <x:v>10</x:v>
      </x:c>
      <x:c r="B5932" t="str">
        <x:v>Princess</x:v>
      </x:c>
      <x:c r="C5932" t="str">
        <x:v>I</x:v>
      </x:c>
      <x:c r="D5932" t="str">
        <x:v>VVS1</x:v>
      </x:c>
      <x:c r="E5932" s="36" t="n">
        <x:v>343000</x:v>
      </x:c>
      <x:c r="F5932" s="36" t="n">
        <x:v>3670</x:v>
      </x:c>
      <x:c r="G5932" s="42" t="n">
        <x:v>0.7872157872157872</x:v>
      </x:c>
      <x:c r="H5932" s="36" t="n">
        <x:f>E5932*G5932</x:f>
        <x:v>270015.01501501503</x:v>
      </x:c>
      <x:c r="I5932" s="36" t="n">
        <x:f>IFERROR(H5932/A5932,0)</x:f>
        <x:v>27001.5015015015</x:v>
      </x:c>
      <x:c r="J5932" s="67" t="str">
        <x:v>Modeled from live base + Sep-2026 quality ratio</x:v>
      </x:c>
      <x:c r="K5932" s="67" t="str">
        <x:v>https://www.stonealgo.com/diamond-prices/</x:v>
      </x:c>
      <x:c r="L5932" s="67" t="str">
        <x:v>https://www.pricescope.com/blog/natural-diamond-prices-september-2026</x:v>
      </x:c>
    </x:row>
    <x:row r="5933">
      <x:c r="A5933" t="n">
        <x:v>10</x:v>
      </x:c>
      <x:c r="B5933" t="str">
        <x:v>Princess</x:v>
      </x:c>
      <x:c r="C5933" t="str">
        <x:v>I</x:v>
      </x:c>
      <x:c r="D5933" t="str">
        <x:v>VVS2</x:v>
      </x:c>
      <x:c r="E5933" s="36" t="n">
        <x:v>343000</x:v>
      </x:c>
      <x:c r="F5933" s="36" t="n">
        <x:v>3447</x:v>
      </x:c>
      <x:c r="G5933" s="42" t="n">
        <x:v>0.7393822393822393</x:v>
      </x:c>
      <x:c r="H5933" s="36" t="n">
        <x:f>E5933*G5933</x:f>
        <x:v>253608.1081081081</x:v>
      </x:c>
      <x:c r="I5933" s="36" t="n">
        <x:f>IFERROR(H5933/A5933,0)</x:f>
        <x:v>25360.81081081081</x:v>
      </x:c>
      <x:c r="J5933" s="67" t="str">
        <x:v>Modeled from live base + Sep-2026 quality ratio</x:v>
      </x:c>
      <x:c r="K5933" s="67" t="str">
        <x:v>https://www.stonealgo.com/diamond-prices/</x:v>
      </x:c>
      <x:c r="L5933" s="67" t="str">
        <x:v>https://www.pricescope.com/blog/natural-diamond-prices-september-2026</x:v>
      </x:c>
    </x:row>
    <x:row r="5934">
      <x:c r="A5934" t="n">
        <x:v>10</x:v>
      </x:c>
      <x:c r="B5934" t="str">
        <x:v>Princess</x:v>
      </x:c>
      <x:c r="C5934" t="str">
        <x:v>I</x:v>
      </x:c>
      <x:c r="D5934" t="str">
        <x:v>VS1</x:v>
      </x:c>
      <x:c r="E5934" s="36" t="n">
        <x:v>343000</x:v>
      </x:c>
      <x:c r="F5934" s="36" t="n">
        <x:v>3313</x:v>
      </x:c>
      <x:c r="G5934" s="42" t="n">
        <x:v>0.7106392106392107</x:v>
      </x:c>
      <x:c r="H5934" s="36" t="n">
        <x:f>E5934*G5934</x:f>
        <x:v>243749.24924924926</x:v>
      </x:c>
      <x:c r="I5934" s="36" t="n">
        <x:f>IFERROR(H5934/A5934,0)</x:f>
        <x:v>24374.924924924926</x:v>
      </x:c>
      <x:c r="J5934" s="67" t="str">
        <x:v>Modeled from live base + Sep-2026 quality ratio</x:v>
      </x:c>
      <x:c r="K5934" s="67" t="str">
        <x:v>https://www.stonealgo.com/diamond-prices/</x:v>
      </x:c>
      <x:c r="L5934" s="67" t="str">
        <x:v>https://www.pricescope.com/blog/natural-diamond-prices-september-2026</x:v>
      </x:c>
    </x:row>
    <x:row r="5935">
      <x:c r="A5935" t="n">
        <x:v>10</x:v>
      </x:c>
      <x:c r="B5935" t="str">
        <x:v>Princess</x:v>
      </x:c>
      <x:c r="C5935" t="str">
        <x:v>I</x:v>
      </x:c>
      <x:c r="D5935" t="str">
        <x:v>VS2</x:v>
      </x:c>
      <x:c r="E5935" s="36" t="n">
        <x:v>343000</x:v>
      </x:c>
      <x:c r="F5935" s="36" t="n">
        <x:v>3240</x:v>
      </x:c>
      <x:c r="G5935" s="42" t="n">
        <x:v>0.694980694980695</x:v>
      </x:c>
      <x:c r="H5935" s="36" t="n">
        <x:f>E5935*G5935</x:f>
        <x:v>238378.3783783784</x:v>
      </x:c>
      <x:c r="I5935" s="36" t="n">
        <x:f>IFERROR(H5935/A5935,0)</x:f>
        <x:v>23837.83783783784</x:v>
      </x:c>
      <x:c r="J5935" s="67" t="str">
        <x:v>Modeled from live base + Sep-2026 quality ratio</x:v>
      </x:c>
      <x:c r="K5935" s="67" t="str">
        <x:v>https://www.stonealgo.com/diamond-prices/</x:v>
      </x:c>
      <x:c r="L5935" s="67" t="str">
        <x:v>https://www.pricescope.com/blog/natural-diamond-prices-september-2026</x:v>
      </x:c>
    </x:row>
    <x:row r="5936">
      <x:c r="A5936" t="n">
        <x:v>10</x:v>
      </x:c>
      <x:c r="B5936" t="str">
        <x:v>Princess</x:v>
      </x:c>
      <x:c r="C5936" t="str">
        <x:v>I</x:v>
      </x:c>
      <x:c r="D5936" t="str">
        <x:v>SI1</x:v>
      </x:c>
      <x:c r="E5936" s="36" t="n">
        <x:v>343000</x:v>
      </x:c>
      <x:c r="F5936" s="36" t="n">
        <x:v>3199</x:v>
      </x:c>
      <x:c r="G5936" s="42" t="n">
        <x:v>0.6861861861861862</x:v>
      </x:c>
      <x:c r="H5936" s="36" t="n">
        <x:f>E5936*G5936</x:f>
        <x:v>235361.86186186186</x:v>
      </x:c>
      <x:c r="I5936" s="36" t="n">
        <x:f>IFERROR(H5936/A5936,0)</x:f>
        <x:v>23536.186186186187</x:v>
      </x:c>
      <x:c r="J5936" s="67" t="str">
        <x:v>Modeled from live base + Sep-2026 quality ratio</x:v>
      </x:c>
      <x:c r="K5936" s="67" t="str">
        <x:v>https://www.stonealgo.com/diamond-prices/</x:v>
      </x:c>
      <x:c r="L5936" s="67" t="str">
        <x:v>https://www.pricescope.com/blog/natural-diamond-prices-september-2026</x:v>
      </x:c>
    </x:row>
    <x:row r="5937">
      <x:c r="A5937" t="n">
        <x:v>10</x:v>
      </x:c>
      <x:c r="B5937" t="str">
        <x:v>Princess</x:v>
      </x:c>
      <x:c r="C5937" t="str">
        <x:v>I</x:v>
      </x:c>
      <x:c r="D5937" t="str">
        <x:v>SI2</x:v>
      </x:c>
      <x:c r="E5937" s="36" t="n">
        <x:v>343000</x:v>
      </x:c>
      <x:c r="F5937" s="36" t="n">
        <x:v>2874</x:v>
      </x:c>
      <x:c r="G5937" s="42" t="n">
        <x:v>0.6164736164736164</x:v>
      </x:c>
      <x:c r="H5937" s="36" t="n">
        <x:f>E5937*G5937</x:f>
        <x:v>211450.45045045044</x:v>
      </x:c>
      <x:c r="I5937" s="36" t="n">
        <x:f>IFERROR(H5937/A5937,0)</x:f>
        <x:v>21145.045045045044</x:v>
      </x:c>
      <x:c r="J5937" s="67" t="str">
        <x:v>Modeled from live base + Sep-2026 quality ratio</x:v>
      </x:c>
      <x:c r="K5937" s="67" t="str">
        <x:v>https://www.stonealgo.com/diamond-prices/</x:v>
      </x:c>
      <x:c r="L5937" s="67" t="str">
        <x:v>https://www.pricescope.com/blog/natural-diamond-prices-september-2026</x:v>
      </x:c>
    </x:row>
    <x:row r="5938">
      <x:c r="A5938" t="n">
        <x:v>10</x:v>
      </x:c>
      <x:c r="B5938" t="str">
        <x:v>Princess</x:v>
      </x:c>
      <x:c r="C5938" t="str">
        <x:v>J</x:v>
      </x:c>
      <x:c r="D5938" t="str">
        <x:v>FL</x:v>
      </x:c>
      <x:c r="E5938" s="36" t="n">
        <x:v>343000</x:v>
      </x:c>
      <x:c r="F5938" s="36" t="n">
        <x:v>3646</x:v>
      </x:c>
      <x:c r="G5938" s="42" t="n">
        <x:v>0.782067782067782</x:v>
      </x:c>
      <x:c r="H5938" s="36" t="n">
        <x:f>E5938*G5938</x:f>
        <x:v>268249.24924924923</x:v>
      </x:c>
      <x:c r="I5938" s="36" t="n">
        <x:f>IFERROR(H5938/A5938,0)</x:f>
        <x:v>26824.924924924922</x:v>
      </x:c>
      <x:c r="J5938" s="67" t="str">
        <x:v>Modeled from live base + Sep-2026 quality ratio</x:v>
      </x:c>
      <x:c r="K5938" s="67" t="str">
        <x:v>https://www.stonealgo.com/diamond-prices/</x:v>
      </x:c>
      <x:c r="L5938" s="67" t="str">
        <x:v>https://www.pricescope.com/blog/natural-diamond-prices-september-2026</x:v>
      </x:c>
    </x:row>
    <x:row r="5939">
      <x:c r="A5939" t="n">
        <x:v>10</x:v>
      </x:c>
      <x:c r="B5939" t="str">
        <x:v>Princess</x:v>
      </x:c>
      <x:c r="C5939" t="str">
        <x:v>J</x:v>
      </x:c>
      <x:c r="D5939" t="str">
        <x:v>IF</x:v>
      </x:c>
      <x:c r="E5939" s="36" t="n">
        <x:v>343000</x:v>
      </x:c>
      <x:c r="F5939" s="36" t="n">
        <x:v>3368</x:v>
      </x:c>
      <x:c r="G5939" s="42" t="n">
        <x:v>0.7224367224367224</x:v>
      </x:c>
      <x:c r="H5939" s="36" t="n">
        <x:f>E5939*G5939</x:f>
        <x:v>247795.7957957958</x:v>
      </x:c>
      <x:c r="I5939" s="36" t="n">
        <x:f>IFERROR(H5939/A5939,0)</x:f>
        <x:v>24779.57957957958</x:v>
      </x:c>
      <x:c r="J5939" s="67" t="str">
        <x:v>Modeled from live base + Sep-2026 quality ratio</x:v>
      </x:c>
      <x:c r="K5939" s="67" t="str">
        <x:v>https://www.stonealgo.com/diamond-prices/</x:v>
      </x:c>
      <x:c r="L5939" s="67" t="str">
        <x:v>https://www.pricescope.com/blog/natural-diamond-prices-september-2026</x:v>
      </x:c>
    </x:row>
    <x:row r="5940">
      <x:c r="A5940" t="n">
        <x:v>10</x:v>
      </x:c>
      <x:c r="B5940" t="str">
        <x:v>Princess</x:v>
      </x:c>
      <x:c r="C5940" t="str">
        <x:v>J</x:v>
      </x:c>
      <x:c r="D5940" t="str">
        <x:v>VVS1</x:v>
      </x:c>
      <x:c r="E5940" s="36" t="n">
        <x:v>343000</x:v>
      </x:c>
      <x:c r="F5940" s="36" t="n">
        <x:v>2956</x:v>
      </x:c>
      <x:c r="G5940" s="42" t="n">
        <x:v>0.6340626340626341</x:v>
      </x:c>
      <x:c r="H5940" s="36" t="n">
        <x:f>E5940*G5940</x:f>
        <x:v>217483.4834834835</x:v>
      </x:c>
      <x:c r="I5940" s="36" t="n">
        <x:f>IFERROR(H5940/A5940,0)</x:f>
        <x:v>21748.34834834835</x:v>
      </x:c>
      <x:c r="J5940" s="67" t="str">
        <x:v>Modeled from live base + Sep-2026 quality ratio</x:v>
      </x:c>
      <x:c r="K5940" s="67" t="str">
        <x:v>https://www.stonealgo.com/diamond-prices/</x:v>
      </x:c>
      <x:c r="L5940" s="67" t="str">
        <x:v>https://www.pricescope.com/blog/natural-diamond-prices-september-2026</x:v>
      </x:c>
    </x:row>
    <x:row r="5941">
      <x:c r="A5941" t="n">
        <x:v>10</x:v>
      </x:c>
      <x:c r="B5941" t="str">
        <x:v>Princess</x:v>
      </x:c>
      <x:c r="C5941" t="str">
        <x:v>J</x:v>
      </x:c>
      <x:c r="D5941" t="str">
        <x:v>VVS2</x:v>
      </x:c>
      <x:c r="E5941" s="36" t="n">
        <x:v>343000</x:v>
      </x:c>
      <x:c r="F5941" s="36" t="n">
        <x:v>2612</x:v>
      </x:c>
      <x:c r="G5941" s="42" t="n">
        <x:v>0.5602745602745602</x:v>
      </x:c>
      <x:c r="H5941" s="36" t="n">
        <x:f>E5941*G5941</x:f>
        <x:v>192174.17417417417</x:v>
      </x:c>
      <x:c r="I5941" s="36" t="n">
        <x:f>IFERROR(H5941/A5941,0)</x:f>
        <x:v>19217.41741741742</x:v>
      </x:c>
      <x:c r="J5941" s="67" t="str">
        <x:v>Modeled from live base + Sep-2026 quality ratio</x:v>
      </x:c>
      <x:c r="K5941" s="67" t="str">
        <x:v>https://www.stonealgo.com/diamond-prices/</x:v>
      </x:c>
      <x:c r="L5941" s="67" t="str">
        <x:v>https://www.pricescope.com/blog/natural-diamond-prices-september-2026</x:v>
      </x:c>
    </x:row>
    <x:row r="5942">
      <x:c r="A5942" t="n">
        <x:v>10</x:v>
      </x:c>
      <x:c r="B5942" t="str">
        <x:v>Princess</x:v>
      </x:c>
      <x:c r="C5942" t="str">
        <x:v>J</x:v>
      </x:c>
      <x:c r="D5942" t="str">
        <x:v>VS1</x:v>
      </x:c>
      <x:c r="E5942" s="36" t="n">
        <x:v>343000</x:v>
      </x:c>
      <x:c r="F5942" s="36" t="n">
        <x:v>3002</x:v>
      </x:c>
      <x:c r="G5942" s="42" t="n">
        <x:v>0.6439296439296439</x:v>
      </x:c>
      <x:c r="H5942" s="36" t="n">
        <x:f>E5942*G5942</x:f>
        <x:v>220867.86786786787</x:v>
      </x:c>
      <x:c r="I5942" s="36" t="n">
        <x:f>IFERROR(H5942/A5942,0)</x:f>
        <x:v>22086.786786786786</x:v>
      </x:c>
      <x:c r="J5942" s="67" t="str">
        <x:v>Modeled from live base + Sep-2026 quality ratio</x:v>
      </x:c>
      <x:c r="K5942" s="67" t="str">
        <x:v>https://www.stonealgo.com/diamond-prices/</x:v>
      </x:c>
      <x:c r="L5942" s="67" t="str">
        <x:v>https://www.pricescope.com/blog/natural-diamond-prices-september-2026</x:v>
      </x:c>
    </x:row>
    <x:row r="5943">
      <x:c r="A5943" t="n">
        <x:v>10</x:v>
      </x:c>
      <x:c r="B5943" t="str">
        <x:v>Princess</x:v>
      </x:c>
      <x:c r="C5943" t="str">
        <x:v>J</x:v>
      </x:c>
      <x:c r="D5943" t="str">
        <x:v>VS2</x:v>
      </x:c>
      <x:c r="E5943" s="36" t="n">
        <x:v>343000</x:v>
      </x:c>
      <x:c r="F5943" s="36" t="n">
        <x:v>2559</x:v>
      </x:c>
      <x:c r="G5943" s="42" t="n">
        <x:v>0.5489060489060489</x:v>
      </x:c>
      <x:c r="H5943" s="36" t="n">
        <x:f>E5943*G5943</x:f>
        <x:v>188274.77477477476</x:v>
      </x:c>
      <x:c r="I5943" s="36" t="n">
        <x:f>IFERROR(H5943/A5943,0)</x:f>
        <x:v>18827.477477477478</x:v>
      </x:c>
      <x:c r="J5943" s="67" t="str">
        <x:v>Modeled from live base + Sep-2026 quality ratio</x:v>
      </x:c>
      <x:c r="K5943" s="67" t="str">
        <x:v>https://www.stonealgo.com/diamond-prices/</x:v>
      </x:c>
      <x:c r="L5943" s="67" t="str">
        <x:v>https://www.pricescope.com/blog/natural-diamond-prices-september-2026</x:v>
      </x:c>
    </x:row>
    <x:row r="5944">
      <x:c r="A5944" t="n">
        <x:v>10</x:v>
      </x:c>
      <x:c r="B5944" t="str">
        <x:v>Princess</x:v>
      </x:c>
      <x:c r="C5944" t="str">
        <x:v>J</x:v>
      </x:c>
      <x:c r="D5944" t="str">
        <x:v>SI1</x:v>
      </x:c>
      <x:c r="E5944" s="36" t="n">
        <x:v>343000</x:v>
      </x:c>
      <x:c r="F5944" s="36" t="n">
        <x:v>2195</x:v>
      </x:c>
      <x:c r="G5944" s="42" t="n">
        <x:v>0.47082797082797084</x:v>
      </x:c>
      <x:c r="H5944" s="36" t="n">
        <x:f>E5944*G5944</x:f>
        <x:v>161493.993993994</x:v>
      </x:c>
      <x:c r="I5944" s="36" t="n">
        <x:f>IFERROR(H5944/A5944,0)</x:f>
        <x:v>16149.399399399399</x:v>
      </x:c>
      <x:c r="J5944" s="67" t="str">
        <x:v>Modeled from live base + Sep-2026 quality ratio</x:v>
      </x:c>
      <x:c r="K5944" s="67" t="str">
        <x:v>https://www.stonealgo.com/diamond-prices/</x:v>
      </x:c>
      <x:c r="L5944" s="67" t="str">
        <x:v>https://www.pricescope.com/blog/natural-diamond-prices-september-2026</x:v>
      </x:c>
    </x:row>
    <x:row r="5945">
      <x:c r="A5945" t="n">
        <x:v>10</x:v>
      </x:c>
      <x:c r="B5945" t="str">
        <x:v>Princess</x:v>
      </x:c>
      <x:c r="C5945" t="str">
        <x:v>J</x:v>
      </x:c>
      <x:c r="D5945" t="str">
        <x:v>SI2</x:v>
      </x:c>
      <x:c r="E5945" s="36" t="n">
        <x:v>343000</x:v>
      </x:c>
      <x:c r="F5945" s="36" t="n">
        <x:v>2079</x:v>
      </x:c>
      <x:c r="G5945" s="42" t="n">
        <x:v>0.44594594594594594</x:v>
      </x:c>
      <x:c r="H5945" s="36" t="n">
        <x:f>E5945*G5945</x:f>
        <x:v>152959.45945945947</x:v>
      </x:c>
      <x:c r="I5945" s="36" t="n">
        <x:f>IFERROR(H5945/A5945,0)</x:f>
        <x:v>15295.945945945947</x:v>
      </x:c>
      <x:c r="J5945" s="67" t="str">
        <x:v>Modeled from live base + Sep-2026 quality ratio</x:v>
      </x:c>
      <x:c r="K5945" s="67" t="str">
        <x:v>https://www.stonealgo.com/diamond-prices/</x:v>
      </x:c>
      <x:c r="L5945" s="67" t="str">
        <x:v>https://www.pricescope.com/blog/natural-diamond-prices-september-2026</x:v>
      </x:c>
    </x:row>
    <x:row r="5946">
      <x:c r="A5946" t="n">
        <x:v>10</x:v>
      </x:c>
      <x:c r="B5946" t="str">
        <x:v>Princess</x:v>
      </x:c>
      <x:c r="C5946" t="str">
        <x:v>K</x:v>
      </x:c>
      <x:c r="D5946" t="str">
        <x:v>FL</x:v>
      </x:c>
      <x:c r="E5946" s="36" t="n">
        <x:v>343000</x:v>
      </x:c>
      <x:c r="F5946" s="36" t="n">
        <x:v>2858</x:v>
      </x:c>
      <x:c r="G5946" s="42" t="n">
        <x:v>0.6130416130416131</x:v>
      </x:c>
      <x:c r="H5946" s="36" t="n">
        <x:f>E5946*G5946</x:f>
        <x:v>210273.27327327328</x:v>
      </x:c>
      <x:c r="I5946" s="36" t="n">
        <x:f>IFERROR(H5946/A5946,0)</x:f>
        <x:v>21027.32732732733</x:v>
      </x:c>
      <x:c r="J5946" s="67" t="str">
        <x:v>Modeled from live base + Sep-2026 quality ratio; K/FL quality cell modeled</x:v>
      </x:c>
      <x:c r="K5946" s="67" t="str">
        <x:v>https://www.stonealgo.com/diamond-prices/</x:v>
      </x:c>
      <x:c r="L5946" s="67" t="str">
        <x:v>https://www.pricescope.com/blog/natural-diamond-prices-september-2026</x:v>
      </x:c>
    </x:row>
    <x:row r="5947">
      <x:c r="A5947" t="n">
        <x:v>10</x:v>
      </x:c>
      <x:c r="B5947" t="str">
        <x:v>Princess</x:v>
      </x:c>
      <x:c r="C5947" t="str">
        <x:v>K</x:v>
      </x:c>
      <x:c r="D5947" t="str">
        <x:v>IF</x:v>
      </x:c>
      <x:c r="E5947" s="36" t="n">
        <x:v>343000</x:v>
      </x:c>
      <x:c r="F5947" s="36" t="n">
        <x:v>2743</x:v>
      </x:c>
      <x:c r="G5947" s="42" t="n">
        <x:v>0.5883740883740883</x:v>
      </x:c>
      <x:c r="H5947" s="36" t="n">
        <x:f>E5947*G5947</x:f>
        <x:v>201812.3123123123</x:v>
      </x:c>
      <x:c r="I5947" s="36" t="n">
        <x:f>IFERROR(H5947/A5947,0)</x:f>
        <x:v>20181.23123123123</x:v>
      </x:c>
      <x:c r="J5947" s="67" t="str">
        <x:v>Modeled from live base + Sep-2026 quality ratio</x:v>
      </x:c>
      <x:c r="K5947" s="67" t="str">
        <x:v>https://www.stonealgo.com/diamond-prices/</x:v>
      </x:c>
      <x:c r="L5947" s="67" t="str">
        <x:v>https://www.pricescope.com/blog/natural-diamond-prices-september-2026</x:v>
      </x:c>
    </x:row>
    <x:row r="5948">
      <x:c r="A5948" t="n">
        <x:v>10</x:v>
      </x:c>
      <x:c r="B5948" t="str">
        <x:v>Princess</x:v>
      </x:c>
      <x:c r="C5948" t="str">
        <x:v>K</x:v>
      </x:c>
      <x:c r="D5948" t="str">
        <x:v>VVS1</x:v>
      </x:c>
      <x:c r="E5948" s="36" t="n">
        <x:v>343000</x:v>
      </x:c>
      <x:c r="F5948" s="36" t="n">
        <x:v>2529</x:v>
      </x:c>
      <x:c r="G5948" s="42" t="n">
        <x:v>0.5424710424710425</x:v>
      </x:c>
      <x:c r="H5948" s="36" t="n">
        <x:f>E5948*G5948</x:f>
        <x:v>186067.56756756757</x:v>
      </x:c>
      <x:c r="I5948" s="36" t="n">
        <x:f>IFERROR(H5948/A5948,0)</x:f>
        <x:v>18606.756756756757</x:v>
      </x:c>
      <x:c r="J5948" s="67" t="str">
        <x:v>Modeled from live base + Sep-2026 quality ratio</x:v>
      </x:c>
      <x:c r="K5948" s="67" t="str">
        <x:v>https://www.stonealgo.com/diamond-prices/</x:v>
      </x:c>
      <x:c r="L5948" s="67" t="str">
        <x:v>https://www.pricescope.com/blog/natural-diamond-prices-september-2026</x:v>
      </x:c>
    </x:row>
    <x:row r="5949">
      <x:c r="A5949" t="n">
        <x:v>10</x:v>
      </x:c>
      <x:c r="B5949" t="str">
        <x:v>Princess</x:v>
      </x:c>
      <x:c r="C5949" t="str">
        <x:v>K</x:v>
      </x:c>
      <x:c r="D5949" t="str">
        <x:v>VVS2</x:v>
      </x:c>
      <x:c r="E5949" s="36" t="n">
        <x:v>343000</x:v>
      </x:c>
      <x:c r="F5949" s="36" t="n">
        <x:v>2374</x:v>
      </x:c>
      <x:c r="G5949" s="42" t="n">
        <x:v>0.5092235092235092</x:v>
      </x:c>
      <x:c r="H5949" s="36" t="n">
        <x:f>E5949*G5949</x:f>
        <x:v>174663.66366366367</x:v>
      </x:c>
      <x:c r="I5949" s="36" t="n">
        <x:f>IFERROR(H5949/A5949,0)</x:f>
        <x:v>17466.36636636637</x:v>
      </x:c>
      <x:c r="J5949" s="67" t="str">
        <x:v>Modeled from live base + Sep-2026 quality ratio</x:v>
      </x:c>
      <x:c r="K5949" s="67" t="str">
        <x:v>https://www.stonealgo.com/diamond-prices/</x:v>
      </x:c>
      <x:c r="L5949" s="67" t="str">
        <x:v>https://www.pricescope.com/blog/natural-diamond-prices-september-2026</x:v>
      </x:c>
    </x:row>
    <x:row r="5950">
      <x:c r="A5950" t="n">
        <x:v>10</x:v>
      </x:c>
      <x:c r="B5950" t="str">
        <x:v>Princess</x:v>
      </x:c>
      <x:c r="C5950" t="str">
        <x:v>K</x:v>
      </x:c>
      <x:c r="D5950" t="str">
        <x:v>VS1</x:v>
      </x:c>
      <x:c r="E5950" s="36" t="n">
        <x:v>343000</x:v>
      </x:c>
      <x:c r="F5950" s="36" t="n">
        <x:v>2223</x:v>
      </x:c>
      <x:c r="G5950" s="42" t="n">
        <x:v>0.4768339768339768</x:v>
      </x:c>
      <x:c r="H5950" s="36" t="n">
        <x:f>E5950*G5950</x:f>
        <x:v>163554.05405405405</x:v>
      </x:c>
      <x:c r="I5950" s="36" t="n">
        <x:f>IFERROR(H5950/A5950,0)</x:f>
        <x:v>16355.405405405405</x:v>
      </x:c>
      <x:c r="J5950" s="67" t="str">
        <x:v>Modeled from live base + Sep-2026 quality ratio</x:v>
      </x:c>
      <x:c r="K5950" s="67" t="str">
        <x:v>https://www.stonealgo.com/diamond-prices/</x:v>
      </x:c>
      <x:c r="L5950" s="67" t="str">
        <x:v>https://www.pricescope.com/blog/natural-diamond-prices-september-2026</x:v>
      </x:c>
    </x:row>
    <x:row r="5951">
      <x:c r="A5951" t="n">
        <x:v>10</x:v>
      </x:c>
      <x:c r="B5951" t="str">
        <x:v>Princess</x:v>
      </x:c>
      <x:c r="C5951" t="str">
        <x:v>K</x:v>
      </x:c>
      <x:c r="D5951" t="str">
        <x:v>VS2</x:v>
      </x:c>
      <x:c r="E5951" s="36" t="n">
        <x:v>343000</x:v>
      </x:c>
      <x:c r="F5951" s="36" t="n">
        <x:v>2098</x:v>
      </x:c>
      <x:c r="G5951" s="42" t="n">
        <x:v>0.45002145002145</x:v>
      </x:c>
      <x:c r="H5951" s="36" t="n">
        <x:f>E5951*G5951</x:f>
        <x:v>154357.35735735734</x:v>
      </x:c>
      <x:c r="I5951" s="36" t="n">
        <x:f>IFERROR(H5951/A5951,0)</x:f>
        <x:v>15435.735735735734</x:v>
      </x:c>
      <x:c r="J5951" s="67" t="str">
        <x:v>Modeled from live base + Sep-2026 quality ratio</x:v>
      </x:c>
      <x:c r="K5951" s="67" t="str">
        <x:v>https://www.stonealgo.com/diamond-prices/</x:v>
      </x:c>
      <x:c r="L5951" s="67" t="str">
        <x:v>https://www.pricescope.com/blog/natural-diamond-prices-september-2026</x:v>
      </x:c>
    </x:row>
    <x:row r="5952">
      <x:c r="A5952" t="n">
        <x:v>10</x:v>
      </x:c>
      <x:c r="B5952" t="str">
        <x:v>Princess</x:v>
      </x:c>
      <x:c r="C5952" t="str">
        <x:v>K</x:v>
      </x:c>
      <x:c r="D5952" t="str">
        <x:v>SI1</x:v>
      </x:c>
      <x:c r="E5952" s="36" t="n">
        <x:v>343000</x:v>
      </x:c>
      <x:c r="F5952" s="36" t="n">
        <x:v>1922</x:v>
      </x:c>
      <x:c r="G5952" s="42" t="n">
        <x:v>0.41226941226941227</x:v>
      </x:c>
      <x:c r="H5952" s="36" t="n">
        <x:f>E5952*G5952</x:f>
        <x:v>141408.4084084084</x:v>
      </x:c>
      <x:c r="I5952" s="36" t="n">
        <x:f>IFERROR(H5952/A5952,0)</x:f>
        <x:v>14140.84084084084</x:v>
      </x:c>
      <x:c r="J5952" s="67" t="str">
        <x:v>Modeled from live base + Sep-2026 quality ratio</x:v>
      </x:c>
      <x:c r="K5952" s="67" t="str">
        <x:v>https://www.stonealgo.com/diamond-prices/</x:v>
      </x:c>
      <x:c r="L5952" s="67" t="str">
        <x:v>https://www.pricescope.com/blog/natural-diamond-prices-september-2026</x:v>
      </x:c>
    </x:row>
    <x:row r="5953">
      <x:c r="A5953" t="n">
        <x:v>10</x:v>
      </x:c>
      <x:c r="B5953" t="str">
        <x:v>Princess</x:v>
      </x:c>
      <x:c r="C5953" t="str">
        <x:v>K</x:v>
      </x:c>
      <x:c r="D5953" t="str">
        <x:v>SI2</x:v>
      </x:c>
      <x:c r="E5953" s="36" t="n">
        <x:v>343000</x:v>
      </x:c>
      <x:c r="F5953" s="36" t="n">
        <x:v>1764</x:v>
      </x:c>
      <x:c r="G5953" s="42" t="n">
        <x:v>0.3783783783783784</x:v>
      </x:c>
      <x:c r="H5953" s="36" t="n">
        <x:f>E5953*G5953</x:f>
        <x:v>129783.78378378379</x:v>
      </x:c>
      <x:c r="I5953" s="36" t="n">
        <x:f>IFERROR(H5953/A5953,0)</x:f>
        <x:v>12978.378378378378</x:v>
      </x:c>
      <x:c r="J5953" s="67" t="str">
        <x:v>Modeled from live base + Sep-2026 quality ratio</x:v>
      </x:c>
      <x:c r="K5953" s="67" t="str">
        <x:v>https://www.stonealgo.com/diamond-prices/</x:v>
      </x:c>
      <x:c r="L5953" s="67" t="str">
        <x:v>https://www.pricescope.com/blog/natural-diamond-prices-september-2026</x:v>
      </x:c>
    </x:row>
    <x:row r="5954">
      <x:c r="A5954" t="n">
        <x:v>10</x:v>
      </x:c>
      <x:c r="B5954" t="str">
        <x:v>Emerald</x:v>
      </x:c>
      <x:c r="C5954" t="str">
        <x:v>D</x:v>
      </x:c>
      <x:c r="D5954" t="str">
        <x:v>FL</x:v>
      </x:c>
      <x:c r="E5954" s="36" t="n">
        <x:v>305000</x:v>
      </x:c>
      <x:c r="F5954" s="36" t="n">
        <x:v>12665</x:v>
      </x:c>
      <x:c r="G5954" s="42" t="n">
        <x:v>2.7166452166452166</x:v>
      </x:c>
      <x:c r="H5954" s="36" t="n">
        <x:f>E5954*G5954</x:f>
        <x:v>828576.7910767911</x:v>
      </x:c>
      <x:c r="I5954" s="36" t="n">
        <x:f>IFERROR(H5954/A5954,0)</x:f>
        <x:v>82857.67910767911</x:v>
      </x:c>
      <x:c r="J5954" s="67" t="str">
        <x:v>Modeled from live base + Sep-2026 quality ratio</x:v>
      </x:c>
      <x:c r="K5954" s="67" t="str">
        <x:v>https://www.stonealgo.com/diamond-prices/</x:v>
      </x:c>
      <x:c r="L5954" s="67" t="str">
        <x:v>https://www.pricescope.com/blog/natural-diamond-prices-september-2026</x:v>
      </x:c>
    </x:row>
    <x:row r="5955">
      <x:c r="A5955" t="n">
        <x:v>10</x:v>
      </x:c>
      <x:c r="B5955" t="str">
        <x:v>Emerald</x:v>
      </x:c>
      <x:c r="C5955" t="str">
        <x:v>D</x:v>
      </x:c>
      <x:c r="D5955" t="str">
        <x:v>IF</x:v>
      </x:c>
      <x:c r="E5955" s="36" t="n">
        <x:v>305000</x:v>
      </x:c>
      <x:c r="F5955" s="36" t="n">
        <x:v>13240</x:v>
      </x:c>
      <x:c r="G5955" s="42" t="n">
        <x:v>2.83998283998284</x:v>
      </x:c>
      <x:c r="H5955" s="36" t="n">
        <x:f>E5955*G5955</x:f>
        <x:v>866194.7661947663</x:v>
      </x:c>
      <x:c r="I5955" s="36" t="n">
        <x:f>IFERROR(H5955/A5955,0)</x:f>
        <x:v>86619.47661947663</x:v>
      </x:c>
      <x:c r="J5955" s="67" t="str">
        <x:v>Modeled from live base + Sep-2026 quality ratio</x:v>
      </x:c>
      <x:c r="K5955" s="67" t="str">
        <x:v>https://www.stonealgo.com/diamond-prices/</x:v>
      </x:c>
      <x:c r="L5955" s="67" t="str">
        <x:v>https://www.pricescope.com/blog/natural-diamond-prices-september-2026</x:v>
      </x:c>
    </x:row>
    <x:row r="5956">
      <x:c r="A5956" t="n">
        <x:v>10</x:v>
      </x:c>
      <x:c r="B5956" t="str">
        <x:v>Emerald</x:v>
      </x:c>
      <x:c r="C5956" t="str">
        <x:v>D</x:v>
      </x:c>
      <x:c r="D5956" t="str">
        <x:v>VVS1</x:v>
      </x:c>
      <x:c r="E5956" s="36" t="n">
        <x:v>305000</x:v>
      </x:c>
      <x:c r="F5956" s="36" t="n">
        <x:v>9555</x:v>
      </x:c>
      <x:c r="G5956" s="42" t="n">
        <x:v>2.0495495495495497</x:v>
      </x:c>
      <x:c r="H5956" s="36" t="n">
        <x:f>E5956*G5956</x:f>
        <x:v>625112.6126126127</x:v>
      </x:c>
      <x:c r="I5956" s="36" t="n">
        <x:f>IFERROR(H5956/A5956,0)</x:f>
        <x:v>62511.261261261265</x:v>
      </x:c>
      <x:c r="J5956" s="67" t="str">
        <x:v>Modeled from live base + Sep-2026 quality ratio</x:v>
      </x:c>
      <x:c r="K5956" s="67" t="str">
        <x:v>https://www.stonealgo.com/diamond-prices/</x:v>
      </x:c>
      <x:c r="L5956" s="67" t="str">
        <x:v>https://www.pricescope.com/blog/natural-diamond-prices-september-2026</x:v>
      </x:c>
    </x:row>
    <x:row r="5957">
      <x:c r="A5957" t="n">
        <x:v>10</x:v>
      </x:c>
      <x:c r="B5957" t="str">
        <x:v>Emerald</x:v>
      </x:c>
      <x:c r="C5957" t="str">
        <x:v>D</x:v>
      </x:c>
      <x:c r="D5957" t="str">
        <x:v>VVS2</x:v>
      </x:c>
      <x:c r="E5957" s="36" t="n">
        <x:v>305000</x:v>
      </x:c>
      <x:c r="F5957" s="36" t="n">
        <x:v>6660</x:v>
      </x:c>
      <x:c r="G5957" s="42" t="n">
        <x:v>1.4285714285714286</x:v>
      </x:c>
      <x:c r="H5957" s="36" t="n">
        <x:f>E5957*G5957</x:f>
        <x:v>435714.28571428574</x:v>
      </x:c>
      <x:c r="I5957" s="36" t="n">
        <x:f>IFERROR(H5957/A5957,0)</x:f>
        <x:v>43571.42857142857</x:v>
      </x:c>
      <x:c r="J5957" s="67" t="str">
        <x:v>Modeled from live base + Sep-2026 quality ratio</x:v>
      </x:c>
      <x:c r="K5957" s="67" t="str">
        <x:v>https://www.stonealgo.com/diamond-prices/</x:v>
      </x:c>
      <x:c r="L5957" s="67" t="str">
        <x:v>https://www.pricescope.com/blog/natural-diamond-prices-september-2026</x:v>
      </x:c>
    </x:row>
    <x:row r="5958">
      <x:c r="A5958" t="n">
        <x:v>10</x:v>
      </x:c>
      <x:c r="B5958" t="str">
        <x:v>Emerald</x:v>
      </x:c>
      <x:c r="C5958" t="str">
        <x:v>D</x:v>
      </x:c>
      <x:c r="D5958" t="str">
        <x:v>VS1</x:v>
      </x:c>
      <x:c r="E5958" s="36" t="n">
        <x:v>305000</x:v>
      </x:c>
      <x:c r="F5958" s="36" t="n">
        <x:v>6247</x:v>
      </x:c>
      <x:c r="G5958" s="42" t="n">
        <x:v>1.33998283998284</x:v>
      </x:c>
      <x:c r="H5958" s="36" t="n">
        <x:f>E5958*G5958</x:f>
        <x:v>408694.7661947662</x:v>
      </x:c>
      <x:c r="I5958" s="36" t="n">
        <x:f>IFERROR(H5958/A5958,0)</x:f>
        <x:v>40869.47661947662</x:v>
      </x:c>
      <x:c r="J5958" s="67" t="str">
        <x:v>Modeled from live base + Sep-2026 quality ratio</x:v>
      </x:c>
      <x:c r="K5958" s="67" t="str">
        <x:v>https://www.stonealgo.com/diamond-prices/</x:v>
      </x:c>
      <x:c r="L5958" s="67" t="str">
        <x:v>https://www.pricescope.com/blog/natural-diamond-prices-september-2026</x:v>
      </x:c>
    </x:row>
    <x:row r="5959">
      <x:c r="A5959" t="n">
        <x:v>10</x:v>
      </x:c>
      <x:c r="B5959" t="str">
        <x:v>Emerald</x:v>
      </x:c>
      <x:c r="C5959" t="str">
        <x:v>D</x:v>
      </x:c>
      <x:c r="D5959" t="str">
        <x:v>VS2</x:v>
      </x:c>
      <x:c r="E5959" s="36" t="n">
        <x:v>305000</x:v>
      </x:c>
      <x:c r="F5959" s="36" t="n">
        <x:v>5841</x:v>
      </x:c>
      <x:c r="G5959" s="42" t="n">
        <x:v>1.252895752895753</x:v>
      </x:c>
      <x:c r="H5959" s="36" t="n">
        <x:f>E5959*G5959</x:f>
        <x:v>382133.2046332047</x:v>
      </x:c>
      <x:c r="I5959" s="36" t="n">
        <x:f>IFERROR(H5959/A5959,0)</x:f>
        <x:v>38213.320463320466</x:v>
      </x:c>
      <x:c r="J5959" s="67" t="str">
        <x:v>Modeled from live base + Sep-2026 quality ratio</x:v>
      </x:c>
      <x:c r="K5959" s="67" t="str">
        <x:v>https://www.stonealgo.com/diamond-prices/</x:v>
      </x:c>
      <x:c r="L5959" s="67" t="str">
        <x:v>https://www.pricescope.com/blog/natural-diamond-prices-september-2026</x:v>
      </x:c>
    </x:row>
    <x:row r="5960">
      <x:c r="A5960" t="n">
        <x:v>10</x:v>
      </x:c>
      <x:c r="B5960" t="str">
        <x:v>Emerald</x:v>
      </x:c>
      <x:c r="C5960" t="str">
        <x:v>D</x:v>
      </x:c>
      <x:c r="D5960" t="str">
        <x:v>SI1</x:v>
      </x:c>
      <x:c r="E5960" s="36" t="n">
        <x:v>305000</x:v>
      </x:c>
      <x:c r="F5960" s="36" t="n">
        <x:v>3762</x:v>
      </x:c>
      <x:c r="G5960" s="42" t="n">
        <x:v>0.806949806949807</x:v>
      </x:c>
      <x:c r="H5960" s="36" t="n">
        <x:f>E5960*G5960</x:f>
        <x:v>246119.69111969112</x:v>
      </x:c>
      <x:c r="I5960" s="36" t="n">
        <x:f>IFERROR(H5960/A5960,0)</x:f>
        <x:v>24611.969111969112</x:v>
      </x:c>
      <x:c r="J5960" s="67" t="str">
        <x:v>Modeled from live base + Sep-2026 quality ratio</x:v>
      </x:c>
      <x:c r="K5960" s="67" t="str">
        <x:v>https://www.stonealgo.com/diamond-prices/</x:v>
      </x:c>
      <x:c r="L5960" s="67" t="str">
        <x:v>https://www.pricescope.com/blog/natural-diamond-prices-september-2026</x:v>
      </x:c>
    </x:row>
    <x:row r="5961">
      <x:c r="A5961" t="n">
        <x:v>10</x:v>
      </x:c>
      <x:c r="B5961" t="str">
        <x:v>Emerald</x:v>
      </x:c>
      <x:c r="C5961" t="str">
        <x:v>D</x:v>
      </x:c>
      <x:c r="D5961" t="str">
        <x:v>SI2</x:v>
      </x:c>
      <x:c r="E5961" s="36" t="n">
        <x:v>305000</x:v>
      </x:c>
      <x:c r="F5961" s="36" t="n">
        <x:v>3026</x:v>
      </x:c>
      <x:c r="G5961" s="42" t="n">
        <x:v>0.6490776490776491</x:v>
      </x:c>
      <x:c r="H5961" s="36" t="n">
        <x:f>E5961*G5961</x:f>
        <x:v>197968.68296868296</x:v>
      </x:c>
      <x:c r="I5961" s="36" t="n">
        <x:f>IFERROR(H5961/A5961,0)</x:f>
        <x:v>19796.868296868295</x:v>
      </x:c>
      <x:c r="J5961" s="67" t="str">
        <x:v>Modeled from live base + Sep-2026 quality ratio</x:v>
      </x:c>
      <x:c r="K5961" s="67" t="str">
        <x:v>https://www.stonealgo.com/diamond-prices/</x:v>
      </x:c>
      <x:c r="L5961" s="67" t="str">
        <x:v>https://www.pricescope.com/blog/natural-diamond-prices-september-2026</x:v>
      </x:c>
    </x:row>
    <x:row r="5962">
      <x:c r="A5962" t="n">
        <x:v>10</x:v>
      </x:c>
      <x:c r="B5962" t="str">
        <x:v>Emerald</x:v>
      </x:c>
      <x:c r="C5962" t="str">
        <x:v>E</x:v>
      </x:c>
      <x:c r="D5962" t="str">
        <x:v>FL</x:v>
      </x:c>
      <x:c r="E5962" s="36" t="n">
        <x:v>305000</x:v>
      </x:c>
      <x:c r="F5962" s="36" t="n">
        <x:v>10072</x:v>
      </x:c>
      <x:c r="G5962" s="42" t="n">
        <x:v>2.1604461604461602</x:v>
      </x:c>
      <x:c r="H5962" s="36" t="n">
        <x:f>E5962*G5962</x:f>
        <x:v>658936.0789360788</x:v>
      </x:c>
      <x:c r="I5962" s="36" t="n">
        <x:f>IFERROR(H5962/A5962,0)</x:f>
        <x:v>65893.60789360788</x:v>
      </x:c>
      <x:c r="J5962" s="67" t="str">
        <x:v>Modeled from live base + Sep-2026 quality ratio</x:v>
      </x:c>
      <x:c r="K5962" s="67" t="str">
        <x:v>https://www.stonealgo.com/diamond-prices/</x:v>
      </x:c>
      <x:c r="L5962" s="67" t="str">
        <x:v>https://www.pricescope.com/blog/natural-diamond-prices-september-2026</x:v>
      </x:c>
    </x:row>
    <x:row r="5963">
      <x:c r="A5963" t="n">
        <x:v>10</x:v>
      </x:c>
      <x:c r="B5963" t="str">
        <x:v>Emerald</x:v>
      </x:c>
      <x:c r="C5963" t="str">
        <x:v>E</x:v>
      </x:c>
      <x:c r="D5963" t="str">
        <x:v>IF</x:v>
      </x:c>
      <x:c r="E5963" s="36" t="n">
        <x:v>305000</x:v>
      </x:c>
      <x:c r="F5963" s="36" t="n">
        <x:v>8672</x:v>
      </x:c>
      <x:c r="G5963" s="42" t="n">
        <x:v>1.8601458601458603</x:v>
      </x:c>
      <x:c r="H5963" s="36" t="n">
        <x:f>E5963*G5963</x:f>
        <x:v>567344.4873444873</x:v>
      </x:c>
      <x:c r="I5963" s="36" t="n">
        <x:f>IFERROR(H5963/A5963,0)</x:f>
        <x:v>56734.448734448735</x:v>
      </x:c>
      <x:c r="J5963" s="67" t="str">
        <x:v>Modeled from live base + Sep-2026 quality ratio</x:v>
      </x:c>
      <x:c r="K5963" s="67" t="str">
        <x:v>https://www.stonealgo.com/diamond-prices/</x:v>
      </x:c>
      <x:c r="L5963" s="67" t="str">
        <x:v>https://www.pricescope.com/blog/natural-diamond-prices-september-2026</x:v>
      </x:c>
    </x:row>
    <x:row r="5964">
      <x:c r="A5964" t="n">
        <x:v>10</x:v>
      </x:c>
      <x:c r="B5964" t="str">
        <x:v>Emerald</x:v>
      </x:c>
      <x:c r="C5964" t="str">
        <x:v>E</x:v>
      </x:c>
      <x:c r="D5964" t="str">
        <x:v>VVS1</x:v>
      </x:c>
      <x:c r="E5964" s="36" t="n">
        <x:v>305000</x:v>
      </x:c>
      <x:c r="F5964" s="36" t="n">
        <x:v>7842</x:v>
      </x:c>
      <x:c r="G5964" s="42" t="n">
        <x:v>1.6821106821106822</x:v>
      </x:c>
      <x:c r="H5964" s="36" t="n">
        <x:f>E5964*G5964</x:f>
        <x:v>513043.75804375805</x:v>
      </x:c>
      <x:c r="I5964" s="36" t="n">
        <x:f>IFERROR(H5964/A5964,0)</x:f>
        <x:v>51304.375804375806</x:v>
      </x:c>
      <x:c r="J5964" s="67" t="str">
        <x:v>Modeled from live base + Sep-2026 quality ratio</x:v>
      </x:c>
      <x:c r="K5964" s="67" t="str">
        <x:v>https://www.stonealgo.com/diamond-prices/</x:v>
      </x:c>
      <x:c r="L5964" s="67" t="str">
        <x:v>https://www.pricescope.com/blog/natural-diamond-prices-september-2026</x:v>
      </x:c>
    </x:row>
    <x:row r="5965">
      <x:c r="A5965" t="n">
        <x:v>10</x:v>
      </x:c>
      <x:c r="B5965" t="str">
        <x:v>Emerald</x:v>
      </x:c>
      <x:c r="C5965" t="str">
        <x:v>E</x:v>
      </x:c>
      <x:c r="D5965" t="str">
        <x:v>VVS2</x:v>
      </x:c>
      <x:c r="E5965" s="36" t="n">
        <x:v>305000</x:v>
      </x:c>
      <x:c r="F5965" s="36" t="n">
        <x:v>6880</x:v>
      </x:c>
      <x:c r="G5965" s="42" t="n">
        <x:v>1.4757614757614759</x:v>
      </x:c>
      <x:c r="H5965" s="36" t="n">
        <x:f>E5965*G5965</x:f>
        <x:v>450107.2501072501</x:v>
      </x:c>
      <x:c r="I5965" s="36" t="n">
        <x:f>IFERROR(H5965/A5965,0)</x:f>
        <x:v>45010.725010725015</x:v>
      </x:c>
      <x:c r="J5965" s="67" t="str">
        <x:v>Modeled from live base + Sep-2026 quality ratio</x:v>
      </x:c>
      <x:c r="K5965" s="67" t="str">
        <x:v>https://www.stonealgo.com/diamond-prices/</x:v>
      </x:c>
      <x:c r="L5965" s="67" t="str">
        <x:v>https://www.pricescope.com/blog/natural-diamond-prices-september-2026</x:v>
      </x:c>
    </x:row>
    <x:row r="5966">
      <x:c r="A5966" t="n">
        <x:v>10</x:v>
      </x:c>
      <x:c r="B5966" t="str">
        <x:v>Emerald</x:v>
      </x:c>
      <x:c r="C5966" t="str">
        <x:v>E</x:v>
      </x:c>
      <x:c r="D5966" t="str">
        <x:v>VS1</x:v>
      </x:c>
      <x:c r="E5966" s="36" t="n">
        <x:v>305000</x:v>
      </x:c>
      <x:c r="F5966" s="36" t="n">
        <x:v>6307</x:v>
      </x:c>
      <x:c r="G5966" s="42" t="n">
        <x:v>1.352852852852853</x:v>
      </x:c>
      <x:c r="H5966" s="36" t="n">
        <x:f>E5966*G5966</x:f>
        <x:v>412620.1201201202</x:v>
      </x:c>
      <x:c r="I5966" s="36" t="n">
        <x:f>IFERROR(H5966/A5966,0)</x:f>
        <x:v>41262.01201201202</x:v>
      </x:c>
      <x:c r="J5966" s="67" t="str">
        <x:v>Modeled from live base + Sep-2026 quality ratio</x:v>
      </x:c>
      <x:c r="K5966" s="67" t="str">
        <x:v>https://www.stonealgo.com/diamond-prices/</x:v>
      </x:c>
      <x:c r="L5966" s="67" t="str">
        <x:v>https://www.pricescope.com/blog/natural-diamond-prices-september-2026</x:v>
      </x:c>
    </x:row>
    <x:row r="5967">
      <x:c r="A5967" t="n">
        <x:v>10</x:v>
      </x:c>
      <x:c r="B5967" t="str">
        <x:v>Emerald</x:v>
      </x:c>
      <x:c r="C5967" t="str">
        <x:v>E</x:v>
      </x:c>
      <x:c r="D5967" t="str">
        <x:v>VS2</x:v>
      </x:c>
      <x:c r="E5967" s="36" t="n">
        <x:v>305000</x:v>
      </x:c>
      <x:c r="F5967" s="36" t="n">
        <x:v>5249</x:v>
      </x:c>
      <x:c r="G5967" s="42" t="n">
        <x:v>1.125911625911626</x:v>
      </x:c>
      <x:c r="H5967" s="36" t="n">
        <x:f>E5967*G5967</x:f>
        <x:v>343403.0459030459</x:v>
      </x:c>
      <x:c r="I5967" s="36" t="n">
        <x:f>IFERROR(H5967/A5967,0)</x:f>
        <x:v>34340.30459030459</x:v>
      </x:c>
      <x:c r="J5967" s="67" t="str">
        <x:v>Modeled from live base + Sep-2026 quality ratio</x:v>
      </x:c>
      <x:c r="K5967" s="67" t="str">
        <x:v>https://www.stonealgo.com/diamond-prices/</x:v>
      </x:c>
      <x:c r="L5967" s="67" t="str">
        <x:v>https://www.pricescope.com/blog/natural-diamond-prices-september-2026</x:v>
      </x:c>
    </x:row>
    <x:row r="5968">
      <x:c r="A5968" t="n">
        <x:v>10</x:v>
      </x:c>
      <x:c r="B5968" t="str">
        <x:v>Emerald</x:v>
      </x:c>
      <x:c r="C5968" t="str">
        <x:v>E</x:v>
      </x:c>
      <x:c r="D5968" t="str">
        <x:v>SI1</x:v>
      </x:c>
      <x:c r="E5968" s="36" t="n">
        <x:v>305000</x:v>
      </x:c>
      <x:c r="F5968" s="36" t="n">
        <x:v>3551</x:v>
      </x:c>
      <x:c r="G5968" s="42" t="n">
        <x:v>0.7616902616902617</x:v>
      </x:c>
      <x:c r="H5968" s="36" t="n">
        <x:f>E5968*G5968</x:f>
        <x:v>232315.5298155298</x:v>
      </x:c>
      <x:c r="I5968" s="36" t="n">
        <x:f>IFERROR(H5968/A5968,0)</x:f>
        <x:v>23231.55298155298</x:v>
      </x:c>
      <x:c r="J5968" s="67" t="str">
        <x:v>Modeled from live base + Sep-2026 quality ratio</x:v>
      </x:c>
      <x:c r="K5968" s="67" t="str">
        <x:v>https://www.stonealgo.com/diamond-prices/</x:v>
      </x:c>
      <x:c r="L5968" s="67" t="str">
        <x:v>https://www.pricescope.com/blog/natural-diamond-prices-september-2026</x:v>
      </x:c>
    </x:row>
    <x:row r="5969">
      <x:c r="A5969" t="n">
        <x:v>10</x:v>
      </x:c>
      <x:c r="B5969" t="str">
        <x:v>Emerald</x:v>
      </x:c>
      <x:c r="C5969" t="str">
        <x:v>E</x:v>
      </x:c>
      <x:c r="D5969" t="str">
        <x:v>SI2</x:v>
      </x:c>
      <x:c r="E5969" s="36" t="n">
        <x:v>305000</x:v>
      </x:c>
      <x:c r="F5969" s="36" t="n">
        <x:v>2993</x:v>
      </x:c>
      <x:c r="G5969" s="42" t="n">
        <x:v>0.641999141999142</x:v>
      </x:c>
      <x:c r="H5969" s="36" t="n">
        <x:f>E5969*G5969</x:f>
        <x:v>195809.7383097383</x:v>
      </x:c>
      <x:c r="I5969" s="36" t="n">
        <x:f>IFERROR(H5969/A5969,0)</x:f>
        <x:v>19580.97383097383</x:v>
      </x:c>
      <x:c r="J5969" s="67" t="str">
        <x:v>Modeled from live base + Sep-2026 quality ratio</x:v>
      </x:c>
      <x:c r="K5969" s="67" t="str">
        <x:v>https://www.stonealgo.com/diamond-prices/</x:v>
      </x:c>
      <x:c r="L5969" s="67" t="str">
        <x:v>https://www.pricescope.com/blog/natural-diamond-prices-september-2026</x:v>
      </x:c>
    </x:row>
    <x:row r="5970">
      <x:c r="A5970" t="n">
        <x:v>10</x:v>
      </x:c>
      <x:c r="B5970" t="str">
        <x:v>Emerald</x:v>
      </x:c>
      <x:c r="C5970" t="str">
        <x:v>F</x:v>
      </x:c>
      <x:c r="D5970" t="str">
        <x:v>FL</x:v>
      </x:c>
      <x:c r="E5970" s="36" t="n">
        <x:v>305000</x:v>
      </x:c>
      <x:c r="F5970" s="36" t="n">
        <x:v>6830</x:v>
      </x:c>
      <x:c r="G5970" s="42" t="n">
        <x:v>1.4650364650364651</x:v>
      </x:c>
      <x:c r="H5970" s="36" t="n">
        <x:f>E5970*G5970</x:f>
        <x:v>446836.12183612183</x:v>
      </x:c>
      <x:c r="I5970" s="36" t="n">
        <x:f>IFERROR(H5970/A5970,0)</x:f>
        <x:v>44683.61218361218</x:v>
      </x:c>
      <x:c r="J5970" s="67" t="str">
        <x:v>Modeled from live base + Sep-2026 quality ratio</x:v>
      </x:c>
      <x:c r="K5970" s="67" t="str">
        <x:v>https://www.stonealgo.com/diamond-prices/</x:v>
      </x:c>
      <x:c r="L5970" s="67" t="str">
        <x:v>https://www.pricescope.com/blog/natural-diamond-prices-september-2026</x:v>
      </x:c>
    </x:row>
    <x:row r="5971">
      <x:c r="A5971" t="n">
        <x:v>10</x:v>
      </x:c>
      <x:c r="B5971" t="str">
        <x:v>Emerald</x:v>
      </x:c>
      <x:c r="C5971" t="str">
        <x:v>F</x:v>
      </x:c>
      <x:c r="D5971" t="str">
        <x:v>IF</x:v>
      </x:c>
      <x:c r="E5971" s="36" t="n">
        <x:v>305000</x:v>
      </x:c>
      <x:c r="F5971" s="36" t="n">
        <x:v>7302</x:v>
      </x:c>
      <x:c r="G5971" s="42" t="n">
        <x:v>1.5662805662805663</x:v>
      </x:c>
      <x:c r="H5971" s="36" t="n">
        <x:f>E5971*G5971</x:f>
        <x:v>477715.5727155727</x:v>
      </x:c>
      <x:c r="I5971" s="36" t="n">
        <x:f>IFERROR(H5971/A5971,0)</x:f>
        <x:v>47771.55727155727</x:v>
      </x:c>
      <x:c r="J5971" s="67" t="str">
        <x:v>Modeled from live base + Sep-2026 quality ratio</x:v>
      </x:c>
      <x:c r="K5971" s="67" t="str">
        <x:v>https://www.stonealgo.com/diamond-prices/</x:v>
      </x:c>
      <x:c r="L5971" s="67" t="str">
        <x:v>https://www.pricescope.com/blog/natural-diamond-prices-september-2026</x:v>
      </x:c>
    </x:row>
    <x:row r="5972">
      <x:c r="A5972" t="n">
        <x:v>10</x:v>
      </x:c>
      <x:c r="B5972" t="str">
        <x:v>Emerald</x:v>
      </x:c>
      <x:c r="C5972" t="str">
        <x:v>F</x:v>
      </x:c>
      <x:c r="D5972" t="str">
        <x:v>VVS1</x:v>
      </x:c>
      <x:c r="E5972" s="36" t="n">
        <x:v>305000</x:v>
      </x:c>
      <x:c r="F5972" s="36" t="n">
        <x:v>7542</x:v>
      </x:c>
      <x:c r="G5972" s="42" t="n">
        <x:v>1.6177606177606179</x:v>
      </x:c>
      <x:c r="H5972" s="36" t="n">
        <x:f>E5972*G5972</x:f>
        <x:v>493416.98841698846</x:v>
      </x:c>
      <x:c r="I5972" s="36" t="n">
        <x:f>IFERROR(H5972/A5972,0)</x:f>
        <x:v>49341.698841698846</x:v>
      </x:c>
      <x:c r="J5972" s="67" t="str">
        <x:v>Modeled from live base + Sep-2026 quality ratio</x:v>
      </x:c>
      <x:c r="K5972" s="67" t="str">
        <x:v>https://www.stonealgo.com/diamond-prices/</x:v>
      </x:c>
      <x:c r="L5972" s="67" t="str">
        <x:v>https://www.pricescope.com/blog/natural-diamond-prices-september-2026</x:v>
      </x:c>
    </x:row>
    <x:row r="5973">
      <x:c r="A5973" t="n">
        <x:v>10</x:v>
      </x:c>
      <x:c r="B5973" t="str">
        <x:v>Emerald</x:v>
      </x:c>
      <x:c r="C5973" t="str">
        <x:v>F</x:v>
      </x:c>
      <x:c r="D5973" t="str">
        <x:v>VVS2</x:v>
      </x:c>
      <x:c r="E5973" s="36" t="n">
        <x:v>305000</x:v>
      </x:c>
      <x:c r="F5973" s="36" t="n">
        <x:v>6352</x:v>
      </x:c>
      <x:c r="G5973" s="42" t="n">
        <x:v>1.3625053625053625</x:v>
      </x:c>
      <x:c r="H5973" s="36" t="n">
        <x:f>E5973*G5973</x:f>
        <x:v>415564.13556413556</x:v>
      </x:c>
      <x:c r="I5973" s="36" t="n">
        <x:f>IFERROR(H5973/A5973,0)</x:f>
        <x:v>41556.41355641356</x:v>
      </x:c>
      <x:c r="J5973" s="67" t="str">
        <x:v>Modeled from live base + Sep-2026 quality ratio</x:v>
      </x:c>
      <x:c r="K5973" s="67" t="str">
        <x:v>https://www.stonealgo.com/diamond-prices/</x:v>
      </x:c>
      <x:c r="L5973" s="67" t="str">
        <x:v>https://www.pricescope.com/blog/natural-diamond-prices-september-2026</x:v>
      </x:c>
    </x:row>
    <x:row r="5974">
      <x:c r="A5974" t="n">
        <x:v>10</x:v>
      </x:c>
      <x:c r="B5974" t="str">
        <x:v>Emerald</x:v>
      </x:c>
      <x:c r="C5974" t="str">
        <x:v>F</x:v>
      </x:c>
      <x:c r="D5974" t="str">
        <x:v>VS1</x:v>
      </x:c>
      <x:c r="E5974" s="36" t="n">
        <x:v>305000</x:v>
      </x:c>
      <x:c r="F5974" s="36" t="n">
        <x:v>5647</x:v>
      </x:c>
      <x:c r="G5974" s="42" t="n">
        <x:v>1.2112827112827114</x:v>
      </x:c>
      <x:c r="H5974" s="36" t="n">
        <x:f>E5974*G5974</x:f>
        <x:v>369441.226941227</x:v>
      </x:c>
      <x:c r="I5974" s="36" t="n">
        <x:f>IFERROR(H5974/A5974,0)</x:f>
        <x:v>36944.1226941227</x:v>
      </x:c>
      <x:c r="J5974" s="67" t="str">
        <x:v>Modeled from live base + Sep-2026 quality ratio</x:v>
      </x:c>
      <x:c r="K5974" s="67" t="str">
        <x:v>https://www.stonealgo.com/diamond-prices/</x:v>
      </x:c>
      <x:c r="L5974" s="67" t="str">
        <x:v>https://www.pricescope.com/blog/natural-diamond-prices-september-2026</x:v>
      </x:c>
    </x:row>
    <x:row r="5975">
      <x:c r="A5975" t="n">
        <x:v>10</x:v>
      </x:c>
      <x:c r="B5975" t="str">
        <x:v>Emerald</x:v>
      </x:c>
      <x:c r="C5975" t="str">
        <x:v>F</x:v>
      </x:c>
      <x:c r="D5975" t="str">
        <x:v>VS2</x:v>
      </x:c>
      <x:c r="E5975" s="36" t="n">
        <x:v>305000</x:v>
      </x:c>
      <x:c r="F5975" s="36" t="n">
        <x:v>4730</x:v>
      </x:c>
      <x:c r="G5975" s="42" t="n">
        <x:v>1.0145860145860146</x:v>
      </x:c>
      <x:c r="H5975" s="36" t="n">
        <x:f>E5975*G5975</x:f>
        <x:v>309448.73444873444</x:v>
      </x:c>
      <x:c r="I5975" s="36" t="n">
        <x:f>IFERROR(H5975/A5975,0)</x:f>
        <x:v>30944.873444873443</x:v>
      </x:c>
      <x:c r="J5975" s="67" t="str">
        <x:v>Modeled from live base + Sep-2026 quality ratio</x:v>
      </x:c>
      <x:c r="K5975" s="67" t="str">
        <x:v>https://www.stonealgo.com/diamond-prices/</x:v>
      </x:c>
      <x:c r="L5975" s="67" t="str">
        <x:v>https://www.pricescope.com/blog/natural-diamond-prices-september-2026</x:v>
      </x:c>
    </x:row>
    <x:row r="5976">
      <x:c r="A5976" t="n">
        <x:v>10</x:v>
      </x:c>
      <x:c r="B5976" t="str">
        <x:v>Emerald</x:v>
      </x:c>
      <x:c r="C5976" t="str">
        <x:v>F</x:v>
      </x:c>
      <x:c r="D5976" t="str">
        <x:v>SI1</x:v>
      </x:c>
      <x:c r="E5976" s="36" t="n">
        <x:v>305000</x:v>
      </x:c>
      <x:c r="F5976" s="36" t="n">
        <x:v>3331</x:v>
      </x:c>
      <x:c r="G5976" s="42" t="n">
        <x:v>0.7145002145002145</x:v>
      </x:c>
      <x:c r="H5976" s="36" t="n">
        <x:f>E5976*G5976</x:f>
        <x:v>217922.5654225654</x:v>
      </x:c>
      <x:c r="I5976" s="36" t="n">
        <x:f>IFERROR(H5976/A5976,0)</x:f>
        <x:v>21792.256542256542</x:v>
      </x:c>
      <x:c r="J5976" s="67" t="str">
        <x:v>Modeled from live base + Sep-2026 quality ratio</x:v>
      </x:c>
      <x:c r="K5976" s="67" t="str">
        <x:v>https://www.stonealgo.com/diamond-prices/</x:v>
      </x:c>
      <x:c r="L5976" s="67" t="str">
        <x:v>https://www.pricescope.com/blog/natural-diamond-prices-september-2026</x:v>
      </x:c>
    </x:row>
    <x:row r="5977">
      <x:c r="A5977" t="n">
        <x:v>10</x:v>
      </x:c>
      <x:c r="B5977" t="str">
        <x:v>Emerald</x:v>
      </x:c>
      <x:c r="C5977" t="str">
        <x:v>F</x:v>
      </x:c>
      <x:c r="D5977" t="str">
        <x:v>SI2</x:v>
      </x:c>
      <x:c r="E5977" s="36" t="n">
        <x:v>305000</x:v>
      </x:c>
      <x:c r="F5977" s="36" t="n">
        <x:v>2733</x:v>
      </x:c>
      <x:c r="G5977" s="42" t="n">
        <x:v>0.5862290862290862</x:v>
      </x:c>
      <x:c r="H5977" s="36" t="n">
        <x:f>E5977*G5977</x:f>
        <x:v>178799.8712998713</x:v>
      </x:c>
      <x:c r="I5977" s="36" t="n">
        <x:f>IFERROR(H5977/A5977,0)</x:f>
        <x:v>17879.98712998713</x:v>
      </x:c>
      <x:c r="J5977" s="67" t="str">
        <x:v>Modeled from live base + Sep-2026 quality ratio</x:v>
      </x:c>
      <x:c r="K5977" s="67" t="str">
        <x:v>https://www.stonealgo.com/diamond-prices/</x:v>
      </x:c>
      <x:c r="L5977" s="67" t="str">
        <x:v>https://www.pricescope.com/blog/natural-diamond-prices-september-2026</x:v>
      </x:c>
    </x:row>
    <x:row r="5978">
      <x:c r="A5978" t="n">
        <x:v>10</x:v>
      </x:c>
      <x:c r="B5978" t="str">
        <x:v>Emerald</x:v>
      </x:c>
      <x:c r="C5978" t="str">
        <x:v>G</x:v>
      </x:c>
      <x:c r="D5978" t="str">
        <x:v>FL</x:v>
      </x:c>
      <x:c r="E5978" s="36" t="n">
        <x:v>305000</x:v>
      </x:c>
      <x:c r="F5978" s="36" t="n">
        <x:v>5905</x:v>
      </x:c>
      <x:c r="G5978" s="42" t="n">
        <x:v>1.2666237666237665</x:v>
      </x:c>
      <x:c r="H5978" s="36" t="n">
        <x:f>E5978*G5978</x:f>
        <x:v>386320.2488202488</x:v>
      </x:c>
      <x:c r="I5978" s="36" t="n">
        <x:f>IFERROR(H5978/A5978,0)</x:f>
        <x:v>38632.02488202488</x:v>
      </x:c>
      <x:c r="J5978" s="67" t="str">
        <x:v>Modeled from live base + Sep-2026 quality ratio</x:v>
      </x:c>
      <x:c r="K5978" s="67" t="str">
        <x:v>https://www.stonealgo.com/diamond-prices/</x:v>
      </x:c>
      <x:c r="L5978" s="67" t="str">
        <x:v>https://www.pricescope.com/blog/natural-diamond-prices-september-2026</x:v>
      </x:c>
    </x:row>
    <x:row r="5979">
      <x:c r="A5979" t="n">
        <x:v>10</x:v>
      </x:c>
      <x:c r="B5979" t="str">
        <x:v>Emerald</x:v>
      </x:c>
      <x:c r="C5979" t="str">
        <x:v>G</x:v>
      </x:c>
      <x:c r="D5979" t="str">
        <x:v>IF</x:v>
      </x:c>
      <x:c r="E5979" s="36" t="n">
        <x:v>305000</x:v>
      </x:c>
      <x:c r="F5979" s="36" t="n">
        <x:v>5601</x:v>
      </x:c>
      <x:c r="G5979" s="42" t="n">
        <x:v>1.2014157014157014</x:v>
      </x:c>
      <x:c r="H5979" s="36" t="n">
        <x:f>E5979*G5979</x:f>
        <x:v>366431.78893178893</x:v>
      </x:c>
      <x:c r="I5979" s="36" t="n">
        <x:f>IFERROR(H5979/A5979,0)</x:f>
        <x:v>36643.17889317889</x:v>
      </x:c>
      <x:c r="J5979" s="67" t="str">
        <x:v>Modeled from live base + Sep-2026 quality ratio</x:v>
      </x:c>
      <x:c r="K5979" s="67" t="str">
        <x:v>https://www.stonealgo.com/diamond-prices/</x:v>
      </x:c>
      <x:c r="L5979" s="67" t="str">
        <x:v>https://www.pricescope.com/blog/natural-diamond-prices-september-2026</x:v>
      </x:c>
    </x:row>
    <x:row r="5980">
      <x:c r="A5980" t="n">
        <x:v>10</x:v>
      </x:c>
      <x:c r="B5980" t="str">
        <x:v>Emerald</x:v>
      </x:c>
      <x:c r="C5980" t="str">
        <x:v>G</x:v>
      </x:c>
      <x:c r="D5980" t="str">
        <x:v>VVS1</x:v>
      </x:c>
      <x:c r="E5980" s="36" t="n">
        <x:v>305000</x:v>
      </x:c>
      <x:c r="F5980" s="36" t="n">
        <x:v>5124</x:v>
      </x:c>
      <x:c r="G5980" s="42" t="n">
        <x:v>1.0990990990990992</x:v>
      </x:c>
      <x:c r="H5980" s="36" t="n">
        <x:f>E5980*G5980</x:f>
        <x:v>335225.22522522527</x:v>
      </x:c>
      <x:c r="I5980" s="36" t="n">
        <x:f>IFERROR(H5980/A5980,0)</x:f>
        <x:v>33522.52252252253</x:v>
      </x:c>
      <x:c r="J5980" s="67" t="str">
        <x:v>Modeled from live base + Sep-2026 quality ratio</x:v>
      </x:c>
      <x:c r="K5980" s="67" t="str">
        <x:v>https://www.stonealgo.com/diamond-prices/</x:v>
      </x:c>
      <x:c r="L5980" s="67" t="str">
        <x:v>https://www.pricescope.com/blog/natural-diamond-prices-september-2026</x:v>
      </x:c>
    </x:row>
    <x:row r="5981">
      <x:c r="A5981" t="n">
        <x:v>10</x:v>
      </x:c>
      <x:c r="B5981" t="str">
        <x:v>Emerald</x:v>
      </x:c>
      <x:c r="C5981" t="str">
        <x:v>G</x:v>
      </x:c>
      <x:c r="D5981" t="str">
        <x:v>VVS2</x:v>
      </x:c>
      <x:c r="E5981" s="36" t="n">
        <x:v>305000</x:v>
      </x:c>
      <x:c r="F5981" s="36" t="n">
        <x:v>4962</x:v>
      </x:c>
      <x:c r="G5981" s="42" t="n">
        <x:v>1.0643500643500643</x:v>
      </x:c>
      <x:c r="H5981" s="36" t="n">
        <x:f>E5981*G5981</x:f>
        <x:v>324626.7696267696</x:v>
      </x:c>
      <x:c r="I5981" s="36" t="n">
        <x:f>IFERROR(H5981/A5981,0)</x:f>
        <x:v>32462.67696267696</x:v>
      </x:c>
      <x:c r="J5981" s="67" t="str">
        <x:v>Modeled from live base + Sep-2026 quality ratio</x:v>
      </x:c>
      <x:c r="K5981" s="67" t="str">
        <x:v>https://www.stonealgo.com/diamond-prices/</x:v>
      </x:c>
      <x:c r="L5981" s="67" t="str">
        <x:v>https://www.pricescope.com/blog/natural-diamond-prices-september-2026</x:v>
      </x:c>
    </x:row>
    <x:row r="5982">
      <x:c r="A5982" t="n">
        <x:v>10</x:v>
      </x:c>
      <x:c r="B5982" t="str">
        <x:v>Emerald</x:v>
      </x:c>
      <x:c r="C5982" t="str">
        <x:v>G</x:v>
      </x:c>
      <x:c r="D5982" t="str">
        <x:v>VS1</x:v>
      </x:c>
      <x:c r="E5982" s="36" t="n">
        <x:v>305000</x:v>
      </x:c>
      <x:c r="F5982" s="36" t="n">
        <x:v>4615</x:v>
      </x:c>
      <x:c r="G5982" s="42" t="n">
        <x:v>0.98991848991849</x:v>
      </x:c>
      <x:c r="H5982" s="36" t="n">
        <x:f>E5982*G5982</x:f>
        <x:v>301925.13942513947</x:v>
      </x:c>
      <x:c r="I5982" s="36" t="n">
        <x:f>IFERROR(H5982/A5982,0)</x:f>
        <x:v>30192.513942513946</x:v>
      </x:c>
      <x:c r="J5982" s="67" t="str">
        <x:v>Modeled from live base + Sep-2026 quality ratio</x:v>
      </x:c>
      <x:c r="K5982" s="67" t="str">
        <x:v>https://www.stonealgo.com/diamond-prices/</x:v>
      </x:c>
      <x:c r="L5982" s="67" t="str">
        <x:v>https://www.pricescope.com/blog/natural-diamond-prices-september-2026</x:v>
      </x:c>
    </x:row>
    <x:row r="5983">
      <x:c r="A5983" t="n">
        <x:v>10</x:v>
      </x:c>
      <x:c r="B5983" t="str">
        <x:v>Emerald</x:v>
      </x:c>
      <x:c r="C5983" t="str">
        <x:v>G</x:v>
      </x:c>
      <x:c r="D5983" t="str">
        <x:v>VS2</x:v>
      </x:c>
      <x:c r="E5983" s="36" t="n">
        <x:v>305000</x:v>
      </x:c>
      <x:c r="F5983" s="36" t="n">
        <x:v>4585</x:v>
      </x:c>
      <x:c r="G5983" s="42" t="n">
        <x:v>0.9834834834834835</x:v>
      </x:c>
      <x:c r="H5983" s="36" t="n">
        <x:f>E5983*G5983</x:f>
        <x:v>299962.4624624625</x:v>
      </x:c>
      <x:c r="I5983" s="36" t="n">
        <x:f>IFERROR(H5983/A5983,0)</x:f>
        <x:v>29996.24624624625</x:v>
      </x:c>
      <x:c r="J5983" s="67" t="str">
        <x:v>Modeled from live base + Sep-2026 quality ratio</x:v>
      </x:c>
      <x:c r="K5983" s="67" t="str">
        <x:v>https://www.stonealgo.com/diamond-prices/</x:v>
      </x:c>
      <x:c r="L5983" s="67" t="str">
        <x:v>https://www.pricescope.com/blog/natural-diamond-prices-september-2026</x:v>
      </x:c>
    </x:row>
    <x:row r="5984">
      <x:c r="A5984" t="n">
        <x:v>10</x:v>
      </x:c>
      <x:c r="B5984" t="str">
        <x:v>Emerald</x:v>
      </x:c>
      <x:c r="C5984" t="str">
        <x:v>G</x:v>
      </x:c>
      <x:c r="D5984" t="str">
        <x:v>SI1</x:v>
      </x:c>
      <x:c r="E5984" s="36" t="n">
        <x:v>305000</x:v>
      </x:c>
      <x:c r="F5984" s="36" t="n">
        <x:v>3664</x:v>
      </x:c>
      <x:c r="G5984" s="42" t="n">
        <x:v>0.7859287859287859</x:v>
      </x:c>
      <x:c r="H5984" s="36" t="n">
        <x:f>E5984*G5984</x:f>
        <x:v>239708.2797082797</x:v>
      </x:c>
      <x:c r="I5984" s="36" t="n">
        <x:f>IFERROR(H5984/A5984,0)</x:f>
        <x:v>23970.82797082797</x:v>
      </x:c>
      <x:c r="J5984" s="67" t="str">
        <x:v>Modeled from live base + Sep-2026 quality ratio</x:v>
      </x:c>
      <x:c r="K5984" s="67" t="str">
        <x:v>https://www.stonealgo.com/diamond-prices/</x:v>
      </x:c>
      <x:c r="L5984" s="67" t="str">
        <x:v>https://www.pricescope.com/blog/natural-diamond-prices-september-2026</x:v>
      </x:c>
    </x:row>
    <x:row r="5985">
      <x:c r="A5985" t="n">
        <x:v>10</x:v>
      </x:c>
      <x:c r="B5985" t="str">
        <x:v>Emerald</x:v>
      </x:c>
      <x:c r="C5985" t="str">
        <x:v>G</x:v>
      </x:c>
      <x:c r="D5985" t="str">
        <x:v>SI2</x:v>
      </x:c>
      <x:c r="E5985" s="36" t="n">
        <x:v>305000</x:v>
      </x:c>
      <x:c r="F5985" s="36" t="n">
        <x:v>2537</x:v>
      </x:c>
      <x:c r="G5985" s="42" t="n">
        <x:v>0.5441870441870442</x:v>
      </x:c>
      <x:c r="H5985" s="36" t="n">
        <x:f>E5985*G5985</x:f>
        <x:v>165977.0484770485</x:v>
      </x:c>
      <x:c r="I5985" s="36" t="n">
        <x:f>IFERROR(H5985/A5985,0)</x:f>
        <x:v>16597.70484770485</x:v>
      </x:c>
      <x:c r="J5985" s="67" t="str">
        <x:v>Modeled from live base + Sep-2026 quality ratio</x:v>
      </x:c>
      <x:c r="K5985" s="67" t="str">
        <x:v>https://www.stonealgo.com/diamond-prices/</x:v>
      </x:c>
      <x:c r="L5985" s="67" t="str">
        <x:v>https://www.pricescope.com/blog/natural-diamond-prices-september-2026</x:v>
      </x:c>
    </x:row>
    <x:row r="5986">
      <x:c r="A5986" t="n">
        <x:v>10</x:v>
      </x:c>
      <x:c r="B5986" t="str">
        <x:v>Emerald</x:v>
      </x:c>
      <x:c r="C5986" t="str">
        <x:v>H</x:v>
      </x:c>
      <x:c r="D5986" t="str">
        <x:v>FL</x:v>
      </x:c>
      <x:c r="E5986" s="36" t="n">
        <x:v>305000</x:v>
      </x:c>
      <x:c r="F5986" s="36" t="n">
        <x:v>4563</x:v>
      </x:c>
      <x:c r="G5986" s="42" t="n">
        <x:v>0.9787644787644788</x:v>
      </x:c>
      <x:c r="H5986" s="36" t="n">
        <x:f>E5986*G5986</x:f>
        <x:v>298523.16602316604</x:v>
      </x:c>
      <x:c r="I5986" s="36" t="n">
        <x:f>IFERROR(H5986/A5986,0)</x:f>
        <x:v>29852.316602316605</x:v>
      </x:c>
      <x:c r="J5986" s="67" t="str">
        <x:v>Modeled from live base + Sep-2026 quality ratio</x:v>
      </x:c>
      <x:c r="K5986" s="67" t="str">
        <x:v>https://www.stonealgo.com/diamond-prices/</x:v>
      </x:c>
      <x:c r="L5986" s="67" t="str">
        <x:v>https://www.pricescope.com/blog/natural-diamond-prices-september-2026</x:v>
      </x:c>
    </x:row>
    <x:row r="5987">
      <x:c r="A5987" t="n">
        <x:v>10</x:v>
      </x:c>
      <x:c r="B5987" t="str">
        <x:v>Emerald</x:v>
      </x:c>
      <x:c r="C5987" t="str">
        <x:v>H</x:v>
      </x:c>
      <x:c r="D5987" t="str">
        <x:v>IF</x:v>
      </x:c>
      <x:c r="E5987" s="36" t="n">
        <x:v>305000</x:v>
      </x:c>
      <x:c r="F5987" s="36" t="n">
        <x:v>4809</x:v>
      </x:c>
      <x:c r="G5987" s="42" t="n">
        <x:v>1.0315315315315314</x:v>
      </x:c>
      <x:c r="H5987" s="36" t="n">
        <x:f>E5987*G5987</x:f>
        <x:v>314617.1171171171</x:v>
      </x:c>
      <x:c r="I5987" s="36" t="n">
        <x:f>IFERROR(H5987/A5987,0)</x:f>
        <x:v>31461.71171171171</x:v>
      </x:c>
      <x:c r="J5987" s="67" t="str">
        <x:v>Modeled from live base + Sep-2026 quality ratio</x:v>
      </x:c>
      <x:c r="K5987" s="67" t="str">
        <x:v>https://www.stonealgo.com/diamond-prices/</x:v>
      </x:c>
      <x:c r="L5987" s="67" t="str">
        <x:v>https://www.pricescope.com/blog/natural-diamond-prices-september-2026</x:v>
      </x:c>
    </x:row>
    <x:row r="5988">
      <x:c r="A5988" t="n">
        <x:v>10</x:v>
      </x:c>
      <x:c r="B5988" t="str">
        <x:v>Emerald</x:v>
      </x:c>
      <x:c r="C5988" t="str">
        <x:v>H</x:v>
      </x:c>
      <x:c r="D5988" t="str">
        <x:v>VVS1</x:v>
      </x:c>
      <x:c r="E5988" s="36" t="n">
        <x:v>305000</x:v>
      </x:c>
      <x:c r="F5988" s="36" t="n">
        <x:v>4911</x:v>
      </x:c>
      <x:c r="G5988" s="42" t="n">
        <x:v>1.0534105534105533</x:v>
      </x:c>
      <x:c r="H5988" s="36" t="n">
        <x:f>E5988*G5988</x:f>
        <x:v>321290.21879021876</x:v>
      </x:c>
      <x:c r="I5988" s="36" t="n">
        <x:f>IFERROR(H5988/A5988,0)</x:f>
        <x:v>32129.021879021875</x:v>
      </x:c>
      <x:c r="J5988" s="67" t="str">
        <x:v>Modeled from live base + Sep-2026 quality ratio</x:v>
      </x:c>
      <x:c r="K5988" s="67" t="str">
        <x:v>https://www.stonealgo.com/diamond-prices/</x:v>
      </x:c>
      <x:c r="L5988" s="67" t="str">
        <x:v>https://www.pricescope.com/blog/natural-diamond-prices-september-2026</x:v>
      </x:c>
    </x:row>
    <x:row r="5989">
      <x:c r="A5989" t="n">
        <x:v>10</x:v>
      </x:c>
      <x:c r="B5989" t="str">
        <x:v>Emerald</x:v>
      </x:c>
      <x:c r="C5989" t="str">
        <x:v>H</x:v>
      </x:c>
      <x:c r="D5989" t="str">
        <x:v>VVS2</x:v>
      </x:c>
      <x:c r="E5989" s="36" t="n">
        <x:v>305000</x:v>
      </x:c>
      <x:c r="F5989" s="36" t="n">
        <x:v>4046</x:v>
      </x:c>
      <x:c r="G5989" s="42" t="n">
        <x:v>0.8678678678678678</x:v>
      </x:c>
      <x:c r="H5989" s="36" t="n">
        <x:f>E5989*G5989</x:f>
        <x:v>264699.6996996997</x:v>
      </x:c>
      <x:c r="I5989" s="36" t="n">
        <x:f>IFERROR(H5989/A5989,0)</x:f>
        <x:v>26469.96996996997</x:v>
      </x:c>
      <x:c r="J5989" s="67" t="str">
        <x:v>Modeled from live base + Sep-2026 quality ratio</x:v>
      </x:c>
      <x:c r="K5989" s="67" t="str">
        <x:v>https://www.stonealgo.com/diamond-prices/</x:v>
      </x:c>
      <x:c r="L5989" s="67" t="str">
        <x:v>https://www.pricescope.com/blog/natural-diamond-prices-september-2026</x:v>
      </x:c>
    </x:row>
    <x:row r="5990">
      <x:c r="A5990" t="n">
        <x:v>10</x:v>
      </x:c>
      <x:c r="B5990" t="str">
        <x:v>Emerald</x:v>
      </x:c>
      <x:c r="C5990" t="str">
        <x:v>H</x:v>
      </x:c>
      <x:c r="D5990" t="str">
        <x:v>VS1</x:v>
      </x:c>
      <x:c r="E5990" s="36" t="n">
        <x:v>305000</x:v>
      </x:c>
      <x:c r="F5990" s="36" t="n">
        <x:v>3893</x:v>
      </x:c>
      <x:c r="G5990" s="42" t="n">
        <x:v>0.8350493350493351</x:v>
      </x:c>
      <x:c r="H5990" s="36" t="n">
        <x:f>E5990*G5990</x:f>
        <x:v>254690.04719004722</x:v>
      </x:c>
      <x:c r="I5990" s="36" t="n">
        <x:f>IFERROR(H5990/A5990,0)</x:f>
        <x:v>25469.004719004723</x:v>
      </x:c>
      <x:c r="J5990" s="67" t="str">
        <x:v>Modeled from live base + Sep-2026 quality ratio</x:v>
      </x:c>
      <x:c r="K5990" s="67" t="str">
        <x:v>https://www.stonealgo.com/diamond-prices/</x:v>
      </x:c>
      <x:c r="L5990" s="67" t="str">
        <x:v>https://www.pricescope.com/blog/natural-diamond-prices-september-2026</x:v>
      </x:c>
    </x:row>
    <x:row r="5991">
      <x:c r="A5991" t="n">
        <x:v>10</x:v>
      </x:c>
      <x:c r="B5991" t="str">
        <x:v>Emerald</x:v>
      </x:c>
      <x:c r="C5991" t="str">
        <x:v>H</x:v>
      </x:c>
      <x:c r="D5991" t="str">
        <x:v>VS2</x:v>
      </x:c>
      <x:c r="E5991" s="36" t="n">
        <x:v>305000</x:v>
      </x:c>
      <x:c r="F5991" s="36" t="n">
        <x:v>3989</x:v>
      </x:c>
      <x:c r="G5991" s="42" t="n">
        <x:v>0.8556413556413557</x:v>
      </x:c>
      <x:c r="H5991" s="36" t="n">
        <x:f>E5991*G5991</x:f>
        <x:v>260970.6134706135</x:v>
      </x:c>
      <x:c r="I5991" s="36" t="n">
        <x:f>IFERROR(H5991/A5991,0)</x:f>
        <x:v>26097.06134706135</x:v>
      </x:c>
      <x:c r="J5991" s="67" t="str">
        <x:v>Modeled from live base + Sep-2026 quality ratio</x:v>
      </x:c>
      <x:c r="K5991" s="67" t="str">
        <x:v>https://www.stonealgo.com/diamond-prices/</x:v>
      </x:c>
      <x:c r="L5991" s="67" t="str">
        <x:v>https://www.pricescope.com/blog/natural-diamond-prices-september-2026</x:v>
      </x:c>
    </x:row>
    <x:row r="5992">
      <x:c r="A5992" t="n">
        <x:v>10</x:v>
      </x:c>
      <x:c r="B5992" t="str">
        <x:v>Emerald</x:v>
      </x:c>
      <x:c r="C5992" t="str">
        <x:v>H</x:v>
      </x:c>
      <x:c r="D5992" t="str">
        <x:v>SI1</x:v>
      </x:c>
      <x:c r="E5992" s="36" t="n">
        <x:v>305000</x:v>
      </x:c>
      <x:c r="F5992" s="36" t="n">
        <x:v>2828</x:v>
      </x:c>
      <x:c r="G5992" s="42" t="n">
        <x:v>0.6066066066066066</x:v>
      </x:c>
      <x:c r="H5992" s="36" t="n">
        <x:f>E5992*G5992</x:f>
        <x:v>185015.015015015</x:v>
      </x:c>
      <x:c r="I5992" s="36" t="n">
        <x:f>IFERROR(H5992/A5992,0)</x:f>
        <x:v>18501.5015015015</x:v>
      </x:c>
      <x:c r="J5992" s="67" t="str">
        <x:v>Modeled from live base + Sep-2026 quality ratio</x:v>
      </x:c>
      <x:c r="K5992" s="67" t="str">
        <x:v>https://www.stonealgo.com/diamond-prices/</x:v>
      </x:c>
      <x:c r="L5992" s="67" t="str">
        <x:v>https://www.pricescope.com/blog/natural-diamond-prices-september-2026</x:v>
      </x:c>
    </x:row>
    <x:row r="5993">
      <x:c r="A5993" t="n">
        <x:v>10</x:v>
      </x:c>
      <x:c r="B5993" t="str">
        <x:v>Emerald</x:v>
      </x:c>
      <x:c r="C5993" t="str">
        <x:v>H</x:v>
      </x:c>
      <x:c r="D5993" t="str">
        <x:v>SI2</x:v>
      </x:c>
      <x:c r="E5993" s="36" t="n">
        <x:v>305000</x:v>
      </x:c>
      <x:c r="F5993" s="36" t="n">
        <x:v>2328</x:v>
      </x:c>
      <x:c r="G5993" s="42" t="n">
        <x:v>0.49935649935649934</x:v>
      </x:c>
      <x:c r="H5993" s="36" t="n">
        <x:f>E5993*G5993</x:f>
        <x:v>152303.7323037323</x:v>
      </x:c>
      <x:c r="I5993" s="36" t="n">
        <x:f>IFERROR(H5993/A5993,0)</x:f>
        <x:v>15230.37323037323</x:v>
      </x:c>
      <x:c r="J5993" s="67" t="str">
        <x:v>Modeled from live base + Sep-2026 quality ratio</x:v>
      </x:c>
      <x:c r="K5993" s="67" t="str">
        <x:v>https://www.stonealgo.com/diamond-prices/</x:v>
      </x:c>
      <x:c r="L5993" s="67" t="str">
        <x:v>https://www.pricescope.com/blog/natural-diamond-prices-september-2026</x:v>
      </x:c>
    </x:row>
    <x:row r="5994">
      <x:c r="A5994" t="n">
        <x:v>10</x:v>
      </x:c>
      <x:c r="B5994" t="str">
        <x:v>Emerald</x:v>
      </x:c>
      <x:c r="C5994" t="str">
        <x:v>I</x:v>
      </x:c>
      <x:c r="D5994" t="str">
        <x:v>FL</x:v>
      </x:c>
      <x:c r="E5994" s="36" t="n">
        <x:v>305000</x:v>
      </x:c>
      <x:c r="F5994" s="36" t="n">
        <x:v>4623</x:v>
      </x:c>
      <x:c r="G5994" s="42" t="n">
        <x:v>0.9916344916344917</x:v>
      </x:c>
      <x:c r="H5994" s="36" t="n">
        <x:f>E5994*G5994</x:f>
        <x:v>302448.51994851994</x:v>
      </x:c>
      <x:c r="I5994" s="36" t="n">
        <x:f>IFERROR(H5994/A5994,0)</x:f>
        <x:v>30244.851994851993</x:v>
      </x:c>
      <x:c r="J5994" s="67" t="str">
        <x:v>Modeled from live base + Sep-2026 quality ratio</x:v>
      </x:c>
      <x:c r="K5994" s="67" t="str">
        <x:v>https://www.stonealgo.com/diamond-prices/</x:v>
      </x:c>
      <x:c r="L5994" s="67" t="str">
        <x:v>https://www.pricescope.com/blog/natural-diamond-prices-september-2026</x:v>
      </x:c>
    </x:row>
    <x:row r="5995">
      <x:c r="A5995" t="n">
        <x:v>10</x:v>
      </x:c>
      <x:c r="B5995" t="str">
        <x:v>Emerald</x:v>
      </x:c>
      <x:c r="C5995" t="str">
        <x:v>I</x:v>
      </x:c>
      <x:c r="D5995" t="str">
        <x:v>IF</x:v>
      </x:c>
      <x:c r="E5995" s="36" t="n">
        <x:v>305000</x:v>
      </x:c>
      <x:c r="F5995" s="36" t="n">
        <x:v>4005</x:v>
      </x:c>
      <x:c r="G5995" s="42" t="n">
        <x:v>0.859073359073359</x:v>
      </x:c>
      <x:c r="H5995" s="36" t="n">
        <x:f>E5995*G5995</x:f>
        <x:v>262017.3745173745</x:v>
      </x:c>
      <x:c r="I5995" s="36" t="n">
        <x:f>IFERROR(H5995/A5995,0)</x:f>
        <x:v>26201.73745173745</x:v>
      </x:c>
      <x:c r="J5995" s="67" t="str">
        <x:v>Modeled from live base + Sep-2026 quality ratio</x:v>
      </x:c>
      <x:c r="K5995" s="67" t="str">
        <x:v>https://www.stonealgo.com/diamond-prices/</x:v>
      </x:c>
      <x:c r="L5995" s="67" t="str">
        <x:v>https://www.pricescope.com/blog/natural-diamond-prices-september-2026</x:v>
      </x:c>
    </x:row>
    <x:row r="5996">
      <x:c r="A5996" t="n">
        <x:v>10</x:v>
      </x:c>
      <x:c r="B5996" t="str">
        <x:v>Emerald</x:v>
      </x:c>
      <x:c r="C5996" t="str">
        <x:v>I</x:v>
      </x:c>
      <x:c r="D5996" t="str">
        <x:v>VVS1</x:v>
      </x:c>
      <x:c r="E5996" s="36" t="n">
        <x:v>305000</x:v>
      </x:c>
      <x:c r="F5996" s="36" t="n">
        <x:v>3670</x:v>
      </x:c>
      <x:c r="G5996" s="42" t="n">
        <x:v>0.7872157872157872</x:v>
      </x:c>
      <x:c r="H5996" s="36" t="n">
        <x:f>E5996*G5996</x:f>
        <x:v>240100.8151008151</x:v>
      </x:c>
      <x:c r="I5996" s="36" t="n">
        <x:f>IFERROR(H5996/A5996,0)</x:f>
        <x:v>24010.08151008151</x:v>
      </x:c>
      <x:c r="J5996" s="67" t="str">
        <x:v>Modeled from live base + Sep-2026 quality ratio</x:v>
      </x:c>
      <x:c r="K5996" s="67" t="str">
        <x:v>https://www.stonealgo.com/diamond-prices/</x:v>
      </x:c>
      <x:c r="L5996" s="67" t="str">
        <x:v>https://www.pricescope.com/blog/natural-diamond-prices-september-2026</x:v>
      </x:c>
    </x:row>
    <x:row r="5997">
      <x:c r="A5997" t="n">
        <x:v>10</x:v>
      </x:c>
      <x:c r="B5997" t="str">
        <x:v>Emerald</x:v>
      </x:c>
      <x:c r="C5997" t="str">
        <x:v>I</x:v>
      </x:c>
      <x:c r="D5997" t="str">
        <x:v>VVS2</x:v>
      </x:c>
      <x:c r="E5997" s="36" t="n">
        <x:v>305000</x:v>
      </x:c>
      <x:c r="F5997" s="36" t="n">
        <x:v>3447</x:v>
      </x:c>
      <x:c r="G5997" s="42" t="n">
        <x:v>0.7393822393822393</x:v>
      </x:c>
      <x:c r="H5997" s="36" t="n">
        <x:f>E5997*G5997</x:f>
        <x:v>225511.583011583</x:v>
      </x:c>
      <x:c r="I5997" s="36" t="n">
        <x:f>IFERROR(H5997/A5997,0)</x:f>
        <x:v>22551.1583011583</x:v>
      </x:c>
      <x:c r="J5997" s="67" t="str">
        <x:v>Modeled from live base + Sep-2026 quality ratio</x:v>
      </x:c>
      <x:c r="K5997" s="67" t="str">
        <x:v>https://www.stonealgo.com/diamond-prices/</x:v>
      </x:c>
      <x:c r="L5997" s="67" t="str">
        <x:v>https://www.pricescope.com/blog/natural-diamond-prices-september-2026</x:v>
      </x:c>
    </x:row>
    <x:row r="5998">
      <x:c r="A5998" t="n">
        <x:v>10</x:v>
      </x:c>
      <x:c r="B5998" t="str">
        <x:v>Emerald</x:v>
      </x:c>
      <x:c r="C5998" t="str">
        <x:v>I</x:v>
      </x:c>
      <x:c r="D5998" t="str">
        <x:v>VS1</x:v>
      </x:c>
      <x:c r="E5998" s="36" t="n">
        <x:v>305000</x:v>
      </x:c>
      <x:c r="F5998" s="36" t="n">
        <x:v>3313</x:v>
      </x:c>
      <x:c r="G5998" s="42" t="n">
        <x:v>0.7106392106392107</x:v>
      </x:c>
      <x:c r="H5998" s="36" t="n">
        <x:f>E5998*G5998</x:f>
        <x:v>216744.95924495926</x:v>
      </x:c>
      <x:c r="I5998" s="36" t="n">
        <x:f>IFERROR(H5998/A5998,0)</x:f>
        <x:v>21674.495924495925</x:v>
      </x:c>
      <x:c r="J5998" s="67" t="str">
        <x:v>Modeled from live base + Sep-2026 quality ratio</x:v>
      </x:c>
      <x:c r="K5998" s="67" t="str">
        <x:v>https://www.stonealgo.com/diamond-prices/</x:v>
      </x:c>
      <x:c r="L5998" s="67" t="str">
        <x:v>https://www.pricescope.com/blog/natural-diamond-prices-september-2026</x:v>
      </x:c>
    </x:row>
    <x:row r="5999">
      <x:c r="A5999" t="n">
        <x:v>10</x:v>
      </x:c>
      <x:c r="B5999" t="str">
        <x:v>Emerald</x:v>
      </x:c>
      <x:c r="C5999" t="str">
        <x:v>I</x:v>
      </x:c>
      <x:c r="D5999" t="str">
        <x:v>VS2</x:v>
      </x:c>
      <x:c r="E5999" s="36" t="n">
        <x:v>305000</x:v>
      </x:c>
      <x:c r="F5999" s="36" t="n">
        <x:v>3240</x:v>
      </x:c>
      <x:c r="G5999" s="42" t="n">
        <x:v>0.694980694980695</x:v>
      </x:c>
      <x:c r="H5999" s="36" t="n">
        <x:f>E5999*G5999</x:f>
        <x:v>211969.11196911198</x:v>
      </x:c>
      <x:c r="I5999" s="36" t="n">
        <x:f>IFERROR(H5999/A5999,0)</x:f>
        <x:v>21196.9111969112</x:v>
      </x:c>
      <x:c r="J5999" s="67" t="str">
        <x:v>Modeled from live base + Sep-2026 quality ratio</x:v>
      </x:c>
      <x:c r="K5999" s="67" t="str">
        <x:v>https://www.stonealgo.com/diamond-prices/</x:v>
      </x:c>
      <x:c r="L5999" s="67" t="str">
        <x:v>https://www.pricescope.com/blog/natural-diamond-prices-september-2026</x:v>
      </x:c>
    </x:row>
    <x:row r="6000">
      <x:c r="A6000" t="n">
        <x:v>10</x:v>
      </x:c>
      <x:c r="B6000" t="str">
        <x:v>Emerald</x:v>
      </x:c>
      <x:c r="C6000" t="str">
        <x:v>I</x:v>
      </x:c>
      <x:c r="D6000" t="str">
        <x:v>SI1</x:v>
      </x:c>
      <x:c r="E6000" s="36" t="n">
        <x:v>305000</x:v>
      </x:c>
      <x:c r="F6000" s="36" t="n">
        <x:v>3199</x:v>
      </x:c>
      <x:c r="G6000" s="42" t="n">
        <x:v>0.6861861861861862</x:v>
      </x:c>
      <x:c r="H6000" s="36" t="n">
        <x:f>E6000*G6000</x:f>
        <x:v>209286.7867867868</x:v>
      </x:c>
      <x:c r="I6000" s="36" t="n">
        <x:f>IFERROR(H6000/A6000,0)</x:f>
        <x:v>20928.67867867868</x:v>
      </x:c>
      <x:c r="J6000" s="67" t="str">
        <x:v>Modeled from live base + Sep-2026 quality ratio</x:v>
      </x:c>
      <x:c r="K6000" s="67" t="str">
        <x:v>https://www.stonealgo.com/diamond-prices/</x:v>
      </x:c>
      <x:c r="L6000" s="67" t="str">
        <x:v>https://www.pricescope.com/blog/natural-diamond-prices-september-2026</x:v>
      </x:c>
    </x:row>
    <x:row r="6001">
      <x:c r="A6001" t="n">
        <x:v>10</x:v>
      </x:c>
      <x:c r="B6001" t="str">
        <x:v>Emerald</x:v>
      </x:c>
      <x:c r="C6001" t="str">
        <x:v>I</x:v>
      </x:c>
      <x:c r="D6001" t="str">
        <x:v>SI2</x:v>
      </x:c>
      <x:c r="E6001" s="36" t="n">
        <x:v>305000</x:v>
      </x:c>
      <x:c r="F6001" s="36" t="n">
        <x:v>2874</x:v>
      </x:c>
      <x:c r="G6001" s="42" t="n">
        <x:v>0.6164736164736164</x:v>
      </x:c>
      <x:c r="H6001" s="36" t="n">
        <x:f>E6001*G6001</x:f>
        <x:v>188024.45302445302</x:v>
      </x:c>
      <x:c r="I6001" s="36" t="n">
        <x:f>IFERROR(H6001/A6001,0)</x:f>
        <x:v>18802.445302445303</x:v>
      </x:c>
      <x:c r="J6001" s="67" t="str">
        <x:v>Modeled from live base + Sep-2026 quality ratio</x:v>
      </x:c>
      <x:c r="K6001" s="67" t="str">
        <x:v>https://www.stonealgo.com/diamond-prices/</x:v>
      </x:c>
      <x:c r="L6001" s="67" t="str">
        <x:v>https://www.pricescope.com/blog/natural-diamond-prices-september-2026</x:v>
      </x:c>
    </x:row>
    <x:row r="6002">
      <x:c r="A6002" t="n">
        <x:v>10</x:v>
      </x:c>
      <x:c r="B6002" t="str">
        <x:v>Emerald</x:v>
      </x:c>
      <x:c r="C6002" t="str">
        <x:v>J</x:v>
      </x:c>
      <x:c r="D6002" t="str">
        <x:v>FL</x:v>
      </x:c>
      <x:c r="E6002" s="36" t="n">
        <x:v>305000</x:v>
      </x:c>
      <x:c r="F6002" s="36" t="n">
        <x:v>3646</x:v>
      </x:c>
      <x:c r="G6002" s="42" t="n">
        <x:v>0.782067782067782</x:v>
      </x:c>
      <x:c r="H6002" s="36" t="n">
        <x:f>E6002*G6002</x:f>
        <x:v>238530.67353067352</x:v>
      </x:c>
      <x:c r="I6002" s="36" t="n">
        <x:f>IFERROR(H6002/A6002,0)</x:f>
        <x:v>23853.067353067352</x:v>
      </x:c>
      <x:c r="J6002" s="67" t="str">
        <x:v>Modeled from live base + Sep-2026 quality ratio</x:v>
      </x:c>
      <x:c r="K6002" s="67" t="str">
        <x:v>https://www.stonealgo.com/diamond-prices/</x:v>
      </x:c>
      <x:c r="L6002" s="67" t="str">
        <x:v>https://www.pricescope.com/blog/natural-diamond-prices-september-2026</x:v>
      </x:c>
    </x:row>
    <x:row r="6003">
      <x:c r="A6003" t="n">
        <x:v>10</x:v>
      </x:c>
      <x:c r="B6003" t="str">
        <x:v>Emerald</x:v>
      </x:c>
      <x:c r="C6003" t="str">
        <x:v>J</x:v>
      </x:c>
      <x:c r="D6003" t="str">
        <x:v>IF</x:v>
      </x:c>
      <x:c r="E6003" s="36" t="n">
        <x:v>305000</x:v>
      </x:c>
      <x:c r="F6003" s="36" t="n">
        <x:v>3368</x:v>
      </x:c>
      <x:c r="G6003" s="42" t="n">
        <x:v>0.7224367224367224</x:v>
      </x:c>
      <x:c r="H6003" s="36" t="n">
        <x:f>E6003*G6003</x:f>
        <x:v>220343.20034320033</x:v>
      </x:c>
      <x:c r="I6003" s="36" t="n">
        <x:f>IFERROR(H6003/A6003,0)</x:f>
        <x:v>22034.320034320033</x:v>
      </x:c>
      <x:c r="J6003" s="67" t="str">
        <x:v>Modeled from live base + Sep-2026 quality ratio</x:v>
      </x:c>
      <x:c r="K6003" s="67" t="str">
        <x:v>https://www.stonealgo.com/diamond-prices/</x:v>
      </x:c>
      <x:c r="L6003" s="67" t="str">
        <x:v>https://www.pricescope.com/blog/natural-diamond-prices-september-2026</x:v>
      </x:c>
    </x:row>
    <x:row r="6004">
      <x:c r="A6004" t="n">
        <x:v>10</x:v>
      </x:c>
      <x:c r="B6004" t="str">
        <x:v>Emerald</x:v>
      </x:c>
      <x:c r="C6004" t="str">
        <x:v>J</x:v>
      </x:c>
      <x:c r="D6004" t="str">
        <x:v>VVS1</x:v>
      </x:c>
      <x:c r="E6004" s="36" t="n">
        <x:v>305000</x:v>
      </x:c>
      <x:c r="F6004" s="36" t="n">
        <x:v>2956</x:v>
      </x:c>
      <x:c r="G6004" s="42" t="n">
        <x:v>0.6340626340626341</x:v>
      </x:c>
      <x:c r="H6004" s="36" t="n">
        <x:f>E6004*G6004</x:f>
        <x:v>193389.1033891034</x:v>
      </x:c>
      <x:c r="I6004" s="36" t="n">
        <x:f>IFERROR(H6004/A6004,0)</x:f>
        <x:v>19338.91033891034</x:v>
      </x:c>
      <x:c r="J6004" s="67" t="str">
        <x:v>Modeled from live base + Sep-2026 quality ratio</x:v>
      </x:c>
      <x:c r="K6004" s="67" t="str">
        <x:v>https://www.stonealgo.com/diamond-prices/</x:v>
      </x:c>
      <x:c r="L6004" s="67" t="str">
        <x:v>https://www.pricescope.com/blog/natural-diamond-prices-september-2026</x:v>
      </x:c>
    </x:row>
    <x:row r="6005">
      <x:c r="A6005" t="n">
        <x:v>10</x:v>
      </x:c>
      <x:c r="B6005" t="str">
        <x:v>Emerald</x:v>
      </x:c>
      <x:c r="C6005" t="str">
        <x:v>J</x:v>
      </x:c>
      <x:c r="D6005" t="str">
        <x:v>VVS2</x:v>
      </x:c>
      <x:c r="E6005" s="36" t="n">
        <x:v>305000</x:v>
      </x:c>
      <x:c r="F6005" s="36" t="n">
        <x:v>2612</x:v>
      </x:c>
      <x:c r="G6005" s="42" t="n">
        <x:v>0.5602745602745602</x:v>
      </x:c>
      <x:c r="H6005" s="36" t="n">
        <x:f>E6005*G6005</x:f>
        <x:v>170883.7408837409</x:v>
      </x:c>
      <x:c r="I6005" s="36" t="n">
        <x:f>IFERROR(H6005/A6005,0)</x:f>
        <x:v>17088.37408837409</x:v>
      </x:c>
      <x:c r="J6005" s="67" t="str">
        <x:v>Modeled from live base + Sep-2026 quality ratio</x:v>
      </x:c>
      <x:c r="K6005" s="67" t="str">
        <x:v>https://www.stonealgo.com/diamond-prices/</x:v>
      </x:c>
      <x:c r="L6005" s="67" t="str">
        <x:v>https://www.pricescope.com/blog/natural-diamond-prices-september-2026</x:v>
      </x:c>
    </x:row>
    <x:row r="6006">
      <x:c r="A6006" t="n">
        <x:v>10</x:v>
      </x:c>
      <x:c r="B6006" t="str">
        <x:v>Emerald</x:v>
      </x:c>
      <x:c r="C6006" t="str">
        <x:v>J</x:v>
      </x:c>
      <x:c r="D6006" t="str">
        <x:v>VS1</x:v>
      </x:c>
      <x:c r="E6006" s="36" t="n">
        <x:v>305000</x:v>
      </x:c>
      <x:c r="F6006" s="36" t="n">
        <x:v>3002</x:v>
      </x:c>
      <x:c r="G6006" s="42" t="n">
        <x:v>0.6439296439296439</x:v>
      </x:c>
      <x:c r="H6006" s="36" t="n">
        <x:f>E6006*G6006</x:f>
        <x:v>196398.5413985414</x:v>
      </x:c>
      <x:c r="I6006" s="36" t="n">
        <x:f>IFERROR(H6006/A6006,0)</x:f>
        <x:v>19639.85413985414</x:v>
      </x:c>
      <x:c r="J6006" s="67" t="str">
        <x:v>Modeled from live base + Sep-2026 quality ratio</x:v>
      </x:c>
      <x:c r="K6006" s="67" t="str">
        <x:v>https://www.stonealgo.com/diamond-prices/</x:v>
      </x:c>
      <x:c r="L6006" s="67" t="str">
        <x:v>https://www.pricescope.com/blog/natural-diamond-prices-september-2026</x:v>
      </x:c>
    </x:row>
    <x:row r="6007">
      <x:c r="A6007" t="n">
        <x:v>10</x:v>
      </x:c>
      <x:c r="B6007" t="str">
        <x:v>Emerald</x:v>
      </x:c>
      <x:c r="C6007" t="str">
        <x:v>J</x:v>
      </x:c>
      <x:c r="D6007" t="str">
        <x:v>VS2</x:v>
      </x:c>
      <x:c r="E6007" s="36" t="n">
        <x:v>305000</x:v>
      </x:c>
      <x:c r="F6007" s="36" t="n">
        <x:v>2559</x:v>
      </x:c>
      <x:c r="G6007" s="42" t="n">
        <x:v>0.5489060489060489</x:v>
      </x:c>
      <x:c r="H6007" s="36" t="n">
        <x:f>E6007*G6007</x:f>
        <x:v>167416.3449163449</x:v>
      </x:c>
      <x:c r="I6007" s="36" t="n">
        <x:f>IFERROR(H6007/A6007,0)</x:f>
        <x:v>16741.63449163449</x:v>
      </x:c>
      <x:c r="J6007" s="67" t="str">
        <x:v>Modeled from live base + Sep-2026 quality ratio</x:v>
      </x:c>
      <x:c r="K6007" s="67" t="str">
        <x:v>https://www.stonealgo.com/diamond-prices/</x:v>
      </x:c>
      <x:c r="L6007" s="67" t="str">
        <x:v>https://www.pricescope.com/blog/natural-diamond-prices-september-2026</x:v>
      </x:c>
    </x:row>
    <x:row r="6008">
      <x:c r="A6008" t="n">
        <x:v>10</x:v>
      </x:c>
      <x:c r="B6008" t="str">
        <x:v>Emerald</x:v>
      </x:c>
      <x:c r="C6008" t="str">
        <x:v>J</x:v>
      </x:c>
      <x:c r="D6008" t="str">
        <x:v>SI1</x:v>
      </x:c>
      <x:c r="E6008" s="36" t="n">
        <x:v>305000</x:v>
      </x:c>
      <x:c r="F6008" s="36" t="n">
        <x:v>2195</x:v>
      </x:c>
      <x:c r="G6008" s="42" t="n">
        <x:v>0.47082797082797084</x:v>
      </x:c>
      <x:c r="H6008" s="36" t="n">
        <x:f>E6008*G6008</x:f>
        <x:v>143602.5311025311</x:v>
      </x:c>
      <x:c r="I6008" s="36" t="n">
        <x:f>IFERROR(H6008/A6008,0)</x:f>
        <x:v>14360.25311025311</x:v>
      </x:c>
      <x:c r="J6008" s="67" t="str">
        <x:v>Modeled from live base + Sep-2026 quality ratio</x:v>
      </x:c>
      <x:c r="K6008" s="67" t="str">
        <x:v>https://www.stonealgo.com/diamond-prices/</x:v>
      </x:c>
      <x:c r="L6008" s="67" t="str">
        <x:v>https://www.pricescope.com/blog/natural-diamond-prices-september-2026</x:v>
      </x:c>
    </x:row>
    <x:row r="6009">
      <x:c r="A6009" t="n">
        <x:v>10</x:v>
      </x:c>
      <x:c r="B6009" t="str">
        <x:v>Emerald</x:v>
      </x:c>
      <x:c r="C6009" t="str">
        <x:v>J</x:v>
      </x:c>
      <x:c r="D6009" t="str">
        <x:v>SI2</x:v>
      </x:c>
      <x:c r="E6009" s="36" t="n">
        <x:v>305000</x:v>
      </x:c>
      <x:c r="F6009" s="36" t="n">
        <x:v>2079</x:v>
      </x:c>
      <x:c r="G6009" s="42" t="n">
        <x:v>0.44594594594594594</x:v>
      </x:c>
      <x:c r="H6009" s="36" t="n">
        <x:f>E6009*G6009</x:f>
        <x:v>136013.51351351352</x:v>
      </x:c>
      <x:c r="I6009" s="36" t="n">
        <x:f>IFERROR(H6009/A6009,0)</x:f>
        <x:v>13601.351351351352</x:v>
      </x:c>
      <x:c r="J6009" s="67" t="str">
        <x:v>Modeled from live base + Sep-2026 quality ratio</x:v>
      </x:c>
      <x:c r="K6009" s="67" t="str">
        <x:v>https://www.stonealgo.com/diamond-prices/</x:v>
      </x:c>
      <x:c r="L6009" s="67" t="str">
        <x:v>https://www.pricescope.com/blog/natural-diamond-prices-september-2026</x:v>
      </x:c>
    </x:row>
    <x:row r="6010">
      <x:c r="A6010" t="n">
        <x:v>10</x:v>
      </x:c>
      <x:c r="B6010" t="str">
        <x:v>Emerald</x:v>
      </x:c>
      <x:c r="C6010" t="str">
        <x:v>K</x:v>
      </x:c>
      <x:c r="D6010" t="str">
        <x:v>FL</x:v>
      </x:c>
      <x:c r="E6010" s="36" t="n">
        <x:v>305000</x:v>
      </x:c>
      <x:c r="F6010" s="36" t="n">
        <x:v>2858</x:v>
      </x:c>
      <x:c r="G6010" s="42" t="n">
        <x:v>0.6130416130416131</x:v>
      </x:c>
      <x:c r="H6010" s="36" t="n">
        <x:f>E6010*G6010</x:f>
        <x:v>186977.69197769198</x:v>
      </x:c>
      <x:c r="I6010" s="36" t="n">
        <x:f>IFERROR(H6010/A6010,0)</x:f>
        <x:v>18697.769197769197</x:v>
      </x:c>
      <x:c r="J6010" s="67" t="str">
        <x:v>Modeled from live base + Sep-2026 quality ratio; K/FL quality cell modeled</x:v>
      </x:c>
      <x:c r="K6010" s="67" t="str">
        <x:v>https://www.stonealgo.com/diamond-prices/</x:v>
      </x:c>
      <x:c r="L6010" s="67" t="str">
        <x:v>https://www.pricescope.com/blog/natural-diamond-prices-september-2026</x:v>
      </x:c>
    </x:row>
    <x:row r="6011">
      <x:c r="A6011" t="n">
        <x:v>10</x:v>
      </x:c>
      <x:c r="B6011" t="str">
        <x:v>Emerald</x:v>
      </x:c>
      <x:c r="C6011" t="str">
        <x:v>K</x:v>
      </x:c>
      <x:c r="D6011" t="str">
        <x:v>IF</x:v>
      </x:c>
      <x:c r="E6011" s="36" t="n">
        <x:v>305000</x:v>
      </x:c>
      <x:c r="F6011" s="36" t="n">
        <x:v>2743</x:v>
      </x:c>
      <x:c r="G6011" s="42" t="n">
        <x:v>0.5883740883740883</x:v>
      </x:c>
      <x:c r="H6011" s="36" t="n">
        <x:f>E6011*G6011</x:f>
        <x:v>179454.09695409695</x:v>
      </x:c>
      <x:c r="I6011" s="36" t="n">
        <x:f>IFERROR(H6011/A6011,0)</x:f>
        <x:v>17945.409695409697</x:v>
      </x:c>
      <x:c r="J6011" s="67" t="str">
        <x:v>Modeled from live base + Sep-2026 quality ratio</x:v>
      </x:c>
      <x:c r="K6011" s="67" t="str">
        <x:v>https://www.stonealgo.com/diamond-prices/</x:v>
      </x:c>
      <x:c r="L6011" s="67" t="str">
        <x:v>https://www.pricescope.com/blog/natural-diamond-prices-september-2026</x:v>
      </x:c>
    </x:row>
    <x:row r="6012">
      <x:c r="A6012" t="n">
        <x:v>10</x:v>
      </x:c>
      <x:c r="B6012" t="str">
        <x:v>Emerald</x:v>
      </x:c>
      <x:c r="C6012" t="str">
        <x:v>K</x:v>
      </x:c>
      <x:c r="D6012" t="str">
        <x:v>VVS1</x:v>
      </x:c>
      <x:c r="E6012" s="36" t="n">
        <x:v>305000</x:v>
      </x:c>
      <x:c r="F6012" s="36" t="n">
        <x:v>2529</x:v>
      </x:c>
      <x:c r="G6012" s="42" t="n">
        <x:v>0.5424710424710425</x:v>
      </x:c>
      <x:c r="H6012" s="36" t="n">
        <x:f>E6012*G6012</x:f>
        <x:v>165453.66795366796</x:v>
      </x:c>
      <x:c r="I6012" s="36" t="n">
        <x:f>IFERROR(H6012/A6012,0)</x:f>
        <x:v>16545.366795366797</x:v>
      </x:c>
      <x:c r="J6012" s="67" t="str">
        <x:v>Modeled from live base + Sep-2026 quality ratio</x:v>
      </x:c>
      <x:c r="K6012" s="67" t="str">
        <x:v>https://www.stonealgo.com/diamond-prices/</x:v>
      </x:c>
      <x:c r="L6012" s="67" t="str">
        <x:v>https://www.pricescope.com/blog/natural-diamond-prices-september-2026</x:v>
      </x:c>
    </x:row>
    <x:row r="6013">
      <x:c r="A6013" t="n">
        <x:v>10</x:v>
      </x:c>
      <x:c r="B6013" t="str">
        <x:v>Emerald</x:v>
      </x:c>
      <x:c r="C6013" t="str">
        <x:v>K</x:v>
      </x:c>
      <x:c r="D6013" t="str">
        <x:v>VVS2</x:v>
      </x:c>
      <x:c r="E6013" s="36" t="n">
        <x:v>305000</x:v>
      </x:c>
      <x:c r="F6013" s="36" t="n">
        <x:v>2374</x:v>
      </x:c>
      <x:c r="G6013" s="42" t="n">
        <x:v>0.5092235092235092</x:v>
      </x:c>
      <x:c r="H6013" s="36" t="n">
        <x:f>E6013*G6013</x:f>
        <x:v>155313.17031317033</x:v>
      </x:c>
      <x:c r="I6013" s="36" t="n">
        <x:f>IFERROR(H6013/A6013,0)</x:f>
        <x:v>15531.317031317032</x:v>
      </x:c>
      <x:c r="J6013" s="67" t="str">
        <x:v>Modeled from live base + Sep-2026 quality ratio</x:v>
      </x:c>
      <x:c r="K6013" s="67" t="str">
        <x:v>https://www.stonealgo.com/diamond-prices/</x:v>
      </x:c>
      <x:c r="L6013" s="67" t="str">
        <x:v>https://www.pricescope.com/blog/natural-diamond-prices-september-2026</x:v>
      </x:c>
    </x:row>
    <x:row r="6014">
      <x:c r="A6014" t="n">
        <x:v>10</x:v>
      </x:c>
      <x:c r="B6014" t="str">
        <x:v>Emerald</x:v>
      </x:c>
      <x:c r="C6014" t="str">
        <x:v>K</x:v>
      </x:c>
      <x:c r="D6014" t="str">
        <x:v>VS1</x:v>
      </x:c>
      <x:c r="E6014" s="36" t="n">
        <x:v>305000</x:v>
      </x:c>
      <x:c r="F6014" s="36" t="n">
        <x:v>2223</x:v>
      </x:c>
      <x:c r="G6014" s="42" t="n">
        <x:v>0.4768339768339768</x:v>
      </x:c>
      <x:c r="H6014" s="36" t="n">
        <x:f>E6014*G6014</x:f>
        <x:v>145434.36293436293</x:v>
      </x:c>
      <x:c r="I6014" s="36" t="n">
        <x:f>IFERROR(H6014/A6014,0)</x:f>
        <x:v>14543.436293436293</x:v>
      </x:c>
      <x:c r="J6014" s="67" t="str">
        <x:v>Modeled from live base + Sep-2026 quality ratio</x:v>
      </x:c>
      <x:c r="K6014" s="67" t="str">
        <x:v>https://www.stonealgo.com/diamond-prices/</x:v>
      </x:c>
      <x:c r="L6014" s="67" t="str">
        <x:v>https://www.pricescope.com/blog/natural-diamond-prices-september-2026</x:v>
      </x:c>
    </x:row>
    <x:row r="6015">
      <x:c r="A6015" t="n">
        <x:v>10</x:v>
      </x:c>
      <x:c r="B6015" t="str">
        <x:v>Emerald</x:v>
      </x:c>
      <x:c r="C6015" t="str">
        <x:v>K</x:v>
      </x:c>
      <x:c r="D6015" t="str">
        <x:v>VS2</x:v>
      </x:c>
      <x:c r="E6015" s="36" t="n">
        <x:v>305000</x:v>
      </x:c>
      <x:c r="F6015" s="36" t="n">
        <x:v>2098</x:v>
      </x:c>
      <x:c r="G6015" s="42" t="n">
        <x:v>0.45002145002145</x:v>
      </x:c>
      <x:c r="H6015" s="36" t="n">
        <x:f>E6015*G6015</x:f>
        <x:v>137256.54225654225</x:v>
      </x:c>
      <x:c r="I6015" s="36" t="n">
        <x:f>IFERROR(H6015/A6015,0)</x:f>
        <x:v>13725.654225654225</x:v>
      </x:c>
      <x:c r="J6015" s="67" t="str">
        <x:v>Modeled from live base + Sep-2026 quality ratio</x:v>
      </x:c>
      <x:c r="K6015" s="67" t="str">
        <x:v>https://www.stonealgo.com/diamond-prices/</x:v>
      </x:c>
      <x:c r="L6015" s="67" t="str">
        <x:v>https://www.pricescope.com/blog/natural-diamond-prices-september-2026</x:v>
      </x:c>
    </x:row>
    <x:row r="6016">
      <x:c r="A6016" t="n">
        <x:v>10</x:v>
      </x:c>
      <x:c r="B6016" t="str">
        <x:v>Emerald</x:v>
      </x:c>
      <x:c r="C6016" t="str">
        <x:v>K</x:v>
      </x:c>
      <x:c r="D6016" t="str">
        <x:v>SI1</x:v>
      </x:c>
      <x:c r="E6016" s="36" t="n">
        <x:v>305000</x:v>
      </x:c>
      <x:c r="F6016" s="36" t="n">
        <x:v>1922</x:v>
      </x:c>
      <x:c r="G6016" s="42" t="n">
        <x:v>0.41226941226941227</x:v>
      </x:c>
      <x:c r="H6016" s="36" t="n">
        <x:f>E6016*G6016</x:f>
        <x:v>125742.17074217074</x:v>
      </x:c>
      <x:c r="I6016" s="36" t="n">
        <x:f>IFERROR(H6016/A6016,0)</x:f>
        <x:v>12574.217074217075</x:v>
      </x:c>
      <x:c r="J6016" s="67" t="str">
        <x:v>Modeled from live base + Sep-2026 quality ratio</x:v>
      </x:c>
      <x:c r="K6016" s="67" t="str">
        <x:v>https://www.stonealgo.com/diamond-prices/</x:v>
      </x:c>
      <x:c r="L6016" s="67" t="str">
        <x:v>https://www.pricescope.com/blog/natural-diamond-prices-september-2026</x:v>
      </x:c>
    </x:row>
    <x:row r="6017">
      <x:c r="A6017" t="n">
        <x:v>10</x:v>
      </x:c>
      <x:c r="B6017" t="str">
        <x:v>Emerald</x:v>
      </x:c>
      <x:c r="C6017" t="str">
        <x:v>K</x:v>
      </x:c>
      <x:c r="D6017" t="str">
        <x:v>SI2</x:v>
      </x:c>
      <x:c r="E6017" s="36" t="n">
        <x:v>305000</x:v>
      </x:c>
      <x:c r="F6017" s="36" t="n">
        <x:v>1764</x:v>
      </x:c>
      <x:c r="G6017" s="42" t="n">
        <x:v>0.3783783783783784</x:v>
      </x:c>
      <x:c r="H6017" s="36" t="n">
        <x:f>E6017*G6017</x:f>
        <x:v>115405.40540540541</x:v>
      </x:c>
      <x:c r="I6017" s="36" t="n">
        <x:f>IFERROR(H6017/A6017,0)</x:f>
        <x:v>11540.540540540542</x:v>
      </x:c>
      <x:c r="J6017" s="67" t="str">
        <x:v>Modeled from live base + Sep-2026 quality ratio</x:v>
      </x:c>
      <x:c r="K6017" s="67" t="str">
        <x:v>https://www.stonealgo.com/diamond-prices/</x:v>
      </x:c>
      <x:c r="L6017" s="67" t="str">
        <x:v>https://www.pricescope.com/blog/natural-diamond-prices-september-2026</x:v>
      </x:c>
    </x:row>
    <x:row r="6018">
      <x:c r="A6018" t="n">
        <x:v>10</x:v>
      </x:c>
      <x:c r="B6018" t="str">
        <x:v>Cushion</x:v>
      </x:c>
      <x:c r="C6018" t="str">
        <x:v>D</x:v>
      </x:c>
      <x:c r="D6018" t="str">
        <x:v>FL</x:v>
      </x:c>
      <x:c r="E6018" s="36" t="n">
        <x:v>388000</x:v>
      </x:c>
      <x:c r="F6018" s="36" t="n">
        <x:v>12665</x:v>
      </x:c>
      <x:c r="G6018" s="42" t="n">
        <x:v>2.7166452166452166</x:v>
      </x:c>
      <x:c r="H6018" s="36" t="n">
        <x:f>E6018*G6018</x:f>
        <x:v>1054058.3440583441</x:v>
      </x:c>
      <x:c r="I6018" s="36" t="n">
        <x:f>IFERROR(H6018/A6018,0)</x:f>
        <x:v>105405.83440583441</x:v>
      </x:c>
      <x:c r="J6018" s="67" t="str">
        <x:v>Modeled from live base + Sep-2026 quality ratio</x:v>
      </x:c>
      <x:c r="K6018" s="67" t="str">
        <x:v>https://www.stonealgo.com/diamond-prices/</x:v>
      </x:c>
      <x:c r="L6018" s="67" t="str">
        <x:v>https://www.pricescope.com/blog/natural-diamond-prices-september-2026</x:v>
      </x:c>
    </x:row>
    <x:row r="6019">
      <x:c r="A6019" t="n">
        <x:v>10</x:v>
      </x:c>
      <x:c r="B6019" t="str">
        <x:v>Cushion</x:v>
      </x:c>
      <x:c r="C6019" t="str">
        <x:v>D</x:v>
      </x:c>
      <x:c r="D6019" t="str">
        <x:v>IF</x:v>
      </x:c>
      <x:c r="E6019" s="36" t="n">
        <x:v>388000</x:v>
      </x:c>
      <x:c r="F6019" s="36" t="n">
        <x:v>13240</x:v>
      </x:c>
      <x:c r="G6019" s="42" t="n">
        <x:v>2.83998283998284</x:v>
      </x:c>
      <x:c r="H6019" s="36" t="n">
        <x:f>E6019*G6019</x:f>
        <x:v>1101913.341913342</x:v>
      </x:c>
      <x:c r="I6019" s="36" t="n">
        <x:f>IFERROR(H6019/A6019,0)</x:f>
        <x:v>110191.3341913342</x:v>
      </x:c>
      <x:c r="J6019" s="67" t="str">
        <x:v>Modeled from live base + Sep-2026 quality ratio</x:v>
      </x:c>
      <x:c r="K6019" s="67" t="str">
        <x:v>https://www.stonealgo.com/diamond-prices/</x:v>
      </x:c>
      <x:c r="L6019" s="67" t="str">
        <x:v>https://www.pricescope.com/blog/natural-diamond-prices-september-2026</x:v>
      </x:c>
    </x:row>
    <x:row r="6020">
      <x:c r="A6020" t="n">
        <x:v>10</x:v>
      </x:c>
      <x:c r="B6020" t="str">
        <x:v>Cushion</x:v>
      </x:c>
      <x:c r="C6020" t="str">
        <x:v>D</x:v>
      </x:c>
      <x:c r="D6020" t="str">
        <x:v>VVS1</x:v>
      </x:c>
      <x:c r="E6020" s="36" t="n">
        <x:v>388000</x:v>
      </x:c>
      <x:c r="F6020" s="36" t="n">
        <x:v>9555</x:v>
      </x:c>
      <x:c r="G6020" s="42" t="n">
        <x:v>2.0495495495495497</x:v>
      </x:c>
      <x:c r="H6020" s="36" t="n">
        <x:f>E6020*G6020</x:f>
        <x:v>795225.2252252253</x:v>
      </x:c>
      <x:c r="I6020" s="36" t="n">
        <x:f>IFERROR(H6020/A6020,0)</x:f>
        <x:v>79522.52252252253</x:v>
      </x:c>
      <x:c r="J6020" s="67" t="str">
        <x:v>Modeled from live base + Sep-2026 quality ratio</x:v>
      </x:c>
      <x:c r="K6020" s="67" t="str">
        <x:v>https://www.stonealgo.com/diamond-prices/</x:v>
      </x:c>
      <x:c r="L6020" s="67" t="str">
        <x:v>https://www.pricescope.com/blog/natural-diamond-prices-september-2026</x:v>
      </x:c>
    </x:row>
    <x:row r="6021">
      <x:c r="A6021" t="n">
        <x:v>10</x:v>
      </x:c>
      <x:c r="B6021" t="str">
        <x:v>Cushion</x:v>
      </x:c>
      <x:c r="C6021" t="str">
        <x:v>D</x:v>
      </x:c>
      <x:c r="D6021" t="str">
        <x:v>VVS2</x:v>
      </x:c>
      <x:c r="E6021" s="36" t="n">
        <x:v>388000</x:v>
      </x:c>
      <x:c r="F6021" s="36" t="n">
        <x:v>6660</x:v>
      </x:c>
      <x:c r="G6021" s="42" t="n">
        <x:v>1.4285714285714286</x:v>
      </x:c>
      <x:c r="H6021" s="36" t="n">
        <x:f>E6021*G6021</x:f>
        <x:v>554285.7142857143</x:v>
      </x:c>
      <x:c r="I6021" s="36" t="n">
        <x:f>IFERROR(H6021/A6021,0)</x:f>
        <x:v>55428.571428571435</x:v>
      </x:c>
      <x:c r="J6021" s="67" t="str">
        <x:v>Modeled from live base + Sep-2026 quality ratio</x:v>
      </x:c>
      <x:c r="K6021" s="67" t="str">
        <x:v>https://www.stonealgo.com/diamond-prices/</x:v>
      </x:c>
      <x:c r="L6021" s="67" t="str">
        <x:v>https://www.pricescope.com/blog/natural-diamond-prices-september-2026</x:v>
      </x:c>
    </x:row>
    <x:row r="6022">
      <x:c r="A6022" t="n">
        <x:v>10</x:v>
      </x:c>
      <x:c r="B6022" t="str">
        <x:v>Cushion</x:v>
      </x:c>
      <x:c r="C6022" t="str">
        <x:v>D</x:v>
      </x:c>
      <x:c r="D6022" t="str">
        <x:v>VS1</x:v>
      </x:c>
      <x:c r="E6022" s="36" t="n">
        <x:v>388000</x:v>
      </x:c>
      <x:c r="F6022" s="36" t="n">
        <x:v>6247</x:v>
      </x:c>
      <x:c r="G6022" s="42" t="n">
        <x:v>1.33998283998284</x:v>
      </x:c>
      <x:c r="H6022" s="36" t="n">
        <x:f>E6022*G6022</x:f>
        <x:v>519913.3419133419</x:v>
      </x:c>
      <x:c r="I6022" s="36" t="n">
        <x:f>IFERROR(H6022/A6022,0)</x:f>
        <x:v>51991.33419133419</x:v>
      </x:c>
      <x:c r="J6022" s="67" t="str">
        <x:v>Modeled from live base + Sep-2026 quality ratio</x:v>
      </x:c>
      <x:c r="K6022" s="67" t="str">
        <x:v>https://www.stonealgo.com/diamond-prices/</x:v>
      </x:c>
      <x:c r="L6022" s="67" t="str">
        <x:v>https://www.pricescope.com/blog/natural-diamond-prices-september-2026</x:v>
      </x:c>
    </x:row>
    <x:row r="6023">
      <x:c r="A6023" t="n">
        <x:v>10</x:v>
      </x:c>
      <x:c r="B6023" t="str">
        <x:v>Cushion</x:v>
      </x:c>
      <x:c r="C6023" t="str">
        <x:v>D</x:v>
      </x:c>
      <x:c r="D6023" t="str">
        <x:v>VS2</x:v>
      </x:c>
      <x:c r="E6023" s="36" t="n">
        <x:v>388000</x:v>
      </x:c>
      <x:c r="F6023" s="36" t="n">
        <x:v>5841</x:v>
      </x:c>
      <x:c r="G6023" s="42" t="n">
        <x:v>1.252895752895753</x:v>
      </x:c>
      <x:c r="H6023" s="36" t="n">
        <x:f>E6023*G6023</x:f>
        <x:v>486123.55212355213</x:v>
      </x:c>
      <x:c r="I6023" s="36" t="n">
        <x:f>IFERROR(H6023/A6023,0)</x:f>
        <x:v>48612.355212355214</x:v>
      </x:c>
      <x:c r="J6023" s="67" t="str">
        <x:v>Modeled from live base + Sep-2026 quality ratio</x:v>
      </x:c>
      <x:c r="K6023" s="67" t="str">
        <x:v>https://www.stonealgo.com/diamond-prices/</x:v>
      </x:c>
      <x:c r="L6023" s="67" t="str">
        <x:v>https://www.pricescope.com/blog/natural-diamond-prices-september-2026</x:v>
      </x:c>
    </x:row>
    <x:row r="6024">
      <x:c r="A6024" t="n">
        <x:v>10</x:v>
      </x:c>
      <x:c r="B6024" t="str">
        <x:v>Cushion</x:v>
      </x:c>
      <x:c r="C6024" t="str">
        <x:v>D</x:v>
      </x:c>
      <x:c r="D6024" t="str">
        <x:v>SI1</x:v>
      </x:c>
      <x:c r="E6024" s="36" t="n">
        <x:v>388000</x:v>
      </x:c>
      <x:c r="F6024" s="36" t="n">
        <x:v>3762</x:v>
      </x:c>
      <x:c r="G6024" s="42" t="n">
        <x:v>0.806949806949807</x:v>
      </x:c>
      <x:c r="H6024" s="36" t="n">
        <x:f>E6024*G6024</x:f>
        <x:v>313096.5250965251</x:v>
      </x:c>
      <x:c r="I6024" s="36" t="n">
        <x:f>IFERROR(H6024/A6024,0)</x:f>
        <x:v>31309.652509652507</x:v>
      </x:c>
      <x:c r="J6024" s="67" t="str">
        <x:v>Modeled from live base + Sep-2026 quality ratio</x:v>
      </x:c>
      <x:c r="K6024" s="67" t="str">
        <x:v>https://www.stonealgo.com/diamond-prices/</x:v>
      </x:c>
      <x:c r="L6024" s="67" t="str">
        <x:v>https://www.pricescope.com/blog/natural-diamond-prices-september-2026</x:v>
      </x:c>
    </x:row>
    <x:row r="6025">
      <x:c r="A6025" t="n">
        <x:v>10</x:v>
      </x:c>
      <x:c r="B6025" t="str">
        <x:v>Cushion</x:v>
      </x:c>
      <x:c r="C6025" t="str">
        <x:v>D</x:v>
      </x:c>
      <x:c r="D6025" t="str">
        <x:v>SI2</x:v>
      </x:c>
      <x:c r="E6025" s="36" t="n">
        <x:v>388000</x:v>
      </x:c>
      <x:c r="F6025" s="36" t="n">
        <x:v>3026</x:v>
      </x:c>
      <x:c r="G6025" s="42" t="n">
        <x:v>0.6490776490776491</x:v>
      </x:c>
      <x:c r="H6025" s="36" t="n">
        <x:f>E6025*G6025</x:f>
        <x:v>251842.12784212784</x:v>
      </x:c>
      <x:c r="I6025" s="36" t="n">
        <x:f>IFERROR(H6025/A6025,0)</x:f>
        <x:v>25184.212784212785</x:v>
      </x:c>
      <x:c r="J6025" s="67" t="str">
        <x:v>Modeled from live base + Sep-2026 quality ratio</x:v>
      </x:c>
      <x:c r="K6025" s="67" t="str">
        <x:v>https://www.stonealgo.com/diamond-prices/</x:v>
      </x:c>
      <x:c r="L6025" s="67" t="str">
        <x:v>https://www.pricescope.com/blog/natural-diamond-prices-september-2026</x:v>
      </x:c>
    </x:row>
    <x:row r="6026">
      <x:c r="A6026" t="n">
        <x:v>10</x:v>
      </x:c>
      <x:c r="B6026" t="str">
        <x:v>Cushion</x:v>
      </x:c>
      <x:c r="C6026" t="str">
        <x:v>E</x:v>
      </x:c>
      <x:c r="D6026" t="str">
        <x:v>FL</x:v>
      </x:c>
      <x:c r="E6026" s="36" t="n">
        <x:v>388000</x:v>
      </x:c>
      <x:c r="F6026" s="36" t="n">
        <x:v>10072</x:v>
      </x:c>
      <x:c r="G6026" s="42" t="n">
        <x:v>2.1604461604461602</x:v>
      </x:c>
      <x:c r="H6026" s="36" t="n">
        <x:f>E6026*G6026</x:f>
        <x:v>838253.1102531102</x:v>
      </x:c>
      <x:c r="I6026" s="36" t="n">
        <x:f>IFERROR(H6026/A6026,0)</x:f>
        <x:v>83825.31102531102</x:v>
      </x:c>
      <x:c r="J6026" s="67" t="str">
        <x:v>Modeled from live base + Sep-2026 quality ratio</x:v>
      </x:c>
      <x:c r="K6026" s="67" t="str">
        <x:v>https://www.stonealgo.com/diamond-prices/</x:v>
      </x:c>
      <x:c r="L6026" s="67" t="str">
        <x:v>https://www.pricescope.com/blog/natural-diamond-prices-september-2026</x:v>
      </x:c>
    </x:row>
    <x:row r="6027">
      <x:c r="A6027" t="n">
        <x:v>10</x:v>
      </x:c>
      <x:c r="B6027" t="str">
        <x:v>Cushion</x:v>
      </x:c>
      <x:c r="C6027" t="str">
        <x:v>E</x:v>
      </x:c>
      <x:c r="D6027" t="str">
        <x:v>IF</x:v>
      </x:c>
      <x:c r="E6027" s="36" t="n">
        <x:v>388000</x:v>
      </x:c>
      <x:c r="F6027" s="36" t="n">
        <x:v>8672</x:v>
      </x:c>
      <x:c r="G6027" s="42" t="n">
        <x:v>1.8601458601458603</x:v>
      </x:c>
      <x:c r="H6027" s="36" t="n">
        <x:f>E6027*G6027</x:f>
        <x:v>721736.5937365937</x:v>
      </x:c>
      <x:c r="I6027" s="36" t="n">
        <x:f>IFERROR(H6027/A6027,0)</x:f>
        <x:v>72173.65937365938</x:v>
      </x:c>
      <x:c r="J6027" s="67" t="str">
        <x:v>Modeled from live base + Sep-2026 quality ratio</x:v>
      </x:c>
      <x:c r="K6027" s="67" t="str">
        <x:v>https://www.stonealgo.com/diamond-prices/</x:v>
      </x:c>
      <x:c r="L6027" s="67" t="str">
        <x:v>https://www.pricescope.com/blog/natural-diamond-prices-september-2026</x:v>
      </x:c>
    </x:row>
    <x:row r="6028">
      <x:c r="A6028" t="n">
        <x:v>10</x:v>
      </x:c>
      <x:c r="B6028" t="str">
        <x:v>Cushion</x:v>
      </x:c>
      <x:c r="C6028" t="str">
        <x:v>E</x:v>
      </x:c>
      <x:c r="D6028" t="str">
        <x:v>VVS1</x:v>
      </x:c>
      <x:c r="E6028" s="36" t="n">
        <x:v>388000</x:v>
      </x:c>
      <x:c r="F6028" s="36" t="n">
        <x:v>7842</x:v>
      </x:c>
      <x:c r="G6028" s="42" t="n">
        <x:v>1.6821106821106822</x:v>
      </x:c>
      <x:c r="H6028" s="36" t="n">
        <x:f>E6028*G6028</x:f>
        <x:v>652658.9446589447</x:v>
      </x:c>
      <x:c r="I6028" s="36" t="n">
        <x:f>IFERROR(H6028/A6028,0)</x:f>
        <x:v>65265.894465894475</x:v>
      </x:c>
      <x:c r="J6028" s="67" t="str">
        <x:v>Modeled from live base + Sep-2026 quality ratio</x:v>
      </x:c>
      <x:c r="K6028" s="67" t="str">
        <x:v>https://www.stonealgo.com/diamond-prices/</x:v>
      </x:c>
      <x:c r="L6028" s="67" t="str">
        <x:v>https://www.pricescope.com/blog/natural-diamond-prices-september-2026</x:v>
      </x:c>
    </x:row>
    <x:row r="6029">
      <x:c r="A6029" t="n">
        <x:v>10</x:v>
      </x:c>
      <x:c r="B6029" t="str">
        <x:v>Cushion</x:v>
      </x:c>
      <x:c r="C6029" t="str">
        <x:v>E</x:v>
      </x:c>
      <x:c r="D6029" t="str">
        <x:v>VVS2</x:v>
      </x:c>
      <x:c r="E6029" s="36" t="n">
        <x:v>388000</x:v>
      </x:c>
      <x:c r="F6029" s="36" t="n">
        <x:v>6880</x:v>
      </x:c>
      <x:c r="G6029" s="42" t="n">
        <x:v>1.4757614757614759</x:v>
      </x:c>
      <x:c r="H6029" s="36" t="n">
        <x:f>E6029*G6029</x:f>
        <x:v>572595.4525954527</x:v>
      </x:c>
      <x:c r="I6029" s="36" t="n">
        <x:f>IFERROR(H6029/A6029,0)</x:f>
        <x:v>57259.545259545266</x:v>
      </x:c>
      <x:c r="J6029" s="67" t="str">
        <x:v>Modeled from live base + Sep-2026 quality ratio</x:v>
      </x:c>
      <x:c r="K6029" s="67" t="str">
        <x:v>https://www.stonealgo.com/diamond-prices/</x:v>
      </x:c>
      <x:c r="L6029" s="67" t="str">
        <x:v>https://www.pricescope.com/blog/natural-diamond-prices-september-2026</x:v>
      </x:c>
    </x:row>
    <x:row r="6030">
      <x:c r="A6030" t="n">
        <x:v>10</x:v>
      </x:c>
      <x:c r="B6030" t="str">
        <x:v>Cushion</x:v>
      </x:c>
      <x:c r="C6030" t="str">
        <x:v>E</x:v>
      </x:c>
      <x:c r="D6030" t="str">
        <x:v>VS1</x:v>
      </x:c>
      <x:c r="E6030" s="36" t="n">
        <x:v>388000</x:v>
      </x:c>
      <x:c r="F6030" s="36" t="n">
        <x:v>6307</x:v>
      </x:c>
      <x:c r="G6030" s="42" t="n">
        <x:v>1.352852852852853</x:v>
      </x:c>
      <x:c r="H6030" s="36" t="n">
        <x:f>E6030*G6030</x:f>
        <x:v>524906.906906907</x:v>
      </x:c>
      <x:c r="I6030" s="36" t="n">
        <x:f>IFERROR(H6030/A6030,0)</x:f>
        <x:v>52490.690690690695</x:v>
      </x:c>
      <x:c r="J6030" s="67" t="str">
        <x:v>Modeled from live base + Sep-2026 quality ratio</x:v>
      </x:c>
      <x:c r="K6030" s="67" t="str">
        <x:v>https://www.stonealgo.com/diamond-prices/</x:v>
      </x:c>
      <x:c r="L6030" s="67" t="str">
        <x:v>https://www.pricescope.com/blog/natural-diamond-prices-september-2026</x:v>
      </x:c>
    </x:row>
    <x:row r="6031">
      <x:c r="A6031" t="n">
        <x:v>10</x:v>
      </x:c>
      <x:c r="B6031" t="str">
        <x:v>Cushion</x:v>
      </x:c>
      <x:c r="C6031" t="str">
        <x:v>E</x:v>
      </x:c>
      <x:c r="D6031" t="str">
        <x:v>VS2</x:v>
      </x:c>
      <x:c r="E6031" s="36" t="n">
        <x:v>388000</x:v>
      </x:c>
      <x:c r="F6031" s="36" t="n">
        <x:v>5249</x:v>
      </x:c>
      <x:c r="G6031" s="42" t="n">
        <x:v>1.125911625911626</x:v>
      </x:c>
      <x:c r="H6031" s="36" t="n">
        <x:f>E6031*G6031</x:f>
        <x:v>436853.7108537109</x:v>
      </x:c>
      <x:c r="I6031" s="36" t="n">
        <x:f>IFERROR(H6031/A6031,0)</x:f>
        <x:v>43685.37108537109</x:v>
      </x:c>
      <x:c r="J6031" s="67" t="str">
        <x:v>Modeled from live base + Sep-2026 quality ratio</x:v>
      </x:c>
      <x:c r="K6031" s="67" t="str">
        <x:v>https://www.stonealgo.com/diamond-prices/</x:v>
      </x:c>
      <x:c r="L6031" s="67" t="str">
        <x:v>https://www.pricescope.com/blog/natural-diamond-prices-september-2026</x:v>
      </x:c>
    </x:row>
    <x:row r="6032">
      <x:c r="A6032" t="n">
        <x:v>10</x:v>
      </x:c>
      <x:c r="B6032" t="str">
        <x:v>Cushion</x:v>
      </x:c>
      <x:c r="C6032" t="str">
        <x:v>E</x:v>
      </x:c>
      <x:c r="D6032" t="str">
        <x:v>SI1</x:v>
      </x:c>
      <x:c r="E6032" s="36" t="n">
        <x:v>388000</x:v>
      </x:c>
      <x:c r="F6032" s="36" t="n">
        <x:v>3551</x:v>
      </x:c>
      <x:c r="G6032" s="42" t="n">
        <x:v>0.7616902616902617</x:v>
      </x:c>
      <x:c r="H6032" s="36" t="n">
        <x:f>E6032*G6032</x:f>
        <x:v>295535.82153582154</x:v>
      </x:c>
      <x:c r="I6032" s="36" t="n">
        <x:f>IFERROR(H6032/A6032,0)</x:f>
        <x:v>29553.582153582152</x:v>
      </x:c>
      <x:c r="J6032" s="67" t="str">
        <x:v>Modeled from live base + Sep-2026 quality ratio</x:v>
      </x:c>
      <x:c r="K6032" s="67" t="str">
        <x:v>https://www.stonealgo.com/diamond-prices/</x:v>
      </x:c>
      <x:c r="L6032" s="67" t="str">
        <x:v>https://www.pricescope.com/blog/natural-diamond-prices-september-2026</x:v>
      </x:c>
    </x:row>
    <x:row r="6033">
      <x:c r="A6033" t="n">
        <x:v>10</x:v>
      </x:c>
      <x:c r="B6033" t="str">
        <x:v>Cushion</x:v>
      </x:c>
      <x:c r="C6033" t="str">
        <x:v>E</x:v>
      </x:c>
      <x:c r="D6033" t="str">
        <x:v>SI2</x:v>
      </x:c>
      <x:c r="E6033" s="36" t="n">
        <x:v>388000</x:v>
      </x:c>
      <x:c r="F6033" s="36" t="n">
        <x:v>2993</x:v>
      </x:c>
      <x:c r="G6033" s="42" t="n">
        <x:v>0.641999141999142</x:v>
      </x:c>
      <x:c r="H6033" s="36" t="n">
        <x:f>E6033*G6033</x:f>
        <x:v>249095.6670956671</x:v>
      </x:c>
      <x:c r="I6033" s="36" t="n">
        <x:f>IFERROR(H6033/A6033,0)</x:f>
        <x:v>24909.56670956671</x:v>
      </x:c>
      <x:c r="J6033" s="67" t="str">
        <x:v>Modeled from live base + Sep-2026 quality ratio</x:v>
      </x:c>
      <x:c r="K6033" s="67" t="str">
        <x:v>https://www.stonealgo.com/diamond-prices/</x:v>
      </x:c>
      <x:c r="L6033" s="67" t="str">
        <x:v>https://www.pricescope.com/blog/natural-diamond-prices-september-2026</x:v>
      </x:c>
    </x:row>
    <x:row r="6034">
      <x:c r="A6034" t="n">
        <x:v>10</x:v>
      </x:c>
      <x:c r="B6034" t="str">
        <x:v>Cushion</x:v>
      </x:c>
      <x:c r="C6034" t="str">
        <x:v>F</x:v>
      </x:c>
      <x:c r="D6034" t="str">
        <x:v>FL</x:v>
      </x:c>
      <x:c r="E6034" s="36" t="n">
        <x:v>388000</x:v>
      </x:c>
      <x:c r="F6034" s="36" t="n">
        <x:v>6830</x:v>
      </x:c>
      <x:c r="G6034" s="42" t="n">
        <x:v>1.4650364650364651</x:v>
      </x:c>
      <x:c r="H6034" s="36" t="n">
        <x:f>E6034*G6034</x:f>
        <x:v>568434.1484341485</x:v>
      </x:c>
      <x:c r="I6034" s="36" t="n">
        <x:f>IFERROR(H6034/A6034,0)</x:f>
        <x:v>56843.41484341485</x:v>
      </x:c>
      <x:c r="J6034" s="67" t="str">
        <x:v>Modeled from live base + Sep-2026 quality ratio</x:v>
      </x:c>
      <x:c r="K6034" s="67" t="str">
        <x:v>https://www.stonealgo.com/diamond-prices/</x:v>
      </x:c>
      <x:c r="L6034" s="67" t="str">
        <x:v>https://www.pricescope.com/blog/natural-diamond-prices-september-2026</x:v>
      </x:c>
    </x:row>
    <x:row r="6035">
      <x:c r="A6035" t="n">
        <x:v>10</x:v>
      </x:c>
      <x:c r="B6035" t="str">
        <x:v>Cushion</x:v>
      </x:c>
      <x:c r="C6035" t="str">
        <x:v>F</x:v>
      </x:c>
      <x:c r="D6035" t="str">
        <x:v>IF</x:v>
      </x:c>
      <x:c r="E6035" s="36" t="n">
        <x:v>388000</x:v>
      </x:c>
      <x:c r="F6035" s="36" t="n">
        <x:v>7302</x:v>
      </x:c>
      <x:c r="G6035" s="42" t="n">
        <x:v>1.5662805662805663</x:v>
      </x:c>
      <x:c r="H6035" s="36" t="n">
        <x:f>E6035*G6035</x:f>
        <x:v>607716.8597168598</x:v>
      </x:c>
      <x:c r="I6035" s="36" t="n">
        <x:f>IFERROR(H6035/A6035,0)</x:f>
        <x:v>60771.685971685976</x:v>
      </x:c>
      <x:c r="J6035" s="67" t="str">
        <x:v>Modeled from live base + Sep-2026 quality ratio</x:v>
      </x:c>
      <x:c r="K6035" s="67" t="str">
        <x:v>https://www.stonealgo.com/diamond-prices/</x:v>
      </x:c>
      <x:c r="L6035" s="67" t="str">
        <x:v>https://www.pricescope.com/blog/natural-diamond-prices-september-2026</x:v>
      </x:c>
    </x:row>
    <x:row r="6036">
      <x:c r="A6036" t="n">
        <x:v>10</x:v>
      </x:c>
      <x:c r="B6036" t="str">
        <x:v>Cushion</x:v>
      </x:c>
      <x:c r="C6036" t="str">
        <x:v>F</x:v>
      </x:c>
      <x:c r="D6036" t="str">
        <x:v>VVS1</x:v>
      </x:c>
      <x:c r="E6036" s="36" t="n">
        <x:v>388000</x:v>
      </x:c>
      <x:c r="F6036" s="36" t="n">
        <x:v>7542</x:v>
      </x:c>
      <x:c r="G6036" s="42" t="n">
        <x:v>1.6177606177606179</x:v>
      </x:c>
      <x:c r="H6036" s="36" t="n">
        <x:f>E6036*G6036</x:f>
        <x:v>627691.1196911198</x:v>
      </x:c>
      <x:c r="I6036" s="36" t="n">
        <x:f>IFERROR(H6036/A6036,0)</x:f>
        <x:v>62769.111969111975</x:v>
      </x:c>
      <x:c r="J6036" s="67" t="str">
        <x:v>Modeled from live base + Sep-2026 quality ratio</x:v>
      </x:c>
      <x:c r="K6036" s="67" t="str">
        <x:v>https://www.stonealgo.com/diamond-prices/</x:v>
      </x:c>
      <x:c r="L6036" s="67" t="str">
        <x:v>https://www.pricescope.com/blog/natural-diamond-prices-september-2026</x:v>
      </x:c>
    </x:row>
    <x:row r="6037">
      <x:c r="A6037" t="n">
        <x:v>10</x:v>
      </x:c>
      <x:c r="B6037" t="str">
        <x:v>Cushion</x:v>
      </x:c>
      <x:c r="C6037" t="str">
        <x:v>F</x:v>
      </x:c>
      <x:c r="D6037" t="str">
        <x:v>VVS2</x:v>
      </x:c>
      <x:c r="E6037" s="36" t="n">
        <x:v>388000</x:v>
      </x:c>
      <x:c r="F6037" s="36" t="n">
        <x:v>6352</x:v>
      </x:c>
      <x:c r="G6037" s="42" t="n">
        <x:v>1.3625053625053625</x:v>
      </x:c>
      <x:c r="H6037" s="36" t="n">
        <x:f>E6037*G6037</x:f>
        <x:v>528652.0806520806</x:v>
      </x:c>
      <x:c r="I6037" s="36" t="n">
        <x:f>IFERROR(H6037/A6037,0)</x:f>
        <x:v>52865.20806520806</x:v>
      </x:c>
      <x:c r="J6037" s="67" t="str">
        <x:v>Modeled from live base + Sep-2026 quality ratio</x:v>
      </x:c>
      <x:c r="K6037" s="67" t="str">
        <x:v>https://www.stonealgo.com/diamond-prices/</x:v>
      </x:c>
      <x:c r="L6037" s="67" t="str">
        <x:v>https://www.pricescope.com/blog/natural-diamond-prices-september-2026</x:v>
      </x:c>
    </x:row>
    <x:row r="6038">
      <x:c r="A6038" t="n">
        <x:v>10</x:v>
      </x:c>
      <x:c r="B6038" t="str">
        <x:v>Cushion</x:v>
      </x:c>
      <x:c r="C6038" t="str">
        <x:v>F</x:v>
      </x:c>
      <x:c r="D6038" t="str">
        <x:v>VS1</x:v>
      </x:c>
      <x:c r="E6038" s="36" t="n">
        <x:v>388000</x:v>
      </x:c>
      <x:c r="F6038" s="36" t="n">
        <x:v>5647</x:v>
      </x:c>
      <x:c r="G6038" s="42" t="n">
        <x:v>1.2112827112827114</x:v>
      </x:c>
      <x:c r="H6038" s="36" t="n">
        <x:f>E6038*G6038</x:f>
        <x:v>469977.691977692</x:v>
      </x:c>
      <x:c r="I6038" s="36" t="n">
        <x:f>IFERROR(H6038/A6038,0)</x:f>
        <x:v>46997.7691977692</x:v>
      </x:c>
      <x:c r="J6038" s="67" t="str">
        <x:v>Modeled from live base + Sep-2026 quality ratio</x:v>
      </x:c>
      <x:c r="K6038" s="67" t="str">
        <x:v>https://www.stonealgo.com/diamond-prices/</x:v>
      </x:c>
      <x:c r="L6038" s="67" t="str">
        <x:v>https://www.pricescope.com/blog/natural-diamond-prices-september-2026</x:v>
      </x:c>
    </x:row>
    <x:row r="6039">
      <x:c r="A6039" t="n">
        <x:v>10</x:v>
      </x:c>
      <x:c r="B6039" t="str">
        <x:v>Cushion</x:v>
      </x:c>
      <x:c r="C6039" t="str">
        <x:v>F</x:v>
      </x:c>
      <x:c r="D6039" t="str">
        <x:v>VS2</x:v>
      </x:c>
      <x:c r="E6039" s="36" t="n">
        <x:v>388000</x:v>
      </x:c>
      <x:c r="F6039" s="36" t="n">
        <x:v>4730</x:v>
      </x:c>
      <x:c r="G6039" s="42" t="n">
        <x:v>1.0145860145860146</x:v>
      </x:c>
      <x:c r="H6039" s="36" t="n">
        <x:f>E6039*G6039</x:f>
        <x:v>393659.37365937367</x:v>
      </x:c>
      <x:c r="I6039" s="36" t="n">
        <x:f>IFERROR(H6039/A6039,0)</x:f>
        <x:v>39365.93736593737</x:v>
      </x:c>
      <x:c r="J6039" s="67" t="str">
        <x:v>Modeled from live base + Sep-2026 quality ratio</x:v>
      </x:c>
      <x:c r="K6039" s="67" t="str">
        <x:v>https://www.stonealgo.com/diamond-prices/</x:v>
      </x:c>
      <x:c r="L6039" s="67" t="str">
        <x:v>https://www.pricescope.com/blog/natural-diamond-prices-september-2026</x:v>
      </x:c>
    </x:row>
    <x:row r="6040">
      <x:c r="A6040" t="n">
        <x:v>10</x:v>
      </x:c>
      <x:c r="B6040" t="str">
        <x:v>Cushion</x:v>
      </x:c>
      <x:c r="C6040" t="str">
        <x:v>F</x:v>
      </x:c>
      <x:c r="D6040" t="str">
        <x:v>SI1</x:v>
      </x:c>
      <x:c r="E6040" s="36" t="n">
        <x:v>388000</x:v>
      </x:c>
      <x:c r="F6040" s="36" t="n">
        <x:v>3331</x:v>
      </x:c>
      <x:c r="G6040" s="42" t="n">
        <x:v>0.7145002145002145</x:v>
      </x:c>
      <x:c r="H6040" s="36" t="n">
        <x:f>E6040*G6040</x:f>
        <x:v>277226.08322608325</x:v>
      </x:c>
      <x:c r="I6040" s="36" t="n">
        <x:f>IFERROR(H6040/A6040,0)</x:f>
        <x:v>27722.608322608325</x:v>
      </x:c>
      <x:c r="J6040" s="67" t="str">
        <x:v>Modeled from live base + Sep-2026 quality ratio</x:v>
      </x:c>
      <x:c r="K6040" s="67" t="str">
        <x:v>https://www.stonealgo.com/diamond-prices/</x:v>
      </x:c>
      <x:c r="L6040" s="67" t="str">
        <x:v>https://www.pricescope.com/blog/natural-diamond-prices-september-2026</x:v>
      </x:c>
    </x:row>
    <x:row r="6041">
      <x:c r="A6041" t="n">
        <x:v>10</x:v>
      </x:c>
      <x:c r="B6041" t="str">
        <x:v>Cushion</x:v>
      </x:c>
      <x:c r="C6041" t="str">
        <x:v>F</x:v>
      </x:c>
      <x:c r="D6041" t="str">
        <x:v>SI2</x:v>
      </x:c>
      <x:c r="E6041" s="36" t="n">
        <x:v>388000</x:v>
      </x:c>
      <x:c r="F6041" s="36" t="n">
        <x:v>2733</x:v>
      </x:c>
      <x:c r="G6041" s="42" t="n">
        <x:v>0.5862290862290862</x:v>
      </x:c>
      <x:c r="H6041" s="36" t="n">
        <x:f>E6041*G6041</x:f>
        <x:v>227456.88545688544</x:v>
      </x:c>
      <x:c r="I6041" s="36" t="n">
        <x:f>IFERROR(H6041/A6041,0)</x:f>
        <x:v>22745.688545688543</x:v>
      </x:c>
      <x:c r="J6041" s="67" t="str">
        <x:v>Modeled from live base + Sep-2026 quality ratio</x:v>
      </x:c>
      <x:c r="K6041" s="67" t="str">
        <x:v>https://www.stonealgo.com/diamond-prices/</x:v>
      </x:c>
      <x:c r="L6041" s="67" t="str">
        <x:v>https://www.pricescope.com/blog/natural-diamond-prices-september-2026</x:v>
      </x:c>
    </x:row>
    <x:row r="6042">
      <x:c r="A6042" t="n">
        <x:v>10</x:v>
      </x:c>
      <x:c r="B6042" t="str">
        <x:v>Cushion</x:v>
      </x:c>
      <x:c r="C6042" t="str">
        <x:v>G</x:v>
      </x:c>
      <x:c r="D6042" t="str">
        <x:v>FL</x:v>
      </x:c>
      <x:c r="E6042" s="36" t="n">
        <x:v>388000</x:v>
      </x:c>
      <x:c r="F6042" s="36" t="n">
        <x:v>5905</x:v>
      </x:c>
      <x:c r="G6042" s="42" t="n">
        <x:v>1.2666237666237665</x:v>
      </x:c>
      <x:c r="H6042" s="36" t="n">
        <x:f>E6042*G6042</x:f>
        <x:v>491450.0214500214</x:v>
      </x:c>
      <x:c r="I6042" s="36" t="n">
        <x:f>IFERROR(H6042/A6042,0)</x:f>
        <x:v>49145.002145002145</x:v>
      </x:c>
      <x:c r="J6042" s="67" t="str">
        <x:v>Modeled from live base + Sep-2026 quality ratio</x:v>
      </x:c>
      <x:c r="K6042" s="67" t="str">
        <x:v>https://www.stonealgo.com/diamond-prices/</x:v>
      </x:c>
      <x:c r="L6042" s="67" t="str">
        <x:v>https://www.pricescope.com/blog/natural-diamond-prices-september-2026</x:v>
      </x:c>
    </x:row>
    <x:row r="6043">
      <x:c r="A6043" t="n">
        <x:v>10</x:v>
      </x:c>
      <x:c r="B6043" t="str">
        <x:v>Cushion</x:v>
      </x:c>
      <x:c r="C6043" t="str">
        <x:v>G</x:v>
      </x:c>
      <x:c r="D6043" t="str">
        <x:v>IF</x:v>
      </x:c>
      <x:c r="E6043" s="36" t="n">
        <x:v>388000</x:v>
      </x:c>
      <x:c r="F6043" s="36" t="n">
        <x:v>5601</x:v>
      </x:c>
      <x:c r="G6043" s="42" t="n">
        <x:v>1.2014157014157014</x:v>
      </x:c>
      <x:c r="H6043" s="36" t="n">
        <x:f>E6043*G6043</x:f>
        <x:v>466149.29214929213</x:v>
      </x:c>
      <x:c r="I6043" s="36" t="n">
        <x:f>IFERROR(H6043/A6043,0)</x:f>
        <x:v>46614.929214929216</x:v>
      </x:c>
      <x:c r="J6043" s="67" t="str">
        <x:v>Modeled from live base + Sep-2026 quality ratio</x:v>
      </x:c>
      <x:c r="K6043" s="67" t="str">
        <x:v>https://www.stonealgo.com/diamond-prices/</x:v>
      </x:c>
      <x:c r="L6043" s="67" t="str">
        <x:v>https://www.pricescope.com/blog/natural-diamond-prices-september-2026</x:v>
      </x:c>
    </x:row>
    <x:row r="6044">
      <x:c r="A6044" t="n">
        <x:v>10</x:v>
      </x:c>
      <x:c r="B6044" t="str">
        <x:v>Cushion</x:v>
      </x:c>
      <x:c r="C6044" t="str">
        <x:v>G</x:v>
      </x:c>
      <x:c r="D6044" t="str">
        <x:v>VVS1</x:v>
      </x:c>
      <x:c r="E6044" s="36" t="n">
        <x:v>388000</x:v>
      </x:c>
      <x:c r="F6044" s="36" t="n">
        <x:v>5124</x:v>
      </x:c>
      <x:c r="G6044" s="42" t="n">
        <x:v>1.0990990990990992</x:v>
      </x:c>
      <x:c r="H6044" s="36" t="n">
        <x:f>E6044*G6044</x:f>
        <x:v>426450.4504504505</x:v>
      </x:c>
      <x:c r="I6044" s="36" t="n">
        <x:f>IFERROR(H6044/A6044,0)</x:f>
        <x:v>42645.045045045044</x:v>
      </x:c>
      <x:c r="J6044" s="67" t="str">
        <x:v>Modeled from live base + Sep-2026 quality ratio</x:v>
      </x:c>
      <x:c r="K6044" s="67" t="str">
        <x:v>https://www.stonealgo.com/diamond-prices/</x:v>
      </x:c>
      <x:c r="L6044" s="67" t="str">
        <x:v>https://www.pricescope.com/blog/natural-diamond-prices-september-2026</x:v>
      </x:c>
    </x:row>
    <x:row r="6045">
      <x:c r="A6045" t="n">
        <x:v>10</x:v>
      </x:c>
      <x:c r="B6045" t="str">
        <x:v>Cushion</x:v>
      </x:c>
      <x:c r="C6045" t="str">
        <x:v>G</x:v>
      </x:c>
      <x:c r="D6045" t="str">
        <x:v>VVS2</x:v>
      </x:c>
      <x:c r="E6045" s="36" t="n">
        <x:v>388000</x:v>
      </x:c>
      <x:c r="F6045" s="36" t="n">
        <x:v>4962</x:v>
      </x:c>
      <x:c r="G6045" s="42" t="n">
        <x:v>1.0643500643500643</x:v>
      </x:c>
      <x:c r="H6045" s="36" t="n">
        <x:f>E6045*G6045</x:f>
        <x:v>412967.82496782497</x:v>
      </x:c>
      <x:c r="I6045" s="36" t="n">
        <x:f>IFERROR(H6045/A6045,0)</x:f>
        <x:v>41296.7824967825</x:v>
      </x:c>
      <x:c r="J6045" s="67" t="str">
        <x:v>Modeled from live base + Sep-2026 quality ratio</x:v>
      </x:c>
      <x:c r="K6045" s="67" t="str">
        <x:v>https://www.stonealgo.com/diamond-prices/</x:v>
      </x:c>
      <x:c r="L6045" s="67" t="str">
        <x:v>https://www.pricescope.com/blog/natural-diamond-prices-september-2026</x:v>
      </x:c>
    </x:row>
    <x:row r="6046">
      <x:c r="A6046" t="n">
        <x:v>10</x:v>
      </x:c>
      <x:c r="B6046" t="str">
        <x:v>Cushion</x:v>
      </x:c>
      <x:c r="C6046" t="str">
        <x:v>G</x:v>
      </x:c>
      <x:c r="D6046" t="str">
        <x:v>VS1</x:v>
      </x:c>
      <x:c r="E6046" s="36" t="n">
        <x:v>388000</x:v>
      </x:c>
      <x:c r="F6046" s="36" t="n">
        <x:v>4615</x:v>
      </x:c>
      <x:c r="G6046" s="42" t="n">
        <x:v>0.98991848991849</x:v>
      </x:c>
      <x:c r="H6046" s="36" t="n">
        <x:f>E6046*G6046</x:f>
        <x:v>384088.3740883741</x:v>
      </x:c>
      <x:c r="I6046" s="36" t="n">
        <x:f>IFERROR(H6046/A6046,0)</x:f>
        <x:v>38408.83740883741</x:v>
      </x:c>
      <x:c r="J6046" s="67" t="str">
        <x:v>Modeled from live base + Sep-2026 quality ratio</x:v>
      </x:c>
      <x:c r="K6046" s="67" t="str">
        <x:v>https://www.stonealgo.com/diamond-prices/</x:v>
      </x:c>
      <x:c r="L6046" s="67" t="str">
        <x:v>https://www.pricescope.com/blog/natural-diamond-prices-september-2026</x:v>
      </x:c>
    </x:row>
    <x:row r="6047">
      <x:c r="A6047" t="n">
        <x:v>10</x:v>
      </x:c>
      <x:c r="B6047" t="str">
        <x:v>Cushion</x:v>
      </x:c>
      <x:c r="C6047" t="str">
        <x:v>G</x:v>
      </x:c>
      <x:c r="D6047" t="str">
        <x:v>VS2</x:v>
      </x:c>
      <x:c r="E6047" s="36" t="n">
        <x:v>388000</x:v>
      </x:c>
      <x:c r="F6047" s="36" t="n">
        <x:v>4585</x:v>
      </x:c>
      <x:c r="G6047" s="42" t="n">
        <x:v>0.9834834834834835</x:v>
      </x:c>
      <x:c r="H6047" s="36" t="n">
        <x:f>E6047*G6047</x:f>
        <x:v>381591.5915915916</x:v>
      </x:c>
      <x:c r="I6047" s="36" t="n">
        <x:f>IFERROR(H6047/A6047,0)</x:f>
        <x:v>38159.15915915916</x:v>
      </x:c>
      <x:c r="J6047" s="67" t="str">
        <x:v>Modeled from live base + Sep-2026 quality ratio</x:v>
      </x:c>
      <x:c r="K6047" s="67" t="str">
        <x:v>https://www.stonealgo.com/diamond-prices/</x:v>
      </x:c>
      <x:c r="L6047" s="67" t="str">
        <x:v>https://www.pricescope.com/blog/natural-diamond-prices-september-2026</x:v>
      </x:c>
    </x:row>
    <x:row r="6048">
      <x:c r="A6048" t="n">
        <x:v>10</x:v>
      </x:c>
      <x:c r="B6048" t="str">
        <x:v>Cushion</x:v>
      </x:c>
      <x:c r="C6048" t="str">
        <x:v>G</x:v>
      </x:c>
      <x:c r="D6048" t="str">
        <x:v>SI1</x:v>
      </x:c>
      <x:c r="E6048" s="36" t="n">
        <x:v>388000</x:v>
      </x:c>
      <x:c r="F6048" s="36" t="n">
        <x:v>3664</x:v>
      </x:c>
      <x:c r="G6048" s="42" t="n">
        <x:v>0.7859287859287859</x:v>
      </x:c>
      <x:c r="H6048" s="36" t="n">
        <x:f>E6048*G6048</x:f>
        <x:v>304940.36894036894</x:v>
      </x:c>
      <x:c r="I6048" s="36" t="n">
        <x:f>IFERROR(H6048/A6048,0)</x:f>
        <x:v>30494.036894036894</x:v>
      </x:c>
      <x:c r="J6048" s="67" t="str">
        <x:v>Modeled from live base + Sep-2026 quality ratio</x:v>
      </x:c>
      <x:c r="K6048" s="67" t="str">
        <x:v>https://www.stonealgo.com/diamond-prices/</x:v>
      </x:c>
      <x:c r="L6048" s="67" t="str">
        <x:v>https://www.pricescope.com/blog/natural-diamond-prices-september-2026</x:v>
      </x:c>
    </x:row>
    <x:row r="6049">
      <x:c r="A6049" t="n">
        <x:v>10</x:v>
      </x:c>
      <x:c r="B6049" t="str">
        <x:v>Cushion</x:v>
      </x:c>
      <x:c r="C6049" t="str">
        <x:v>G</x:v>
      </x:c>
      <x:c r="D6049" t="str">
        <x:v>SI2</x:v>
      </x:c>
      <x:c r="E6049" s="36" t="n">
        <x:v>388000</x:v>
      </x:c>
      <x:c r="F6049" s="36" t="n">
        <x:v>2537</x:v>
      </x:c>
      <x:c r="G6049" s="42" t="n">
        <x:v>0.5441870441870442</x:v>
      </x:c>
      <x:c r="H6049" s="36" t="n">
        <x:f>E6049*G6049</x:f>
        <x:v>211144.57314457317</x:v>
      </x:c>
      <x:c r="I6049" s="36" t="n">
        <x:f>IFERROR(H6049/A6049,0)</x:f>
        <x:v>21114.457314457315</x:v>
      </x:c>
      <x:c r="J6049" s="67" t="str">
        <x:v>Modeled from live base + Sep-2026 quality ratio</x:v>
      </x:c>
      <x:c r="K6049" s="67" t="str">
        <x:v>https://www.stonealgo.com/diamond-prices/</x:v>
      </x:c>
      <x:c r="L6049" s="67" t="str">
        <x:v>https://www.pricescope.com/blog/natural-diamond-prices-september-2026</x:v>
      </x:c>
    </x:row>
    <x:row r="6050">
      <x:c r="A6050" t="n">
        <x:v>10</x:v>
      </x:c>
      <x:c r="B6050" t="str">
        <x:v>Cushion</x:v>
      </x:c>
      <x:c r="C6050" t="str">
        <x:v>H</x:v>
      </x:c>
      <x:c r="D6050" t="str">
        <x:v>FL</x:v>
      </x:c>
      <x:c r="E6050" s="36" t="n">
        <x:v>388000</x:v>
      </x:c>
      <x:c r="F6050" s="36" t="n">
        <x:v>4563</x:v>
      </x:c>
      <x:c r="G6050" s="42" t="n">
        <x:v>0.9787644787644788</x:v>
      </x:c>
      <x:c r="H6050" s="36" t="n">
        <x:f>E6050*G6050</x:f>
        <x:v>379760.61776061775</x:v>
      </x:c>
      <x:c r="I6050" s="36" t="n">
        <x:f>IFERROR(H6050/A6050,0)</x:f>
        <x:v>37976.061776061775</x:v>
      </x:c>
      <x:c r="J6050" s="67" t="str">
        <x:v>Modeled from live base + Sep-2026 quality ratio</x:v>
      </x:c>
      <x:c r="K6050" s="67" t="str">
        <x:v>https://www.stonealgo.com/diamond-prices/</x:v>
      </x:c>
      <x:c r="L6050" s="67" t="str">
        <x:v>https://www.pricescope.com/blog/natural-diamond-prices-september-2026</x:v>
      </x:c>
    </x:row>
    <x:row r="6051">
      <x:c r="A6051" t="n">
        <x:v>10</x:v>
      </x:c>
      <x:c r="B6051" t="str">
        <x:v>Cushion</x:v>
      </x:c>
      <x:c r="C6051" t="str">
        <x:v>H</x:v>
      </x:c>
      <x:c r="D6051" t="str">
        <x:v>IF</x:v>
      </x:c>
      <x:c r="E6051" s="36" t="n">
        <x:v>388000</x:v>
      </x:c>
      <x:c r="F6051" s="36" t="n">
        <x:v>4809</x:v>
      </x:c>
      <x:c r="G6051" s="42" t="n">
        <x:v>1.0315315315315314</x:v>
      </x:c>
      <x:c r="H6051" s="36" t="n">
        <x:f>E6051*G6051</x:f>
        <x:v>400234.2342342342</x:v>
      </x:c>
      <x:c r="I6051" s="36" t="n">
        <x:f>IFERROR(H6051/A6051,0)</x:f>
        <x:v>40023.42342342342</x:v>
      </x:c>
      <x:c r="J6051" s="67" t="str">
        <x:v>Modeled from live base + Sep-2026 quality ratio</x:v>
      </x:c>
      <x:c r="K6051" s="67" t="str">
        <x:v>https://www.stonealgo.com/diamond-prices/</x:v>
      </x:c>
      <x:c r="L6051" s="67" t="str">
        <x:v>https://www.pricescope.com/blog/natural-diamond-prices-september-2026</x:v>
      </x:c>
    </x:row>
    <x:row r="6052">
      <x:c r="A6052" t="n">
        <x:v>10</x:v>
      </x:c>
      <x:c r="B6052" t="str">
        <x:v>Cushion</x:v>
      </x:c>
      <x:c r="C6052" t="str">
        <x:v>H</x:v>
      </x:c>
      <x:c r="D6052" t="str">
        <x:v>VVS1</x:v>
      </x:c>
      <x:c r="E6052" s="36" t="n">
        <x:v>388000</x:v>
      </x:c>
      <x:c r="F6052" s="36" t="n">
        <x:v>4911</x:v>
      </x:c>
      <x:c r="G6052" s="42" t="n">
        <x:v>1.0534105534105533</x:v>
      </x:c>
      <x:c r="H6052" s="36" t="n">
        <x:f>E6052*G6052</x:f>
        <x:v>408723.2947232947</x:v>
      </x:c>
      <x:c r="I6052" s="36" t="n">
        <x:f>IFERROR(H6052/A6052,0)</x:f>
        <x:v>40872.32947232947</x:v>
      </x:c>
      <x:c r="J6052" s="67" t="str">
        <x:v>Modeled from live base + Sep-2026 quality ratio</x:v>
      </x:c>
      <x:c r="K6052" s="67" t="str">
        <x:v>https://www.stonealgo.com/diamond-prices/</x:v>
      </x:c>
      <x:c r="L6052" s="67" t="str">
        <x:v>https://www.pricescope.com/blog/natural-diamond-prices-september-2026</x:v>
      </x:c>
    </x:row>
    <x:row r="6053">
      <x:c r="A6053" t="n">
        <x:v>10</x:v>
      </x:c>
      <x:c r="B6053" t="str">
        <x:v>Cushion</x:v>
      </x:c>
      <x:c r="C6053" t="str">
        <x:v>H</x:v>
      </x:c>
      <x:c r="D6053" t="str">
        <x:v>VVS2</x:v>
      </x:c>
      <x:c r="E6053" s="36" t="n">
        <x:v>388000</x:v>
      </x:c>
      <x:c r="F6053" s="36" t="n">
        <x:v>4046</x:v>
      </x:c>
      <x:c r="G6053" s="42" t="n">
        <x:v>0.8678678678678678</x:v>
      </x:c>
      <x:c r="H6053" s="36" t="n">
        <x:f>E6053*G6053</x:f>
        <x:v>336732.7327327327</x:v>
      </x:c>
      <x:c r="I6053" s="36" t="n">
        <x:f>IFERROR(H6053/A6053,0)</x:f>
        <x:v>33673.27327327327</x:v>
      </x:c>
      <x:c r="J6053" s="67" t="str">
        <x:v>Modeled from live base + Sep-2026 quality ratio</x:v>
      </x:c>
      <x:c r="K6053" s="67" t="str">
        <x:v>https://www.stonealgo.com/diamond-prices/</x:v>
      </x:c>
      <x:c r="L6053" s="67" t="str">
        <x:v>https://www.pricescope.com/blog/natural-diamond-prices-september-2026</x:v>
      </x:c>
    </x:row>
    <x:row r="6054">
      <x:c r="A6054" t="n">
        <x:v>10</x:v>
      </x:c>
      <x:c r="B6054" t="str">
        <x:v>Cushion</x:v>
      </x:c>
      <x:c r="C6054" t="str">
        <x:v>H</x:v>
      </x:c>
      <x:c r="D6054" t="str">
        <x:v>VS1</x:v>
      </x:c>
      <x:c r="E6054" s="36" t="n">
        <x:v>388000</x:v>
      </x:c>
      <x:c r="F6054" s="36" t="n">
        <x:v>3893</x:v>
      </x:c>
      <x:c r="G6054" s="42" t="n">
        <x:v>0.8350493350493351</x:v>
      </x:c>
      <x:c r="H6054" s="36" t="n">
        <x:f>E6054*G6054</x:f>
        <x:v>323999.141999142</x:v>
      </x:c>
      <x:c r="I6054" s="36" t="n">
        <x:f>IFERROR(H6054/A6054,0)</x:f>
        <x:v>32399.9141999142</x:v>
      </x:c>
      <x:c r="J6054" s="67" t="str">
        <x:v>Modeled from live base + Sep-2026 quality ratio</x:v>
      </x:c>
      <x:c r="K6054" s="67" t="str">
        <x:v>https://www.stonealgo.com/diamond-prices/</x:v>
      </x:c>
      <x:c r="L6054" s="67" t="str">
        <x:v>https://www.pricescope.com/blog/natural-diamond-prices-september-2026</x:v>
      </x:c>
    </x:row>
    <x:row r="6055">
      <x:c r="A6055" t="n">
        <x:v>10</x:v>
      </x:c>
      <x:c r="B6055" t="str">
        <x:v>Cushion</x:v>
      </x:c>
      <x:c r="C6055" t="str">
        <x:v>H</x:v>
      </x:c>
      <x:c r="D6055" t="str">
        <x:v>VS2</x:v>
      </x:c>
      <x:c r="E6055" s="36" t="n">
        <x:v>388000</x:v>
      </x:c>
      <x:c r="F6055" s="36" t="n">
        <x:v>3989</x:v>
      </x:c>
      <x:c r="G6055" s="42" t="n">
        <x:v>0.8556413556413557</x:v>
      </x:c>
      <x:c r="H6055" s="36" t="n">
        <x:f>E6055*G6055</x:f>
        <x:v>331988.845988846</x:v>
      </x:c>
      <x:c r="I6055" s="36" t="n">
        <x:f>IFERROR(H6055/A6055,0)</x:f>
        <x:v>33198.8845988846</x:v>
      </x:c>
      <x:c r="J6055" s="67" t="str">
        <x:v>Modeled from live base + Sep-2026 quality ratio</x:v>
      </x:c>
      <x:c r="K6055" s="67" t="str">
        <x:v>https://www.stonealgo.com/diamond-prices/</x:v>
      </x:c>
      <x:c r="L6055" s="67" t="str">
        <x:v>https://www.pricescope.com/blog/natural-diamond-prices-september-2026</x:v>
      </x:c>
    </x:row>
    <x:row r="6056">
      <x:c r="A6056" t="n">
        <x:v>10</x:v>
      </x:c>
      <x:c r="B6056" t="str">
        <x:v>Cushion</x:v>
      </x:c>
      <x:c r="C6056" t="str">
        <x:v>H</x:v>
      </x:c>
      <x:c r="D6056" t="str">
        <x:v>SI1</x:v>
      </x:c>
      <x:c r="E6056" s="36" t="n">
        <x:v>388000</x:v>
      </x:c>
      <x:c r="F6056" s="36" t="n">
        <x:v>2828</x:v>
      </x:c>
      <x:c r="G6056" s="42" t="n">
        <x:v>0.6066066066066066</x:v>
      </x:c>
      <x:c r="H6056" s="36" t="n">
        <x:f>E6056*G6056</x:f>
        <x:v>235363.36336336334</x:v>
      </x:c>
      <x:c r="I6056" s="36" t="n">
        <x:f>IFERROR(H6056/A6056,0)</x:f>
        <x:v>23536.336336336335</x:v>
      </x:c>
      <x:c r="J6056" s="67" t="str">
        <x:v>Modeled from live base + Sep-2026 quality ratio</x:v>
      </x:c>
      <x:c r="K6056" s="67" t="str">
        <x:v>https://www.stonealgo.com/diamond-prices/</x:v>
      </x:c>
      <x:c r="L6056" s="67" t="str">
        <x:v>https://www.pricescope.com/blog/natural-diamond-prices-september-2026</x:v>
      </x:c>
    </x:row>
    <x:row r="6057">
      <x:c r="A6057" t="n">
        <x:v>10</x:v>
      </x:c>
      <x:c r="B6057" t="str">
        <x:v>Cushion</x:v>
      </x:c>
      <x:c r="C6057" t="str">
        <x:v>H</x:v>
      </x:c>
      <x:c r="D6057" t="str">
        <x:v>SI2</x:v>
      </x:c>
      <x:c r="E6057" s="36" t="n">
        <x:v>388000</x:v>
      </x:c>
      <x:c r="F6057" s="36" t="n">
        <x:v>2328</x:v>
      </x:c>
      <x:c r="G6057" s="42" t="n">
        <x:v>0.49935649935649934</x:v>
      </x:c>
      <x:c r="H6057" s="36" t="n">
        <x:f>E6057*G6057</x:f>
        <x:v>193750.32175032175</x:v>
      </x:c>
      <x:c r="I6057" s="36" t="n">
        <x:f>IFERROR(H6057/A6057,0)</x:f>
        <x:v>19375.032175032175</x:v>
      </x:c>
      <x:c r="J6057" s="67" t="str">
        <x:v>Modeled from live base + Sep-2026 quality ratio</x:v>
      </x:c>
      <x:c r="K6057" s="67" t="str">
        <x:v>https://www.stonealgo.com/diamond-prices/</x:v>
      </x:c>
      <x:c r="L6057" s="67" t="str">
        <x:v>https://www.pricescope.com/blog/natural-diamond-prices-september-2026</x:v>
      </x:c>
    </x:row>
    <x:row r="6058">
      <x:c r="A6058" t="n">
        <x:v>10</x:v>
      </x:c>
      <x:c r="B6058" t="str">
        <x:v>Cushion</x:v>
      </x:c>
      <x:c r="C6058" t="str">
        <x:v>I</x:v>
      </x:c>
      <x:c r="D6058" t="str">
        <x:v>FL</x:v>
      </x:c>
      <x:c r="E6058" s="36" t="n">
        <x:v>388000</x:v>
      </x:c>
      <x:c r="F6058" s="36" t="n">
        <x:v>4623</x:v>
      </x:c>
      <x:c r="G6058" s="42" t="n">
        <x:v>0.9916344916344917</x:v>
      </x:c>
      <x:c r="H6058" s="36" t="n">
        <x:f>E6058*G6058</x:f>
        <x:v>384754.1827541828</x:v>
      </x:c>
      <x:c r="I6058" s="36" t="n">
        <x:f>IFERROR(H6058/A6058,0)</x:f>
        <x:v>38475.41827541828</x:v>
      </x:c>
      <x:c r="J6058" s="67" t="str">
        <x:v>Modeled from live base + Sep-2026 quality ratio</x:v>
      </x:c>
      <x:c r="K6058" s="67" t="str">
        <x:v>https://www.stonealgo.com/diamond-prices/</x:v>
      </x:c>
      <x:c r="L6058" s="67" t="str">
        <x:v>https://www.pricescope.com/blog/natural-diamond-prices-september-2026</x:v>
      </x:c>
    </x:row>
    <x:row r="6059">
      <x:c r="A6059" t="n">
        <x:v>10</x:v>
      </x:c>
      <x:c r="B6059" t="str">
        <x:v>Cushion</x:v>
      </x:c>
      <x:c r="C6059" t="str">
        <x:v>I</x:v>
      </x:c>
      <x:c r="D6059" t="str">
        <x:v>IF</x:v>
      </x:c>
      <x:c r="E6059" s="36" t="n">
        <x:v>388000</x:v>
      </x:c>
      <x:c r="F6059" s="36" t="n">
        <x:v>4005</x:v>
      </x:c>
      <x:c r="G6059" s="42" t="n">
        <x:v>0.859073359073359</x:v>
      </x:c>
      <x:c r="H6059" s="36" t="n">
        <x:f>E6059*G6059</x:f>
        <x:v>333320.4633204633</x:v>
      </x:c>
      <x:c r="I6059" s="36" t="n">
        <x:f>IFERROR(H6059/A6059,0)</x:f>
        <x:v>33332.04633204633</x:v>
      </x:c>
      <x:c r="J6059" s="67" t="str">
        <x:v>Modeled from live base + Sep-2026 quality ratio</x:v>
      </x:c>
      <x:c r="K6059" s="67" t="str">
        <x:v>https://www.stonealgo.com/diamond-prices/</x:v>
      </x:c>
      <x:c r="L6059" s="67" t="str">
        <x:v>https://www.pricescope.com/blog/natural-diamond-prices-september-2026</x:v>
      </x:c>
    </x:row>
    <x:row r="6060">
      <x:c r="A6060" t="n">
        <x:v>10</x:v>
      </x:c>
      <x:c r="B6060" t="str">
        <x:v>Cushion</x:v>
      </x:c>
      <x:c r="C6060" t="str">
        <x:v>I</x:v>
      </x:c>
      <x:c r="D6060" t="str">
        <x:v>VVS1</x:v>
      </x:c>
      <x:c r="E6060" s="36" t="n">
        <x:v>388000</x:v>
      </x:c>
      <x:c r="F6060" s="36" t="n">
        <x:v>3670</x:v>
      </x:c>
      <x:c r="G6060" s="42" t="n">
        <x:v>0.7872157872157872</x:v>
      </x:c>
      <x:c r="H6060" s="36" t="n">
        <x:f>E6060*G6060</x:f>
        <x:v>305439.72543972544</x:v>
      </x:c>
      <x:c r="I6060" s="36" t="n">
        <x:f>IFERROR(H6060/A6060,0)</x:f>
        <x:v>30543.972543972544</x:v>
      </x:c>
      <x:c r="J6060" s="67" t="str">
        <x:v>Modeled from live base + Sep-2026 quality ratio</x:v>
      </x:c>
      <x:c r="K6060" s="67" t="str">
        <x:v>https://www.stonealgo.com/diamond-prices/</x:v>
      </x:c>
      <x:c r="L6060" s="67" t="str">
        <x:v>https://www.pricescope.com/blog/natural-diamond-prices-september-2026</x:v>
      </x:c>
    </x:row>
    <x:row r="6061">
      <x:c r="A6061" t="n">
        <x:v>10</x:v>
      </x:c>
      <x:c r="B6061" t="str">
        <x:v>Cushion</x:v>
      </x:c>
      <x:c r="C6061" t="str">
        <x:v>I</x:v>
      </x:c>
      <x:c r="D6061" t="str">
        <x:v>VVS2</x:v>
      </x:c>
      <x:c r="E6061" s="36" t="n">
        <x:v>388000</x:v>
      </x:c>
      <x:c r="F6061" s="36" t="n">
        <x:v>3447</x:v>
      </x:c>
      <x:c r="G6061" s="42" t="n">
        <x:v>0.7393822393822393</x:v>
      </x:c>
      <x:c r="H6061" s="36" t="n">
        <x:f>E6061*G6061</x:f>
        <x:v>286880.3088803089</x:v>
      </x:c>
      <x:c r="I6061" s="36" t="n">
        <x:f>IFERROR(H6061/A6061,0)</x:f>
        <x:v>28688.030888030888</x:v>
      </x:c>
      <x:c r="J6061" s="67" t="str">
        <x:v>Modeled from live base + Sep-2026 quality ratio</x:v>
      </x:c>
      <x:c r="K6061" s="67" t="str">
        <x:v>https://www.stonealgo.com/diamond-prices/</x:v>
      </x:c>
      <x:c r="L6061" s="67" t="str">
        <x:v>https://www.pricescope.com/blog/natural-diamond-prices-september-2026</x:v>
      </x:c>
    </x:row>
    <x:row r="6062">
      <x:c r="A6062" t="n">
        <x:v>10</x:v>
      </x:c>
      <x:c r="B6062" t="str">
        <x:v>Cushion</x:v>
      </x:c>
      <x:c r="C6062" t="str">
        <x:v>I</x:v>
      </x:c>
      <x:c r="D6062" t="str">
        <x:v>VS1</x:v>
      </x:c>
      <x:c r="E6062" s="36" t="n">
        <x:v>388000</x:v>
      </x:c>
      <x:c r="F6062" s="36" t="n">
        <x:v>3313</x:v>
      </x:c>
      <x:c r="G6062" s="42" t="n">
        <x:v>0.7106392106392107</x:v>
      </x:c>
      <x:c r="H6062" s="36" t="n">
        <x:f>E6062*G6062</x:f>
        <x:v>275728.0137280137</x:v>
      </x:c>
      <x:c r="I6062" s="36" t="n">
        <x:f>IFERROR(H6062/A6062,0)</x:f>
        <x:v>27572.801372801372</x:v>
      </x:c>
      <x:c r="J6062" s="67" t="str">
        <x:v>Modeled from live base + Sep-2026 quality ratio</x:v>
      </x:c>
      <x:c r="K6062" s="67" t="str">
        <x:v>https://www.stonealgo.com/diamond-prices/</x:v>
      </x:c>
      <x:c r="L6062" s="67" t="str">
        <x:v>https://www.pricescope.com/blog/natural-diamond-prices-september-2026</x:v>
      </x:c>
    </x:row>
    <x:row r="6063">
      <x:c r="A6063" t="n">
        <x:v>10</x:v>
      </x:c>
      <x:c r="B6063" t="str">
        <x:v>Cushion</x:v>
      </x:c>
      <x:c r="C6063" t="str">
        <x:v>I</x:v>
      </x:c>
      <x:c r="D6063" t="str">
        <x:v>VS2</x:v>
      </x:c>
      <x:c r="E6063" s="36" t="n">
        <x:v>388000</x:v>
      </x:c>
      <x:c r="F6063" s="36" t="n">
        <x:v>3240</x:v>
      </x:c>
      <x:c r="G6063" s="42" t="n">
        <x:v>0.694980694980695</x:v>
      </x:c>
      <x:c r="H6063" s="36" t="n">
        <x:f>E6063*G6063</x:f>
        <x:v>269652.50965250965</x:v>
      </x:c>
      <x:c r="I6063" s="36" t="n">
        <x:f>IFERROR(H6063/A6063,0)</x:f>
        <x:v>26965.250965250965</x:v>
      </x:c>
      <x:c r="J6063" s="67" t="str">
        <x:v>Modeled from live base + Sep-2026 quality ratio</x:v>
      </x:c>
      <x:c r="K6063" s="67" t="str">
        <x:v>https://www.stonealgo.com/diamond-prices/</x:v>
      </x:c>
      <x:c r="L6063" s="67" t="str">
        <x:v>https://www.pricescope.com/blog/natural-diamond-prices-september-2026</x:v>
      </x:c>
    </x:row>
    <x:row r="6064">
      <x:c r="A6064" t="n">
        <x:v>10</x:v>
      </x:c>
      <x:c r="B6064" t="str">
        <x:v>Cushion</x:v>
      </x:c>
      <x:c r="C6064" t="str">
        <x:v>I</x:v>
      </x:c>
      <x:c r="D6064" t="str">
        <x:v>SI1</x:v>
      </x:c>
      <x:c r="E6064" s="36" t="n">
        <x:v>388000</x:v>
      </x:c>
      <x:c r="F6064" s="36" t="n">
        <x:v>3199</x:v>
      </x:c>
      <x:c r="G6064" s="42" t="n">
        <x:v>0.6861861861861862</x:v>
      </x:c>
      <x:c r="H6064" s="36" t="n">
        <x:f>E6064*G6064</x:f>
        <x:v>266240.24024024024</x:v>
      </x:c>
      <x:c r="I6064" s="36" t="n">
        <x:f>IFERROR(H6064/A6064,0)</x:f>
        <x:v>26624.024024024024</x:v>
      </x:c>
      <x:c r="J6064" s="67" t="str">
        <x:v>Modeled from live base + Sep-2026 quality ratio</x:v>
      </x:c>
      <x:c r="K6064" s="67" t="str">
        <x:v>https://www.stonealgo.com/diamond-prices/</x:v>
      </x:c>
      <x:c r="L6064" s="67" t="str">
        <x:v>https://www.pricescope.com/blog/natural-diamond-prices-september-2026</x:v>
      </x:c>
    </x:row>
    <x:row r="6065">
      <x:c r="A6065" t="n">
        <x:v>10</x:v>
      </x:c>
      <x:c r="B6065" t="str">
        <x:v>Cushion</x:v>
      </x:c>
      <x:c r="C6065" t="str">
        <x:v>I</x:v>
      </x:c>
      <x:c r="D6065" t="str">
        <x:v>SI2</x:v>
      </x:c>
      <x:c r="E6065" s="36" t="n">
        <x:v>388000</x:v>
      </x:c>
      <x:c r="F6065" s="36" t="n">
        <x:v>2874</x:v>
      </x:c>
      <x:c r="G6065" s="42" t="n">
        <x:v>0.6164736164736164</x:v>
      </x:c>
      <x:c r="H6065" s="36" t="n">
        <x:f>E6065*G6065</x:f>
        <x:v>239191.76319176317</x:v>
      </x:c>
      <x:c r="I6065" s="36" t="n">
        <x:f>IFERROR(H6065/A6065,0)</x:f>
        <x:v>23919.176319176317</x:v>
      </x:c>
      <x:c r="J6065" s="67" t="str">
        <x:v>Modeled from live base + Sep-2026 quality ratio</x:v>
      </x:c>
      <x:c r="K6065" s="67" t="str">
        <x:v>https://www.stonealgo.com/diamond-prices/</x:v>
      </x:c>
      <x:c r="L6065" s="67" t="str">
        <x:v>https://www.pricescope.com/blog/natural-diamond-prices-september-2026</x:v>
      </x:c>
    </x:row>
    <x:row r="6066">
      <x:c r="A6066" t="n">
        <x:v>10</x:v>
      </x:c>
      <x:c r="B6066" t="str">
        <x:v>Cushion</x:v>
      </x:c>
      <x:c r="C6066" t="str">
        <x:v>J</x:v>
      </x:c>
      <x:c r="D6066" t="str">
        <x:v>FL</x:v>
      </x:c>
      <x:c r="E6066" s="36" t="n">
        <x:v>388000</x:v>
      </x:c>
      <x:c r="F6066" s="36" t="n">
        <x:v>3646</x:v>
      </x:c>
      <x:c r="G6066" s="42" t="n">
        <x:v>0.782067782067782</x:v>
      </x:c>
      <x:c r="H6066" s="36" t="n">
        <x:f>E6066*G6066</x:f>
        <x:v>303442.2994422994</x:v>
      </x:c>
      <x:c r="I6066" s="36" t="n">
        <x:f>IFERROR(H6066/A6066,0)</x:f>
        <x:v>30344.22994422994</x:v>
      </x:c>
      <x:c r="J6066" s="67" t="str">
        <x:v>Modeled from live base + Sep-2026 quality ratio</x:v>
      </x:c>
      <x:c r="K6066" s="67" t="str">
        <x:v>https://www.stonealgo.com/diamond-prices/</x:v>
      </x:c>
      <x:c r="L6066" s="67" t="str">
        <x:v>https://www.pricescope.com/blog/natural-diamond-prices-september-2026</x:v>
      </x:c>
    </x:row>
    <x:row r="6067">
      <x:c r="A6067" t="n">
        <x:v>10</x:v>
      </x:c>
      <x:c r="B6067" t="str">
        <x:v>Cushion</x:v>
      </x:c>
      <x:c r="C6067" t="str">
        <x:v>J</x:v>
      </x:c>
      <x:c r="D6067" t="str">
        <x:v>IF</x:v>
      </x:c>
      <x:c r="E6067" s="36" t="n">
        <x:v>388000</x:v>
      </x:c>
      <x:c r="F6067" s="36" t="n">
        <x:v>3368</x:v>
      </x:c>
      <x:c r="G6067" s="42" t="n">
        <x:v>0.7224367224367224</x:v>
      </x:c>
      <x:c r="H6067" s="36" t="n">
        <x:f>E6067*G6067</x:f>
        <x:v>280305.4483054483</x:v>
      </x:c>
      <x:c r="I6067" s="36" t="n">
        <x:f>IFERROR(H6067/A6067,0)</x:f>
        <x:v>28030.54483054483</x:v>
      </x:c>
      <x:c r="J6067" s="67" t="str">
        <x:v>Modeled from live base + Sep-2026 quality ratio</x:v>
      </x:c>
      <x:c r="K6067" s="67" t="str">
        <x:v>https://www.stonealgo.com/diamond-prices/</x:v>
      </x:c>
      <x:c r="L6067" s="67" t="str">
        <x:v>https://www.pricescope.com/blog/natural-diamond-prices-september-2026</x:v>
      </x:c>
    </x:row>
    <x:row r="6068">
      <x:c r="A6068" t="n">
        <x:v>10</x:v>
      </x:c>
      <x:c r="B6068" t="str">
        <x:v>Cushion</x:v>
      </x:c>
      <x:c r="C6068" t="str">
        <x:v>J</x:v>
      </x:c>
      <x:c r="D6068" t="str">
        <x:v>VVS1</x:v>
      </x:c>
      <x:c r="E6068" s="36" t="n">
        <x:v>388000</x:v>
      </x:c>
      <x:c r="F6068" s="36" t="n">
        <x:v>2956</x:v>
      </x:c>
      <x:c r="G6068" s="42" t="n">
        <x:v>0.6340626340626341</x:v>
      </x:c>
      <x:c r="H6068" s="36" t="n">
        <x:f>E6068*G6068</x:f>
        <x:v>246016.302016302</x:v>
      </x:c>
      <x:c r="I6068" s="36" t="n">
        <x:f>IFERROR(H6068/A6068,0)</x:f>
        <x:v>24601.6302016302</x:v>
      </x:c>
      <x:c r="J6068" s="67" t="str">
        <x:v>Modeled from live base + Sep-2026 quality ratio</x:v>
      </x:c>
      <x:c r="K6068" s="67" t="str">
        <x:v>https://www.stonealgo.com/diamond-prices/</x:v>
      </x:c>
      <x:c r="L6068" s="67" t="str">
        <x:v>https://www.pricescope.com/blog/natural-diamond-prices-september-2026</x:v>
      </x:c>
    </x:row>
    <x:row r="6069">
      <x:c r="A6069" t="n">
        <x:v>10</x:v>
      </x:c>
      <x:c r="B6069" t="str">
        <x:v>Cushion</x:v>
      </x:c>
      <x:c r="C6069" t="str">
        <x:v>J</x:v>
      </x:c>
      <x:c r="D6069" t="str">
        <x:v>VVS2</x:v>
      </x:c>
      <x:c r="E6069" s="36" t="n">
        <x:v>388000</x:v>
      </x:c>
      <x:c r="F6069" s="36" t="n">
        <x:v>2612</x:v>
      </x:c>
      <x:c r="G6069" s="42" t="n">
        <x:v>0.5602745602745602</x:v>
      </x:c>
      <x:c r="H6069" s="36" t="n">
        <x:f>E6069*G6069</x:f>
        <x:v>217386.52938652938</x:v>
      </x:c>
      <x:c r="I6069" s="36" t="n">
        <x:f>IFERROR(H6069/A6069,0)</x:f>
        <x:v>21738.652938652936</x:v>
      </x:c>
      <x:c r="J6069" s="67" t="str">
        <x:v>Modeled from live base + Sep-2026 quality ratio</x:v>
      </x:c>
      <x:c r="K6069" s="67" t="str">
        <x:v>https://www.stonealgo.com/diamond-prices/</x:v>
      </x:c>
      <x:c r="L6069" s="67" t="str">
        <x:v>https://www.pricescope.com/blog/natural-diamond-prices-september-2026</x:v>
      </x:c>
    </x:row>
    <x:row r="6070">
      <x:c r="A6070" t="n">
        <x:v>10</x:v>
      </x:c>
      <x:c r="B6070" t="str">
        <x:v>Cushion</x:v>
      </x:c>
      <x:c r="C6070" t="str">
        <x:v>J</x:v>
      </x:c>
      <x:c r="D6070" t="str">
        <x:v>VS1</x:v>
      </x:c>
      <x:c r="E6070" s="36" t="n">
        <x:v>388000</x:v>
      </x:c>
      <x:c r="F6070" s="36" t="n">
        <x:v>3002</x:v>
      </x:c>
      <x:c r="G6070" s="42" t="n">
        <x:v>0.6439296439296439</x:v>
      </x:c>
      <x:c r="H6070" s="36" t="n">
        <x:f>E6070*G6070</x:f>
        <x:v>249844.70184470183</x:v>
      </x:c>
      <x:c r="I6070" s="36" t="n">
        <x:f>IFERROR(H6070/A6070,0)</x:f>
        <x:v>24984.470184470185</x:v>
      </x:c>
      <x:c r="J6070" s="67" t="str">
        <x:v>Modeled from live base + Sep-2026 quality ratio</x:v>
      </x:c>
      <x:c r="K6070" s="67" t="str">
        <x:v>https://www.stonealgo.com/diamond-prices/</x:v>
      </x:c>
      <x:c r="L6070" s="67" t="str">
        <x:v>https://www.pricescope.com/blog/natural-diamond-prices-september-2026</x:v>
      </x:c>
    </x:row>
    <x:row r="6071">
      <x:c r="A6071" t="n">
        <x:v>10</x:v>
      </x:c>
      <x:c r="B6071" t="str">
        <x:v>Cushion</x:v>
      </x:c>
      <x:c r="C6071" t="str">
        <x:v>J</x:v>
      </x:c>
      <x:c r="D6071" t="str">
        <x:v>VS2</x:v>
      </x:c>
      <x:c r="E6071" s="36" t="n">
        <x:v>388000</x:v>
      </x:c>
      <x:c r="F6071" s="36" t="n">
        <x:v>2559</x:v>
      </x:c>
      <x:c r="G6071" s="42" t="n">
        <x:v>0.5489060489060489</x:v>
      </x:c>
      <x:c r="H6071" s="36" t="n">
        <x:f>E6071*G6071</x:f>
        <x:v>212975.54697554695</x:v>
      </x:c>
      <x:c r="I6071" s="36" t="n">
        <x:f>IFERROR(H6071/A6071,0)</x:f>
        <x:v>21297.554697554697</x:v>
      </x:c>
      <x:c r="J6071" s="67" t="str">
        <x:v>Modeled from live base + Sep-2026 quality ratio</x:v>
      </x:c>
      <x:c r="K6071" s="67" t="str">
        <x:v>https://www.stonealgo.com/diamond-prices/</x:v>
      </x:c>
      <x:c r="L6071" s="67" t="str">
        <x:v>https://www.pricescope.com/blog/natural-diamond-prices-september-2026</x:v>
      </x:c>
    </x:row>
    <x:row r="6072">
      <x:c r="A6072" t="n">
        <x:v>10</x:v>
      </x:c>
      <x:c r="B6072" t="str">
        <x:v>Cushion</x:v>
      </x:c>
      <x:c r="C6072" t="str">
        <x:v>J</x:v>
      </x:c>
      <x:c r="D6072" t="str">
        <x:v>SI1</x:v>
      </x:c>
      <x:c r="E6072" s="36" t="n">
        <x:v>388000</x:v>
      </x:c>
      <x:c r="F6072" s="36" t="n">
        <x:v>2195</x:v>
      </x:c>
      <x:c r="G6072" s="42" t="n">
        <x:v>0.47082797082797084</x:v>
      </x:c>
      <x:c r="H6072" s="36" t="n">
        <x:f>E6072*G6072</x:f>
        <x:v>182681.2526812527</x:v>
      </x:c>
      <x:c r="I6072" s="36" t="n">
        <x:f>IFERROR(H6072/A6072,0)</x:f>
        <x:v>18268.12526812527</x:v>
      </x:c>
      <x:c r="J6072" s="67" t="str">
        <x:v>Modeled from live base + Sep-2026 quality ratio</x:v>
      </x:c>
      <x:c r="K6072" s="67" t="str">
        <x:v>https://www.stonealgo.com/diamond-prices/</x:v>
      </x:c>
      <x:c r="L6072" s="67" t="str">
        <x:v>https://www.pricescope.com/blog/natural-diamond-prices-september-2026</x:v>
      </x:c>
    </x:row>
    <x:row r="6073">
      <x:c r="A6073" t="n">
        <x:v>10</x:v>
      </x:c>
      <x:c r="B6073" t="str">
        <x:v>Cushion</x:v>
      </x:c>
      <x:c r="C6073" t="str">
        <x:v>J</x:v>
      </x:c>
      <x:c r="D6073" t="str">
        <x:v>SI2</x:v>
      </x:c>
      <x:c r="E6073" s="36" t="n">
        <x:v>388000</x:v>
      </x:c>
      <x:c r="F6073" s="36" t="n">
        <x:v>2079</x:v>
      </x:c>
      <x:c r="G6073" s="42" t="n">
        <x:v>0.44594594594594594</x:v>
      </x:c>
      <x:c r="H6073" s="36" t="n">
        <x:f>E6073*G6073</x:f>
        <x:v>173027.027027027</x:v>
      </x:c>
      <x:c r="I6073" s="36" t="n">
        <x:f>IFERROR(H6073/A6073,0)</x:f>
        <x:v>17302.7027027027</x:v>
      </x:c>
      <x:c r="J6073" s="67" t="str">
        <x:v>Modeled from live base + Sep-2026 quality ratio</x:v>
      </x:c>
      <x:c r="K6073" s="67" t="str">
        <x:v>https://www.stonealgo.com/diamond-prices/</x:v>
      </x:c>
      <x:c r="L6073" s="67" t="str">
        <x:v>https://www.pricescope.com/blog/natural-diamond-prices-september-2026</x:v>
      </x:c>
    </x:row>
    <x:row r="6074">
      <x:c r="A6074" t="n">
        <x:v>10</x:v>
      </x:c>
      <x:c r="B6074" t="str">
        <x:v>Cushion</x:v>
      </x:c>
      <x:c r="C6074" t="str">
        <x:v>K</x:v>
      </x:c>
      <x:c r="D6074" t="str">
        <x:v>FL</x:v>
      </x:c>
      <x:c r="E6074" s="36" t="n">
        <x:v>388000</x:v>
      </x:c>
      <x:c r="F6074" s="36" t="n">
        <x:v>2858</x:v>
      </x:c>
      <x:c r="G6074" s="42" t="n">
        <x:v>0.6130416130416131</x:v>
      </x:c>
      <x:c r="H6074" s="36" t="n">
        <x:f>E6074*G6074</x:f>
        <x:v>237860.1458601459</x:v>
      </x:c>
      <x:c r="I6074" s="36" t="n">
        <x:f>IFERROR(H6074/A6074,0)</x:f>
        <x:v>23786.01458601459</x:v>
      </x:c>
      <x:c r="J6074" s="67" t="str">
        <x:v>Modeled from live base + Sep-2026 quality ratio; K/FL quality cell modeled</x:v>
      </x:c>
      <x:c r="K6074" s="67" t="str">
        <x:v>https://www.stonealgo.com/diamond-prices/</x:v>
      </x:c>
      <x:c r="L6074" s="67" t="str">
        <x:v>https://www.pricescope.com/blog/natural-diamond-prices-september-2026</x:v>
      </x:c>
    </x:row>
    <x:row r="6075">
      <x:c r="A6075" t="n">
        <x:v>10</x:v>
      </x:c>
      <x:c r="B6075" t="str">
        <x:v>Cushion</x:v>
      </x:c>
      <x:c r="C6075" t="str">
        <x:v>K</x:v>
      </x:c>
      <x:c r="D6075" t="str">
        <x:v>IF</x:v>
      </x:c>
      <x:c r="E6075" s="36" t="n">
        <x:v>388000</x:v>
      </x:c>
      <x:c r="F6075" s="36" t="n">
        <x:v>2743</x:v>
      </x:c>
      <x:c r="G6075" s="42" t="n">
        <x:v>0.5883740883740883</x:v>
      </x:c>
      <x:c r="H6075" s="36" t="n">
        <x:f>E6075*G6075</x:f>
        <x:v>228289.14628914627</x:v>
      </x:c>
      <x:c r="I6075" s="36" t="n">
        <x:f>IFERROR(H6075/A6075,0)</x:f>
        <x:v>22828.914628914627</x:v>
      </x:c>
      <x:c r="J6075" s="67" t="str">
        <x:v>Modeled from live base + Sep-2026 quality ratio</x:v>
      </x:c>
      <x:c r="K6075" s="67" t="str">
        <x:v>https://www.stonealgo.com/diamond-prices/</x:v>
      </x:c>
      <x:c r="L6075" s="67" t="str">
        <x:v>https://www.pricescope.com/blog/natural-diamond-prices-september-2026</x:v>
      </x:c>
    </x:row>
    <x:row r="6076">
      <x:c r="A6076" t="n">
        <x:v>10</x:v>
      </x:c>
      <x:c r="B6076" t="str">
        <x:v>Cushion</x:v>
      </x:c>
      <x:c r="C6076" t="str">
        <x:v>K</x:v>
      </x:c>
      <x:c r="D6076" t="str">
        <x:v>VVS1</x:v>
      </x:c>
      <x:c r="E6076" s="36" t="n">
        <x:v>388000</x:v>
      </x:c>
      <x:c r="F6076" s="36" t="n">
        <x:v>2529</x:v>
      </x:c>
      <x:c r="G6076" s="42" t="n">
        <x:v>0.5424710424710425</x:v>
      </x:c>
      <x:c r="H6076" s="36" t="n">
        <x:f>E6076*G6076</x:f>
        <x:v>210478.7644787645</x:v>
      </x:c>
      <x:c r="I6076" s="36" t="n">
        <x:f>IFERROR(H6076/A6076,0)</x:f>
        <x:v>21047.87644787645</x:v>
      </x:c>
      <x:c r="J6076" s="67" t="str">
        <x:v>Modeled from live base + Sep-2026 quality ratio</x:v>
      </x:c>
      <x:c r="K6076" s="67" t="str">
        <x:v>https://www.stonealgo.com/diamond-prices/</x:v>
      </x:c>
      <x:c r="L6076" s="67" t="str">
        <x:v>https://www.pricescope.com/blog/natural-diamond-prices-september-2026</x:v>
      </x:c>
    </x:row>
    <x:row r="6077">
      <x:c r="A6077" t="n">
        <x:v>10</x:v>
      </x:c>
      <x:c r="B6077" t="str">
        <x:v>Cushion</x:v>
      </x:c>
      <x:c r="C6077" t="str">
        <x:v>K</x:v>
      </x:c>
      <x:c r="D6077" t="str">
        <x:v>VVS2</x:v>
      </x:c>
      <x:c r="E6077" s="36" t="n">
        <x:v>388000</x:v>
      </x:c>
      <x:c r="F6077" s="36" t="n">
        <x:v>2374</x:v>
      </x:c>
      <x:c r="G6077" s="42" t="n">
        <x:v>0.5092235092235092</x:v>
      </x:c>
      <x:c r="H6077" s="36" t="n">
        <x:f>E6077*G6077</x:f>
        <x:v>197578.72157872157</x:v>
      </x:c>
      <x:c r="I6077" s="36" t="n">
        <x:f>IFERROR(H6077/A6077,0)</x:f>
        <x:v>19757.872157872156</x:v>
      </x:c>
      <x:c r="J6077" s="67" t="str">
        <x:v>Modeled from live base + Sep-2026 quality ratio</x:v>
      </x:c>
      <x:c r="K6077" s="67" t="str">
        <x:v>https://www.stonealgo.com/diamond-prices/</x:v>
      </x:c>
      <x:c r="L6077" s="67" t="str">
        <x:v>https://www.pricescope.com/blog/natural-diamond-prices-september-2026</x:v>
      </x:c>
    </x:row>
    <x:row r="6078">
      <x:c r="A6078" t="n">
        <x:v>10</x:v>
      </x:c>
      <x:c r="B6078" t="str">
        <x:v>Cushion</x:v>
      </x:c>
      <x:c r="C6078" t="str">
        <x:v>K</x:v>
      </x:c>
      <x:c r="D6078" t="str">
        <x:v>VS1</x:v>
      </x:c>
      <x:c r="E6078" s="36" t="n">
        <x:v>388000</x:v>
      </x:c>
      <x:c r="F6078" s="36" t="n">
        <x:v>2223</x:v>
      </x:c>
      <x:c r="G6078" s="42" t="n">
        <x:v>0.4768339768339768</x:v>
      </x:c>
      <x:c r="H6078" s="36" t="n">
        <x:f>E6078*G6078</x:f>
        <x:v>185011.58301158302</x:v>
      </x:c>
      <x:c r="I6078" s="36" t="n">
        <x:f>IFERROR(H6078/A6078,0)</x:f>
        <x:v>18501.158301158302</x:v>
      </x:c>
      <x:c r="J6078" s="67" t="str">
        <x:v>Modeled from live base + Sep-2026 quality ratio</x:v>
      </x:c>
      <x:c r="K6078" s="67" t="str">
        <x:v>https://www.stonealgo.com/diamond-prices/</x:v>
      </x:c>
      <x:c r="L6078" s="67" t="str">
        <x:v>https://www.pricescope.com/blog/natural-diamond-prices-september-2026</x:v>
      </x:c>
    </x:row>
    <x:row r="6079">
      <x:c r="A6079" t="n">
        <x:v>10</x:v>
      </x:c>
      <x:c r="B6079" t="str">
        <x:v>Cushion</x:v>
      </x:c>
      <x:c r="C6079" t="str">
        <x:v>K</x:v>
      </x:c>
      <x:c r="D6079" t="str">
        <x:v>VS2</x:v>
      </x:c>
      <x:c r="E6079" s="36" t="n">
        <x:v>388000</x:v>
      </x:c>
      <x:c r="F6079" s="36" t="n">
        <x:v>2098</x:v>
      </x:c>
      <x:c r="G6079" s="42" t="n">
        <x:v>0.45002145002145</x:v>
      </x:c>
      <x:c r="H6079" s="36" t="n">
        <x:f>E6079*G6079</x:f>
        <x:v>174608.3226083226</x:v>
      </x:c>
      <x:c r="I6079" s="36" t="n">
        <x:f>IFERROR(H6079/A6079,0)</x:f>
        <x:v>17460.83226083226</x:v>
      </x:c>
      <x:c r="J6079" s="67" t="str">
        <x:v>Modeled from live base + Sep-2026 quality ratio</x:v>
      </x:c>
      <x:c r="K6079" s="67" t="str">
        <x:v>https://www.stonealgo.com/diamond-prices/</x:v>
      </x:c>
      <x:c r="L6079" s="67" t="str">
        <x:v>https://www.pricescope.com/blog/natural-diamond-prices-september-2026</x:v>
      </x:c>
    </x:row>
    <x:row r="6080">
      <x:c r="A6080" t="n">
        <x:v>10</x:v>
      </x:c>
      <x:c r="B6080" t="str">
        <x:v>Cushion</x:v>
      </x:c>
      <x:c r="C6080" t="str">
        <x:v>K</x:v>
      </x:c>
      <x:c r="D6080" t="str">
        <x:v>SI1</x:v>
      </x:c>
      <x:c r="E6080" s="36" t="n">
        <x:v>388000</x:v>
      </x:c>
      <x:c r="F6080" s="36" t="n">
        <x:v>1922</x:v>
      </x:c>
      <x:c r="G6080" s="42" t="n">
        <x:v>0.41226941226941227</x:v>
      </x:c>
      <x:c r="H6080" s="36" t="n">
        <x:f>E6080*G6080</x:f>
        <x:v>159960.53196053195</x:v>
      </x:c>
      <x:c r="I6080" s="36" t="n">
        <x:f>IFERROR(H6080/A6080,0)</x:f>
        <x:v>15996.053196053195</x:v>
      </x:c>
      <x:c r="J6080" s="67" t="str">
        <x:v>Modeled from live base + Sep-2026 quality ratio</x:v>
      </x:c>
      <x:c r="K6080" s="67" t="str">
        <x:v>https://www.stonealgo.com/diamond-prices/</x:v>
      </x:c>
      <x:c r="L6080" s="67" t="str">
        <x:v>https://www.pricescope.com/blog/natural-diamond-prices-september-2026</x:v>
      </x:c>
    </x:row>
    <x:row r="6081">
      <x:c r="A6081" t="n">
        <x:v>10</x:v>
      </x:c>
      <x:c r="B6081" t="str">
        <x:v>Cushion</x:v>
      </x:c>
      <x:c r="C6081" t="str">
        <x:v>K</x:v>
      </x:c>
      <x:c r="D6081" t="str">
        <x:v>SI2</x:v>
      </x:c>
      <x:c r="E6081" s="36" t="n">
        <x:v>388000</x:v>
      </x:c>
      <x:c r="F6081" s="36" t="n">
        <x:v>1764</x:v>
      </x:c>
      <x:c r="G6081" s="42" t="n">
        <x:v>0.3783783783783784</x:v>
      </x:c>
      <x:c r="H6081" s="36" t="n">
        <x:f>E6081*G6081</x:f>
        <x:v>146810.81081081083</x:v>
      </x:c>
      <x:c r="I6081" s="36" t="n">
        <x:f>IFERROR(H6081/A6081,0)</x:f>
        <x:v>14681.081081081084</x:v>
      </x:c>
      <x:c r="J6081" s="67" t="str">
        <x:v>Modeled from live base + Sep-2026 quality ratio</x:v>
      </x:c>
      <x:c r="K6081" s="67" t="str">
        <x:v>https://www.stonealgo.com/diamond-prices/</x:v>
      </x:c>
      <x:c r="L6081" s="67" t="str">
        <x:v>https://www.pricescope.com/blog/natural-diamond-prices-september-2026</x:v>
      </x:c>
    </x:row>
    <x:row r="6082">
      <x:c r="A6082" t="n">
        <x:v>10</x:v>
      </x:c>
      <x:c r="B6082" t="str">
        <x:v>Radiant</x:v>
      </x:c>
      <x:c r="C6082" t="str">
        <x:v>D</x:v>
      </x:c>
      <x:c r="D6082" t="str">
        <x:v>FL</x:v>
      </x:c>
      <x:c r="E6082" s="36" t="n">
        <x:v>239000</x:v>
      </x:c>
      <x:c r="F6082" s="36" t="n">
        <x:v>12665</x:v>
      </x:c>
      <x:c r="G6082" s="42" t="n">
        <x:v>2.7166452166452166</x:v>
      </x:c>
      <x:c r="H6082" s="36" t="n">
        <x:f>E6082*G6082</x:f>
        <x:v>649278.2067782067</x:v>
      </x:c>
      <x:c r="I6082" s="36" t="n">
        <x:f>IFERROR(H6082/A6082,0)</x:f>
        <x:v>64927.82067782067</x:v>
      </x:c>
      <x:c r="J6082" s="67" t="str">
        <x:v>Modeled from live base + Sep-2026 quality ratio</x:v>
      </x:c>
      <x:c r="K6082" s="67" t="str">
        <x:v>https://www.stonealgo.com/diamond-prices/</x:v>
      </x:c>
      <x:c r="L6082" s="67" t="str">
        <x:v>https://www.pricescope.com/blog/natural-diamond-prices-september-2026</x:v>
      </x:c>
    </x:row>
    <x:row r="6083">
      <x:c r="A6083" t="n">
        <x:v>10</x:v>
      </x:c>
      <x:c r="B6083" t="str">
        <x:v>Radiant</x:v>
      </x:c>
      <x:c r="C6083" t="str">
        <x:v>D</x:v>
      </x:c>
      <x:c r="D6083" t="str">
        <x:v>IF</x:v>
      </x:c>
      <x:c r="E6083" s="36" t="n">
        <x:v>239000</x:v>
      </x:c>
      <x:c r="F6083" s="36" t="n">
        <x:v>13240</x:v>
      </x:c>
      <x:c r="G6083" s="42" t="n">
        <x:v>2.83998283998284</x:v>
      </x:c>
      <x:c r="H6083" s="36" t="n">
        <x:f>E6083*G6083</x:f>
        <x:v>678755.8987558988</x:v>
      </x:c>
      <x:c r="I6083" s="36" t="n">
        <x:f>IFERROR(H6083/A6083,0)</x:f>
        <x:v>67875.58987558988</x:v>
      </x:c>
      <x:c r="J6083" s="67" t="str">
        <x:v>Modeled from live base + Sep-2026 quality ratio</x:v>
      </x:c>
      <x:c r="K6083" s="67" t="str">
        <x:v>https://www.stonealgo.com/diamond-prices/</x:v>
      </x:c>
      <x:c r="L6083" s="67" t="str">
        <x:v>https://www.pricescope.com/blog/natural-diamond-prices-september-2026</x:v>
      </x:c>
    </x:row>
    <x:row r="6084">
      <x:c r="A6084" t="n">
        <x:v>10</x:v>
      </x:c>
      <x:c r="B6084" t="str">
        <x:v>Radiant</x:v>
      </x:c>
      <x:c r="C6084" t="str">
        <x:v>D</x:v>
      </x:c>
      <x:c r="D6084" t="str">
        <x:v>VVS1</x:v>
      </x:c>
      <x:c r="E6084" s="36" t="n">
        <x:v>239000</x:v>
      </x:c>
      <x:c r="F6084" s="36" t="n">
        <x:v>9555</x:v>
      </x:c>
      <x:c r="G6084" s="42" t="n">
        <x:v>2.0495495495495497</x:v>
      </x:c>
      <x:c r="H6084" s="36" t="n">
        <x:f>E6084*G6084</x:f>
        <x:v>489842.34234234237</x:v>
      </x:c>
      <x:c r="I6084" s="36" t="n">
        <x:f>IFERROR(H6084/A6084,0)</x:f>
        <x:v>48984.23423423424</x:v>
      </x:c>
      <x:c r="J6084" s="67" t="str">
        <x:v>Modeled from live base + Sep-2026 quality ratio</x:v>
      </x:c>
      <x:c r="K6084" s="67" t="str">
        <x:v>https://www.stonealgo.com/diamond-prices/</x:v>
      </x:c>
      <x:c r="L6084" s="67" t="str">
        <x:v>https://www.pricescope.com/blog/natural-diamond-prices-september-2026</x:v>
      </x:c>
    </x:row>
    <x:row r="6085">
      <x:c r="A6085" t="n">
        <x:v>10</x:v>
      </x:c>
      <x:c r="B6085" t="str">
        <x:v>Radiant</x:v>
      </x:c>
      <x:c r="C6085" t="str">
        <x:v>D</x:v>
      </x:c>
      <x:c r="D6085" t="str">
        <x:v>VVS2</x:v>
      </x:c>
      <x:c r="E6085" s="36" t="n">
        <x:v>239000</x:v>
      </x:c>
      <x:c r="F6085" s="36" t="n">
        <x:v>6660</x:v>
      </x:c>
      <x:c r="G6085" s="42" t="n">
        <x:v>1.4285714285714286</x:v>
      </x:c>
      <x:c r="H6085" s="36" t="n">
        <x:f>E6085*G6085</x:f>
        <x:v>341428.5714285714</x:v>
      </x:c>
      <x:c r="I6085" s="36" t="n">
        <x:f>IFERROR(H6085/A6085,0)</x:f>
        <x:v>34142.857142857145</x:v>
      </x:c>
      <x:c r="J6085" s="67" t="str">
        <x:v>Modeled from live base + Sep-2026 quality ratio</x:v>
      </x:c>
      <x:c r="K6085" s="67" t="str">
        <x:v>https://www.stonealgo.com/diamond-prices/</x:v>
      </x:c>
      <x:c r="L6085" s="67" t="str">
        <x:v>https://www.pricescope.com/blog/natural-diamond-prices-september-2026</x:v>
      </x:c>
    </x:row>
    <x:row r="6086">
      <x:c r="A6086" t="n">
        <x:v>10</x:v>
      </x:c>
      <x:c r="B6086" t="str">
        <x:v>Radiant</x:v>
      </x:c>
      <x:c r="C6086" t="str">
        <x:v>D</x:v>
      </x:c>
      <x:c r="D6086" t="str">
        <x:v>VS1</x:v>
      </x:c>
      <x:c r="E6086" s="36" t="n">
        <x:v>239000</x:v>
      </x:c>
      <x:c r="F6086" s="36" t="n">
        <x:v>6247</x:v>
      </x:c>
      <x:c r="G6086" s="42" t="n">
        <x:v>1.33998283998284</x:v>
      </x:c>
      <x:c r="H6086" s="36" t="n">
        <x:f>E6086*G6086</x:f>
        <x:v>320255.89875589876</x:v>
      </x:c>
      <x:c r="I6086" s="36" t="n">
        <x:f>IFERROR(H6086/A6086,0)</x:f>
        <x:v>32025.589875589874</x:v>
      </x:c>
      <x:c r="J6086" s="67" t="str">
        <x:v>Modeled from live base + Sep-2026 quality ratio</x:v>
      </x:c>
      <x:c r="K6086" s="67" t="str">
        <x:v>https://www.stonealgo.com/diamond-prices/</x:v>
      </x:c>
      <x:c r="L6086" s="67" t="str">
        <x:v>https://www.pricescope.com/blog/natural-diamond-prices-september-2026</x:v>
      </x:c>
    </x:row>
    <x:row r="6087">
      <x:c r="A6087" t="n">
        <x:v>10</x:v>
      </x:c>
      <x:c r="B6087" t="str">
        <x:v>Radiant</x:v>
      </x:c>
      <x:c r="C6087" t="str">
        <x:v>D</x:v>
      </x:c>
      <x:c r="D6087" t="str">
        <x:v>VS2</x:v>
      </x:c>
      <x:c r="E6087" s="36" t="n">
        <x:v>239000</x:v>
      </x:c>
      <x:c r="F6087" s="36" t="n">
        <x:v>5841</x:v>
      </x:c>
      <x:c r="G6087" s="42" t="n">
        <x:v>1.252895752895753</x:v>
      </x:c>
      <x:c r="H6087" s="36" t="n">
        <x:f>E6087*G6087</x:f>
        <x:v>299442.08494208497</x:v>
      </x:c>
      <x:c r="I6087" s="36" t="n">
        <x:f>IFERROR(H6087/A6087,0)</x:f>
        <x:v>29944.2084942085</x:v>
      </x:c>
      <x:c r="J6087" s="67" t="str">
        <x:v>Modeled from live base + Sep-2026 quality ratio</x:v>
      </x:c>
      <x:c r="K6087" s="67" t="str">
        <x:v>https://www.stonealgo.com/diamond-prices/</x:v>
      </x:c>
      <x:c r="L6087" s="67" t="str">
        <x:v>https://www.pricescope.com/blog/natural-diamond-prices-september-2026</x:v>
      </x:c>
    </x:row>
    <x:row r="6088">
      <x:c r="A6088" t="n">
        <x:v>10</x:v>
      </x:c>
      <x:c r="B6088" t="str">
        <x:v>Radiant</x:v>
      </x:c>
      <x:c r="C6088" t="str">
        <x:v>D</x:v>
      </x:c>
      <x:c r="D6088" t="str">
        <x:v>SI1</x:v>
      </x:c>
      <x:c r="E6088" s="36" t="n">
        <x:v>239000</x:v>
      </x:c>
      <x:c r="F6088" s="36" t="n">
        <x:v>3762</x:v>
      </x:c>
      <x:c r="G6088" s="42" t="n">
        <x:v>0.806949806949807</x:v>
      </x:c>
      <x:c r="H6088" s="36" t="n">
        <x:f>E6088*G6088</x:f>
        <x:v>192861.00386100388</x:v>
      </x:c>
      <x:c r="I6088" s="36" t="n">
        <x:f>IFERROR(H6088/A6088,0)</x:f>
        <x:v>19286.10038610039</x:v>
      </x:c>
      <x:c r="J6088" s="67" t="str">
        <x:v>Modeled from live base + Sep-2026 quality ratio</x:v>
      </x:c>
      <x:c r="K6088" s="67" t="str">
        <x:v>https://www.stonealgo.com/diamond-prices/</x:v>
      </x:c>
      <x:c r="L6088" s="67" t="str">
        <x:v>https://www.pricescope.com/blog/natural-diamond-prices-september-2026</x:v>
      </x:c>
    </x:row>
    <x:row r="6089">
      <x:c r="A6089" t="n">
        <x:v>10</x:v>
      </x:c>
      <x:c r="B6089" t="str">
        <x:v>Radiant</x:v>
      </x:c>
      <x:c r="C6089" t="str">
        <x:v>D</x:v>
      </x:c>
      <x:c r="D6089" t="str">
        <x:v>SI2</x:v>
      </x:c>
      <x:c r="E6089" s="36" t="n">
        <x:v>239000</x:v>
      </x:c>
      <x:c r="F6089" s="36" t="n">
        <x:v>3026</x:v>
      </x:c>
      <x:c r="G6089" s="42" t="n">
        <x:v>0.6490776490776491</x:v>
      </x:c>
      <x:c r="H6089" s="36" t="n">
        <x:f>E6089*G6089</x:f>
        <x:v>155129.55812955814</x:v>
      </x:c>
      <x:c r="I6089" s="36" t="n">
        <x:f>IFERROR(H6089/A6089,0)</x:f>
        <x:v>15512.955812955814</x:v>
      </x:c>
      <x:c r="J6089" s="67" t="str">
        <x:v>Modeled from live base + Sep-2026 quality ratio</x:v>
      </x:c>
      <x:c r="K6089" s="67" t="str">
        <x:v>https://www.stonealgo.com/diamond-prices/</x:v>
      </x:c>
      <x:c r="L6089" s="67" t="str">
        <x:v>https://www.pricescope.com/blog/natural-diamond-prices-september-2026</x:v>
      </x:c>
    </x:row>
    <x:row r="6090">
      <x:c r="A6090" t="n">
        <x:v>10</x:v>
      </x:c>
      <x:c r="B6090" t="str">
        <x:v>Radiant</x:v>
      </x:c>
      <x:c r="C6090" t="str">
        <x:v>E</x:v>
      </x:c>
      <x:c r="D6090" t="str">
        <x:v>FL</x:v>
      </x:c>
      <x:c r="E6090" s="36" t="n">
        <x:v>239000</x:v>
      </x:c>
      <x:c r="F6090" s="36" t="n">
        <x:v>10072</x:v>
      </x:c>
      <x:c r="G6090" s="42" t="n">
        <x:v>2.1604461604461602</x:v>
      </x:c>
      <x:c r="H6090" s="36" t="n">
        <x:f>E6090*G6090</x:f>
        <x:v>516346.6323466323</x:v>
      </x:c>
      <x:c r="I6090" s="36" t="n">
        <x:f>IFERROR(H6090/A6090,0)</x:f>
        <x:v>51634.66323466323</x:v>
      </x:c>
      <x:c r="J6090" s="67" t="str">
        <x:v>Modeled from live base + Sep-2026 quality ratio</x:v>
      </x:c>
      <x:c r="K6090" s="67" t="str">
        <x:v>https://www.stonealgo.com/diamond-prices/</x:v>
      </x:c>
      <x:c r="L6090" s="67" t="str">
        <x:v>https://www.pricescope.com/blog/natural-diamond-prices-september-2026</x:v>
      </x:c>
    </x:row>
    <x:row r="6091">
      <x:c r="A6091" t="n">
        <x:v>10</x:v>
      </x:c>
      <x:c r="B6091" t="str">
        <x:v>Radiant</x:v>
      </x:c>
      <x:c r="C6091" t="str">
        <x:v>E</x:v>
      </x:c>
      <x:c r="D6091" t="str">
        <x:v>IF</x:v>
      </x:c>
      <x:c r="E6091" s="36" t="n">
        <x:v>239000</x:v>
      </x:c>
      <x:c r="F6091" s="36" t="n">
        <x:v>8672</x:v>
      </x:c>
      <x:c r="G6091" s="42" t="n">
        <x:v>1.8601458601458603</x:v>
      </x:c>
      <x:c r="H6091" s="36" t="n">
        <x:f>E6091*G6091</x:f>
        <x:v>444574.8605748606</x:v>
      </x:c>
      <x:c r="I6091" s="36" t="n">
        <x:f>IFERROR(H6091/A6091,0)</x:f>
        <x:v>44457.48605748606</x:v>
      </x:c>
      <x:c r="J6091" s="67" t="str">
        <x:v>Modeled from live base + Sep-2026 quality ratio</x:v>
      </x:c>
      <x:c r="K6091" s="67" t="str">
        <x:v>https://www.stonealgo.com/diamond-prices/</x:v>
      </x:c>
      <x:c r="L6091" s="67" t="str">
        <x:v>https://www.pricescope.com/blog/natural-diamond-prices-september-2026</x:v>
      </x:c>
    </x:row>
    <x:row r="6092">
      <x:c r="A6092" t="n">
        <x:v>10</x:v>
      </x:c>
      <x:c r="B6092" t="str">
        <x:v>Radiant</x:v>
      </x:c>
      <x:c r="C6092" t="str">
        <x:v>E</x:v>
      </x:c>
      <x:c r="D6092" t="str">
        <x:v>VVS1</x:v>
      </x:c>
      <x:c r="E6092" s="36" t="n">
        <x:v>239000</x:v>
      </x:c>
      <x:c r="F6092" s="36" t="n">
        <x:v>7842</x:v>
      </x:c>
      <x:c r="G6092" s="42" t="n">
        <x:v>1.6821106821106822</x:v>
      </x:c>
      <x:c r="H6092" s="36" t="n">
        <x:f>E6092*G6092</x:f>
        <x:v>402024.453024453</x:v>
      </x:c>
      <x:c r="I6092" s="36" t="n">
        <x:f>IFERROR(H6092/A6092,0)</x:f>
        <x:v>40202.4453024453</x:v>
      </x:c>
      <x:c r="J6092" s="67" t="str">
        <x:v>Modeled from live base + Sep-2026 quality ratio</x:v>
      </x:c>
      <x:c r="K6092" s="67" t="str">
        <x:v>https://www.stonealgo.com/diamond-prices/</x:v>
      </x:c>
      <x:c r="L6092" s="67" t="str">
        <x:v>https://www.pricescope.com/blog/natural-diamond-prices-september-2026</x:v>
      </x:c>
    </x:row>
    <x:row r="6093">
      <x:c r="A6093" t="n">
        <x:v>10</x:v>
      </x:c>
      <x:c r="B6093" t="str">
        <x:v>Radiant</x:v>
      </x:c>
      <x:c r="C6093" t="str">
        <x:v>E</x:v>
      </x:c>
      <x:c r="D6093" t="str">
        <x:v>VVS2</x:v>
      </x:c>
      <x:c r="E6093" s="36" t="n">
        <x:v>239000</x:v>
      </x:c>
      <x:c r="F6093" s="36" t="n">
        <x:v>6880</x:v>
      </x:c>
      <x:c r="G6093" s="42" t="n">
        <x:v>1.4757614757614759</x:v>
      </x:c>
      <x:c r="H6093" s="36" t="n">
        <x:f>E6093*G6093</x:f>
        <x:v>352706.9927069927</x:v>
      </x:c>
      <x:c r="I6093" s="36" t="n">
        <x:f>IFERROR(H6093/A6093,0)</x:f>
        <x:v>35270.699270699275</x:v>
      </x:c>
      <x:c r="J6093" s="67" t="str">
        <x:v>Modeled from live base + Sep-2026 quality ratio</x:v>
      </x:c>
      <x:c r="K6093" s="67" t="str">
        <x:v>https://www.stonealgo.com/diamond-prices/</x:v>
      </x:c>
      <x:c r="L6093" s="67" t="str">
        <x:v>https://www.pricescope.com/blog/natural-diamond-prices-september-2026</x:v>
      </x:c>
    </x:row>
    <x:row r="6094">
      <x:c r="A6094" t="n">
        <x:v>10</x:v>
      </x:c>
      <x:c r="B6094" t="str">
        <x:v>Radiant</x:v>
      </x:c>
      <x:c r="C6094" t="str">
        <x:v>E</x:v>
      </x:c>
      <x:c r="D6094" t="str">
        <x:v>VS1</x:v>
      </x:c>
      <x:c r="E6094" s="36" t="n">
        <x:v>239000</x:v>
      </x:c>
      <x:c r="F6094" s="36" t="n">
        <x:v>6307</x:v>
      </x:c>
      <x:c r="G6094" s="42" t="n">
        <x:v>1.352852852852853</x:v>
      </x:c>
      <x:c r="H6094" s="36" t="n">
        <x:f>E6094*G6094</x:f>
        <x:v>323331.83183183183</x:v>
      </x:c>
      <x:c r="I6094" s="36" t="n">
        <x:f>IFERROR(H6094/A6094,0)</x:f>
        <x:v>32333.183183183184</x:v>
      </x:c>
      <x:c r="J6094" s="67" t="str">
        <x:v>Modeled from live base + Sep-2026 quality ratio</x:v>
      </x:c>
      <x:c r="K6094" s="67" t="str">
        <x:v>https://www.stonealgo.com/diamond-prices/</x:v>
      </x:c>
      <x:c r="L6094" s="67" t="str">
        <x:v>https://www.pricescope.com/blog/natural-diamond-prices-september-2026</x:v>
      </x:c>
    </x:row>
    <x:row r="6095">
      <x:c r="A6095" t="n">
        <x:v>10</x:v>
      </x:c>
      <x:c r="B6095" t="str">
        <x:v>Radiant</x:v>
      </x:c>
      <x:c r="C6095" t="str">
        <x:v>E</x:v>
      </x:c>
      <x:c r="D6095" t="str">
        <x:v>VS2</x:v>
      </x:c>
      <x:c r="E6095" s="36" t="n">
        <x:v>239000</x:v>
      </x:c>
      <x:c r="F6095" s="36" t="n">
        <x:v>5249</x:v>
      </x:c>
      <x:c r="G6095" s="42" t="n">
        <x:v>1.125911625911626</x:v>
      </x:c>
      <x:c r="H6095" s="36" t="n">
        <x:f>E6095*G6095</x:f>
        <x:v>269092.8785928786</x:v>
      </x:c>
      <x:c r="I6095" s="36" t="n">
        <x:f>IFERROR(H6095/A6095,0)</x:f>
        <x:v>26909.28785928786</x:v>
      </x:c>
      <x:c r="J6095" s="67" t="str">
        <x:v>Modeled from live base + Sep-2026 quality ratio</x:v>
      </x:c>
      <x:c r="K6095" s="67" t="str">
        <x:v>https://www.stonealgo.com/diamond-prices/</x:v>
      </x:c>
      <x:c r="L6095" s="67" t="str">
        <x:v>https://www.pricescope.com/blog/natural-diamond-prices-september-2026</x:v>
      </x:c>
    </x:row>
    <x:row r="6096">
      <x:c r="A6096" t="n">
        <x:v>10</x:v>
      </x:c>
      <x:c r="B6096" t="str">
        <x:v>Radiant</x:v>
      </x:c>
      <x:c r="C6096" t="str">
        <x:v>E</x:v>
      </x:c>
      <x:c r="D6096" t="str">
        <x:v>SI1</x:v>
      </x:c>
      <x:c r="E6096" s="36" t="n">
        <x:v>239000</x:v>
      </x:c>
      <x:c r="F6096" s="36" t="n">
        <x:v>3551</x:v>
      </x:c>
      <x:c r="G6096" s="42" t="n">
        <x:v>0.7616902616902617</x:v>
      </x:c>
      <x:c r="H6096" s="36" t="n">
        <x:f>E6096*G6096</x:f>
        <x:v>182043.97254397254</x:v>
      </x:c>
      <x:c r="I6096" s="36" t="n">
        <x:f>IFERROR(H6096/A6096,0)</x:f>
        <x:v>18204.397254397256</x:v>
      </x:c>
      <x:c r="J6096" s="67" t="str">
        <x:v>Modeled from live base + Sep-2026 quality ratio</x:v>
      </x:c>
      <x:c r="K6096" s="67" t="str">
        <x:v>https://www.stonealgo.com/diamond-prices/</x:v>
      </x:c>
      <x:c r="L6096" s="67" t="str">
        <x:v>https://www.pricescope.com/blog/natural-diamond-prices-september-2026</x:v>
      </x:c>
    </x:row>
    <x:row r="6097">
      <x:c r="A6097" t="n">
        <x:v>10</x:v>
      </x:c>
      <x:c r="B6097" t="str">
        <x:v>Radiant</x:v>
      </x:c>
      <x:c r="C6097" t="str">
        <x:v>E</x:v>
      </x:c>
      <x:c r="D6097" t="str">
        <x:v>SI2</x:v>
      </x:c>
      <x:c r="E6097" s="36" t="n">
        <x:v>239000</x:v>
      </x:c>
      <x:c r="F6097" s="36" t="n">
        <x:v>2993</x:v>
      </x:c>
      <x:c r="G6097" s="42" t="n">
        <x:v>0.641999141999142</x:v>
      </x:c>
      <x:c r="H6097" s="36" t="n">
        <x:f>E6097*G6097</x:f>
        <x:v>153437.79493779494</x:v>
      </x:c>
      <x:c r="I6097" s="36" t="n">
        <x:f>IFERROR(H6097/A6097,0)</x:f>
        <x:v>15343.779493779493</x:v>
      </x:c>
      <x:c r="J6097" s="67" t="str">
        <x:v>Modeled from live base + Sep-2026 quality ratio</x:v>
      </x:c>
      <x:c r="K6097" s="67" t="str">
        <x:v>https://www.stonealgo.com/diamond-prices/</x:v>
      </x:c>
      <x:c r="L6097" s="67" t="str">
        <x:v>https://www.pricescope.com/blog/natural-diamond-prices-september-2026</x:v>
      </x:c>
    </x:row>
    <x:row r="6098">
      <x:c r="A6098" t="n">
        <x:v>10</x:v>
      </x:c>
      <x:c r="B6098" t="str">
        <x:v>Radiant</x:v>
      </x:c>
      <x:c r="C6098" t="str">
        <x:v>F</x:v>
      </x:c>
      <x:c r="D6098" t="str">
        <x:v>FL</x:v>
      </x:c>
      <x:c r="E6098" s="36" t="n">
        <x:v>239000</x:v>
      </x:c>
      <x:c r="F6098" s="36" t="n">
        <x:v>6830</x:v>
      </x:c>
      <x:c r="G6098" s="42" t="n">
        <x:v>1.4650364650364651</x:v>
      </x:c>
      <x:c r="H6098" s="36" t="n">
        <x:f>E6098*G6098</x:f>
        <x:v>350143.71514371515</x:v>
      </x:c>
      <x:c r="I6098" s="36" t="n">
        <x:f>IFERROR(H6098/A6098,0)</x:f>
        <x:v>35014.371514371516</x:v>
      </x:c>
      <x:c r="J6098" s="67" t="str">
        <x:v>Modeled from live base + Sep-2026 quality ratio</x:v>
      </x:c>
      <x:c r="K6098" s="67" t="str">
        <x:v>https://www.stonealgo.com/diamond-prices/</x:v>
      </x:c>
      <x:c r="L6098" s="67" t="str">
        <x:v>https://www.pricescope.com/blog/natural-diamond-prices-september-2026</x:v>
      </x:c>
    </x:row>
    <x:row r="6099">
      <x:c r="A6099" t="n">
        <x:v>10</x:v>
      </x:c>
      <x:c r="B6099" t="str">
        <x:v>Radiant</x:v>
      </x:c>
      <x:c r="C6099" t="str">
        <x:v>F</x:v>
      </x:c>
      <x:c r="D6099" t="str">
        <x:v>IF</x:v>
      </x:c>
      <x:c r="E6099" s="36" t="n">
        <x:v>239000</x:v>
      </x:c>
      <x:c r="F6099" s="36" t="n">
        <x:v>7302</x:v>
      </x:c>
      <x:c r="G6099" s="42" t="n">
        <x:v>1.5662805662805663</x:v>
      </x:c>
      <x:c r="H6099" s="36" t="n">
        <x:f>E6099*G6099</x:f>
        <x:v>374341.0553410553</x:v>
      </x:c>
      <x:c r="I6099" s="36" t="n">
        <x:f>IFERROR(H6099/A6099,0)</x:f>
        <x:v>37434.10553410553</x:v>
      </x:c>
      <x:c r="J6099" s="67" t="str">
        <x:v>Modeled from live base + Sep-2026 quality ratio</x:v>
      </x:c>
      <x:c r="K6099" s="67" t="str">
        <x:v>https://www.stonealgo.com/diamond-prices/</x:v>
      </x:c>
      <x:c r="L6099" s="67" t="str">
        <x:v>https://www.pricescope.com/blog/natural-diamond-prices-september-2026</x:v>
      </x:c>
    </x:row>
    <x:row r="6100">
      <x:c r="A6100" t="n">
        <x:v>10</x:v>
      </x:c>
      <x:c r="B6100" t="str">
        <x:v>Radiant</x:v>
      </x:c>
      <x:c r="C6100" t="str">
        <x:v>F</x:v>
      </x:c>
      <x:c r="D6100" t="str">
        <x:v>VVS1</x:v>
      </x:c>
      <x:c r="E6100" s="36" t="n">
        <x:v>239000</x:v>
      </x:c>
      <x:c r="F6100" s="36" t="n">
        <x:v>7542</x:v>
      </x:c>
      <x:c r="G6100" s="42" t="n">
        <x:v>1.6177606177606179</x:v>
      </x:c>
      <x:c r="H6100" s="36" t="n">
        <x:f>E6100*G6100</x:f>
        <x:v>386644.7876447877</x:v>
      </x:c>
      <x:c r="I6100" s="36" t="n">
        <x:f>IFERROR(H6100/A6100,0)</x:f>
        <x:v>38664.47876447877</x:v>
      </x:c>
      <x:c r="J6100" s="67" t="str">
        <x:v>Modeled from live base + Sep-2026 quality ratio</x:v>
      </x:c>
      <x:c r="K6100" s="67" t="str">
        <x:v>https://www.stonealgo.com/diamond-prices/</x:v>
      </x:c>
      <x:c r="L6100" s="67" t="str">
        <x:v>https://www.pricescope.com/blog/natural-diamond-prices-september-2026</x:v>
      </x:c>
    </x:row>
    <x:row r="6101">
      <x:c r="A6101" t="n">
        <x:v>10</x:v>
      </x:c>
      <x:c r="B6101" t="str">
        <x:v>Radiant</x:v>
      </x:c>
      <x:c r="C6101" t="str">
        <x:v>F</x:v>
      </x:c>
      <x:c r="D6101" t="str">
        <x:v>VVS2</x:v>
      </x:c>
      <x:c r="E6101" s="36" t="n">
        <x:v>239000</x:v>
      </x:c>
      <x:c r="F6101" s="36" t="n">
        <x:v>6352</x:v>
      </x:c>
      <x:c r="G6101" s="42" t="n">
        <x:v>1.3625053625053625</x:v>
      </x:c>
      <x:c r="H6101" s="36" t="n">
        <x:f>E6101*G6101</x:f>
        <x:v>325638.78163878166</x:v>
      </x:c>
      <x:c r="I6101" s="36" t="n">
        <x:f>IFERROR(H6101/A6101,0)</x:f>
        <x:v>32563.878163878166</x:v>
      </x:c>
      <x:c r="J6101" s="67" t="str">
        <x:v>Modeled from live base + Sep-2026 quality ratio</x:v>
      </x:c>
      <x:c r="K6101" s="67" t="str">
        <x:v>https://www.stonealgo.com/diamond-prices/</x:v>
      </x:c>
      <x:c r="L6101" s="67" t="str">
        <x:v>https://www.pricescope.com/blog/natural-diamond-prices-september-2026</x:v>
      </x:c>
    </x:row>
    <x:row r="6102">
      <x:c r="A6102" t="n">
        <x:v>10</x:v>
      </x:c>
      <x:c r="B6102" t="str">
        <x:v>Radiant</x:v>
      </x:c>
      <x:c r="C6102" t="str">
        <x:v>F</x:v>
      </x:c>
      <x:c r="D6102" t="str">
        <x:v>VS1</x:v>
      </x:c>
      <x:c r="E6102" s="36" t="n">
        <x:v>239000</x:v>
      </x:c>
      <x:c r="F6102" s="36" t="n">
        <x:v>5647</x:v>
      </x:c>
      <x:c r="G6102" s="42" t="n">
        <x:v>1.2112827112827114</x:v>
      </x:c>
      <x:c r="H6102" s="36" t="n">
        <x:f>E6102*G6102</x:f>
        <x:v>289496.567996568</x:v>
      </x:c>
      <x:c r="I6102" s="36" t="n">
        <x:f>IFERROR(H6102/A6102,0)</x:f>
        <x:v>28949.656799656797</x:v>
      </x:c>
      <x:c r="J6102" s="67" t="str">
        <x:v>Modeled from live base + Sep-2026 quality ratio</x:v>
      </x:c>
      <x:c r="K6102" s="67" t="str">
        <x:v>https://www.stonealgo.com/diamond-prices/</x:v>
      </x:c>
      <x:c r="L6102" s="67" t="str">
        <x:v>https://www.pricescope.com/blog/natural-diamond-prices-september-2026</x:v>
      </x:c>
    </x:row>
    <x:row r="6103">
      <x:c r="A6103" t="n">
        <x:v>10</x:v>
      </x:c>
      <x:c r="B6103" t="str">
        <x:v>Radiant</x:v>
      </x:c>
      <x:c r="C6103" t="str">
        <x:v>F</x:v>
      </x:c>
      <x:c r="D6103" t="str">
        <x:v>VS2</x:v>
      </x:c>
      <x:c r="E6103" s="36" t="n">
        <x:v>239000</x:v>
      </x:c>
      <x:c r="F6103" s="36" t="n">
        <x:v>4730</x:v>
      </x:c>
      <x:c r="G6103" s="42" t="n">
        <x:v>1.0145860145860146</x:v>
      </x:c>
      <x:c r="H6103" s="36" t="n">
        <x:f>E6103*G6103</x:f>
        <x:v>242486.05748605749</x:v>
      </x:c>
      <x:c r="I6103" s="36" t="n">
        <x:f>IFERROR(H6103/A6103,0)</x:f>
        <x:v>24248.605748605747</x:v>
      </x:c>
      <x:c r="J6103" s="67" t="str">
        <x:v>Modeled from live base + Sep-2026 quality ratio</x:v>
      </x:c>
      <x:c r="K6103" s="67" t="str">
        <x:v>https://www.stonealgo.com/diamond-prices/</x:v>
      </x:c>
      <x:c r="L6103" s="67" t="str">
        <x:v>https://www.pricescope.com/blog/natural-diamond-prices-september-2026</x:v>
      </x:c>
    </x:row>
    <x:row r="6104">
      <x:c r="A6104" t="n">
        <x:v>10</x:v>
      </x:c>
      <x:c r="B6104" t="str">
        <x:v>Radiant</x:v>
      </x:c>
      <x:c r="C6104" t="str">
        <x:v>F</x:v>
      </x:c>
      <x:c r="D6104" t="str">
        <x:v>SI1</x:v>
      </x:c>
      <x:c r="E6104" s="36" t="n">
        <x:v>239000</x:v>
      </x:c>
      <x:c r="F6104" s="36" t="n">
        <x:v>3331</x:v>
      </x:c>
      <x:c r="G6104" s="42" t="n">
        <x:v>0.7145002145002145</x:v>
      </x:c>
      <x:c r="H6104" s="36" t="n">
        <x:f>E6104*G6104</x:f>
        <x:v>170765.55126555127</x:v>
      </x:c>
      <x:c r="I6104" s="36" t="n">
        <x:f>IFERROR(H6104/A6104,0)</x:f>
        <x:v>17076.555126555126</x:v>
      </x:c>
      <x:c r="J6104" s="67" t="str">
        <x:v>Modeled from live base + Sep-2026 quality ratio</x:v>
      </x:c>
      <x:c r="K6104" s="67" t="str">
        <x:v>https://www.stonealgo.com/diamond-prices/</x:v>
      </x:c>
      <x:c r="L6104" s="67" t="str">
        <x:v>https://www.pricescope.com/blog/natural-diamond-prices-september-2026</x:v>
      </x:c>
    </x:row>
    <x:row r="6105">
      <x:c r="A6105" t="n">
        <x:v>10</x:v>
      </x:c>
      <x:c r="B6105" t="str">
        <x:v>Radiant</x:v>
      </x:c>
      <x:c r="C6105" t="str">
        <x:v>F</x:v>
      </x:c>
      <x:c r="D6105" t="str">
        <x:v>SI2</x:v>
      </x:c>
      <x:c r="E6105" s="36" t="n">
        <x:v>239000</x:v>
      </x:c>
      <x:c r="F6105" s="36" t="n">
        <x:v>2733</x:v>
      </x:c>
      <x:c r="G6105" s="42" t="n">
        <x:v>0.5862290862290862</x:v>
      </x:c>
      <x:c r="H6105" s="36" t="n">
        <x:f>E6105*G6105</x:f>
        <x:v>140108.7516087516</x:v>
      </x:c>
      <x:c r="I6105" s="36" t="n">
        <x:f>IFERROR(H6105/A6105,0)</x:f>
        <x:v>14010.875160875159</x:v>
      </x:c>
      <x:c r="J6105" s="67" t="str">
        <x:v>Modeled from live base + Sep-2026 quality ratio</x:v>
      </x:c>
      <x:c r="K6105" s="67" t="str">
        <x:v>https://www.stonealgo.com/diamond-prices/</x:v>
      </x:c>
      <x:c r="L6105" s="67" t="str">
        <x:v>https://www.pricescope.com/blog/natural-diamond-prices-september-2026</x:v>
      </x:c>
    </x:row>
    <x:row r="6106">
      <x:c r="A6106" t="n">
        <x:v>10</x:v>
      </x:c>
      <x:c r="B6106" t="str">
        <x:v>Radiant</x:v>
      </x:c>
      <x:c r="C6106" t="str">
        <x:v>G</x:v>
      </x:c>
      <x:c r="D6106" t="str">
        <x:v>FL</x:v>
      </x:c>
      <x:c r="E6106" s="36" t="n">
        <x:v>239000</x:v>
      </x:c>
      <x:c r="F6106" s="36" t="n">
        <x:v>5905</x:v>
      </x:c>
      <x:c r="G6106" s="42" t="n">
        <x:v>1.2666237666237665</x:v>
      </x:c>
      <x:c r="H6106" s="36" t="n">
        <x:f>E6106*G6106</x:f>
        <x:v>302723.0802230802</x:v>
      </x:c>
      <x:c r="I6106" s="36" t="n">
        <x:f>IFERROR(H6106/A6106,0)</x:f>
        <x:v>30272.308022308018</x:v>
      </x:c>
      <x:c r="J6106" s="67" t="str">
        <x:v>Modeled from live base + Sep-2026 quality ratio</x:v>
      </x:c>
      <x:c r="K6106" s="67" t="str">
        <x:v>https://www.stonealgo.com/diamond-prices/</x:v>
      </x:c>
      <x:c r="L6106" s="67" t="str">
        <x:v>https://www.pricescope.com/blog/natural-diamond-prices-september-2026</x:v>
      </x:c>
    </x:row>
    <x:row r="6107">
      <x:c r="A6107" t="n">
        <x:v>10</x:v>
      </x:c>
      <x:c r="B6107" t="str">
        <x:v>Radiant</x:v>
      </x:c>
      <x:c r="C6107" t="str">
        <x:v>G</x:v>
      </x:c>
      <x:c r="D6107" t="str">
        <x:v>IF</x:v>
      </x:c>
      <x:c r="E6107" s="36" t="n">
        <x:v>239000</x:v>
      </x:c>
      <x:c r="F6107" s="36" t="n">
        <x:v>5601</x:v>
      </x:c>
      <x:c r="G6107" s="42" t="n">
        <x:v>1.2014157014157014</x:v>
      </x:c>
      <x:c r="H6107" s="36" t="n">
        <x:f>E6107*G6107</x:f>
        <x:v>287138.35263835266</x:v>
      </x:c>
      <x:c r="I6107" s="36" t="n">
        <x:f>IFERROR(H6107/A6107,0)</x:f>
        <x:v>28713.835263835266</x:v>
      </x:c>
      <x:c r="J6107" s="67" t="str">
        <x:v>Modeled from live base + Sep-2026 quality ratio</x:v>
      </x:c>
      <x:c r="K6107" s="67" t="str">
        <x:v>https://www.stonealgo.com/diamond-prices/</x:v>
      </x:c>
      <x:c r="L6107" s="67" t="str">
        <x:v>https://www.pricescope.com/blog/natural-diamond-prices-september-2026</x:v>
      </x:c>
    </x:row>
    <x:row r="6108">
      <x:c r="A6108" t="n">
        <x:v>10</x:v>
      </x:c>
      <x:c r="B6108" t="str">
        <x:v>Radiant</x:v>
      </x:c>
      <x:c r="C6108" t="str">
        <x:v>G</x:v>
      </x:c>
      <x:c r="D6108" t="str">
        <x:v>VVS1</x:v>
      </x:c>
      <x:c r="E6108" s="36" t="n">
        <x:v>239000</x:v>
      </x:c>
      <x:c r="F6108" s="36" t="n">
        <x:v>5124</x:v>
      </x:c>
      <x:c r="G6108" s="42" t="n">
        <x:v>1.0990990990990992</x:v>
      </x:c>
      <x:c r="H6108" s="36" t="n">
        <x:f>E6108*G6108</x:f>
        <x:v>262684.68468468473</x:v>
      </x:c>
      <x:c r="I6108" s="36" t="n">
        <x:f>IFERROR(H6108/A6108,0)</x:f>
        <x:v>26268.468468468473</x:v>
      </x:c>
      <x:c r="J6108" s="67" t="str">
        <x:v>Modeled from live base + Sep-2026 quality ratio</x:v>
      </x:c>
      <x:c r="K6108" s="67" t="str">
        <x:v>https://www.stonealgo.com/diamond-prices/</x:v>
      </x:c>
      <x:c r="L6108" s="67" t="str">
        <x:v>https://www.pricescope.com/blog/natural-diamond-prices-september-2026</x:v>
      </x:c>
    </x:row>
    <x:row r="6109">
      <x:c r="A6109" t="n">
        <x:v>10</x:v>
      </x:c>
      <x:c r="B6109" t="str">
        <x:v>Radiant</x:v>
      </x:c>
      <x:c r="C6109" t="str">
        <x:v>G</x:v>
      </x:c>
      <x:c r="D6109" t="str">
        <x:v>VVS2</x:v>
      </x:c>
      <x:c r="E6109" s="36" t="n">
        <x:v>239000</x:v>
      </x:c>
      <x:c r="F6109" s="36" t="n">
        <x:v>4962</x:v>
      </x:c>
      <x:c r="G6109" s="42" t="n">
        <x:v>1.0643500643500643</x:v>
      </x:c>
      <x:c r="H6109" s="36" t="n">
        <x:f>E6109*G6109</x:f>
        <x:v>254379.66537966536</x:v>
      </x:c>
      <x:c r="I6109" s="36" t="n">
        <x:f>IFERROR(H6109/A6109,0)</x:f>
        <x:v>25437.966537966535</x:v>
      </x:c>
      <x:c r="J6109" s="67" t="str">
        <x:v>Modeled from live base + Sep-2026 quality ratio</x:v>
      </x:c>
      <x:c r="K6109" s="67" t="str">
        <x:v>https://www.stonealgo.com/diamond-prices/</x:v>
      </x:c>
      <x:c r="L6109" s="67" t="str">
        <x:v>https://www.pricescope.com/blog/natural-diamond-prices-september-2026</x:v>
      </x:c>
    </x:row>
    <x:row r="6110">
      <x:c r="A6110" t="n">
        <x:v>10</x:v>
      </x:c>
      <x:c r="B6110" t="str">
        <x:v>Radiant</x:v>
      </x:c>
      <x:c r="C6110" t="str">
        <x:v>G</x:v>
      </x:c>
      <x:c r="D6110" t="str">
        <x:v>VS1</x:v>
      </x:c>
      <x:c r="E6110" s="36" t="n">
        <x:v>239000</x:v>
      </x:c>
      <x:c r="F6110" s="36" t="n">
        <x:v>4615</x:v>
      </x:c>
      <x:c r="G6110" s="42" t="n">
        <x:v>0.98991848991849</x:v>
      </x:c>
      <x:c r="H6110" s="36" t="n">
        <x:f>E6110*G6110</x:f>
        <x:v>236590.5190905191</x:v>
      </x:c>
      <x:c r="I6110" s="36" t="n">
        <x:f>IFERROR(H6110/A6110,0)</x:f>
        <x:v>23659.051909051912</x:v>
      </x:c>
      <x:c r="J6110" s="67" t="str">
        <x:v>Modeled from live base + Sep-2026 quality ratio</x:v>
      </x:c>
      <x:c r="K6110" s="67" t="str">
        <x:v>https://www.stonealgo.com/diamond-prices/</x:v>
      </x:c>
      <x:c r="L6110" s="67" t="str">
        <x:v>https://www.pricescope.com/blog/natural-diamond-prices-september-2026</x:v>
      </x:c>
    </x:row>
    <x:row r="6111">
      <x:c r="A6111" t="n">
        <x:v>10</x:v>
      </x:c>
      <x:c r="B6111" t="str">
        <x:v>Radiant</x:v>
      </x:c>
      <x:c r="C6111" t="str">
        <x:v>G</x:v>
      </x:c>
      <x:c r="D6111" t="str">
        <x:v>VS2</x:v>
      </x:c>
      <x:c r="E6111" s="36" t="n">
        <x:v>239000</x:v>
      </x:c>
      <x:c r="F6111" s="36" t="n">
        <x:v>4585</x:v>
      </x:c>
      <x:c r="G6111" s="42" t="n">
        <x:v>0.9834834834834835</x:v>
      </x:c>
      <x:c r="H6111" s="36" t="n">
        <x:f>E6111*G6111</x:f>
        <x:v>235052.55255255254</x:v>
      </x:c>
      <x:c r="I6111" s="36" t="n">
        <x:f>IFERROR(H6111/A6111,0)</x:f>
        <x:v>23505.255255255255</x:v>
      </x:c>
      <x:c r="J6111" s="67" t="str">
        <x:v>Modeled from live base + Sep-2026 quality ratio</x:v>
      </x:c>
      <x:c r="K6111" s="67" t="str">
        <x:v>https://www.stonealgo.com/diamond-prices/</x:v>
      </x:c>
      <x:c r="L6111" s="67" t="str">
        <x:v>https://www.pricescope.com/blog/natural-diamond-prices-september-2026</x:v>
      </x:c>
    </x:row>
    <x:row r="6112">
      <x:c r="A6112" t="n">
        <x:v>10</x:v>
      </x:c>
      <x:c r="B6112" t="str">
        <x:v>Radiant</x:v>
      </x:c>
      <x:c r="C6112" t="str">
        <x:v>G</x:v>
      </x:c>
      <x:c r="D6112" t="str">
        <x:v>SI1</x:v>
      </x:c>
      <x:c r="E6112" s="36" t="n">
        <x:v>239000</x:v>
      </x:c>
      <x:c r="F6112" s="36" t="n">
        <x:v>3664</x:v>
      </x:c>
      <x:c r="G6112" s="42" t="n">
        <x:v>0.7859287859287859</x:v>
      </x:c>
      <x:c r="H6112" s="36" t="n">
        <x:f>E6112*G6112</x:f>
        <x:v>187836.97983697982</x:v>
      </x:c>
      <x:c r="I6112" s="36" t="n">
        <x:f>IFERROR(H6112/A6112,0)</x:f>
        <x:v>18783.69798369798</x:v>
      </x:c>
      <x:c r="J6112" s="67" t="str">
        <x:v>Modeled from live base + Sep-2026 quality ratio</x:v>
      </x:c>
      <x:c r="K6112" s="67" t="str">
        <x:v>https://www.stonealgo.com/diamond-prices/</x:v>
      </x:c>
      <x:c r="L6112" s="67" t="str">
        <x:v>https://www.pricescope.com/blog/natural-diamond-prices-september-2026</x:v>
      </x:c>
    </x:row>
    <x:row r="6113">
      <x:c r="A6113" t="n">
        <x:v>10</x:v>
      </x:c>
      <x:c r="B6113" t="str">
        <x:v>Radiant</x:v>
      </x:c>
      <x:c r="C6113" t="str">
        <x:v>G</x:v>
      </x:c>
      <x:c r="D6113" t="str">
        <x:v>SI2</x:v>
      </x:c>
      <x:c r="E6113" s="36" t="n">
        <x:v>239000</x:v>
      </x:c>
      <x:c r="F6113" s="36" t="n">
        <x:v>2537</x:v>
      </x:c>
      <x:c r="G6113" s="42" t="n">
        <x:v>0.5441870441870442</x:v>
      </x:c>
      <x:c r="H6113" s="36" t="n">
        <x:f>E6113*G6113</x:f>
        <x:v>130060.70356070357</x:v>
      </x:c>
      <x:c r="I6113" s="36" t="n">
        <x:f>IFERROR(H6113/A6113,0)</x:f>
        <x:v>13006.070356070357</x:v>
      </x:c>
      <x:c r="J6113" s="67" t="str">
        <x:v>Modeled from live base + Sep-2026 quality ratio</x:v>
      </x:c>
      <x:c r="K6113" s="67" t="str">
        <x:v>https://www.stonealgo.com/diamond-prices/</x:v>
      </x:c>
      <x:c r="L6113" s="67" t="str">
        <x:v>https://www.pricescope.com/blog/natural-diamond-prices-september-2026</x:v>
      </x:c>
    </x:row>
    <x:row r="6114">
      <x:c r="A6114" t="n">
        <x:v>10</x:v>
      </x:c>
      <x:c r="B6114" t="str">
        <x:v>Radiant</x:v>
      </x:c>
      <x:c r="C6114" t="str">
        <x:v>H</x:v>
      </x:c>
      <x:c r="D6114" t="str">
        <x:v>FL</x:v>
      </x:c>
      <x:c r="E6114" s="36" t="n">
        <x:v>239000</x:v>
      </x:c>
      <x:c r="F6114" s="36" t="n">
        <x:v>4563</x:v>
      </x:c>
      <x:c r="G6114" s="42" t="n">
        <x:v>0.9787644787644788</x:v>
      </x:c>
      <x:c r="H6114" s="36" t="n">
        <x:f>E6114*G6114</x:f>
        <x:v>233924.71042471044</x:v>
      </x:c>
      <x:c r="I6114" s="36" t="n">
        <x:f>IFERROR(H6114/A6114,0)</x:f>
        <x:v>23392.471042471043</x:v>
      </x:c>
      <x:c r="J6114" s="67" t="str">
        <x:v>Modeled from live base + Sep-2026 quality ratio</x:v>
      </x:c>
      <x:c r="K6114" s="67" t="str">
        <x:v>https://www.stonealgo.com/diamond-prices/</x:v>
      </x:c>
      <x:c r="L6114" s="67" t="str">
        <x:v>https://www.pricescope.com/blog/natural-diamond-prices-september-2026</x:v>
      </x:c>
    </x:row>
    <x:row r="6115">
      <x:c r="A6115" t="n">
        <x:v>10</x:v>
      </x:c>
      <x:c r="B6115" t="str">
        <x:v>Radiant</x:v>
      </x:c>
      <x:c r="C6115" t="str">
        <x:v>H</x:v>
      </x:c>
      <x:c r="D6115" t="str">
        <x:v>IF</x:v>
      </x:c>
      <x:c r="E6115" s="36" t="n">
        <x:v>239000</x:v>
      </x:c>
      <x:c r="F6115" s="36" t="n">
        <x:v>4809</x:v>
      </x:c>
      <x:c r="G6115" s="42" t="n">
        <x:v>1.0315315315315314</x:v>
      </x:c>
      <x:c r="H6115" s="36" t="n">
        <x:f>E6115*G6115</x:f>
        <x:v>246536.036036036</x:v>
      </x:c>
      <x:c r="I6115" s="36" t="n">
        <x:f>IFERROR(H6115/A6115,0)</x:f>
        <x:v>24653.603603603602</x:v>
      </x:c>
      <x:c r="J6115" s="67" t="str">
        <x:v>Modeled from live base + Sep-2026 quality ratio</x:v>
      </x:c>
      <x:c r="K6115" s="67" t="str">
        <x:v>https://www.stonealgo.com/diamond-prices/</x:v>
      </x:c>
      <x:c r="L6115" s="67" t="str">
        <x:v>https://www.pricescope.com/blog/natural-diamond-prices-september-2026</x:v>
      </x:c>
    </x:row>
    <x:row r="6116">
      <x:c r="A6116" t="n">
        <x:v>10</x:v>
      </x:c>
      <x:c r="B6116" t="str">
        <x:v>Radiant</x:v>
      </x:c>
      <x:c r="C6116" t="str">
        <x:v>H</x:v>
      </x:c>
      <x:c r="D6116" t="str">
        <x:v>VVS1</x:v>
      </x:c>
      <x:c r="E6116" s="36" t="n">
        <x:v>239000</x:v>
      </x:c>
      <x:c r="F6116" s="36" t="n">
        <x:v>4911</x:v>
      </x:c>
      <x:c r="G6116" s="42" t="n">
        <x:v>1.0534105534105533</x:v>
      </x:c>
      <x:c r="H6116" s="36" t="n">
        <x:f>E6116*G6116</x:f>
        <x:v>251765.12226512225</x:v>
      </x:c>
      <x:c r="I6116" s="36" t="n">
        <x:f>IFERROR(H6116/A6116,0)</x:f>
        <x:v>25176.512226512226</x:v>
      </x:c>
      <x:c r="J6116" s="67" t="str">
        <x:v>Modeled from live base + Sep-2026 quality ratio</x:v>
      </x:c>
      <x:c r="K6116" s="67" t="str">
        <x:v>https://www.stonealgo.com/diamond-prices/</x:v>
      </x:c>
      <x:c r="L6116" s="67" t="str">
        <x:v>https://www.pricescope.com/blog/natural-diamond-prices-september-2026</x:v>
      </x:c>
    </x:row>
    <x:row r="6117">
      <x:c r="A6117" t="n">
        <x:v>10</x:v>
      </x:c>
      <x:c r="B6117" t="str">
        <x:v>Radiant</x:v>
      </x:c>
      <x:c r="C6117" t="str">
        <x:v>H</x:v>
      </x:c>
      <x:c r="D6117" t="str">
        <x:v>VVS2</x:v>
      </x:c>
      <x:c r="E6117" s="36" t="n">
        <x:v>239000</x:v>
      </x:c>
      <x:c r="F6117" s="36" t="n">
        <x:v>4046</x:v>
      </x:c>
      <x:c r="G6117" s="42" t="n">
        <x:v>0.8678678678678678</x:v>
      </x:c>
      <x:c r="H6117" s="36" t="n">
        <x:f>E6117*G6117</x:f>
        <x:v>207420.4204204204</x:v>
      </x:c>
      <x:c r="I6117" s="36" t="n">
        <x:f>IFERROR(H6117/A6117,0)</x:f>
        <x:v>20742.04204204204</x:v>
      </x:c>
      <x:c r="J6117" s="67" t="str">
        <x:v>Modeled from live base + Sep-2026 quality ratio</x:v>
      </x:c>
      <x:c r="K6117" s="67" t="str">
        <x:v>https://www.stonealgo.com/diamond-prices/</x:v>
      </x:c>
      <x:c r="L6117" s="67" t="str">
        <x:v>https://www.pricescope.com/blog/natural-diamond-prices-september-2026</x:v>
      </x:c>
    </x:row>
    <x:row r="6118">
      <x:c r="A6118" t="n">
        <x:v>10</x:v>
      </x:c>
      <x:c r="B6118" t="str">
        <x:v>Radiant</x:v>
      </x:c>
      <x:c r="C6118" t="str">
        <x:v>H</x:v>
      </x:c>
      <x:c r="D6118" t="str">
        <x:v>VS1</x:v>
      </x:c>
      <x:c r="E6118" s="36" t="n">
        <x:v>239000</x:v>
      </x:c>
      <x:c r="F6118" s="36" t="n">
        <x:v>3893</x:v>
      </x:c>
      <x:c r="G6118" s="42" t="n">
        <x:v>0.8350493350493351</x:v>
      </x:c>
      <x:c r="H6118" s="36" t="n">
        <x:f>E6118*G6118</x:f>
        <x:v>199576.7910767911</x:v>
      </x:c>
      <x:c r="I6118" s="36" t="n">
        <x:f>IFERROR(H6118/A6118,0)</x:f>
        <x:v>19957.67910767911</x:v>
      </x:c>
      <x:c r="J6118" s="67" t="str">
        <x:v>Modeled from live base + Sep-2026 quality ratio</x:v>
      </x:c>
      <x:c r="K6118" s="67" t="str">
        <x:v>https://www.stonealgo.com/diamond-prices/</x:v>
      </x:c>
      <x:c r="L6118" s="67" t="str">
        <x:v>https://www.pricescope.com/blog/natural-diamond-prices-september-2026</x:v>
      </x:c>
    </x:row>
    <x:row r="6119">
      <x:c r="A6119" t="n">
        <x:v>10</x:v>
      </x:c>
      <x:c r="B6119" t="str">
        <x:v>Radiant</x:v>
      </x:c>
      <x:c r="C6119" t="str">
        <x:v>H</x:v>
      </x:c>
      <x:c r="D6119" t="str">
        <x:v>VS2</x:v>
      </x:c>
      <x:c r="E6119" s="36" t="n">
        <x:v>239000</x:v>
      </x:c>
      <x:c r="F6119" s="36" t="n">
        <x:v>3989</x:v>
      </x:c>
      <x:c r="G6119" s="42" t="n">
        <x:v>0.8556413556413557</x:v>
      </x:c>
      <x:c r="H6119" s="36" t="n">
        <x:f>E6119*G6119</x:f>
        <x:v>204498.283998284</x:v>
      </x:c>
      <x:c r="I6119" s="36" t="n">
        <x:f>IFERROR(H6119/A6119,0)</x:f>
        <x:v>20449.8283998284</x:v>
      </x:c>
      <x:c r="J6119" s="67" t="str">
        <x:v>Modeled from live base + Sep-2026 quality ratio</x:v>
      </x:c>
      <x:c r="K6119" s="67" t="str">
        <x:v>https://www.stonealgo.com/diamond-prices/</x:v>
      </x:c>
      <x:c r="L6119" s="67" t="str">
        <x:v>https://www.pricescope.com/blog/natural-diamond-prices-september-2026</x:v>
      </x:c>
    </x:row>
    <x:row r="6120">
      <x:c r="A6120" t="n">
        <x:v>10</x:v>
      </x:c>
      <x:c r="B6120" t="str">
        <x:v>Radiant</x:v>
      </x:c>
      <x:c r="C6120" t="str">
        <x:v>H</x:v>
      </x:c>
      <x:c r="D6120" t="str">
        <x:v>SI1</x:v>
      </x:c>
      <x:c r="E6120" s="36" t="n">
        <x:v>239000</x:v>
      </x:c>
      <x:c r="F6120" s="36" t="n">
        <x:v>2828</x:v>
      </x:c>
      <x:c r="G6120" s="42" t="n">
        <x:v>0.6066066066066066</x:v>
      </x:c>
      <x:c r="H6120" s="36" t="n">
        <x:f>E6120*G6120</x:f>
        <x:v>144978.97897897896</x:v>
      </x:c>
      <x:c r="I6120" s="36" t="n">
        <x:f>IFERROR(H6120/A6120,0)</x:f>
        <x:v>14497.897897897896</x:v>
      </x:c>
      <x:c r="J6120" s="67" t="str">
        <x:v>Modeled from live base + Sep-2026 quality ratio</x:v>
      </x:c>
      <x:c r="K6120" s="67" t="str">
        <x:v>https://www.stonealgo.com/diamond-prices/</x:v>
      </x:c>
      <x:c r="L6120" s="67" t="str">
        <x:v>https://www.pricescope.com/blog/natural-diamond-prices-september-2026</x:v>
      </x:c>
    </x:row>
    <x:row r="6121">
      <x:c r="A6121" t="n">
        <x:v>10</x:v>
      </x:c>
      <x:c r="B6121" t="str">
        <x:v>Radiant</x:v>
      </x:c>
      <x:c r="C6121" t="str">
        <x:v>H</x:v>
      </x:c>
      <x:c r="D6121" t="str">
        <x:v>SI2</x:v>
      </x:c>
      <x:c r="E6121" s="36" t="n">
        <x:v>239000</x:v>
      </x:c>
      <x:c r="F6121" s="36" t="n">
        <x:v>2328</x:v>
      </x:c>
      <x:c r="G6121" s="42" t="n">
        <x:v>0.49935649935649934</x:v>
      </x:c>
      <x:c r="H6121" s="36" t="n">
        <x:f>E6121*G6121</x:f>
        <x:v>119346.20334620334</x:v>
      </x:c>
      <x:c r="I6121" s="36" t="n">
        <x:f>IFERROR(H6121/A6121,0)</x:f>
        <x:v>11934.620334620335</x:v>
      </x:c>
      <x:c r="J6121" s="67" t="str">
        <x:v>Modeled from live base + Sep-2026 quality ratio</x:v>
      </x:c>
      <x:c r="K6121" s="67" t="str">
        <x:v>https://www.stonealgo.com/diamond-prices/</x:v>
      </x:c>
      <x:c r="L6121" s="67" t="str">
        <x:v>https://www.pricescope.com/blog/natural-diamond-prices-september-2026</x:v>
      </x:c>
    </x:row>
    <x:row r="6122">
      <x:c r="A6122" t="n">
        <x:v>10</x:v>
      </x:c>
      <x:c r="B6122" t="str">
        <x:v>Radiant</x:v>
      </x:c>
      <x:c r="C6122" t="str">
        <x:v>I</x:v>
      </x:c>
      <x:c r="D6122" t="str">
        <x:v>FL</x:v>
      </x:c>
      <x:c r="E6122" s="36" t="n">
        <x:v>239000</x:v>
      </x:c>
      <x:c r="F6122" s="36" t="n">
        <x:v>4623</x:v>
      </x:c>
      <x:c r="G6122" s="42" t="n">
        <x:v>0.9916344916344917</x:v>
      </x:c>
      <x:c r="H6122" s="36" t="n">
        <x:f>E6122*G6122</x:f>
        <x:v>237000.64350064352</x:v>
      </x:c>
      <x:c r="I6122" s="36" t="n">
        <x:f>IFERROR(H6122/A6122,0)</x:f>
        <x:v>23700.064350064353</x:v>
      </x:c>
      <x:c r="J6122" s="67" t="str">
        <x:v>Modeled from live base + Sep-2026 quality ratio</x:v>
      </x:c>
      <x:c r="K6122" s="67" t="str">
        <x:v>https://www.stonealgo.com/diamond-prices/</x:v>
      </x:c>
      <x:c r="L6122" s="67" t="str">
        <x:v>https://www.pricescope.com/blog/natural-diamond-prices-september-2026</x:v>
      </x:c>
    </x:row>
    <x:row r="6123">
      <x:c r="A6123" t="n">
        <x:v>10</x:v>
      </x:c>
      <x:c r="B6123" t="str">
        <x:v>Radiant</x:v>
      </x:c>
      <x:c r="C6123" t="str">
        <x:v>I</x:v>
      </x:c>
      <x:c r="D6123" t="str">
        <x:v>IF</x:v>
      </x:c>
      <x:c r="E6123" s="36" t="n">
        <x:v>239000</x:v>
      </x:c>
      <x:c r="F6123" s="36" t="n">
        <x:v>4005</x:v>
      </x:c>
      <x:c r="G6123" s="42" t="n">
        <x:v>0.859073359073359</x:v>
      </x:c>
      <x:c r="H6123" s="36" t="n">
        <x:f>E6123*G6123</x:f>
        <x:v>205318.5328185328</x:v>
      </x:c>
      <x:c r="I6123" s="36" t="n">
        <x:f>IFERROR(H6123/A6123,0)</x:f>
        <x:v>20531.85328185328</x:v>
      </x:c>
      <x:c r="J6123" s="67" t="str">
        <x:v>Modeled from live base + Sep-2026 quality ratio</x:v>
      </x:c>
      <x:c r="K6123" s="67" t="str">
        <x:v>https://www.stonealgo.com/diamond-prices/</x:v>
      </x:c>
      <x:c r="L6123" s="67" t="str">
        <x:v>https://www.pricescope.com/blog/natural-diamond-prices-september-2026</x:v>
      </x:c>
    </x:row>
    <x:row r="6124">
      <x:c r="A6124" t="n">
        <x:v>10</x:v>
      </x:c>
      <x:c r="B6124" t="str">
        <x:v>Radiant</x:v>
      </x:c>
      <x:c r="C6124" t="str">
        <x:v>I</x:v>
      </x:c>
      <x:c r="D6124" t="str">
        <x:v>VVS1</x:v>
      </x:c>
      <x:c r="E6124" s="36" t="n">
        <x:v>239000</x:v>
      </x:c>
      <x:c r="F6124" s="36" t="n">
        <x:v>3670</x:v>
      </x:c>
      <x:c r="G6124" s="42" t="n">
        <x:v>0.7872157872157872</x:v>
      </x:c>
      <x:c r="H6124" s="36" t="n">
        <x:f>E6124*G6124</x:f>
        <x:v>188144.57314457314</x:v>
      </x:c>
      <x:c r="I6124" s="36" t="n">
        <x:f>IFERROR(H6124/A6124,0)</x:f>
        <x:v>18814.457314457315</x:v>
      </x:c>
      <x:c r="J6124" s="67" t="str">
        <x:v>Modeled from live base + Sep-2026 quality ratio</x:v>
      </x:c>
      <x:c r="K6124" s="67" t="str">
        <x:v>https://www.stonealgo.com/diamond-prices/</x:v>
      </x:c>
      <x:c r="L6124" s="67" t="str">
        <x:v>https://www.pricescope.com/blog/natural-diamond-prices-september-2026</x:v>
      </x:c>
    </x:row>
    <x:row r="6125">
      <x:c r="A6125" t="n">
        <x:v>10</x:v>
      </x:c>
      <x:c r="B6125" t="str">
        <x:v>Radiant</x:v>
      </x:c>
      <x:c r="C6125" t="str">
        <x:v>I</x:v>
      </x:c>
      <x:c r="D6125" t="str">
        <x:v>VVS2</x:v>
      </x:c>
      <x:c r="E6125" s="36" t="n">
        <x:v>239000</x:v>
      </x:c>
      <x:c r="F6125" s="36" t="n">
        <x:v>3447</x:v>
      </x:c>
      <x:c r="G6125" s="42" t="n">
        <x:v>0.7393822393822393</x:v>
      </x:c>
      <x:c r="H6125" s="36" t="n">
        <x:f>E6125*G6125</x:f>
        <x:v>176712.3552123552</x:v>
      </x:c>
      <x:c r="I6125" s="36" t="n">
        <x:f>IFERROR(H6125/A6125,0)</x:f>
        <x:v>17671.23552123552</x:v>
      </x:c>
      <x:c r="J6125" s="67" t="str">
        <x:v>Modeled from live base + Sep-2026 quality ratio</x:v>
      </x:c>
      <x:c r="K6125" s="67" t="str">
        <x:v>https://www.stonealgo.com/diamond-prices/</x:v>
      </x:c>
      <x:c r="L6125" s="67" t="str">
        <x:v>https://www.pricescope.com/blog/natural-diamond-prices-september-2026</x:v>
      </x:c>
    </x:row>
    <x:row r="6126">
      <x:c r="A6126" t="n">
        <x:v>10</x:v>
      </x:c>
      <x:c r="B6126" t="str">
        <x:v>Radiant</x:v>
      </x:c>
      <x:c r="C6126" t="str">
        <x:v>I</x:v>
      </x:c>
      <x:c r="D6126" t="str">
        <x:v>VS1</x:v>
      </x:c>
      <x:c r="E6126" s="36" t="n">
        <x:v>239000</x:v>
      </x:c>
      <x:c r="F6126" s="36" t="n">
        <x:v>3313</x:v>
      </x:c>
      <x:c r="G6126" s="42" t="n">
        <x:v>0.7106392106392107</x:v>
      </x:c>
      <x:c r="H6126" s="36" t="n">
        <x:f>E6126*G6126</x:f>
        <x:v>169842.77134277133</x:v>
      </x:c>
      <x:c r="I6126" s="36" t="n">
        <x:f>IFERROR(H6126/A6126,0)</x:f>
        <x:v>16984.277134277134</x:v>
      </x:c>
      <x:c r="J6126" s="67" t="str">
        <x:v>Modeled from live base + Sep-2026 quality ratio</x:v>
      </x:c>
      <x:c r="K6126" s="67" t="str">
        <x:v>https://www.stonealgo.com/diamond-prices/</x:v>
      </x:c>
      <x:c r="L6126" s="67" t="str">
        <x:v>https://www.pricescope.com/blog/natural-diamond-prices-september-2026</x:v>
      </x:c>
    </x:row>
    <x:row r="6127">
      <x:c r="A6127" t="n">
        <x:v>10</x:v>
      </x:c>
      <x:c r="B6127" t="str">
        <x:v>Radiant</x:v>
      </x:c>
      <x:c r="C6127" t="str">
        <x:v>I</x:v>
      </x:c>
      <x:c r="D6127" t="str">
        <x:v>VS2</x:v>
      </x:c>
      <x:c r="E6127" s="36" t="n">
        <x:v>239000</x:v>
      </x:c>
      <x:c r="F6127" s="36" t="n">
        <x:v>3240</x:v>
      </x:c>
      <x:c r="G6127" s="42" t="n">
        <x:v>0.694980694980695</x:v>
      </x:c>
      <x:c r="H6127" s="36" t="n">
        <x:f>E6127*G6127</x:f>
        <x:v>166100.38610038612</x:v>
      </x:c>
      <x:c r="I6127" s="36" t="n">
        <x:f>IFERROR(H6127/A6127,0)</x:f>
        <x:v>16610.038610038613</x:v>
      </x:c>
      <x:c r="J6127" s="67" t="str">
        <x:v>Modeled from live base + Sep-2026 quality ratio</x:v>
      </x:c>
      <x:c r="K6127" s="67" t="str">
        <x:v>https://www.stonealgo.com/diamond-prices/</x:v>
      </x:c>
      <x:c r="L6127" s="67" t="str">
        <x:v>https://www.pricescope.com/blog/natural-diamond-prices-september-2026</x:v>
      </x:c>
    </x:row>
    <x:row r="6128">
      <x:c r="A6128" t="n">
        <x:v>10</x:v>
      </x:c>
      <x:c r="B6128" t="str">
        <x:v>Radiant</x:v>
      </x:c>
      <x:c r="C6128" t="str">
        <x:v>I</x:v>
      </x:c>
      <x:c r="D6128" t="str">
        <x:v>SI1</x:v>
      </x:c>
      <x:c r="E6128" s="36" t="n">
        <x:v>239000</x:v>
      </x:c>
      <x:c r="F6128" s="36" t="n">
        <x:v>3199</x:v>
      </x:c>
      <x:c r="G6128" s="42" t="n">
        <x:v>0.6861861861861862</x:v>
      </x:c>
      <x:c r="H6128" s="36" t="n">
        <x:f>E6128*G6128</x:f>
        <x:v>163998.4984984985</x:v>
      </x:c>
      <x:c r="I6128" s="36" t="n">
        <x:f>IFERROR(H6128/A6128,0)</x:f>
        <x:v>16399.84984984985</x:v>
      </x:c>
      <x:c r="J6128" s="67" t="str">
        <x:v>Modeled from live base + Sep-2026 quality ratio</x:v>
      </x:c>
      <x:c r="K6128" s="67" t="str">
        <x:v>https://www.stonealgo.com/diamond-prices/</x:v>
      </x:c>
      <x:c r="L6128" s="67" t="str">
        <x:v>https://www.pricescope.com/blog/natural-diamond-prices-september-2026</x:v>
      </x:c>
    </x:row>
    <x:row r="6129">
      <x:c r="A6129" t="n">
        <x:v>10</x:v>
      </x:c>
      <x:c r="B6129" t="str">
        <x:v>Radiant</x:v>
      </x:c>
      <x:c r="C6129" t="str">
        <x:v>I</x:v>
      </x:c>
      <x:c r="D6129" t="str">
        <x:v>SI2</x:v>
      </x:c>
      <x:c r="E6129" s="36" t="n">
        <x:v>239000</x:v>
      </x:c>
      <x:c r="F6129" s="36" t="n">
        <x:v>2874</x:v>
      </x:c>
      <x:c r="G6129" s="42" t="n">
        <x:v>0.6164736164736164</x:v>
      </x:c>
      <x:c r="H6129" s="36" t="n">
        <x:f>E6129*G6129</x:f>
        <x:v>147337.19433719432</x:v>
      </x:c>
      <x:c r="I6129" s="36" t="n">
        <x:f>IFERROR(H6129/A6129,0)</x:f>
        <x:v>14733.719433719432</x:v>
      </x:c>
      <x:c r="J6129" s="67" t="str">
        <x:v>Modeled from live base + Sep-2026 quality ratio</x:v>
      </x:c>
      <x:c r="K6129" s="67" t="str">
        <x:v>https://www.stonealgo.com/diamond-prices/</x:v>
      </x:c>
      <x:c r="L6129" s="67" t="str">
        <x:v>https://www.pricescope.com/blog/natural-diamond-prices-september-2026</x:v>
      </x:c>
    </x:row>
    <x:row r="6130">
      <x:c r="A6130" t="n">
        <x:v>10</x:v>
      </x:c>
      <x:c r="B6130" t="str">
        <x:v>Radiant</x:v>
      </x:c>
      <x:c r="C6130" t="str">
        <x:v>J</x:v>
      </x:c>
      <x:c r="D6130" t="str">
        <x:v>FL</x:v>
      </x:c>
      <x:c r="E6130" s="36" t="n">
        <x:v>239000</x:v>
      </x:c>
      <x:c r="F6130" s="36" t="n">
        <x:v>3646</x:v>
      </x:c>
      <x:c r="G6130" s="42" t="n">
        <x:v>0.782067782067782</x:v>
      </x:c>
      <x:c r="H6130" s="36" t="n">
        <x:f>E6130*G6130</x:f>
        <x:v>186914.1999141999</x:v>
      </x:c>
      <x:c r="I6130" s="36" t="n">
        <x:f>IFERROR(H6130/A6130,0)</x:f>
        <x:v>18691.419991419993</x:v>
      </x:c>
      <x:c r="J6130" s="67" t="str">
        <x:v>Modeled from live base + Sep-2026 quality ratio</x:v>
      </x:c>
      <x:c r="K6130" s="67" t="str">
        <x:v>https://www.stonealgo.com/diamond-prices/</x:v>
      </x:c>
      <x:c r="L6130" s="67" t="str">
        <x:v>https://www.pricescope.com/blog/natural-diamond-prices-september-2026</x:v>
      </x:c>
    </x:row>
    <x:row r="6131">
      <x:c r="A6131" t="n">
        <x:v>10</x:v>
      </x:c>
      <x:c r="B6131" t="str">
        <x:v>Radiant</x:v>
      </x:c>
      <x:c r="C6131" t="str">
        <x:v>J</x:v>
      </x:c>
      <x:c r="D6131" t="str">
        <x:v>IF</x:v>
      </x:c>
      <x:c r="E6131" s="36" t="n">
        <x:v>239000</x:v>
      </x:c>
      <x:c r="F6131" s="36" t="n">
        <x:v>3368</x:v>
      </x:c>
      <x:c r="G6131" s="42" t="n">
        <x:v>0.7224367224367224</x:v>
      </x:c>
      <x:c r="H6131" s="36" t="n">
        <x:f>E6131*G6131</x:f>
        <x:v>172662.37666237666</x:v>
      </x:c>
      <x:c r="I6131" s="36" t="n">
        <x:f>IFERROR(H6131/A6131,0)</x:f>
        <x:v>17266.237666237666</x:v>
      </x:c>
      <x:c r="J6131" s="67" t="str">
        <x:v>Modeled from live base + Sep-2026 quality ratio</x:v>
      </x:c>
      <x:c r="K6131" s="67" t="str">
        <x:v>https://www.stonealgo.com/diamond-prices/</x:v>
      </x:c>
      <x:c r="L6131" s="67" t="str">
        <x:v>https://www.pricescope.com/blog/natural-diamond-prices-september-2026</x:v>
      </x:c>
    </x:row>
    <x:row r="6132">
      <x:c r="A6132" t="n">
        <x:v>10</x:v>
      </x:c>
      <x:c r="B6132" t="str">
        <x:v>Radiant</x:v>
      </x:c>
      <x:c r="C6132" t="str">
        <x:v>J</x:v>
      </x:c>
      <x:c r="D6132" t="str">
        <x:v>VVS1</x:v>
      </x:c>
      <x:c r="E6132" s="36" t="n">
        <x:v>239000</x:v>
      </x:c>
      <x:c r="F6132" s="36" t="n">
        <x:v>2956</x:v>
      </x:c>
      <x:c r="G6132" s="42" t="n">
        <x:v>0.6340626340626341</x:v>
      </x:c>
      <x:c r="H6132" s="36" t="n">
        <x:f>E6132*G6132</x:f>
        <x:v>151540.96954096956</x:v>
      </x:c>
      <x:c r="I6132" s="36" t="n">
        <x:f>IFERROR(H6132/A6132,0)</x:f>
        <x:v>15154.096954096956</x:v>
      </x:c>
      <x:c r="J6132" s="67" t="str">
        <x:v>Modeled from live base + Sep-2026 quality ratio</x:v>
      </x:c>
      <x:c r="K6132" s="67" t="str">
        <x:v>https://www.stonealgo.com/diamond-prices/</x:v>
      </x:c>
      <x:c r="L6132" s="67" t="str">
        <x:v>https://www.pricescope.com/blog/natural-diamond-prices-september-2026</x:v>
      </x:c>
    </x:row>
    <x:row r="6133">
      <x:c r="A6133" t="n">
        <x:v>10</x:v>
      </x:c>
      <x:c r="B6133" t="str">
        <x:v>Radiant</x:v>
      </x:c>
      <x:c r="C6133" t="str">
        <x:v>J</x:v>
      </x:c>
      <x:c r="D6133" t="str">
        <x:v>VVS2</x:v>
      </x:c>
      <x:c r="E6133" s="36" t="n">
        <x:v>239000</x:v>
      </x:c>
      <x:c r="F6133" s="36" t="n">
        <x:v>2612</x:v>
      </x:c>
      <x:c r="G6133" s="42" t="n">
        <x:v>0.5602745602745602</x:v>
      </x:c>
      <x:c r="H6133" s="36" t="n">
        <x:f>E6133*G6133</x:f>
        <x:v>133905.6199056199</x:v>
      </x:c>
      <x:c r="I6133" s="36" t="n">
        <x:f>IFERROR(H6133/A6133,0)</x:f>
        <x:v>13390.561990561991</x:v>
      </x:c>
      <x:c r="J6133" s="67" t="str">
        <x:v>Modeled from live base + Sep-2026 quality ratio</x:v>
      </x:c>
      <x:c r="K6133" s="67" t="str">
        <x:v>https://www.stonealgo.com/diamond-prices/</x:v>
      </x:c>
      <x:c r="L6133" s="67" t="str">
        <x:v>https://www.pricescope.com/blog/natural-diamond-prices-september-2026</x:v>
      </x:c>
    </x:row>
    <x:row r="6134">
      <x:c r="A6134" t="n">
        <x:v>10</x:v>
      </x:c>
      <x:c r="B6134" t="str">
        <x:v>Radiant</x:v>
      </x:c>
      <x:c r="C6134" t="str">
        <x:v>J</x:v>
      </x:c>
      <x:c r="D6134" t="str">
        <x:v>VS1</x:v>
      </x:c>
      <x:c r="E6134" s="36" t="n">
        <x:v>239000</x:v>
      </x:c>
      <x:c r="F6134" s="36" t="n">
        <x:v>3002</x:v>
      </x:c>
      <x:c r="G6134" s="42" t="n">
        <x:v>0.6439296439296439</x:v>
      </x:c>
      <x:c r="H6134" s="36" t="n">
        <x:f>E6134*G6134</x:f>
        <x:v>153899.18489918488</x:v>
      </x:c>
      <x:c r="I6134" s="36" t="n">
        <x:f>IFERROR(H6134/A6134,0)</x:f>
        <x:v>15389.918489918487</x:v>
      </x:c>
      <x:c r="J6134" s="67" t="str">
        <x:v>Modeled from live base + Sep-2026 quality ratio</x:v>
      </x:c>
      <x:c r="K6134" s="67" t="str">
        <x:v>https://www.stonealgo.com/diamond-prices/</x:v>
      </x:c>
      <x:c r="L6134" s="67" t="str">
        <x:v>https://www.pricescope.com/blog/natural-diamond-prices-september-2026</x:v>
      </x:c>
    </x:row>
    <x:row r="6135">
      <x:c r="A6135" t="n">
        <x:v>10</x:v>
      </x:c>
      <x:c r="B6135" t="str">
        <x:v>Radiant</x:v>
      </x:c>
      <x:c r="C6135" t="str">
        <x:v>J</x:v>
      </x:c>
      <x:c r="D6135" t="str">
        <x:v>VS2</x:v>
      </x:c>
      <x:c r="E6135" s="36" t="n">
        <x:v>239000</x:v>
      </x:c>
      <x:c r="F6135" s="36" t="n">
        <x:v>2559</x:v>
      </x:c>
      <x:c r="G6135" s="42" t="n">
        <x:v>0.5489060489060489</x:v>
      </x:c>
      <x:c r="H6135" s="36" t="n">
        <x:f>E6135*G6135</x:f>
        <x:v>131188.54568854568</x:v>
      </x:c>
      <x:c r="I6135" s="36" t="n">
        <x:f>IFERROR(H6135/A6135,0)</x:f>
        <x:v>13118.854568854567</x:v>
      </x:c>
      <x:c r="J6135" s="67" t="str">
        <x:v>Modeled from live base + Sep-2026 quality ratio</x:v>
      </x:c>
      <x:c r="K6135" s="67" t="str">
        <x:v>https://www.stonealgo.com/diamond-prices/</x:v>
      </x:c>
      <x:c r="L6135" s="67" t="str">
        <x:v>https://www.pricescope.com/blog/natural-diamond-prices-september-2026</x:v>
      </x:c>
    </x:row>
    <x:row r="6136">
      <x:c r="A6136" t="n">
        <x:v>10</x:v>
      </x:c>
      <x:c r="B6136" t="str">
        <x:v>Radiant</x:v>
      </x:c>
      <x:c r="C6136" t="str">
        <x:v>J</x:v>
      </x:c>
      <x:c r="D6136" t="str">
        <x:v>SI1</x:v>
      </x:c>
      <x:c r="E6136" s="36" t="n">
        <x:v>239000</x:v>
      </x:c>
      <x:c r="F6136" s="36" t="n">
        <x:v>2195</x:v>
      </x:c>
      <x:c r="G6136" s="42" t="n">
        <x:v>0.47082797082797084</x:v>
      </x:c>
      <x:c r="H6136" s="36" t="n">
        <x:f>E6136*G6136</x:f>
        <x:v>112527.88502788503</x:v>
      </x:c>
      <x:c r="I6136" s="36" t="n">
        <x:f>IFERROR(H6136/A6136,0)</x:f>
        <x:v>11252.788502788502</x:v>
      </x:c>
      <x:c r="J6136" s="67" t="str">
        <x:v>Modeled from live base + Sep-2026 quality ratio</x:v>
      </x:c>
      <x:c r="K6136" s="67" t="str">
        <x:v>https://www.stonealgo.com/diamond-prices/</x:v>
      </x:c>
      <x:c r="L6136" s="67" t="str">
        <x:v>https://www.pricescope.com/blog/natural-diamond-prices-september-2026</x:v>
      </x:c>
    </x:row>
    <x:row r="6137">
      <x:c r="A6137" t="n">
        <x:v>10</x:v>
      </x:c>
      <x:c r="B6137" t="str">
        <x:v>Radiant</x:v>
      </x:c>
      <x:c r="C6137" t="str">
        <x:v>J</x:v>
      </x:c>
      <x:c r="D6137" t="str">
        <x:v>SI2</x:v>
      </x:c>
      <x:c r="E6137" s="36" t="n">
        <x:v>239000</x:v>
      </x:c>
      <x:c r="F6137" s="36" t="n">
        <x:v>2079</x:v>
      </x:c>
      <x:c r="G6137" s="42" t="n">
        <x:v>0.44594594594594594</x:v>
      </x:c>
      <x:c r="H6137" s="36" t="n">
        <x:f>E6137*G6137</x:f>
        <x:v>106581.08108108108</x:v>
      </x:c>
      <x:c r="I6137" s="36" t="n">
        <x:f>IFERROR(H6137/A6137,0)</x:f>
        <x:v>10658.108108108108</x:v>
      </x:c>
      <x:c r="J6137" s="67" t="str">
        <x:v>Modeled from live base + Sep-2026 quality ratio</x:v>
      </x:c>
      <x:c r="K6137" s="67" t="str">
        <x:v>https://www.stonealgo.com/diamond-prices/</x:v>
      </x:c>
      <x:c r="L6137" s="67" t="str">
        <x:v>https://www.pricescope.com/blog/natural-diamond-prices-september-2026</x:v>
      </x:c>
    </x:row>
    <x:row r="6138">
      <x:c r="A6138" t="n">
        <x:v>10</x:v>
      </x:c>
      <x:c r="B6138" t="str">
        <x:v>Radiant</x:v>
      </x:c>
      <x:c r="C6138" t="str">
        <x:v>K</x:v>
      </x:c>
      <x:c r="D6138" t="str">
        <x:v>FL</x:v>
      </x:c>
      <x:c r="E6138" s="36" t="n">
        <x:v>239000</x:v>
      </x:c>
      <x:c r="F6138" s="36" t="n">
        <x:v>2858</x:v>
      </x:c>
      <x:c r="G6138" s="42" t="n">
        <x:v>0.6130416130416131</x:v>
      </x:c>
      <x:c r="H6138" s="36" t="n">
        <x:f>E6138*G6138</x:f>
        <x:v>146516.94551694553</x:v>
      </x:c>
      <x:c r="I6138" s="36" t="n">
        <x:f>IFERROR(H6138/A6138,0)</x:f>
        <x:v>14651.694551694553</x:v>
      </x:c>
      <x:c r="J6138" s="67" t="str">
        <x:v>Modeled from live base + Sep-2026 quality ratio; K/FL quality cell modeled</x:v>
      </x:c>
      <x:c r="K6138" s="67" t="str">
        <x:v>https://www.stonealgo.com/diamond-prices/</x:v>
      </x:c>
      <x:c r="L6138" s="67" t="str">
        <x:v>https://www.pricescope.com/blog/natural-diamond-prices-september-2026</x:v>
      </x:c>
    </x:row>
    <x:row r="6139">
      <x:c r="A6139" t="n">
        <x:v>10</x:v>
      </x:c>
      <x:c r="B6139" t="str">
        <x:v>Radiant</x:v>
      </x:c>
      <x:c r="C6139" t="str">
        <x:v>K</x:v>
      </x:c>
      <x:c r="D6139" t="str">
        <x:v>IF</x:v>
      </x:c>
      <x:c r="E6139" s="36" t="n">
        <x:v>239000</x:v>
      </x:c>
      <x:c r="F6139" s="36" t="n">
        <x:v>2743</x:v>
      </x:c>
      <x:c r="G6139" s="42" t="n">
        <x:v>0.5883740883740883</x:v>
      </x:c>
      <x:c r="H6139" s="36" t="n">
        <x:f>E6139*G6139</x:f>
        <x:v>140621.4071214071</x:v>
      </x:c>
      <x:c r="I6139" s="36" t="n">
        <x:f>IFERROR(H6139/A6139,0)</x:f>
        <x:v>14062.14071214071</x:v>
      </x:c>
      <x:c r="J6139" s="67" t="str">
        <x:v>Modeled from live base + Sep-2026 quality ratio</x:v>
      </x:c>
      <x:c r="K6139" s="67" t="str">
        <x:v>https://www.stonealgo.com/diamond-prices/</x:v>
      </x:c>
      <x:c r="L6139" s="67" t="str">
        <x:v>https://www.pricescope.com/blog/natural-diamond-prices-september-2026</x:v>
      </x:c>
    </x:row>
    <x:row r="6140">
      <x:c r="A6140" t="n">
        <x:v>10</x:v>
      </x:c>
      <x:c r="B6140" t="str">
        <x:v>Radiant</x:v>
      </x:c>
      <x:c r="C6140" t="str">
        <x:v>K</x:v>
      </x:c>
      <x:c r="D6140" t="str">
        <x:v>VVS1</x:v>
      </x:c>
      <x:c r="E6140" s="36" t="n">
        <x:v>239000</x:v>
      </x:c>
      <x:c r="F6140" s="36" t="n">
        <x:v>2529</x:v>
      </x:c>
      <x:c r="G6140" s="42" t="n">
        <x:v>0.5424710424710425</x:v>
      </x:c>
      <x:c r="H6140" s="36" t="n">
        <x:f>E6140*G6140</x:f>
        <x:v>129650.57915057916</x:v>
      </x:c>
      <x:c r="I6140" s="36" t="n">
        <x:f>IFERROR(H6140/A6140,0)</x:f>
        <x:v>12965.057915057916</x:v>
      </x:c>
      <x:c r="J6140" s="67" t="str">
        <x:v>Modeled from live base + Sep-2026 quality ratio</x:v>
      </x:c>
      <x:c r="K6140" s="67" t="str">
        <x:v>https://www.stonealgo.com/diamond-prices/</x:v>
      </x:c>
      <x:c r="L6140" s="67" t="str">
        <x:v>https://www.pricescope.com/blog/natural-diamond-prices-september-2026</x:v>
      </x:c>
    </x:row>
    <x:row r="6141">
      <x:c r="A6141" t="n">
        <x:v>10</x:v>
      </x:c>
      <x:c r="B6141" t="str">
        <x:v>Radiant</x:v>
      </x:c>
      <x:c r="C6141" t="str">
        <x:v>K</x:v>
      </x:c>
      <x:c r="D6141" t="str">
        <x:v>VVS2</x:v>
      </x:c>
      <x:c r="E6141" s="36" t="n">
        <x:v>239000</x:v>
      </x:c>
      <x:c r="F6141" s="36" t="n">
        <x:v>2374</x:v>
      </x:c>
      <x:c r="G6141" s="42" t="n">
        <x:v>0.5092235092235092</x:v>
      </x:c>
      <x:c r="H6141" s="36" t="n">
        <x:f>E6141*G6141</x:f>
        <x:v>121704.41870441871</x:v>
      </x:c>
      <x:c r="I6141" s="36" t="n">
        <x:f>IFERROR(H6141/A6141,0)</x:f>
        <x:v>12170.441870441871</x:v>
      </x:c>
      <x:c r="J6141" s="67" t="str">
        <x:v>Modeled from live base + Sep-2026 quality ratio</x:v>
      </x:c>
      <x:c r="K6141" s="67" t="str">
        <x:v>https://www.stonealgo.com/diamond-prices/</x:v>
      </x:c>
      <x:c r="L6141" s="67" t="str">
        <x:v>https://www.pricescope.com/blog/natural-diamond-prices-september-2026</x:v>
      </x:c>
    </x:row>
    <x:row r="6142">
      <x:c r="A6142" t="n">
        <x:v>10</x:v>
      </x:c>
      <x:c r="B6142" t="str">
        <x:v>Radiant</x:v>
      </x:c>
      <x:c r="C6142" t="str">
        <x:v>K</x:v>
      </x:c>
      <x:c r="D6142" t="str">
        <x:v>VS1</x:v>
      </x:c>
      <x:c r="E6142" s="36" t="n">
        <x:v>239000</x:v>
      </x:c>
      <x:c r="F6142" s="36" t="n">
        <x:v>2223</x:v>
      </x:c>
      <x:c r="G6142" s="42" t="n">
        <x:v>0.4768339768339768</x:v>
      </x:c>
      <x:c r="H6142" s="36" t="n">
        <x:f>E6142*G6142</x:f>
        <x:v>113963.32046332046</x:v>
      </x:c>
      <x:c r="I6142" s="36" t="n">
        <x:f>IFERROR(H6142/A6142,0)</x:f>
        <x:v>11396.332046332045</x:v>
      </x:c>
      <x:c r="J6142" s="67" t="str">
        <x:v>Modeled from live base + Sep-2026 quality ratio</x:v>
      </x:c>
      <x:c r="K6142" s="67" t="str">
        <x:v>https://www.stonealgo.com/diamond-prices/</x:v>
      </x:c>
      <x:c r="L6142" s="67" t="str">
        <x:v>https://www.pricescope.com/blog/natural-diamond-prices-september-2026</x:v>
      </x:c>
    </x:row>
    <x:row r="6143">
      <x:c r="A6143" t="n">
        <x:v>10</x:v>
      </x:c>
      <x:c r="B6143" t="str">
        <x:v>Radiant</x:v>
      </x:c>
      <x:c r="C6143" t="str">
        <x:v>K</x:v>
      </x:c>
      <x:c r="D6143" t="str">
        <x:v>VS2</x:v>
      </x:c>
      <x:c r="E6143" s="36" t="n">
        <x:v>239000</x:v>
      </x:c>
      <x:c r="F6143" s="36" t="n">
        <x:v>2098</x:v>
      </x:c>
      <x:c r="G6143" s="42" t="n">
        <x:v>0.45002145002145</x:v>
      </x:c>
      <x:c r="H6143" s="36" t="n">
        <x:f>E6143*G6143</x:f>
        <x:v>107555.12655512655</x:v>
      </x:c>
      <x:c r="I6143" s="36" t="n">
        <x:f>IFERROR(H6143/A6143,0)</x:f>
        <x:v>10755.512655512655</x:v>
      </x:c>
      <x:c r="J6143" s="67" t="str">
        <x:v>Modeled from live base + Sep-2026 quality ratio</x:v>
      </x:c>
      <x:c r="K6143" s="67" t="str">
        <x:v>https://www.stonealgo.com/diamond-prices/</x:v>
      </x:c>
      <x:c r="L6143" s="67" t="str">
        <x:v>https://www.pricescope.com/blog/natural-diamond-prices-september-2026</x:v>
      </x:c>
    </x:row>
    <x:row r="6144">
      <x:c r="A6144" t="n">
        <x:v>10</x:v>
      </x:c>
      <x:c r="B6144" t="str">
        <x:v>Radiant</x:v>
      </x:c>
      <x:c r="C6144" t="str">
        <x:v>K</x:v>
      </x:c>
      <x:c r="D6144" t="str">
        <x:v>SI1</x:v>
      </x:c>
      <x:c r="E6144" s="36" t="n">
        <x:v>239000</x:v>
      </x:c>
      <x:c r="F6144" s="36" t="n">
        <x:v>1922</x:v>
      </x:c>
      <x:c r="G6144" s="42" t="n">
        <x:v>0.41226941226941227</x:v>
      </x:c>
      <x:c r="H6144" s="36" t="n">
        <x:f>E6144*G6144</x:f>
        <x:v>98532.38953238953</x:v>
      </x:c>
      <x:c r="I6144" s="36" t="n">
        <x:f>IFERROR(H6144/A6144,0)</x:f>
        <x:v>9853.238953238953</x:v>
      </x:c>
      <x:c r="J6144" s="67" t="str">
        <x:v>Modeled from live base + Sep-2026 quality ratio</x:v>
      </x:c>
      <x:c r="K6144" s="67" t="str">
        <x:v>https://www.stonealgo.com/diamond-prices/</x:v>
      </x:c>
      <x:c r="L6144" s="67" t="str">
        <x:v>https://www.pricescope.com/blog/natural-diamond-prices-september-2026</x:v>
      </x:c>
    </x:row>
    <x:row r="6145">
      <x:c r="A6145" t="n">
        <x:v>10</x:v>
      </x:c>
      <x:c r="B6145" t="str">
        <x:v>Radiant</x:v>
      </x:c>
      <x:c r="C6145" t="str">
        <x:v>K</x:v>
      </x:c>
      <x:c r="D6145" t="str">
        <x:v>SI2</x:v>
      </x:c>
      <x:c r="E6145" s="36" t="n">
        <x:v>239000</x:v>
      </x:c>
      <x:c r="F6145" s="36" t="n">
        <x:v>1764</x:v>
      </x:c>
      <x:c r="G6145" s="42" t="n">
        <x:v>0.3783783783783784</x:v>
      </x:c>
      <x:c r="H6145" s="36" t="n">
        <x:f>E6145*G6145</x:f>
        <x:v>90432.43243243244</x:v>
      </x:c>
      <x:c r="I6145" s="36" t="n">
        <x:f>IFERROR(H6145/A6145,0)</x:f>
        <x:v>9043.243243243243</x:v>
      </x:c>
      <x:c r="J6145" s="67" t="str">
        <x:v>Modeled from live base + Sep-2026 quality ratio</x:v>
      </x:c>
      <x:c r="K6145" s="67" t="str">
        <x:v>https://www.stonealgo.com/diamond-prices/</x:v>
      </x:c>
      <x:c r="L6145" s="67" t="str">
        <x:v>https://www.pricescope.com/blog/natural-diamond-prices-september-2026</x:v>
      </x:c>
    </x:row>
    <x:row r="6146">
      <x:c r="A6146" t="n">
        <x:v>10</x:v>
      </x:c>
      <x:c r="B6146" t="str">
        <x:v>Pear</x:v>
      </x:c>
      <x:c r="C6146" t="str">
        <x:v>D</x:v>
      </x:c>
      <x:c r="D6146" t="str">
        <x:v>FL</x:v>
      </x:c>
      <x:c r="E6146" s="36" t="n">
        <x:v>554082</x:v>
      </x:c>
      <x:c r="F6146" s="36" t="n">
        <x:v>12665</x:v>
      </x:c>
      <x:c r="G6146" s="42" t="n">
        <x:v>2.7166452166452166</x:v>
      </x:c>
      <x:c r="H6146" s="36" t="n">
        <x:f>E6146*G6146</x:f>
        <x:v>1505244.214929215</x:v>
      </x:c>
      <x:c r="I6146" s="36" t="n">
        <x:f>IFERROR(H6146/A6146,0)</x:f>
        <x:v>150524.42149292148</x:v>
      </x:c>
      <x:c r="J6146" s="67" t="str">
        <x:v>Modeled from live base + Sep-2026 quality ratio</x:v>
      </x:c>
      <x:c r="K6146" s="67" t="str">
        <x:v>https://www.stonealgo.com/diamond-prices/</x:v>
      </x:c>
      <x:c r="L6146" s="67" t="str">
        <x:v>https://www.pricescope.com/blog/natural-diamond-prices-september-2026</x:v>
      </x:c>
    </x:row>
    <x:row r="6147">
      <x:c r="A6147" t="n">
        <x:v>10</x:v>
      </x:c>
      <x:c r="B6147" t="str">
        <x:v>Pear</x:v>
      </x:c>
      <x:c r="C6147" t="str">
        <x:v>D</x:v>
      </x:c>
      <x:c r="D6147" t="str">
        <x:v>IF</x:v>
      </x:c>
      <x:c r="E6147" s="36" t="n">
        <x:v>554082</x:v>
      </x:c>
      <x:c r="F6147" s="36" t="n">
        <x:v>13240</x:v>
      </x:c>
      <x:c r="G6147" s="42" t="n">
        <x:v>2.83998283998284</x:v>
      </x:c>
      <x:c r="H6147" s="36" t="n">
        <x:f>E6147*G6147</x:f>
        <x:v>1573583.371943372</x:v>
      </x:c>
      <x:c r="I6147" s="36" t="n">
        <x:f>IFERROR(H6147/A6147,0)</x:f>
        <x:v>157358.33719433722</x:v>
      </x:c>
      <x:c r="J6147" s="67" t="str">
        <x:v>Modeled from live base + Sep-2026 quality ratio</x:v>
      </x:c>
      <x:c r="K6147" s="67" t="str">
        <x:v>https://www.stonealgo.com/diamond-prices/</x:v>
      </x:c>
      <x:c r="L6147" s="67" t="str">
        <x:v>https://www.pricescope.com/blog/natural-diamond-prices-september-2026</x:v>
      </x:c>
    </x:row>
    <x:row r="6148">
      <x:c r="A6148" t="n">
        <x:v>10</x:v>
      </x:c>
      <x:c r="B6148" t="str">
        <x:v>Pear</x:v>
      </x:c>
      <x:c r="C6148" t="str">
        <x:v>D</x:v>
      </x:c>
      <x:c r="D6148" t="str">
        <x:v>VVS1</x:v>
      </x:c>
      <x:c r="E6148" s="36" t="n">
        <x:v>554082</x:v>
      </x:c>
      <x:c r="F6148" s="36" t="n">
        <x:v>9555</x:v>
      </x:c>
      <x:c r="G6148" s="42" t="n">
        <x:v>2.0495495495495497</x:v>
      </x:c>
      <x:c r="H6148" s="36" t="n">
        <x:f>E6148*G6148</x:f>
        <x:v>1135618.5135135136</x:v>
      </x:c>
      <x:c r="I6148" s="36" t="n">
        <x:f>IFERROR(H6148/A6148,0)</x:f>
        <x:v>113561.85135135136</x:v>
      </x:c>
      <x:c r="J6148" s="67" t="str">
        <x:v>Modeled from live base + Sep-2026 quality ratio</x:v>
      </x:c>
      <x:c r="K6148" s="67" t="str">
        <x:v>https://www.stonealgo.com/diamond-prices/</x:v>
      </x:c>
      <x:c r="L6148" s="67" t="str">
        <x:v>https://www.pricescope.com/blog/natural-diamond-prices-september-2026</x:v>
      </x:c>
    </x:row>
    <x:row r="6149">
      <x:c r="A6149" t="n">
        <x:v>10</x:v>
      </x:c>
      <x:c r="B6149" t="str">
        <x:v>Pear</x:v>
      </x:c>
      <x:c r="C6149" t="str">
        <x:v>D</x:v>
      </x:c>
      <x:c r="D6149" t="str">
        <x:v>VVS2</x:v>
      </x:c>
      <x:c r="E6149" s="36" t="n">
        <x:v>554082</x:v>
      </x:c>
      <x:c r="F6149" s="36" t="n">
        <x:v>6660</x:v>
      </x:c>
      <x:c r="G6149" s="42" t="n">
        <x:v>1.4285714285714286</x:v>
      </x:c>
      <x:c r="H6149" s="36" t="n">
        <x:f>E6149*G6149</x:f>
        <x:v>791545.7142857143</x:v>
      </x:c>
      <x:c r="I6149" s="36" t="n">
        <x:f>IFERROR(H6149/A6149,0)</x:f>
        <x:v>79154.57142857143</x:v>
      </x:c>
      <x:c r="J6149" s="67" t="str">
        <x:v>Modeled from live base + Sep-2026 quality ratio</x:v>
      </x:c>
      <x:c r="K6149" s="67" t="str">
        <x:v>https://www.stonealgo.com/diamond-prices/</x:v>
      </x:c>
      <x:c r="L6149" s="67" t="str">
        <x:v>https://www.pricescope.com/blog/natural-diamond-prices-september-2026</x:v>
      </x:c>
    </x:row>
    <x:row r="6150">
      <x:c r="A6150" t="n">
        <x:v>10</x:v>
      </x:c>
      <x:c r="B6150" t="str">
        <x:v>Pear</x:v>
      </x:c>
      <x:c r="C6150" t="str">
        <x:v>D</x:v>
      </x:c>
      <x:c r="D6150" t="str">
        <x:v>VS1</x:v>
      </x:c>
      <x:c r="E6150" s="36" t="n">
        <x:v>554082</x:v>
      </x:c>
      <x:c r="F6150" s="36" t="n">
        <x:v>6247</x:v>
      </x:c>
      <x:c r="G6150" s="42" t="n">
        <x:v>1.33998283998284</x:v>
      </x:c>
      <x:c r="H6150" s="36" t="n">
        <x:f>E6150*G6150</x:f>
        <x:v>742460.371943372</x:v>
      </x:c>
      <x:c r="I6150" s="36" t="n">
        <x:f>IFERROR(H6150/A6150,0)</x:f>
        <x:v>74246.0371943372</x:v>
      </x:c>
      <x:c r="J6150" s="67" t="str">
        <x:v>Modeled from live base + Sep-2026 quality ratio</x:v>
      </x:c>
      <x:c r="K6150" s="67" t="str">
        <x:v>https://www.stonealgo.com/diamond-prices/</x:v>
      </x:c>
      <x:c r="L6150" s="67" t="str">
        <x:v>https://www.pricescope.com/blog/natural-diamond-prices-september-2026</x:v>
      </x:c>
    </x:row>
    <x:row r="6151">
      <x:c r="A6151" t="n">
        <x:v>10</x:v>
      </x:c>
      <x:c r="B6151" t="str">
        <x:v>Pear</x:v>
      </x:c>
      <x:c r="C6151" t="str">
        <x:v>D</x:v>
      </x:c>
      <x:c r="D6151" t="str">
        <x:v>VS2</x:v>
      </x:c>
      <x:c r="E6151" s="36" t="n">
        <x:v>554082</x:v>
      </x:c>
      <x:c r="F6151" s="36" t="n">
        <x:v>5841</x:v>
      </x:c>
      <x:c r="G6151" s="42" t="n">
        <x:v>1.252895752895753</x:v>
      </x:c>
      <x:c r="H6151" s="36" t="n">
        <x:f>E6151*G6151</x:f>
        <x:v>694206.9845559846</x:v>
      </x:c>
      <x:c r="I6151" s="36" t="n">
        <x:f>IFERROR(H6151/A6151,0)</x:f>
        <x:v>69420.69845559847</x:v>
      </x:c>
      <x:c r="J6151" s="67" t="str">
        <x:v>Modeled from live base + Sep-2026 quality ratio</x:v>
      </x:c>
      <x:c r="K6151" s="67" t="str">
        <x:v>https://www.stonealgo.com/diamond-prices/</x:v>
      </x:c>
      <x:c r="L6151" s="67" t="str">
        <x:v>https://www.pricescope.com/blog/natural-diamond-prices-september-2026</x:v>
      </x:c>
    </x:row>
    <x:row r="6152">
      <x:c r="A6152" t="n">
        <x:v>10</x:v>
      </x:c>
      <x:c r="B6152" t="str">
        <x:v>Pear</x:v>
      </x:c>
      <x:c r="C6152" t="str">
        <x:v>D</x:v>
      </x:c>
      <x:c r="D6152" t="str">
        <x:v>SI1</x:v>
      </x:c>
      <x:c r="E6152" s="36" t="n">
        <x:v>554082</x:v>
      </x:c>
      <x:c r="F6152" s="36" t="n">
        <x:v>3762</x:v>
      </x:c>
      <x:c r="G6152" s="42" t="n">
        <x:v>0.806949806949807</x:v>
      </x:c>
      <x:c r="H6152" s="36" t="n">
        <x:f>E6152*G6152</x:f>
        <x:v>447116.36293436296</x:v>
      </x:c>
      <x:c r="I6152" s="36" t="n">
        <x:f>IFERROR(H6152/A6152,0)</x:f>
        <x:v>44711.6362934363</x:v>
      </x:c>
      <x:c r="J6152" s="67" t="str">
        <x:v>Modeled from live base + Sep-2026 quality ratio</x:v>
      </x:c>
      <x:c r="K6152" s="67" t="str">
        <x:v>https://www.stonealgo.com/diamond-prices/</x:v>
      </x:c>
      <x:c r="L6152" s="67" t="str">
        <x:v>https://www.pricescope.com/blog/natural-diamond-prices-september-2026</x:v>
      </x:c>
    </x:row>
    <x:row r="6153">
      <x:c r="A6153" t="n">
        <x:v>10</x:v>
      </x:c>
      <x:c r="B6153" t="str">
        <x:v>Pear</x:v>
      </x:c>
      <x:c r="C6153" t="str">
        <x:v>D</x:v>
      </x:c>
      <x:c r="D6153" t="str">
        <x:v>SI2</x:v>
      </x:c>
      <x:c r="E6153" s="36" t="n">
        <x:v>554082</x:v>
      </x:c>
      <x:c r="F6153" s="36" t="n">
        <x:v>3026</x:v>
      </x:c>
      <x:c r="G6153" s="42" t="n">
        <x:v>0.6490776490776491</x:v>
      </x:c>
      <x:c r="H6153" s="36" t="n">
        <x:f>E6153*G6153</x:f>
        <x:v>359642.24195624195</x:v>
      </x:c>
      <x:c r="I6153" s="36" t="n">
        <x:f>IFERROR(H6153/A6153,0)</x:f>
        <x:v>35964.22419562419</x:v>
      </x:c>
      <x:c r="J6153" s="67" t="str">
        <x:v>Modeled from live base + Sep-2026 quality ratio</x:v>
      </x:c>
      <x:c r="K6153" s="67" t="str">
        <x:v>https://www.stonealgo.com/diamond-prices/</x:v>
      </x:c>
      <x:c r="L6153" s="67" t="str">
        <x:v>https://www.pricescope.com/blog/natural-diamond-prices-september-2026</x:v>
      </x:c>
    </x:row>
    <x:row r="6154">
      <x:c r="A6154" t="n">
        <x:v>10</x:v>
      </x:c>
      <x:c r="B6154" t="str">
        <x:v>Pear</x:v>
      </x:c>
      <x:c r="C6154" t="str">
        <x:v>E</x:v>
      </x:c>
      <x:c r="D6154" t="str">
        <x:v>FL</x:v>
      </x:c>
      <x:c r="E6154" s="36" t="n">
        <x:v>554082</x:v>
      </x:c>
      <x:c r="F6154" s="36" t="n">
        <x:v>10072</x:v>
      </x:c>
      <x:c r="G6154" s="42" t="n">
        <x:v>2.1604461604461602</x:v>
      </x:c>
      <x:c r="H6154" s="36" t="n">
        <x:f>E6154*G6154</x:f>
        <x:v>1197064.3294723292</x:v>
      </x:c>
      <x:c r="I6154" s="36" t="n">
        <x:f>IFERROR(H6154/A6154,0)</x:f>
        <x:v>119706.43294723293</x:v>
      </x:c>
      <x:c r="J6154" s="67" t="str">
        <x:v>Modeled from live base + Sep-2026 quality ratio</x:v>
      </x:c>
      <x:c r="K6154" s="67" t="str">
        <x:v>https://www.stonealgo.com/diamond-prices/</x:v>
      </x:c>
      <x:c r="L6154" s="67" t="str">
        <x:v>https://www.pricescope.com/blog/natural-diamond-prices-september-2026</x:v>
      </x:c>
    </x:row>
    <x:row r="6155">
      <x:c r="A6155" t="n">
        <x:v>10</x:v>
      </x:c>
      <x:c r="B6155" t="str">
        <x:v>Pear</x:v>
      </x:c>
      <x:c r="C6155" t="str">
        <x:v>E</x:v>
      </x:c>
      <x:c r="D6155" t="str">
        <x:v>IF</x:v>
      </x:c>
      <x:c r="E6155" s="36" t="n">
        <x:v>554082</x:v>
      </x:c>
      <x:c r="F6155" s="36" t="n">
        <x:v>8672</x:v>
      </x:c>
      <x:c r="G6155" s="42" t="n">
        <x:v>1.8601458601458603</x:v>
      </x:c>
      <x:c r="H6155" s="36" t="n">
        <x:f>E6155*G6155</x:f>
        <x:v>1030673.3384813386</x:v>
      </x:c>
      <x:c r="I6155" s="36" t="n">
        <x:f>IFERROR(H6155/A6155,0)</x:f>
        <x:v>103067.33384813386</x:v>
      </x:c>
      <x:c r="J6155" s="67" t="str">
        <x:v>Modeled from live base + Sep-2026 quality ratio</x:v>
      </x:c>
      <x:c r="K6155" s="67" t="str">
        <x:v>https://www.stonealgo.com/diamond-prices/</x:v>
      </x:c>
      <x:c r="L6155" s="67" t="str">
        <x:v>https://www.pricescope.com/blog/natural-diamond-prices-september-2026</x:v>
      </x:c>
    </x:row>
    <x:row r="6156">
      <x:c r="A6156" t="n">
        <x:v>10</x:v>
      </x:c>
      <x:c r="B6156" t="str">
        <x:v>Pear</x:v>
      </x:c>
      <x:c r="C6156" t="str">
        <x:v>E</x:v>
      </x:c>
      <x:c r="D6156" t="str">
        <x:v>VVS1</x:v>
      </x:c>
      <x:c r="E6156" s="36" t="n">
        <x:v>554082</x:v>
      </x:c>
      <x:c r="F6156" s="36" t="n">
        <x:v>7842</x:v>
      </x:c>
      <x:c r="G6156" s="42" t="n">
        <x:v>1.6821106821106822</x:v>
      </x:c>
      <x:c r="H6156" s="36" t="n">
        <x:f>E6156*G6156</x:f>
        <x:v>932027.250965251</x:v>
      </x:c>
      <x:c r="I6156" s="36" t="n">
        <x:f>IFERROR(H6156/A6156,0)</x:f>
        <x:v>93202.7250965251</x:v>
      </x:c>
      <x:c r="J6156" s="67" t="str">
        <x:v>Modeled from live base + Sep-2026 quality ratio</x:v>
      </x:c>
      <x:c r="K6156" s="67" t="str">
        <x:v>https://www.stonealgo.com/diamond-prices/</x:v>
      </x:c>
      <x:c r="L6156" s="67" t="str">
        <x:v>https://www.pricescope.com/blog/natural-diamond-prices-september-2026</x:v>
      </x:c>
    </x:row>
    <x:row r="6157">
      <x:c r="A6157" t="n">
        <x:v>10</x:v>
      </x:c>
      <x:c r="B6157" t="str">
        <x:v>Pear</x:v>
      </x:c>
      <x:c r="C6157" t="str">
        <x:v>E</x:v>
      </x:c>
      <x:c r="D6157" t="str">
        <x:v>VVS2</x:v>
      </x:c>
      <x:c r="E6157" s="36" t="n">
        <x:v>554082</x:v>
      </x:c>
      <x:c r="F6157" s="36" t="n">
        <x:v>6880</x:v>
      </x:c>
      <x:c r="G6157" s="42" t="n">
        <x:v>1.4757614757614759</x:v>
      </x:c>
      <x:c r="H6157" s="36" t="n">
        <x:f>E6157*G6157</x:f>
        <x:v>817692.8700128701</x:v>
      </x:c>
      <x:c r="I6157" s="36" t="n">
        <x:f>IFERROR(H6157/A6157,0)</x:f>
        <x:v>81769.28700128701</x:v>
      </x:c>
      <x:c r="J6157" s="67" t="str">
        <x:v>Modeled from live base + Sep-2026 quality ratio</x:v>
      </x:c>
      <x:c r="K6157" s="67" t="str">
        <x:v>https://www.stonealgo.com/diamond-prices/</x:v>
      </x:c>
      <x:c r="L6157" s="67" t="str">
        <x:v>https://www.pricescope.com/blog/natural-diamond-prices-september-2026</x:v>
      </x:c>
    </x:row>
    <x:row r="6158">
      <x:c r="A6158" t="n">
        <x:v>10</x:v>
      </x:c>
      <x:c r="B6158" t="str">
        <x:v>Pear</x:v>
      </x:c>
      <x:c r="C6158" t="str">
        <x:v>E</x:v>
      </x:c>
      <x:c r="D6158" t="str">
        <x:v>VS1</x:v>
      </x:c>
      <x:c r="E6158" s="36" t="n">
        <x:v>554082</x:v>
      </x:c>
      <x:c r="F6158" s="36" t="n">
        <x:v>6307</x:v>
      </x:c>
      <x:c r="G6158" s="42" t="n">
        <x:v>1.352852852852853</x:v>
      </x:c>
      <x:c r="H6158" s="36" t="n">
        <x:f>E6158*G6158</x:f>
        <x:v>749591.4144144144</x:v>
      </x:c>
      <x:c r="I6158" s="36" t="n">
        <x:f>IFERROR(H6158/A6158,0)</x:f>
        <x:v>74959.14144144145</x:v>
      </x:c>
      <x:c r="J6158" s="67" t="str">
        <x:v>Modeled from live base + Sep-2026 quality ratio</x:v>
      </x:c>
      <x:c r="K6158" s="67" t="str">
        <x:v>https://www.stonealgo.com/diamond-prices/</x:v>
      </x:c>
      <x:c r="L6158" s="67" t="str">
        <x:v>https://www.pricescope.com/blog/natural-diamond-prices-september-2026</x:v>
      </x:c>
    </x:row>
    <x:row r="6159">
      <x:c r="A6159" t="n">
        <x:v>10</x:v>
      </x:c>
      <x:c r="B6159" t="str">
        <x:v>Pear</x:v>
      </x:c>
      <x:c r="C6159" t="str">
        <x:v>E</x:v>
      </x:c>
      <x:c r="D6159" t="str">
        <x:v>VS2</x:v>
      </x:c>
      <x:c r="E6159" s="36" t="n">
        <x:v>554082</x:v>
      </x:c>
      <x:c r="F6159" s="36" t="n">
        <x:v>5249</x:v>
      </x:c>
      <x:c r="G6159" s="42" t="n">
        <x:v>1.125911625911626</x:v>
      </x:c>
      <x:c r="H6159" s="36" t="n">
        <x:f>E6159*G6159</x:f>
        <x:v>623847.3655083656</x:v>
      </x:c>
      <x:c r="I6159" s="36" t="n">
        <x:f>IFERROR(H6159/A6159,0)</x:f>
        <x:v>62384.736550836555</x:v>
      </x:c>
      <x:c r="J6159" s="67" t="str">
        <x:v>Modeled from live base + Sep-2026 quality ratio</x:v>
      </x:c>
      <x:c r="K6159" s="67" t="str">
        <x:v>https://www.stonealgo.com/diamond-prices/</x:v>
      </x:c>
      <x:c r="L6159" s="67" t="str">
        <x:v>https://www.pricescope.com/blog/natural-diamond-prices-september-2026</x:v>
      </x:c>
    </x:row>
    <x:row r="6160">
      <x:c r="A6160" t="n">
        <x:v>10</x:v>
      </x:c>
      <x:c r="B6160" t="str">
        <x:v>Pear</x:v>
      </x:c>
      <x:c r="C6160" t="str">
        <x:v>E</x:v>
      </x:c>
      <x:c r="D6160" t="str">
        <x:v>SI1</x:v>
      </x:c>
      <x:c r="E6160" s="36" t="n">
        <x:v>554082</x:v>
      </x:c>
      <x:c r="F6160" s="36" t="n">
        <x:v>3551</x:v>
      </x:c>
      <x:c r="G6160" s="42" t="n">
        <x:v>0.7616902616902617</x:v>
      </x:c>
      <x:c r="H6160" s="36" t="n">
        <x:f>E6160*G6160</x:f>
        <x:v>422038.86357786355</x:v>
      </x:c>
      <x:c r="I6160" s="36" t="n">
        <x:f>IFERROR(H6160/A6160,0)</x:f>
        <x:v>42203.88635778635</x:v>
      </x:c>
      <x:c r="J6160" s="67" t="str">
        <x:v>Modeled from live base + Sep-2026 quality ratio</x:v>
      </x:c>
      <x:c r="K6160" s="67" t="str">
        <x:v>https://www.stonealgo.com/diamond-prices/</x:v>
      </x:c>
      <x:c r="L6160" s="67" t="str">
        <x:v>https://www.pricescope.com/blog/natural-diamond-prices-september-2026</x:v>
      </x:c>
    </x:row>
    <x:row r="6161">
      <x:c r="A6161" t="n">
        <x:v>10</x:v>
      </x:c>
      <x:c r="B6161" t="str">
        <x:v>Pear</x:v>
      </x:c>
      <x:c r="C6161" t="str">
        <x:v>E</x:v>
      </x:c>
      <x:c r="D6161" t="str">
        <x:v>SI2</x:v>
      </x:c>
      <x:c r="E6161" s="36" t="n">
        <x:v>554082</x:v>
      </x:c>
      <x:c r="F6161" s="36" t="n">
        <x:v>2993</x:v>
      </x:c>
      <x:c r="G6161" s="42" t="n">
        <x:v>0.641999141999142</x:v>
      </x:c>
      <x:c r="H6161" s="36" t="n">
        <x:f>E6161*G6161</x:f>
        <x:v>355720.1685971686</x:v>
      </x:c>
      <x:c r="I6161" s="36" t="n">
        <x:f>IFERROR(H6161/A6161,0)</x:f>
        <x:v>35572.01685971686</x:v>
      </x:c>
      <x:c r="J6161" s="67" t="str">
        <x:v>Modeled from live base + Sep-2026 quality ratio</x:v>
      </x:c>
      <x:c r="K6161" s="67" t="str">
        <x:v>https://www.stonealgo.com/diamond-prices/</x:v>
      </x:c>
      <x:c r="L6161" s="67" t="str">
        <x:v>https://www.pricescope.com/blog/natural-diamond-prices-september-2026</x:v>
      </x:c>
    </x:row>
    <x:row r="6162">
      <x:c r="A6162" t="n">
        <x:v>10</x:v>
      </x:c>
      <x:c r="B6162" t="str">
        <x:v>Pear</x:v>
      </x:c>
      <x:c r="C6162" t="str">
        <x:v>F</x:v>
      </x:c>
      <x:c r="D6162" t="str">
        <x:v>FL</x:v>
      </x:c>
      <x:c r="E6162" s="36" t="n">
        <x:v>554082</x:v>
      </x:c>
      <x:c r="F6162" s="36" t="n">
        <x:v>6830</x:v>
      </x:c>
      <x:c r="G6162" s="42" t="n">
        <x:v>1.4650364650364651</x:v>
      </x:c>
      <x:c r="H6162" s="36" t="n">
        <x:f>E6162*G6162</x:f>
        <x:v>811750.3346203347</x:v>
      </x:c>
      <x:c r="I6162" s="36" t="n">
        <x:f>IFERROR(H6162/A6162,0)</x:f>
        <x:v>81175.03346203346</x:v>
      </x:c>
      <x:c r="J6162" s="67" t="str">
        <x:v>Modeled from live base + Sep-2026 quality ratio</x:v>
      </x:c>
      <x:c r="K6162" s="67" t="str">
        <x:v>https://www.stonealgo.com/diamond-prices/</x:v>
      </x:c>
      <x:c r="L6162" s="67" t="str">
        <x:v>https://www.pricescope.com/blog/natural-diamond-prices-september-2026</x:v>
      </x:c>
    </x:row>
    <x:row r="6163">
      <x:c r="A6163" t="n">
        <x:v>10</x:v>
      </x:c>
      <x:c r="B6163" t="str">
        <x:v>Pear</x:v>
      </x:c>
      <x:c r="C6163" t="str">
        <x:v>F</x:v>
      </x:c>
      <x:c r="D6163" t="str">
        <x:v>IF</x:v>
      </x:c>
      <x:c r="E6163" s="36" t="n">
        <x:v>554082</x:v>
      </x:c>
      <x:c r="F6163" s="36" t="n">
        <x:v>7302</x:v>
      </x:c>
      <x:c r="G6163" s="42" t="n">
        <x:v>1.5662805662805663</x:v>
      </x:c>
      <x:c r="H6163" s="36" t="n">
        <x:f>E6163*G6163</x:f>
        <x:v>867847.8687258688</x:v>
      </x:c>
      <x:c r="I6163" s="36" t="n">
        <x:f>IFERROR(H6163/A6163,0)</x:f>
        <x:v>86784.78687258688</x:v>
      </x:c>
      <x:c r="J6163" s="67" t="str">
        <x:v>Modeled from live base + Sep-2026 quality ratio</x:v>
      </x:c>
      <x:c r="K6163" s="67" t="str">
        <x:v>https://www.stonealgo.com/diamond-prices/</x:v>
      </x:c>
      <x:c r="L6163" s="67" t="str">
        <x:v>https://www.pricescope.com/blog/natural-diamond-prices-september-2026</x:v>
      </x:c>
    </x:row>
    <x:row r="6164">
      <x:c r="A6164" t="n">
        <x:v>10</x:v>
      </x:c>
      <x:c r="B6164" t="str">
        <x:v>Pear</x:v>
      </x:c>
      <x:c r="C6164" t="str">
        <x:v>F</x:v>
      </x:c>
      <x:c r="D6164" t="str">
        <x:v>VVS1</x:v>
      </x:c>
      <x:c r="E6164" s="36" t="n">
        <x:v>554082</x:v>
      </x:c>
      <x:c r="F6164" s="36" t="n">
        <x:v>7542</x:v>
      </x:c>
      <x:c r="G6164" s="42" t="n">
        <x:v>1.6177606177606179</x:v>
      </x:c>
      <x:c r="H6164" s="36" t="n">
        <x:f>E6164*G6164</x:f>
        <x:v>896372.0386100387</x:v>
      </x:c>
      <x:c r="I6164" s="36" t="n">
        <x:f>IFERROR(H6164/A6164,0)</x:f>
        <x:v>89637.20386100387</x:v>
      </x:c>
      <x:c r="J6164" s="67" t="str">
        <x:v>Modeled from live base + Sep-2026 quality ratio</x:v>
      </x:c>
      <x:c r="K6164" s="67" t="str">
        <x:v>https://www.stonealgo.com/diamond-prices/</x:v>
      </x:c>
      <x:c r="L6164" s="67" t="str">
        <x:v>https://www.pricescope.com/blog/natural-diamond-prices-september-2026</x:v>
      </x:c>
    </x:row>
    <x:row r="6165">
      <x:c r="A6165" t="n">
        <x:v>10</x:v>
      </x:c>
      <x:c r="B6165" t="str">
        <x:v>Pear</x:v>
      </x:c>
      <x:c r="C6165" t="str">
        <x:v>F</x:v>
      </x:c>
      <x:c r="D6165" t="str">
        <x:v>VVS2</x:v>
      </x:c>
      <x:c r="E6165" s="36" t="n">
        <x:v>554082</x:v>
      </x:c>
      <x:c r="F6165" s="36" t="n">
        <x:v>6352</x:v>
      </x:c>
      <x:c r="G6165" s="42" t="n">
        <x:v>1.3625053625053625</x:v>
      </x:c>
      <x:c r="H6165" s="36" t="n">
        <x:f>E6165*G6165</x:f>
        <x:v>754939.6962676962</x:v>
      </x:c>
      <x:c r="I6165" s="36" t="n">
        <x:f>IFERROR(H6165/A6165,0)</x:f>
        <x:v>75493.96962676963</x:v>
      </x:c>
      <x:c r="J6165" s="67" t="str">
        <x:v>Modeled from live base + Sep-2026 quality ratio</x:v>
      </x:c>
      <x:c r="K6165" s="67" t="str">
        <x:v>https://www.stonealgo.com/diamond-prices/</x:v>
      </x:c>
      <x:c r="L6165" s="67" t="str">
        <x:v>https://www.pricescope.com/blog/natural-diamond-prices-september-2026</x:v>
      </x:c>
    </x:row>
    <x:row r="6166">
      <x:c r="A6166" t="n">
        <x:v>10</x:v>
      </x:c>
      <x:c r="B6166" t="str">
        <x:v>Pear</x:v>
      </x:c>
      <x:c r="C6166" t="str">
        <x:v>F</x:v>
      </x:c>
      <x:c r="D6166" t="str">
        <x:v>VS1</x:v>
      </x:c>
      <x:c r="E6166" s="36" t="n">
        <x:v>554082</x:v>
      </x:c>
      <x:c r="F6166" s="36" t="n">
        <x:v>5647</x:v>
      </x:c>
      <x:c r="G6166" s="42" t="n">
        <x:v>1.2112827112827114</x:v>
      </x:c>
      <x:c r="H6166" s="36" t="n">
        <x:f>E6166*G6166</x:f>
        <x:v>671149.9472329473</x:v>
      </x:c>
      <x:c r="I6166" s="36" t="n">
        <x:f>IFERROR(H6166/A6166,0)</x:f>
        <x:v>67114.99472329473</x:v>
      </x:c>
      <x:c r="J6166" s="67" t="str">
        <x:v>Modeled from live base + Sep-2026 quality ratio</x:v>
      </x:c>
      <x:c r="K6166" s="67" t="str">
        <x:v>https://www.stonealgo.com/diamond-prices/</x:v>
      </x:c>
      <x:c r="L6166" s="67" t="str">
        <x:v>https://www.pricescope.com/blog/natural-diamond-prices-september-2026</x:v>
      </x:c>
    </x:row>
    <x:row r="6167">
      <x:c r="A6167" t="n">
        <x:v>10</x:v>
      </x:c>
      <x:c r="B6167" t="str">
        <x:v>Pear</x:v>
      </x:c>
      <x:c r="C6167" t="str">
        <x:v>F</x:v>
      </x:c>
      <x:c r="D6167" t="str">
        <x:v>VS2</x:v>
      </x:c>
      <x:c r="E6167" s="36" t="n">
        <x:v>554082</x:v>
      </x:c>
      <x:c r="F6167" s="36" t="n">
        <x:v>4730</x:v>
      </x:c>
      <x:c r="G6167" s="42" t="n">
        <x:v>1.0145860145860146</x:v>
      </x:c>
      <x:c r="H6167" s="36" t="n">
        <x:f>E6167*G6167</x:f>
        <x:v>562163.8481338482</x:v>
      </x:c>
      <x:c r="I6167" s="36" t="n">
        <x:f>IFERROR(H6167/A6167,0)</x:f>
        <x:v>56216.384813384815</x:v>
      </x:c>
      <x:c r="J6167" s="67" t="str">
        <x:v>Modeled from live base + Sep-2026 quality ratio</x:v>
      </x:c>
      <x:c r="K6167" s="67" t="str">
        <x:v>https://www.stonealgo.com/diamond-prices/</x:v>
      </x:c>
      <x:c r="L6167" s="67" t="str">
        <x:v>https://www.pricescope.com/blog/natural-diamond-prices-september-2026</x:v>
      </x:c>
    </x:row>
    <x:row r="6168">
      <x:c r="A6168" t="n">
        <x:v>10</x:v>
      </x:c>
      <x:c r="B6168" t="str">
        <x:v>Pear</x:v>
      </x:c>
      <x:c r="C6168" t="str">
        <x:v>F</x:v>
      </x:c>
      <x:c r="D6168" t="str">
        <x:v>SI1</x:v>
      </x:c>
      <x:c r="E6168" s="36" t="n">
        <x:v>554082</x:v>
      </x:c>
      <x:c r="F6168" s="36" t="n">
        <x:v>3331</x:v>
      </x:c>
      <x:c r="G6168" s="42" t="n">
        <x:v>0.7145002145002145</x:v>
      </x:c>
      <x:c r="H6168" s="36" t="n">
        <x:f>E6168*G6168</x:f>
        <x:v>395891.70785070787</x:v>
      </x:c>
      <x:c r="I6168" s="36" t="n">
        <x:f>IFERROR(H6168/A6168,0)</x:f>
        <x:v>39589.17078507079</x:v>
      </x:c>
      <x:c r="J6168" s="67" t="str">
        <x:v>Modeled from live base + Sep-2026 quality ratio</x:v>
      </x:c>
      <x:c r="K6168" s="67" t="str">
        <x:v>https://www.stonealgo.com/diamond-prices/</x:v>
      </x:c>
      <x:c r="L6168" s="67" t="str">
        <x:v>https://www.pricescope.com/blog/natural-diamond-prices-september-2026</x:v>
      </x:c>
    </x:row>
    <x:row r="6169">
      <x:c r="A6169" t="n">
        <x:v>10</x:v>
      </x:c>
      <x:c r="B6169" t="str">
        <x:v>Pear</x:v>
      </x:c>
      <x:c r="C6169" t="str">
        <x:v>F</x:v>
      </x:c>
      <x:c r="D6169" t="str">
        <x:v>SI2</x:v>
      </x:c>
      <x:c r="E6169" s="36" t="n">
        <x:v>554082</x:v>
      </x:c>
      <x:c r="F6169" s="36" t="n">
        <x:v>2733</x:v>
      </x:c>
      <x:c r="G6169" s="42" t="n">
        <x:v>0.5862290862290862</x:v>
      </x:c>
      <x:c r="H6169" s="36" t="n">
        <x:f>E6169*G6169</x:f>
        <x:v>324818.98455598456</x:v>
      </x:c>
      <x:c r="I6169" s="36" t="n">
        <x:f>IFERROR(H6169/A6169,0)</x:f>
        <x:v>32481.898455598457</x:v>
      </x:c>
      <x:c r="J6169" s="67" t="str">
        <x:v>Modeled from live base + Sep-2026 quality ratio</x:v>
      </x:c>
      <x:c r="K6169" s="67" t="str">
        <x:v>https://www.stonealgo.com/diamond-prices/</x:v>
      </x:c>
      <x:c r="L6169" s="67" t="str">
        <x:v>https://www.pricescope.com/blog/natural-diamond-prices-september-2026</x:v>
      </x:c>
    </x:row>
    <x:row r="6170">
      <x:c r="A6170" t="n">
        <x:v>10</x:v>
      </x:c>
      <x:c r="B6170" t="str">
        <x:v>Pear</x:v>
      </x:c>
      <x:c r="C6170" t="str">
        <x:v>G</x:v>
      </x:c>
      <x:c r="D6170" t="str">
        <x:v>FL</x:v>
      </x:c>
      <x:c r="E6170" s="36" t="n">
        <x:v>554082</x:v>
      </x:c>
      <x:c r="F6170" s="36" t="n">
        <x:v>5905</x:v>
      </x:c>
      <x:c r="G6170" s="42" t="n">
        <x:v>1.2666237666237665</x:v>
      </x:c>
      <x:c r="H6170" s="36" t="n">
        <x:f>E6170*G6170</x:f>
        <x:v>701813.4298584298</x:v>
      </x:c>
      <x:c r="I6170" s="36" t="n">
        <x:f>IFERROR(H6170/A6170,0)</x:f>
        <x:v>70181.34298584299</x:v>
      </x:c>
      <x:c r="J6170" s="67" t="str">
        <x:v>Modeled from live base + Sep-2026 quality ratio</x:v>
      </x:c>
      <x:c r="K6170" s="67" t="str">
        <x:v>https://www.stonealgo.com/diamond-prices/</x:v>
      </x:c>
      <x:c r="L6170" s="67" t="str">
        <x:v>https://www.pricescope.com/blog/natural-diamond-prices-september-2026</x:v>
      </x:c>
    </x:row>
    <x:row r="6171">
      <x:c r="A6171" t="n">
        <x:v>10</x:v>
      </x:c>
      <x:c r="B6171" t="str">
        <x:v>Pear</x:v>
      </x:c>
      <x:c r="C6171" t="str">
        <x:v>G</x:v>
      </x:c>
      <x:c r="D6171" t="str">
        <x:v>IF</x:v>
      </x:c>
      <x:c r="E6171" s="36" t="n">
        <x:v>554082</x:v>
      </x:c>
      <x:c r="F6171" s="36" t="n">
        <x:v>5601</x:v>
      </x:c>
      <x:c r="G6171" s="42" t="n">
        <x:v>1.2014157014157014</x:v>
      </x:c>
      <x:c r="H6171" s="36" t="n">
        <x:f>E6171*G6171</x:f>
        <x:v>665682.8146718147</x:v>
      </x:c>
      <x:c r="I6171" s="36" t="n">
        <x:f>IFERROR(H6171/A6171,0)</x:f>
        <x:v>66568.28146718147</x:v>
      </x:c>
      <x:c r="J6171" s="67" t="str">
        <x:v>Modeled from live base + Sep-2026 quality ratio</x:v>
      </x:c>
      <x:c r="K6171" s="67" t="str">
        <x:v>https://www.stonealgo.com/diamond-prices/</x:v>
      </x:c>
      <x:c r="L6171" s="67" t="str">
        <x:v>https://www.pricescope.com/blog/natural-diamond-prices-september-2026</x:v>
      </x:c>
    </x:row>
    <x:row r="6172">
      <x:c r="A6172" t="n">
        <x:v>10</x:v>
      </x:c>
      <x:c r="B6172" t="str">
        <x:v>Pear</x:v>
      </x:c>
      <x:c r="C6172" t="str">
        <x:v>G</x:v>
      </x:c>
      <x:c r="D6172" t="str">
        <x:v>VVS1</x:v>
      </x:c>
      <x:c r="E6172" s="36" t="n">
        <x:v>554082</x:v>
      </x:c>
      <x:c r="F6172" s="36" t="n">
        <x:v>5124</x:v>
      </x:c>
      <x:c r="G6172" s="42" t="n">
        <x:v>1.0990990990990992</x:v>
      </x:c>
      <x:c r="H6172" s="36" t="n">
        <x:f>E6172*G6172</x:f>
        <x:v>608991.0270270271</x:v>
      </x:c>
      <x:c r="I6172" s="36" t="n">
        <x:f>IFERROR(H6172/A6172,0)</x:f>
        <x:v>60899.10270270271</x:v>
      </x:c>
      <x:c r="J6172" s="67" t="str">
        <x:v>Modeled from live base + Sep-2026 quality ratio</x:v>
      </x:c>
      <x:c r="K6172" s="67" t="str">
        <x:v>https://www.stonealgo.com/diamond-prices/</x:v>
      </x:c>
      <x:c r="L6172" s="67" t="str">
        <x:v>https://www.pricescope.com/blog/natural-diamond-prices-september-2026</x:v>
      </x:c>
    </x:row>
    <x:row r="6173">
      <x:c r="A6173" t="n">
        <x:v>10</x:v>
      </x:c>
      <x:c r="B6173" t="str">
        <x:v>Pear</x:v>
      </x:c>
      <x:c r="C6173" t="str">
        <x:v>G</x:v>
      </x:c>
      <x:c r="D6173" t="str">
        <x:v>VVS2</x:v>
      </x:c>
      <x:c r="E6173" s="36" t="n">
        <x:v>554082</x:v>
      </x:c>
      <x:c r="F6173" s="36" t="n">
        <x:v>4962</x:v>
      </x:c>
      <x:c r="G6173" s="42" t="n">
        <x:v>1.0643500643500643</x:v>
      </x:c>
      <x:c r="H6173" s="36" t="n">
        <x:f>E6173*G6173</x:f>
        <x:v>589737.2123552123</x:v>
      </x:c>
      <x:c r="I6173" s="36" t="n">
        <x:f>IFERROR(H6173/A6173,0)</x:f>
        <x:v>58973.72123552123</x:v>
      </x:c>
      <x:c r="J6173" s="67" t="str">
        <x:v>Modeled from live base + Sep-2026 quality ratio</x:v>
      </x:c>
      <x:c r="K6173" s="67" t="str">
        <x:v>https://www.stonealgo.com/diamond-prices/</x:v>
      </x:c>
      <x:c r="L6173" s="67" t="str">
        <x:v>https://www.pricescope.com/blog/natural-diamond-prices-september-2026</x:v>
      </x:c>
    </x:row>
    <x:row r="6174">
      <x:c r="A6174" t="n">
        <x:v>10</x:v>
      </x:c>
      <x:c r="B6174" t="str">
        <x:v>Pear</x:v>
      </x:c>
      <x:c r="C6174" t="str">
        <x:v>G</x:v>
      </x:c>
      <x:c r="D6174" t="str">
        <x:v>VS1</x:v>
      </x:c>
      <x:c r="E6174" s="36" t="n">
        <x:v>554082</x:v>
      </x:c>
      <x:c r="F6174" s="36" t="n">
        <x:v>4615</x:v>
      </x:c>
      <x:c r="G6174" s="42" t="n">
        <x:v>0.98991848991849</x:v>
      </x:c>
      <x:c r="H6174" s="36" t="n">
        <x:f>E6174*G6174</x:f>
        <x:v>548496.0167310168</x:v>
      </x:c>
      <x:c r="I6174" s="36" t="n">
        <x:f>IFERROR(H6174/A6174,0)</x:f>
        <x:v>54849.60167310168</x:v>
      </x:c>
      <x:c r="J6174" s="67" t="str">
        <x:v>Modeled from live base + Sep-2026 quality ratio</x:v>
      </x:c>
      <x:c r="K6174" s="67" t="str">
        <x:v>https://www.stonealgo.com/diamond-prices/</x:v>
      </x:c>
      <x:c r="L6174" s="67" t="str">
        <x:v>https://www.pricescope.com/blog/natural-diamond-prices-september-2026</x:v>
      </x:c>
    </x:row>
    <x:row r="6175">
      <x:c r="A6175" t="n">
        <x:v>10</x:v>
      </x:c>
      <x:c r="B6175" t="str">
        <x:v>Pear</x:v>
      </x:c>
      <x:c r="C6175" t="str">
        <x:v>G</x:v>
      </x:c>
      <x:c r="D6175" t="str">
        <x:v>VS2</x:v>
      </x:c>
      <x:c r="E6175" s="36" t="n">
        <x:v>554082</x:v>
      </x:c>
      <x:c r="F6175" s="36" t="n">
        <x:v>4585</x:v>
      </x:c>
      <x:c r="G6175" s="42" t="n">
        <x:v>0.9834834834834835</x:v>
      </x:c>
      <x:c r="H6175" s="36" t="n">
        <x:f>E6175*G6175</x:f>
        <x:v>544930.4954954955</x:v>
      </x:c>
      <x:c r="I6175" s="36" t="n">
        <x:f>IFERROR(H6175/A6175,0)</x:f>
        <x:v>54493.04954954955</x:v>
      </x:c>
      <x:c r="J6175" s="67" t="str">
        <x:v>Modeled from live base + Sep-2026 quality ratio</x:v>
      </x:c>
      <x:c r="K6175" s="67" t="str">
        <x:v>https://www.stonealgo.com/diamond-prices/</x:v>
      </x:c>
      <x:c r="L6175" s="67" t="str">
        <x:v>https://www.pricescope.com/blog/natural-diamond-prices-september-2026</x:v>
      </x:c>
    </x:row>
    <x:row r="6176">
      <x:c r="A6176" t="n">
        <x:v>10</x:v>
      </x:c>
      <x:c r="B6176" t="str">
        <x:v>Pear</x:v>
      </x:c>
      <x:c r="C6176" t="str">
        <x:v>G</x:v>
      </x:c>
      <x:c r="D6176" t="str">
        <x:v>SI1</x:v>
      </x:c>
      <x:c r="E6176" s="36" t="n">
        <x:v>554082</x:v>
      </x:c>
      <x:c r="F6176" s="36" t="n">
        <x:v>3664</x:v>
      </x:c>
      <x:c r="G6176" s="42" t="n">
        <x:v>0.7859287859287859</x:v>
      </x:c>
      <x:c r="H6176" s="36" t="n">
        <x:f>E6176*G6176</x:f>
        <x:v>435468.99356499355</x:v>
      </x:c>
      <x:c r="I6176" s="36" t="n">
        <x:f>IFERROR(H6176/A6176,0)</x:f>
        <x:v>43546.89935649936</x:v>
      </x:c>
      <x:c r="J6176" s="67" t="str">
        <x:v>Modeled from live base + Sep-2026 quality ratio</x:v>
      </x:c>
      <x:c r="K6176" s="67" t="str">
        <x:v>https://www.stonealgo.com/diamond-prices/</x:v>
      </x:c>
      <x:c r="L6176" s="67" t="str">
        <x:v>https://www.pricescope.com/blog/natural-diamond-prices-september-2026</x:v>
      </x:c>
    </x:row>
    <x:row r="6177">
      <x:c r="A6177" t="n">
        <x:v>10</x:v>
      </x:c>
      <x:c r="B6177" t="str">
        <x:v>Pear</x:v>
      </x:c>
      <x:c r="C6177" t="str">
        <x:v>G</x:v>
      </x:c>
      <x:c r="D6177" t="str">
        <x:v>SI2</x:v>
      </x:c>
      <x:c r="E6177" s="36" t="n">
        <x:v>554082</x:v>
      </x:c>
      <x:c r="F6177" s="36" t="n">
        <x:v>2537</x:v>
      </x:c>
      <x:c r="G6177" s="42" t="n">
        <x:v>0.5441870441870442</x:v>
      </x:c>
      <x:c r="H6177" s="36" t="n">
        <x:f>E6177*G6177</x:f>
        <x:v>301524.24581724586</x:v>
      </x:c>
      <x:c r="I6177" s="36" t="n">
        <x:f>IFERROR(H6177/A6177,0)</x:f>
        <x:v>30152.424581724586</x:v>
      </x:c>
      <x:c r="J6177" s="67" t="str">
        <x:v>Modeled from live base + Sep-2026 quality ratio</x:v>
      </x:c>
      <x:c r="K6177" s="67" t="str">
        <x:v>https://www.stonealgo.com/diamond-prices/</x:v>
      </x:c>
      <x:c r="L6177" s="67" t="str">
        <x:v>https://www.pricescope.com/blog/natural-diamond-prices-september-2026</x:v>
      </x:c>
    </x:row>
    <x:row r="6178">
      <x:c r="A6178" t="n">
        <x:v>10</x:v>
      </x:c>
      <x:c r="B6178" t="str">
        <x:v>Pear</x:v>
      </x:c>
      <x:c r="C6178" t="str">
        <x:v>H</x:v>
      </x:c>
      <x:c r="D6178" t="str">
        <x:v>FL</x:v>
      </x:c>
      <x:c r="E6178" s="36" t="n">
        <x:v>554082</x:v>
      </x:c>
      <x:c r="F6178" s="36" t="n">
        <x:v>4563</x:v>
      </x:c>
      <x:c r="G6178" s="42" t="n">
        <x:v>0.9787644787644788</x:v>
      </x:c>
      <x:c r="H6178" s="36" t="n">
        <x:f>E6178*G6178</x:f>
        <x:v>542315.77992278</x:v>
      </x:c>
      <x:c r="I6178" s="36" t="n">
        <x:f>IFERROR(H6178/A6178,0)</x:f>
        <x:v>54231.577992278</x:v>
      </x:c>
      <x:c r="J6178" s="67" t="str">
        <x:v>Modeled from live base + Sep-2026 quality ratio</x:v>
      </x:c>
      <x:c r="K6178" s="67" t="str">
        <x:v>https://www.stonealgo.com/diamond-prices/</x:v>
      </x:c>
      <x:c r="L6178" s="67" t="str">
        <x:v>https://www.pricescope.com/blog/natural-diamond-prices-september-2026</x:v>
      </x:c>
    </x:row>
    <x:row r="6179">
      <x:c r="A6179" t="n">
        <x:v>10</x:v>
      </x:c>
      <x:c r="B6179" t="str">
        <x:v>Pear</x:v>
      </x:c>
      <x:c r="C6179" t="str">
        <x:v>H</x:v>
      </x:c>
      <x:c r="D6179" t="str">
        <x:v>IF</x:v>
      </x:c>
      <x:c r="E6179" s="36" t="n">
        <x:v>554082</x:v>
      </x:c>
      <x:c r="F6179" s="36" t="n">
        <x:v>4809</x:v>
      </x:c>
      <x:c r="G6179" s="42" t="n">
        <x:v>1.0315315315315314</x:v>
      </x:c>
      <x:c r="H6179" s="36" t="n">
        <x:f>E6179*G6179</x:f>
        <x:v>571553.054054054</x:v>
      </x:c>
      <x:c r="I6179" s="36" t="n">
        <x:f>IFERROR(H6179/A6179,0)</x:f>
        <x:v>57155.305405405394</x:v>
      </x:c>
      <x:c r="J6179" s="67" t="str">
        <x:v>Modeled from live base + Sep-2026 quality ratio</x:v>
      </x:c>
      <x:c r="K6179" s="67" t="str">
        <x:v>https://www.stonealgo.com/diamond-prices/</x:v>
      </x:c>
      <x:c r="L6179" s="67" t="str">
        <x:v>https://www.pricescope.com/blog/natural-diamond-prices-september-2026</x:v>
      </x:c>
    </x:row>
    <x:row r="6180">
      <x:c r="A6180" t="n">
        <x:v>10</x:v>
      </x:c>
      <x:c r="B6180" t="str">
        <x:v>Pear</x:v>
      </x:c>
      <x:c r="C6180" t="str">
        <x:v>H</x:v>
      </x:c>
      <x:c r="D6180" t="str">
        <x:v>VVS1</x:v>
      </x:c>
      <x:c r="E6180" s="36" t="n">
        <x:v>554082</x:v>
      </x:c>
      <x:c r="F6180" s="36" t="n">
        <x:v>4911</x:v>
      </x:c>
      <x:c r="G6180" s="42" t="n">
        <x:v>1.0534105534105533</x:v>
      </x:c>
      <x:c r="H6180" s="36" t="n">
        <x:f>E6180*G6180</x:f>
        <x:v>583675.8262548263</x:v>
      </x:c>
      <x:c r="I6180" s="36" t="n">
        <x:f>IFERROR(H6180/A6180,0)</x:f>
        <x:v>58367.582625482624</x:v>
      </x:c>
      <x:c r="J6180" s="67" t="str">
        <x:v>Modeled from live base + Sep-2026 quality ratio</x:v>
      </x:c>
      <x:c r="K6180" s="67" t="str">
        <x:v>https://www.stonealgo.com/diamond-prices/</x:v>
      </x:c>
      <x:c r="L6180" s="67" t="str">
        <x:v>https://www.pricescope.com/blog/natural-diamond-prices-september-2026</x:v>
      </x:c>
    </x:row>
    <x:row r="6181">
      <x:c r="A6181" t="n">
        <x:v>10</x:v>
      </x:c>
      <x:c r="B6181" t="str">
        <x:v>Pear</x:v>
      </x:c>
      <x:c r="C6181" t="str">
        <x:v>H</x:v>
      </x:c>
      <x:c r="D6181" t="str">
        <x:v>VVS2</x:v>
      </x:c>
      <x:c r="E6181" s="36" t="n">
        <x:v>554082</x:v>
      </x:c>
      <x:c r="F6181" s="36" t="n">
        <x:v>4046</x:v>
      </x:c>
      <x:c r="G6181" s="42" t="n">
        <x:v>0.8678678678678678</x:v>
      </x:c>
      <x:c r="H6181" s="36" t="n">
        <x:f>E6181*G6181</x:f>
        <x:v>480869.96396396396</x:v>
      </x:c>
      <x:c r="I6181" s="36" t="n">
        <x:f>IFERROR(H6181/A6181,0)</x:f>
        <x:v>48086.9963963964</x:v>
      </x:c>
      <x:c r="J6181" s="67" t="str">
        <x:v>Modeled from live base + Sep-2026 quality ratio</x:v>
      </x:c>
      <x:c r="K6181" s="67" t="str">
        <x:v>https://www.stonealgo.com/diamond-prices/</x:v>
      </x:c>
      <x:c r="L6181" s="67" t="str">
        <x:v>https://www.pricescope.com/blog/natural-diamond-prices-september-2026</x:v>
      </x:c>
    </x:row>
    <x:row r="6182">
      <x:c r="A6182" t="n">
        <x:v>10</x:v>
      </x:c>
      <x:c r="B6182" t="str">
        <x:v>Pear</x:v>
      </x:c>
      <x:c r="C6182" t="str">
        <x:v>H</x:v>
      </x:c>
      <x:c r="D6182" t="str">
        <x:v>VS1</x:v>
      </x:c>
      <x:c r="E6182" s="36" t="n">
        <x:v>554082</x:v>
      </x:c>
      <x:c r="F6182" s="36" t="n">
        <x:v>3893</x:v>
      </x:c>
      <x:c r="G6182" s="42" t="n">
        <x:v>0.8350493350493351</x:v>
      </x:c>
      <x:c r="H6182" s="36" t="n">
        <x:f>E6182*G6182</x:f>
        <x:v>462685.8056628057</x:v>
      </x:c>
      <x:c r="I6182" s="36" t="n">
        <x:f>IFERROR(H6182/A6182,0)</x:f>
        <x:v>46268.580566280565</x:v>
      </x:c>
      <x:c r="J6182" s="67" t="str">
        <x:v>Modeled from live base + Sep-2026 quality ratio</x:v>
      </x:c>
      <x:c r="K6182" s="67" t="str">
        <x:v>https://www.stonealgo.com/diamond-prices/</x:v>
      </x:c>
      <x:c r="L6182" s="67" t="str">
        <x:v>https://www.pricescope.com/blog/natural-diamond-prices-september-2026</x:v>
      </x:c>
    </x:row>
    <x:row r="6183">
      <x:c r="A6183" t="n">
        <x:v>10</x:v>
      </x:c>
      <x:c r="B6183" t="str">
        <x:v>Pear</x:v>
      </x:c>
      <x:c r="C6183" t="str">
        <x:v>H</x:v>
      </x:c>
      <x:c r="D6183" t="str">
        <x:v>VS2</x:v>
      </x:c>
      <x:c r="E6183" s="36" t="n">
        <x:v>554082</x:v>
      </x:c>
      <x:c r="F6183" s="36" t="n">
        <x:v>3989</x:v>
      </x:c>
      <x:c r="G6183" s="42" t="n">
        <x:v>0.8556413556413557</x:v>
      </x:c>
      <x:c r="H6183" s="36" t="n">
        <x:f>E6183*G6183</x:f>
        <x:v>474095.47361647367</x:v>
      </x:c>
      <x:c r="I6183" s="36" t="n">
        <x:f>IFERROR(H6183/A6183,0)</x:f>
        <x:v>47409.54736164737</x:v>
      </x:c>
      <x:c r="J6183" s="67" t="str">
        <x:v>Modeled from live base + Sep-2026 quality ratio</x:v>
      </x:c>
      <x:c r="K6183" s="67" t="str">
        <x:v>https://www.stonealgo.com/diamond-prices/</x:v>
      </x:c>
      <x:c r="L6183" s="67" t="str">
        <x:v>https://www.pricescope.com/blog/natural-diamond-prices-september-2026</x:v>
      </x:c>
    </x:row>
    <x:row r="6184">
      <x:c r="A6184" t="n">
        <x:v>10</x:v>
      </x:c>
      <x:c r="B6184" t="str">
        <x:v>Pear</x:v>
      </x:c>
      <x:c r="C6184" t="str">
        <x:v>H</x:v>
      </x:c>
      <x:c r="D6184" t="str">
        <x:v>SI1</x:v>
      </x:c>
      <x:c r="E6184" s="36" t="n">
        <x:v>554082</x:v>
      </x:c>
      <x:c r="F6184" s="36" t="n">
        <x:v>2828</x:v>
      </x:c>
      <x:c r="G6184" s="42" t="n">
        <x:v>0.6066066066066066</x:v>
      </x:c>
      <x:c r="H6184" s="36" t="n">
        <x:f>E6184*G6184</x:f>
        <x:v>336109.8018018018</x:v>
      </x:c>
      <x:c r="I6184" s="36" t="n">
        <x:f>IFERROR(H6184/A6184,0)</x:f>
        <x:v>33610.98018018018</x:v>
      </x:c>
      <x:c r="J6184" s="67" t="str">
        <x:v>Modeled from live base + Sep-2026 quality ratio</x:v>
      </x:c>
      <x:c r="K6184" s="67" t="str">
        <x:v>https://www.stonealgo.com/diamond-prices/</x:v>
      </x:c>
      <x:c r="L6184" s="67" t="str">
        <x:v>https://www.pricescope.com/blog/natural-diamond-prices-september-2026</x:v>
      </x:c>
    </x:row>
    <x:row r="6185">
      <x:c r="A6185" t="n">
        <x:v>10</x:v>
      </x:c>
      <x:c r="B6185" t="str">
        <x:v>Pear</x:v>
      </x:c>
      <x:c r="C6185" t="str">
        <x:v>H</x:v>
      </x:c>
      <x:c r="D6185" t="str">
        <x:v>SI2</x:v>
      </x:c>
      <x:c r="E6185" s="36" t="n">
        <x:v>554082</x:v>
      </x:c>
      <x:c r="F6185" s="36" t="n">
        <x:v>2328</x:v>
      </x:c>
      <x:c r="G6185" s="42" t="n">
        <x:v>0.49935649935649934</x:v>
      </x:c>
      <x:c r="H6185" s="36" t="n">
        <x:f>E6185*G6185</x:f>
        <x:v>276684.44787644787</x:v>
      </x:c>
      <x:c r="I6185" s="36" t="n">
        <x:f>IFERROR(H6185/A6185,0)</x:f>
        <x:v>27668.44478764479</x:v>
      </x:c>
      <x:c r="J6185" s="67" t="str">
        <x:v>Modeled from live base + Sep-2026 quality ratio</x:v>
      </x:c>
      <x:c r="K6185" s="67" t="str">
        <x:v>https://www.stonealgo.com/diamond-prices/</x:v>
      </x:c>
      <x:c r="L6185" s="67" t="str">
        <x:v>https://www.pricescope.com/blog/natural-diamond-prices-september-2026</x:v>
      </x:c>
    </x:row>
    <x:row r="6186">
      <x:c r="A6186" t="n">
        <x:v>10</x:v>
      </x:c>
      <x:c r="B6186" t="str">
        <x:v>Pear</x:v>
      </x:c>
      <x:c r="C6186" t="str">
        <x:v>I</x:v>
      </x:c>
      <x:c r="D6186" t="str">
        <x:v>FL</x:v>
      </x:c>
      <x:c r="E6186" s="36" t="n">
        <x:v>554082</x:v>
      </x:c>
      <x:c r="F6186" s="36" t="n">
        <x:v>4623</x:v>
      </x:c>
      <x:c r="G6186" s="42" t="n">
        <x:v>0.9916344916344917</x:v>
      </x:c>
      <x:c r="H6186" s="36" t="n">
        <x:f>E6186*G6186</x:f>
        <x:v>549446.8223938224</x:v>
      </x:c>
      <x:c r="I6186" s="36" t="n">
        <x:f>IFERROR(H6186/A6186,0)</x:f>
        <x:v>54944.68223938224</x:v>
      </x:c>
      <x:c r="J6186" s="67" t="str">
        <x:v>Modeled from live base + Sep-2026 quality ratio</x:v>
      </x:c>
      <x:c r="K6186" s="67" t="str">
        <x:v>https://www.stonealgo.com/diamond-prices/</x:v>
      </x:c>
      <x:c r="L6186" s="67" t="str">
        <x:v>https://www.pricescope.com/blog/natural-diamond-prices-september-2026</x:v>
      </x:c>
    </x:row>
    <x:row r="6187">
      <x:c r="A6187" t="n">
        <x:v>10</x:v>
      </x:c>
      <x:c r="B6187" t="str">
        <x:v>Pear</x:v>
      </x:c>
      <x:c r="C6187" t="str">
        <x:v>I</x:v>
      </x:c>
      <x:c r="D6187" t="str">
        <x:v>IF</x:v>
      </x:c>
      <x:c r="E6187" s="36" t="n">
        <x:v>554082</x:v>
      </x:c>
      <x:c r="F6187" s="36" t="n">
        <x:v>4005</x:v>
      </x:c>
      <x:c r="G6187" s="42" t="n">
        <x:v>0.859073359073359</x:v>
      </x:c>
      <x:c r="H6187" s="36" t="n">
        <x:f>E6187*G6187</x:f>
        <x:v>475997.0849420849</x:v>
      </x:c>
      <x:c r="I6187" s="36" t="n">
        <x:f>IFERROR(H6187/A6187,0)</x:f>
        <x:v>47599.70849420849</x:v>
      </x:c>
      <x:c r="J6187" s="67" t="str">
        <x:v>Modeled from live base + Sep-2026 quality ratio</x:v>
      </x:c>
      <x:c r="K6187" s="67" t="str">
        <x:v>https://www.stonealgo.com/diamond-prices/</x:v>
      </x:c>
      <x:c r="L6187" s="67" t="str">
        <x:v>https://www.pricescope.com/blog/natural-diamond-prices-september-2026</x:v>
      </x:c>
    </x:row>
    <x:row r="6188">
      <x:c r="A6188" t="n">
        <x:v>10</x:v>
      </x:c>
      <x:c r="B6188" t="str">
        <x:v>Pear</x:v>
      </x:c>
      <x:c r="C6188" t="str">
        <x:v>I</x:v>
      </x:c>
      <x:c r="D6188" t="str">
        <x:v>VVS1</x:v>
      </x:c>
      <x:c r="E6188" s="36" t="n">
        <x:v>554082</x:v>
      </x:c>
      <x:c r="F6188" s="36" t="n">
        <x:v>3670</x:v>
      </x:c>
      <x:c r="G6188" s="42" t="n">
        <x:v>0.7872157872157872</x:v>
      </x:c>
      <x:c r="H6188" s="36" t="n">
        <x:f>E6188*G6188</x:f>
        <x:v>436182.0978120978</x:v>
      </x:c>
      <x:c r="I6188" s="36" t="n">
        <x:f>IFERROR(H6188/A6188,0)</x:f>
        <x:v>43618.20978120978</x:v>
      </x:c>
      <x:c r="J6188" s="67" t="str">
        <x:v>Modeled from live base + Sep-2026 quality ratio</x:v>
      </x:c>
      <x:c r="K6188" s="67" t="str">
        <x:v>https://www.stonealgo.com/diamond-prices/</x:v>
      </x:c>
      <x:c r="L6188" s="67" t="str">
        <x:v>https://www.pricescope.com/blog/natural-diamond-prices-september-2026</x:v>
      </x:c>
    </x:row>
    <x:row r="6189">
      <x:c r="A6189" t="n">
        <x:v>10</x:v>
      </x:c>
      <x:c r="B6189" t="str">
        <x:v>Pear</x:v>
      </x:c>
      <x:c r="C6189" t="str">
        <x:v>I</x:v>
      </x:c>
      <x:c r="D6189" t="str">
        <x:v>VVS2</x:v>
      </x:c>
      <x:c r="E6189" s="36" t="n">
        <x:v>554082</x:v>
      </x:c>
      <x:c r="F6189" s="36" t="n">
        <x:v>3447</x:v>
      </x:c>
      <x:c r="G6189" s="42" t="n">
        <x:v>0.7393822393822393</x:v>
      </x:c>
      <x:c r="H6189" s="36" t="n">
        <x:f>E6189*G6189</x:f>
        <x:v>409678.38996138994</x:v>
      </x:c>
      <x:c r="I6189" s="36" t="n">
        <x:f>IFERROR(H6189/A6189,0)</x:f>
        <x:v>40967.83899613899</x:v>
      </x:c>
      <x:c r="J6189" s="67" t="str">
        <x:v>Modeled from live base + Sep-2026 quality ratio</x:v>
      </x:c>
      <x:c r="K6189" s="67" t="str">
        <x:v>https://www.stonealgo.com/diamond-prices/</x:v>
      </x:c>
      <x:c r="L6189" s="67" t="str">
        <x:v>https://www.pricescope.com/blog/natural-diamond-prices-september-2026</x:v>
      </x:c>
    </x:row>
    <x:row r="6190">
      <x:c r="A6190" t="n">
        <x:v>10</x:v>
      </x:c>
      <x:c r="B6190" t="str">
        <x:v>Pear</x:v>
      </x:c>
      <x:c r="C6190" t="str">
        <x:v>I</x:v>
      </x:c>
      <x:c r="D6190" t="str">
        <x:v>VS1</x:v>
      </x:c>
      <x:c r="E6190" s="36" t="n">
        <x:v>554082</x:v>
      </x:c>
      <x:c r="F6190" s="36" t="n">
        <x:v>3313</x:v>
      </x:c>
      <x:c r="G6190" s="42" t="n">
        <x:v>0.7106392106392107</x:v>
      </x:c>
      <x:c r="H6190" s="36" t="n">
        <x:f>E6190*G6190</x:f>
        <x:v>393752.3951093951</x:v>
      </x:c>
      <x:c r="I6190" s="36" t="n">
        <x:f>IFERROR(H6190/A6190,0)</x:f>
        <x:v>39375.23951093951</x:v>
      </x:c>
      <x:c r="J6190" s="67" t="str">
        <x:v>Modeled from live base + Sep-2026 quality ratio</x:v>
      </x:c>
      <x:c r="K6190" s="67" t="str">
        <x:v>https://www.stonealgo.com/diamond-prices/</x:v>
      </x:c>
      <x:c r="L6190" s="67" t="str">
        <x:v>https://www.pricescope.com/blog/natural-diamond-prices-september-2026</x:v>
      </x:c>
    </x:row>
    <x:row r="6191">
      <x:c r="A6191" t="n">
        <x:v>10</x:v>
      </x:c>
      <x:c r="B6191" t="str">
        <x:v>Pear</x:v>
      </x:c>
      <x:c r="C6191" t="str">
        <x:v>I</x:v>
      </x:c>
      <x:c r="D6191" t="str">
        <x:v>VS2</x:v>
      </x:c>
      <x:c r="E6191" s="36" t="n">
        <x:v>554082</x:v>
      </x:c>
      <x:c r="F6191" s="36" t="n">
        <x:v>3240</x:v>
      </x:c>
      <x:c r="G6191" s="42" t="n">
        <x:v>0.694980694980695</x:v>
      </x:c>
      <x:c r="H6191" s="36" t="n">
        <x:f>E6191*G6191</x:f>
        <x:v>385076.2934362935</x:v>
      </x:c>
      <x:c r="I6191" s="36" t="n">
        <x:f>IFERROR(H6191/A6191,0)</x:f>
        <x:v>38507.62934362935</x:v>
      </x:c>
      <x:c r="J6191" s="67" t="str">
        <x:v>Modeled from live base + Sep-2026 quality ratio</x:v>
      </x:c>
      <x:c r="K6191" s="67" t="str">
        <x:v>https://www.stonealgo.com/diamond-prices/</x:v>
      </x:c>
      <x:c r="L6191" s="67" t="str">
        <x:v>https://www.pricescope.com/blog/natural-diamond-prices-september-2026</x:v>
      </x:c>
    </x:row>
    <x:row r="6192">
      <x:c r="A6192" t="n">
        <x:v>10</x:v>
      </x:c>
      <x:c r="B6192" t="str">
        <x:v>Pear</x:v>
      </x:c>
      <x:c r="C6192" t="str">
        <x:v>I</x:v>
      </x:c>
      <x:c r="D6192" t="str">
        <x:v>SI1</x:v>
      </x:c>
      <x:c r="E6192" s="36" t="n">
        <x:v>554082</x:v>
      </x:c>
      <x:c r="F6192" s="36" t="n">
        <x:v>3199</x:v>
      </x:c>
      <x:c r="G6192" s="42" t="n">
        <x:v>0.6861861861861862</x:v>
      </x:c>
      <x:c r="H6192" s="36" t="n">
        <x:f>E6192*G6192</x:f>
        <x:v>380203.41441441444</x:v>
      </x:c>
      <x:c r="I6192" s="36" t="n">
        <x:f>IFERROR(H6192/A6192,0)</x:f>
        <x:v>38020.341441441444</x:v>
      </x:c>
      <x:c r="J6192" s="67" t="str">
        <x:v>Modeled from live base + Sep-2026 quality ratio</x:v>
      </x:c>
      <x:c r="K6192" s="67" t="str">
        <x:v>https://www.stonealgo.com/diamond-prices/</x:v>
      </x:c>
      <x:c r="L6192" s="67" t="str">
        <x:v>https://www.pricescope.com/blog/natural-diamond-prices-september-2026</x:v>
      </x:c>
    </x:row>
    <x:row r="6193">
      <x:c r="A6193" t="n">
        <x:v>10</x:v>
      </x:c>
      <x:c r="B6193" t="str">
        <x:v>Pear</x:v>
      </x:c>
      <x:c r="C6193" t="str">
        <x:v>I</x:v>
      </x:c>
      <x:c r="D6193" t="str">
        <x:v>SI2</x:v>
      </x:c>
      <x:c r="E6193" s="36" t="n">
        <x:v>554082</x:v>
      </x:c>
      <x:c r="F6193" s="36" t="n">
        <x:v>2874</x:v>
      </x:c>
      <x:c r="G6193" s="42" t="n">
        <x:v>0.6164736164736164</x:v>
      </x:c>
      <x:c r="H6193" s="36" t="n">
        <x:f>E6193*G6193</x:f>
        <x:v>341576.9343629343</x:v>
      </x:c>
      <x:c r="I6193" s="36" t="n">
        <x:f>IFERROR(H6193/A6193,0)</x:f>
        <x:v>34157.69343629343</x:v>
      </x:c>
      <x:c r="J6193" s="67" t="str">
        <x:v>Modeled from live base + Sep-2026 quality ratio</x:v>
      </x:c>
      <x:c r="K6193" s="67" t="str">
        <x:v>https://www.stonealgo.com/diamond-prices/</x:v>
      </x:c>
      <x:c r="L6193" s="67" t="str">
        <x:v>https://www.pricescope.com/blog/natural-diamond-prices-september-2026</x:v>
      </x:c>
    </x:row>
    <x:row r="6194">
      <x:c r="A6194" t="n">
        <x:v>10</x:v>
      </x:c>
      <x:c r="B6194" t="str">
        <x:v>Pear</x:v>
      </x:c>
      <x:c r="C6194" t="str">
        <x:v>J</x:v>
      </x:c>
      <x:c r="D6194" t="str">
        <x:v>FL</x:v>
      </x:c>
      <x:c r="E6194" s="36" t="n">
        <x:v>554082</x:v>
      </x:c>
      <x:c r="F6194" s="36" t="n">
        <x:v>3646</x:v>
      </x:c>
      <x:c r="G6194" s="42" t="n">
        <x:v>0.782067782067782</x:v>
      </x:c>
      <x:c r="H6194" s="36" t="n">
        <x:f>E6194*G6194</x:f>
        <x:v>433329.6808236808</x:v>
      </x:c>
      <x:c r="I6194" s="36" t="n">
        <x:f>IFERROR(H6194/A6194,0)</x:f>
        <x:v>43332.96808236808</x:v>
      </x:c>
      <x:c r="J6194" s="67" t="str">
        <x:v>Modeled from live base + Sep-2026 quality ratio</x:v>
      </x:c>
      <x:c r="K6194" s="67" t="str">
        <x:v>https://www.stonealgo.com/diamond-prices/</x:v>
      </x:c>
      <x:c r="L6194" s="67" t="str">
        <x:v>https://www.pricescope.com/blog/natural-diamond-prices-september-2026</x:v>
      </x:c>
    </x:row>
    <x:row r="6195">
      <x:c r="A6195" t="n">
        <x:v>10</x:v>
      </x:c>
      <x:c r="B6195" t="str">
        <x:v>Pear</x:v>
      </x:c>
      <x:c r="C6195" t="str">
        <x:v>J</x:v>
      </x:c>
      <x:c r="D6195" t="str">
        <x:v>IF</x:v>
      </x:c>
      <x:c r="E6195" s="36" t="n">
        <x:v>554082</x:v>
      </x:c>
      <x:c r="F6195" s="36" t="n">
        <x:v>3368</x:v>
      </x:c>
      <x:c r="G6195" s="42" t="n">
        <x:v>0.7224367224367224</x:v>
      </x:c>
      <x:c r="H6195" s="36" t="n">
        <x:f>E6195*G6195</x:f>
        <x:v>400289.184041184</x:v>
      </x:c>
      <x:c r="I6195" s="36" t="n">
        <x:f>IFERROR(H6195/A6195,0)</x:f>
        <x:v>40028.918404118405</x:v>
      </x:c>
      <x:c r="J6195" s="67" t="str">
        <x:v>Modeled from live base + Sep-2026 quality ratio</x:v>
      </x:c>
      <x:c r="K6195" s="67" t="str">
        <x:v>https://www.stonealgo.com/diamond-prices/</x:v>
      </x:c>
      <x:c r="L6195" s="67" t="str">
        <x:v>https://www.pricescope.com/blog/natural-diamond-prices-september-2026</x:v>
      </x:c>
    </x:row>
    <x:row r="6196">
      <x:c r="A6196" t="n">
        <x:v>10</x:v>
      </x:c>
      <x:c r="B6196" t="str">
        <x:v>Pear</x:v>
      </x:c>
      <x:c r="C6196" t="str">
        <x:v>J</x:v>
      </x:c>
      <x:c r="D6196" t="str">
        <x:v>VVS1</x:v>
      </x:c>
      <x:c r="E6196" s="36" t="n">
        <x:v>554082</x:v>
      </x:c>
      <x:c r="F6196" s="36" t="n">
        <x:v>2956</x:v>
      </x:c>
      <x:c r="G6196" s="42" t="n">
        <x:v>0.6340626340626341</x:v>
      </x:c>
      <x:c r="H6196" s="36" t="n">
        <x:f>E6196*G6196</x:f>
        <x:v>351322.6924066924</x:v>
      </x:c>
      <x:c r="I6196" s="36" t="n">
        <x:f>IFERROR(H6196/A6196,0)</x:f>
        <x:v>35132.269240669244</x:v>
      </x:c>
      <x:c r="J6196" s="67" t="str">
        <x:v>Modeled from live base + Sep-2026 quality ratio</x:v>
      </x:c>
      <x:c r="K6196" s="67" t="str">
        <x:v>https://www.stonealgo.com/diamond-prices/</x:v>
      </x:c>
      <x:c r="L6196" s="67" t="str">
        <x:v>https://www.pricescope.com/blog/natural-diamond-prices-september-2026</x:v>
      </x:c>
    </x:row>
    <x:row r="6197">
      <x:c r="A6197" t="n">
        <x:v>10</x:v>
      </x:c>
      <x:c r="B6197" t="str">
        <x:v>Pear</x:v>
      </x:c>
      <x:c r="C6197" t="str">
        <x:v>J</x:v>
      </x:c>
      <x:c r="D6197" t="str">
        <x:v>VVS2</x:v>
      </x:c>
      <x:c r="E6197" s="36" t="n">
        <x:v>554082</x:v>
      </x:c>
      <x:c r="F6197" s="36" t="n">
        <x:v>2612</x:v>
      </x:c>
      <x:c r="G6197" s="42" t="n">
        <x:v>0.5602745602745602</x:v>
      </x:c>
      <x:c r="H6197" s="36" t="n">
        <x:f>E6197*G6197</x:f>
        <x:v>310438.0489060489</x:v>
      </x:c>
      <x:c r="I6197" s="36" t="n">
        <x:f>IFERROR(H6197/A6197,0)</x:f>
        <x:v>31043.804890604886</x:v>
      </x:c>
      <x:c r="J6197" s="67" t="str">
        <x:v>Modeled from live base + Sep-2026 quality ratio</x:v>
      </x:c>
      <x:c r="K6197" s="67" t="str">
        <x:v>https://www.stonealgo.com/diamond-prices/</x:v>
      </x:c>
      <x:c r="L6197" s="67" t="str">
        <x:v>https://www.pricescope.com/blog/natural-diamond-prices-september-2026</x:v>
      </x:c>
    </x:row>
    <x:row r="6198">
      <x:c r="A6198" t="n">
        <x:v>10</x:v>
      </x:c>
      <x:c r="B6198" t="str">
        <x:v>Pear</x:v>
      </x:c>
      <x:c r="C6198" t="str">
        <x:v>J</x:v>
      </x:c>
      <x:c r="D6198" t="str">
        <x:v>VS1</x:v>
      </x:c>
      <x:c r="E6198" s="36" t="n">
        <x:v>554082</x:v>
      </x:c>
      <x:c r="F6198" s="36" t="n">
        <x:v>3002</x:v>
      </x:c>
      <x:c r="G6198" s="42" t="n">
        <x:v>0.6439296439296439</x:v>
      </x:c>
      <x:c r="H6198" s="36" t="n">
        <x:f>E6198*G6198</x:f>
        <x:v>356789.82496782497</x:v>
      </x:c>
      <x:c r="I6198" s="36" t="n">
        <x:f>IFERROR(H6198/A6198,0)</x:f>
        <x:v>35678.9824967825</x:v>
      </x:c>
      <x:c r="J6198" s="67" t="str">
        <x:v>Modeled from live base + Sep-2026 quality ratio</x:v>
      </x:c>
      <x:c r="K6198" s="67" t="str">
        <x:v>https://www.stonealgo.com/diamond-prices/</x:v>
      </x:c>
      <x:c r="L6198" s="67" t="str">
        <x:v>https://www.pricescope.com/blog/natural-diamond-prices-september-2026</x:v>
      </x:c>
    </x:row>
    <x:row r="6199">
      <x:c r="A6199" t="n">
        <x:v>10</x:v>
      </x:c>
      <x:c r="B6199" t="str">
        <x:v>Pear</x:v>
      </x:c>
      <x:c r="C6199" t="str">
        <x:v>J</x:v>
      </x:c>
      <x:c r="D6199" t="str">
        <x:v>VS2</x:v>
      </x:c>
      <x:c r="E6199" s="36" t="n">
        <x:v>554082</x:v>
      </x:c>
      <x:c r="F6199" s="36" t="n">
        <x:v>2559</x:v>
      </x:c>
      <x:c r="G6199" s="42" t="n">
        <x:v>0.5489060489060489</x:v>
      </x:c>
      <x:c r="H6199" s="36" t="n">
        <x:f>E6199*G6199</x:f>
        <x:v>304138.96138996136</x:v>
      </x:c>
      <x:c r="I6199" s="36" t="n">
        <x:f>IFERROR(H6199/A6199,0)</x:f>
        <x:v>30413.896138996137</x:v>
      </x:c>
      <x:c r="J6199" s="67" t="str">
        <x:v>Modeled from live base + Sep-2026 quality ratio</x:v>
      </x:c>
      <x:c r="K6199" s="67" t="str">
        <x:v>https://www.stonealgo.com/diamond-prices/</x:v>
      </x:c>
      <x:c r="L6199" s="67" t="str">
        <x:v>https://www.pricescope.com/blog/natural-diamond-prices-september-2026</x:v>
      </x:c>
    </x:row>
    <x:row r="6200">
      <x:c r="A6200" t="n">
        <x:v>10</x:v>
      </x:c>
      <x:c r="B6200" t="str">
        <x:v>Pear</x:v>
      </x:c>
      <x:c r="C6200" t="str">
        <x:v>J</x:v>
      </x:c>
      <x:c r="D6200" t="str">
        <x:v>SI1</x:v>
      </x:c>
      <x:c r="E6200" s="36" t="n">
        <x:v>554082</x:v>
      </x:c>
      <x:c r="F6200" s="36" t="n">
        <x:v>2195</x:v>
      </x:c>
      <x:c r="G6200" s="42" t="n">
        <x:v>0.47082797082797084</x:v>
      </x:c>
      <x:c r="H6200" s="36" t="n">
        <x:f>E6200*G6200</x:f>
        <x:v>260877.30373230373</x:v>
      </x:c>
      <x:c r="I6200" s="36" t="n">
        <x:f>IFERROR(H6200/A6200,0)</x:f>
        <x:v>26087.730373230374</x:v>
      </x:c>
      <x:c r="J6200" s="67" t="str">
        <x:v>Modeled from live base + Sep-2026 quality ratio</x:v>
      </x:c>
      <x:c r="K6200" s="67" t="str">
        <x:v>https://www.stonealgo.com/diamond-prices/</x:v>
      </x:c>
      <x:c r="L6200" s="67" t="str">
        <x:v>https://www.pricescope.com/blog/natural-diamond-prices-september-2026</x:v>
      </x:c>
    </x:row>
    <x:row r="6201">
      <x:c r="A6201" t="n">
        <x:v>10</x:v>
      </x:c>
      <x:c r="B6201" t="str">
        <x:v>Pear</x:v>
      </x:c>
      <x:c r="C6201" t="str">
        <x:v>J</x:v>
      </x:c>
      <x:c r="D6201" t="str">
        <x:v>SI2</x:v>
      </x:c>
      <x:c r="E6201" s="36" t="n">
        <x:v>554082</x:v>
      </x:c>
      <x:c r="F6201" s="36" t="n">
        <x:v>2079</x:v>
      </x:c>
      <x:c r="G6201" s="42" t="n">
        <x:v>0.44594594594594594</x:v>
      </x:c>
      <x:c r="H6201" s="36" t="n">
        <x:f>E6201*G6201</x:f>
        <x:v>247090.62162162163</x:v>
      </x:c>
      <x:c r="I6201" s="36" t="n">
        <x:f>IFERROR(H6201/A6201,0)</x:f>
        <x:v>24709.06216216216</x:v>
      </x:c>
      <x:c r="J6201" s="67" t="str">
        <x:v>Modeled from live base + Sep-2026 quality ratio</x:v>
      </x:c>
      <x:c r="K6201" s="67" t="str">
        <x:v>https://www.stonealgo.com/diamond-prices/</x:v>
      </x:c>
      <x:c r="L6201" s="67" t="str">
        <x:v>https://www.pricescope.com/blog/natural-diamond-prices-september-2026</x:v>
      </x:c>
    </x:row>
    <x:row r="6202">
      <x:c r="A6202" t="n">
        <x:v>10</x:v>
      </x:c>
      <x:c r="B6202" t="str">
        <x:v>Pear</x:v>
      </x:c>
      <x:c r="C6202" t="str">
        <x:v>K</x:v>
      </x:c>
      <x:c r="D6202" t="str">
        <x:v>FL</x:v>
      </x:c>
      <x:c r="E6202" s="36" t="n">
        <x:v>554082</x:v>
      </x:c>
      <x:c r="F6202" s="36" t="n">
        <x:v>2858</x:v>
      </x:c>
      <x:c r="G6202" s="42" t="n">
        <x:v>0.6130416130416131</x:v>
      </x:c>
      <x:c r="H6202" s="36" t="n">
        <x:f>E6202*G6202</x:f>
        <x:v>339675.3230373231</x:v>
      </x:c>
      <x:c r="I6202" s="36" t="n">
        <x:f>IFERROR(H6202/A6202,0)</x:f>
        <x:v>33967.53230373231</x:v>
      </x:c>
      <x:c r="J6202" s="67" t="str">
        <x:v>Modeled from live base + Sep-2026 quality ratio; K/FL quality cell modeled</x:v>
      </x:c>
      <x:c r="K6202" s="67" t="str">
        <x:v>https://www.stonealgo.com/diamond-prices/</x:v>
      </x:c>
      <x:c r="L6202" s="67" t="str">
        <x:v>https://www.pricescope.com/blog/natural-diamond-prices-september-2026</x:v>
      </x:c>
    </x:row>
    <x:row r="6203">
      <x:c r="A6203" t="n">
        <x:v>10</x:v>
      </x:c>
      <x:c r="B6203" t="str">
        <x:v>Pear</x:v>
      </x:c>
      <x:c r="C6203" t="str">
        <x:v>K</x:v>
      </x:c>
      <x:c r="D6203" t="str">
        <x:v>IF</x:v>
      </x:c>
      <x:c r="E6203" s="36" t="n">
        <x:v>554082</x:v>
      </x:c>
      <x:c r="F6203" s="36" t="n">
        <x:v>2743</x:v>
      </x:c>
      <x:c r="G6203" s="42" t="n">
        <x:v>0.5883740883740883</x:v>
      </x:c>
      <x:c r="H6203" s="36" t="n">
        <x:f>E6203*G6203</x:f>
        <x:v>326007.4916344916</x:v>
      </x:c>
      <x:c r="I6203" s="36" t="n">
        <x:f>IFERROR(H6203/A6203,0)</x:f>
        <x:v>32600.74916344916</x:v>
      </x:c>
      <x:c r="J6203" s="67" t="str">
        <x:v>Modeled from live base + Sep-2026 quality ratio</x:v>
      </x:c>
      <x:c r="K6203" s="67" t="str">
        <x:v>https://www.stonealgo.com/diamond-prices/</x:v>
      </x:c>
      <x:c r="L6203" s="67" t="str">
        <x:v>https://www.pricescope.com/blog/natural-diamond-prices-september-2026</x:v>
      </x:c>
    </x:row>
    <x:row r="6204">
      <x:c r="A6204" t="n">
        <x:v>10</x:v>
      </x:c>
      <x:c r="B6204" t="str">
        <x:v>Pear</x:v>
      </x:c>
      <x:c r="C6204" t="str">
        <x:v>K</x:v>
      </x:c>
      <x:c r="D6204" t="str">
        <x:v>VVS1</x:v>
      </x:c>
      <x:c r="E6204" s="36" t="n">
        <x:v>554082</x:v>
      </x:c>
      <x:c r="F6204" s="36" t="n">
        <x:v>2529</x:v>
      </x:c>
      <x:c r="G6204" s="42" t="n">
        <x:v>0.5424710424710425</x:v>
      </x:c>
      <x:c r="H6204" s="36" t="n">
        <x:f>E6204*G6204</x:f>
        <x:v>300573.4401544402</x:v>
      </x:c>
      <x:c r="I6204" s="36" t="n">
        <x:f>IFERROR(H6204/A6204,0)</x:f>
        <x:v>30057.344015444018</x:v>
      </x:c>
      <x:c r="J6204" s="67" t="str">
        <x:v>Modeled from live base + Sep-2026 quality ratio</x:v>
      </x:c>
      <x:c r="K6204" s="67" t="str">
        <x:v>https://www.stonealgo.com/diamond-prices/</x:v>
      </x:c>
      <x:c r="L6204" s="67" t="str">
        <x:v>https://www.pricescope.com/blog/natural-diamond-prices-september-2026</x:v>
      </x:c>
    </x:row>
    <x:row r="6205">
      <x:c r="A6205" t="n">
        <x:v>10</x:v>
      </x:c>
      <x:c r="B6205" t="str">
        <x:v>Pear</x:v>
      </x:c>
      <x:c r="C6205" t="str">
        <x:v>K</x:v>
      </x:c>
      <x:c r="D6205" t="str">
        <x:v>VVS2</x:v>
      </x:c>
      <x:c r="E6205" s="36" t="n">
        <x:v>554082</x:v>
      </x:c>
      <x:c r="F6205" s="36" t="n">
        <x:v>2374</x:v>
      </x:c>
      <x:c r="G6205" s="42" t="n">
        <x:v>0.5092235092235092</x:v>
      </x:c>
      <x:c r="H6205" s="36" t="n">
        <x:f>E6205*G6205</x:f>
        <x:v>282151.5804375804</x:v>
      </x:c>
      <x:c r="I6205" s="36" t="n">
        <x:f>IFERROR(H6205/A6205,0)</x:f>
        <x:v>28215.15804375804</x:v>
      </x:c>
      <x:c r="J6205" s="67" t="str">
        <x:v>Modeled from live base + Sep-2026 quality ratio</x:v>
      </x:c>
      <x:c r="K6205" s="67" t="str">
        <x:v>https://www.stonealgo.com/diamond-prices/</x:v>
      </x:c>
      <x:c r="L6205" s="67" t="str">
        <x:v>https://www.pricescope.com/blog/natural-diamond-prices-september-2026</x:v>
      </x:c>
    </x:row>
    <x:row r="6206">
      <x:c r="A6206" t="n">
        <x:v>10</x:v>
      </x:c>
      <x:c r="B6206" t="str">
        <x:v>Pear</x:v>
      </x:c>
      <x:c r="C6206" t="str">
        <x:v>K</x:v>
      </x:c>
      <x:c r="D6206" t="str">
        <x:v>VS1</x:v>
      </x:c>
      <x:c r="E6206" s="36" t="n">
        <x:v>554082</x:v>
      </x:c>
      <x:c r="F6206" s="36" t="n">
        <x:v>2223</x:v>
      </x:c>
      <x:c r="G6206" s="42" t="n">
        <x:v>0.4768339768339768</x:v>
      </x:c>
      <x:c r="H6206" s="36" t="n">
        <x:f>E6206*G6206</x:f>
        <x:v>264205.12355212355</x:v>
      </x:c>
      <x:c r="I6206" s="36" t="n">
        <x:f>IFERROR(H6206/A6206,0)</x:f>
        <x:v>26420.512355212355</x:v>
      </x:c>
      <x:c r="J6206" s="67" t="str">
        <x:v>Modeled from live base + Sep-2026 quality ratio</x:v>
      </x:c>
      <x:c r="K6206" s="67" t="str">
        <x:v>https://www.stonealgo.com/diamond-prices/</x:v>
      </x:c>
      <x:c r="L6206" s="67" t="str">
        <x:v>https://www.pricescope.com/blog/natural-diamond-prices-september-2026</x:v>
      </x:c>
    </x:row>
    <x:row r="6207">
      <x:c r="A6207" t="n">
        <x:v>10</x:v>
      </x:c>
      <x:c r="B6207" t="str">
        <x:v>Pear</x:v>
      </x:c>
      <x:c r="C6207" t="str">
        <x:v>K</x:v>
      </x:c>
      <x:c r="D6207" t="str">
        <x:v>VS2</x:v>
      </x:c>
      <x:c r="E6207" s="36" t="n">
        <x:v>554082</x:v>
      </x:c>
      <x:c r="F6207" s="36" t="n">
        <x:v>2098</x:v>
      </x:c>
      <x:c r="G6207" s="42" t="n">
        <x:v>0.45002145002145</x:v>
      </x:c>
      <x:c r="H6207" s="36" t="n">
        <x:f>E6207*G6207</x:f>
        <x:v>249348.78507078506</x:v>
      </x:c>
      <x:c r="I6207" s="36" t="n">
        <x:f>IFERROR(H6207/A6207,0)</x:f>
        <x:v>24934.878507078505</x:v>
      </x:c>
      <x:c r="J6207" s="67" t="str">
        <x:v>Modeled from live base + Sep-2026 quality ratio</x:v>
      </x:c>
      <x:c r="K6207" s="67" t="str">
        <x:v>https://www.stonealgo.com/diamond-prices/</x:v>
      </x:c>
      <x:c r="L6207" s="67" t="str">
        <x:v>https://www.pricescope.com/blog/natural-diamond-prices-september-2026</x:v>
      </x:c>
    </x:row>
    <x:row r="6208">
      <x:c r="A6208" t="n">
        <x:v>10</x:v>
      </x:c>
      <x:c r="B6208" t="str">
        <x:v>Pear</x:v>
      </x:c>
      <x:c r="C6208" t="str">
        <x:v>K</x:v>
      </x:c>
      <x:c r="D6208" t="str">
        <x:v>SI1</x:v>
      </x:c>
      <x:c r="E6208" s="36" t="n">
        <x:v>554082</x:v>
      </x:c>
      <x:c r="F6208" s="36" t="n">
        <x:v>1922</x:v>
      </x:c>
      <x:c r="G6208" s="42" t="n">
        <x:v>0.41226941226941227</x:v>
      </x:c>
      <x:c r="H6208" s="36" t="n">
        <x:f>E6208*G6208</x:f>
        <x:v>228431.0604890605</x:v>
      </x:c>
      <x:c r="I6208" s="36" t="n">
        <x:f>IFERROR(H6208/A6208,0)</x:f>
        <x:v>22843.10604890605</x:v>
      </x:c>
      <x:c r="J6208" s="67" t="str">
        <x:v>Modeled from live base + Sep-2026 quality ratio</x:v>
      </x:c>
      <x:c r="K6208" s="67" t="str">
        <x:v>https://www.stonealgo.com/diamond-prices/</x:v>
      </x:c>
      <x:c r="L6208" s="67" t="str">
        <x:v>https://www.pricescope.com/blog/natural-diamond-prices-september-2026</x:v>
      </x:c>
    </x:row>
    <x:row r="6209">
      <x:c r="A6209" t="n">
        <x:v>10</x:v>
      </x:c>
      <x:c r="B6209" t="str">
        <x:v>Pear</x:v>
      </x:c>
      <x:c r="C6209" t="str">
        <x:v>K</x:v>
      </x:c>
      <x:c r="D6209" t="str">
        <x:v>SI2</x:v>
      </x:c>
      <x:c r="E6209" s="36" t="n">
        <x:v>554082</x:v>
      </x:c>
      <x:c r="F6209" s="36" t="n">
        <x:v>1764</x:v>
      </x:c>
      <x:c r="G6209" s="42" t="n">
        <x:v>0.3783783783783784</x:v>
      </x:c>
      <x:c r="H6209" s="36" t="n">
        <x:f>E6209*G6209</x:f>
        <x:v>209652.64864864867</x:v>
      </x:c>
      <x:c r="I6209" s="36" t="n">
        <x:f>IFERROR(H6209/A6209,0)</x:f>
        <x:v>20965.26486486487</x:v>
      </x:c>
      <x:c r="J6209" s="67" t="str">
        <x:v>Modeled from live base + Sep-2026 quality ratio</x:v>
      </x:c>
      <x:c r="K6209" s="67" t="str">
        <x:v>https://www.stonealgo.com/diamond-prices/</x:v>
      </x:c>
      <x:c r="L6209" s="67" t="str">
        <x:v>https://www.pricescope.com/blog/natural-diamond-prices-september-2026</x:v>
      </x:c>
    </x:row>
    <x:row r="6210">
      <x:c r="A6210" t="n">
        <x:v>10</x:v>
      </x:c>
      <x:c r="B6210" t="str">
        <x:v>Heart</x:v>
      </x:c>
      <x:c r="C6210" t="str">
        <x:v>D</x:v>
      </x:c>
      <x:c r="D6210" t="str">
        <x:v>FL</x:v>
      </x:c>
      <x:c r="E6210" s="36" t="n">
        <x:v>548000</x:v>
      </x:c>
      <x:c r="F6210" s="36" t="n">
        <x:v>12665</x:v>
      </x:c>
      <x:c r="G6210" s="42" t="n">
        <x:v>2.7166452166452166</x:v>
      </x:c>
      <x:c r="H6210" s="36" t="n">
        <x:f>E6210*G6210</x:f>
        <x:v>1488721.5787215787</x:v>
      </x:c>
      <x:c r="I6210" s="36" t="n">
        <x:f>IFERROR(H6210/A6210,0)</x:f>
        <x:v>148872.15787215787</x:v>
      </x:c>
      <x:c r="J6210" s="67" t="str">
        <x:v>Modeled from live base + Sep-2026 quality ratio</x:v>
      </x:c>
      <x:c r="K6210" s="67" t="str">
        <x:v>https://www.stonealgo.com/diamond-prices/</x:v>
      </x:c>
      <x:c r="L6210" s="67" t="str">
        <x:v>https://www.pricescope.com/blog/natural-diamond-prices-september-2026</x:v>
      </x:c>
    </x:row>
    <x:row r="6211">
      <x:c r="A6211" t="n">
        <x:v>10</x:v>
      </x:c>
      <x:c r="B6211" t="str">
        <x:v>Heart</x:v>
      </x:c>
      <x:c r="C6211" t="str">
        <x:v>D</x:v>
      </x:c>
      <x:c r="D6211" t="str">
        <x:v>IF</x:v>
      </x:c>
      <x:c r="E6211" s="36" t="n">
        <x:v>548000</x:v>
      </x:c>
      <x:c r="F6211" s="36" t="n">
        <x:v>13240</x:v>
      </x:c>
      <x:c r="G6211" s="42" t="n">
        <x:v>2.83998283998284</x:v>
      </x:c>
      <x:c r="H6211" s="36" t="n">
        <x:f>E6211*G6211</x:f>
        <x:v>1556310.5963105964</x:v>
      </x:c>
      <x:c r="I6211" s="36" t="n">
        <x:f>IFERROR(H6211/A6211,0)</x:f>
        <x:v>155631.05963105964</x:v>
      </x:c>
      <x:c r="J6211" s="67" t="str">
        <x:v>Modeled from live base + Sep-2026 quality ratio</x:v>
      </x:c>
      <x:c r="K6211" s="67" t="str">
        <x:v>https://www.stonealgo.com/diamond-prices/</x:v>
      </x:c>
      <x:c r="L6211" s="67" t="str">
        <x:v>https://www.pricescope.com/blog/natural-diamond-prices-september-2026</x:v>
      </x:c>
    </x:row>
    <x:row r="6212">
      <x:c r="A6212" t="n">
        <x:v>10</x:v>
      </x:c>
      <x:c r="B6212" t="str">
        <x:v>Heart</x:v>
      </x:c>
      <x:c r="C6212" t="str">
        <x:v>D</x:v>
      </x:c>
      <x:c r="D6212" t="str">
        <x:v>VVS1</x:v>
      </x:c>
      <x:c r="E6212" s="36" t="n">
        <x:v>548000</x:v>
      </x:c>
      <x:c r="F6212" s="36" t="n">
        <x:v>9555</x:v>
      </x:c>
      <x:c r="G6212" s="42" t="n">
        <x:v>2.0495495495495497</x:v>
      </x:c>
      <x:c r="H6212" s="36" t="n">
        <x:f>E6212*G6212</x:f>
        <x:v>1123153.1531531531</x:v>
      </x:c>
      <x:c r="I6212" s="36" t="n">
        <x:f>IFERROR(H6212/A6212,0)</x:f>
        <x:v>112315.31531531531</x:v>
      </x:c>
      <x:c r="J6212" s="67" t="str">
        <x:v>Modeled from live base + Sep-2026 quality ratio</x:v>
      </x:c>
      <x:c r="K6212" s="67" t="str">
        <x:v>https://www.stonealgo.com/diamond-prices/</x:v>
      </x:c>
      <x:c r="L6212" s="67" t="str">
        <x:v>https://www.pricescope.com/blog/natural-diamond-prices-september-2026</x:v>
      </x:c>
    </x:row>
    <x:row r="6213">
      <x:c r="A6213" t="n">
        <x:v>10</x:v>
      </x:c>
      <x:c r="B6213" t="str">
        <x:v>Heart</x:v>
      </x:c>
      <x:c r="C6213" t="str">
        <x:v>D</x:v>
      </x:c>
      <x:c r="D6213" t="str">
        <x:v>VVS2</x:v>
      </x:c>
      <x:c r="E6213" s="36" t="n">
        <x:v>548000</x:v>
      </x:c>
      <x:c r="F6213" s="36" t="n">
        <x:v>6660</x:v>
      </x:c>
      <x:c r="G6213" s="42" t="n">
        <x:v>1.4285714285714286</x:v>
      </x:c>
      <x:c r="H6213" s="36" t="n">
        <x:f>E6213*G6213</x:f>
        <x:v>782857.1428571428</x:v>
      </x:c>
      <x:c r="I6213" s="36" t="n">
        <x:f>IFERROR(H6213/A6213,0)</x:f>
        <x:v>78285.71428571429</x:v>
      </x:c>
      <x:c r="J6213" s="67" t="str">
        <x:v>Modeled from live base + Sep-2026 quality ratio</x:v>
      </x:c>
      <x:c r="K6213" s="67" t="str">
        <x:v>https://www.stonealgo.com/diamond-prices/</x:v>
      </x:c>
      <x:c r="L6213" s="67" t="str">
        <x:v>https://www.pricescope.com/blog/natural-diamond-prices-september-2026</x:v>
      </x:c>
    </x:row>
    <x:row r="6214">
      <x:c r="A6214" t="n">
        <x:v>10</x:v>
      </x:c>
      <x:c r="B6214" t="str">
        <x:v>Heart</x:v>
      </x:c>
      <x:c r="C6214" t="str">
        <x:v>D</x:v>
      </x:c>
      <x:c r="D6214" t="str">
        <x:v>VS1</x:v>
      </x:c>
      <x:c r="E6214" s="36" t="n">
        <x:v>548000</x:v>
      </x:c>
      <x:c r="F6214" s="36" t="n">
        <x:v>6247</x:v>
      </x:c>
      <x:c r="G6214" s="42" t="n">
        <x:v>1.33998283998284</x:v>
      </x:c>
      <x:c r="H6214" s="36" t="n">
        <x:f>E6214*G6214</x:f>
        <x:v>734310.5963105963</x:v>
      </x:c>
      <x:c r="I6214" s="36" t="n">
        <x:f>IFERROR(H6214/A6214,0)</x:f>
        <x:v>73431.05963105963</x:v>
      </x:c>
      <x:c r="J6214" s="67" t="str">
        <x:v>Modeled from live base + Sep-2026 quality ratio</x:v>
      </x:c>
      <x:c r="K6214" s="67" t="str">
        <x:v>https://www.stonealgo.com/diamond-prices/</x:v>
      </x:c>
      <x:c r="L6214" s="67" t="str">
        <x:v>https://www.pricescope.com/blog/natural-diamond-prices-september-2026</x:v>
      </x:c>
    </x:row>
    <x:row r="6215">
      <x:c r="A6215" t="n">
        <x:v>10</x:v>
      </x:c>
      <x:c r="B6215" t="str">
        <x:v>Heart</x:v>
      </x:c>
      <x:c r="C6215" t="str">
        <x:v>D</x:v>
      </x:c>
      <x:c r="D6215" t="str">
        <x:v>VS2</x:v>
      </x:c>
      <x:c r="E6215" s="36" t="n">
        <x:v>548000</x:v>
      </x:c>
      <x:c r="F6215" s="36" t="n">
        <x:v>5841</x:v>
      </x:c>
      <x:c r="G6215" s="42" t="n">
        <x:v>1.252895752895753</x:v>
      </x:c>
      <x:c r="H6215" s="36" t="n">
        <x:f>E6215*G6215</x:f>
        <x:v>686586.8725868727</x:v>
      </x:c>
      <x:c r="I6215" s="36" t="n">
        <x:f>IFERROR(H6215/A6215,0)</x:f>
        <x:v>68658.68725868726</x:v>
      </x:c>
      <x:c r="J6215" s="67" t="str">
        <x:v>Modeled from live base + Sep-2026 quality ratio</x:v>
      </x:c>
      <x:c r="K6215" s="67" t="str">
        <x:v>https://www.stonealgo.com/diamond-prices/</x:v>
      </x:c>
      <x:c r="L6215" s="67" t="str">
        <x:v>https://www.pricescope.com/blog/natural-diamond-prices-september-2026</x:v>
      </x:c>
    </x:row>
    <x:row r="6216">
      <x:c r="A6216" t="n">
        <x:v>10</x:v>
      </x:c>
      <x:c r="B6216" t="str">
        <x:v>Heart</x:v>
      </x:c>
      <x:c r="C6216" t="str">
        <x:v>D</x:v>
      </x:c>
      <x:c r="D6216" t="str">
        <x:v>SI1</x:v>
      </x:c>
      <x:c r="E6216" s="36" t="n">
        <x:v>548000</x:v>
      </x:c>
      <x:c r="F6216" s="36" t="n">
        <x:v>3762</x:v>
      </x:c>
      <x:c r="G6216" s="42" t="n">
        <x:v>0.806949806949807</x:v>
      </x:c>
      <x:c r="H6216" s="36" t="n">
        <x:f>E6216*G6216</x:f>
        <x:v>442208.49420849426</x:v>
      </x:c>
      <x:c r="I6216" s="36" t="n">
        <x:f>IFERROR(H6216/A6216,0)</x:f>
        <x:v>44220.84942084942</x:v>
      </x:c>
      <x:c r="J6216" s="67" t="str">
        <x:v>Modeled from live base + Sep-2026 quality ratio</x:v>
      </x:c>
      <x:c r="K6216" s="67" t="str">
        <x:v>https://www.stonealgo.com/diamond-prices/</x:v>
      </x:c>
      <x:c r="L6216" s="67" t="str">
        <x:v>https://www.pricescope.com/blog/natural-diamond-prices-september-2026</x:v>
      </x:c>
    </x:row>
    <x:row r="6217">
      <x:c r="A6217" t="n">
        <x:v>10</x:v>
      </x:c>
      <x:c r="B6217" t="str">
        <x:v>Heart</x:v>
      </x:c>
      <x:c r="C6217" t="str">
        <x:v>D</x:v>
      </x:c>
      <x:c r="D6217" t="str">
        <x:v>SI2</x:v>
      </x:c>
      <x:c r="E6217" s="36" t="n">
        <x:v>548000</x:v>
      </x:c>
      <x:c r="F6217" s="36" t="n">
        <x:v>3026</x:v>
      </x:c>
      <x:c r="G6217" s="42" t="n">
        <x:v>0.6490776490776491</x:v>
      </x:c>
      <x:c r="H6217" s="36" t="n">
        <x:f>E6217*G6217</x:f>
        <x:v>355694.5516945517</x:v>
      </x:c>
      <x:c r="I6217" s="36" t="n">
        <x:f>IFERROR(H6217/A6217,0)</x:f>
        <x:v>35569.45516945517</x:v>
      </x:c>
      <x:c r="J6217" s="67" t="str">
        <x:v>Modeled from live base + Sep-2026 quality ratio</x:v>
      </x:c>
      <x:c r="K6217" s="67" t="str">
        <x:v>https://www.stonealgo.com/diamond-prices/</x:v>
      </x:c>
      <x:c r="L6217" s="67" t="str">
        <x:v>https://www.pricescope.com/blog/natural-diamond-prices-september-2026</x:v>
      </x:c>
    </x:row>
    <x:row r="6218">
      <x:c r="A6218" t="n">
        <x:v>10</x:v>
      </x:c>
      <x:c r="B6218" t="str">
        <x:v>Heart</x:v>
      </x:c>
      <x:c r="C6218" t="str">
        <x:v>E</x:v>
      </x:c>
      <x:c r="D6218" t="str">
        <x:v>FL</x:v>
      </x:c>
      <x:c r="E6218" s="36" t="n">
        <x:v>548000</x:v>
      </x:c>
      <x:c r="F6218" s="36" t="n">
        <x:v>10072</x:v>
      </x:c>
      <x:c r="G6218" s="42" t="n">
        <x:v>2.1604461604461602</x:v>
      </x:c>
      <x:c r="H6218" s="36" t="n">
        <x:f>E6218*G6218</x:f>
        <x:v>1183924.4959244959</x:v>
      </x:c>
      <x:c r="I6218" s="36" t="n">
        <x:f>IFERROR(H6218/A6218,0)</x:f>
        <x:v>118392.44959244959</x:v>
      </x:c>
      <x:c r="J6218" s="67" t="str">
        <x:v>Modeled from live base + Sep-2026 quality ratio</x:v>
      </x:c>
      <x:c r="K6218" s="67" t="str">
        <x:v>https://www.stonealgo.com/diamond-prices/</x:v>
      </x:c>
      <x:c r="L6218" s="67" t="str">
        <x:v>https://www.pricescope.com/blog/natural-diamond-prices-september-2026</x:v>
      </x:c>
    </x:row>
    <x:row r="6219">
      <x:c r="A6219" t="n">
        <x:v>10</x:v>
      </x:c>
      <x:c r="B6219" t="str">
        <x:v>Heart</x:v>
      </x:c>
      <x:c r="C6219" t="str">
        <x:v>E</x:v>
      </x:c>
      <x:c r="D6219" t="str">
        <x:v>IF</x:v>
      </x:c>
      <x:c r="E6219" s="36" t="n">
        <x:v>548000</x:v>
      </x:c>
      <x:c r="F6219" s="36" t="n">
        <x:v>8672</x:v>
      </x:c>
      <x:c r="G6219" s="42" t="n">
        <x:v>1.8601458601458603</x:v>
      </x:c>
      <x:c r="H6219" s="36" t="n">
        <x:f>E6219*G6219</x:f>
        <x:v>1019359.9313599314</x:v>
      </x:c>
      <x:c r="I6219" s="36" t="n">
        <x:f>IFERROR(H6219/A6219,0)</x:f>
        <x:v>101935.99313599314</x:v>
      </x:c>
      <x:c r="J6219" s="67" t="str">
        <x:v>Modeled from live base + Sep-2026 quality ratio</x:v>
      </x:c>
      <x:c r="K6219" s="67" t="str">
        <x:v>https://www.stonealgo.com/diamond-prices/</x:v>
      </x:c>
      <x:c r="L6219" s="67" t="str">
        <x:v>https://www.pricescope.com/blog/natural-diamond-prices-september-2026</x:v>
      </x:c>
    </x:row>
    <x:row r="6220">
      <x:c r="A6220" t="n">
        <x:v>10</x:v>
      </x:c>
      <x:c r="B6220" t="str">
        <x:v>Heart</x:v>
      </x:c>
      <x:c r="C6220" t="str">
        <x:v>E</x:v>
      </x:c>
      <x:c r="D6220" t="str">
        <x:v>VVS1</x:v>
      </x:c>
      <x:c r="E6220" s="36" t="n">
        <x:v>548000</x:v>
      </x:c>
      <x:c r="F6220" s="36" t="n">
        <x:v>7842</x:v>
      </x:c>
      <x:c r="G6220" s="42" t="n">
        <x:v>1.6821106821106822</x:v>
      </x:c>
      <x:c r="H6220" s="36" t="n">
        <x:f>E6220*G6220</x:f>
        <x:v>921796.6537966538</x:v>
      </x:c>
      <x:c r="I6220" s="36" t="n">
        <x:f>IFERROR(H6220/A6220,0)</x:f>
        <x:v>92179.66537966538</x:v>
      </x:c>
      <x:c r="J6220" s="67" t="str">
        <x:v>Modeled from live base + Sep-2026 quality ratio</x:v>
      </x:c>
      <x:c r="K6220" s="67" t="str">
        <x:v>https://www.stonealgo.com/diamond-prices/</x:v>
      </x:c>
      <x:c r="L6220" s="67" t="str">
        <x:v>https://www.pricescope.com/blog/natural-diamond-prices-september-2026</x:v>
      </x:c>
    </x:row>
    <x:row r="6221">
      <x:c r="A6221" t="n">
        <x:v>10</x:v>
      </x:c>
      <x:c r="B6221" t="str">
        <x:v>Heart</x:v>
      </x:c>
      <x:c r="C6221" t="str">
        <x:v>E</x:v>
      </x:c>
      <x:c r="D6221" t="str">
        <x:v>VVS2</x:v>
      </x:c>
      <x:c r="E6221" s="36" t="n">
        <x:v>548000</x:v>
      </x:c>
      <x:c r="F6221" s="36" t="n">
        <x:v>6880</x:v>
      </x:c>
      <x:c r="G6221" s="42" t="n">
        <x:v>1.4757614757614759</x:v>
      </x:c>
      <x:c r="H6221" s="36" t="n">
        <x:f>E6221*G6221</x:f>
        <x:v>808717.2887172888</x:v>
      </x:c>
      <x:c r="I6221" s="36" t="n">
        <x:f>IFERROR(H6221/A6221,0)</x:f>
        <x:v>80871.72887172888</x:v>
      </x:c>
      <x:c r="J6221" s="67" t="str">
        <x:v>Modeled from live base + Sep-2026 quality ratio</x:v>
      </x:c>
      <x:c r="K6221" s="67" t="str">
        <x:v>https://www.stonealgo.com/diamond-prices/</x:v>
      </x:c>
      <x:c r="L6221" s="67" t="str">
        <x:v>https://www.pricescope.com/blog/natural-diamond-prices-september-2026</x:v>
      </x:c>
    </x:row>
    <x:row r="6222">
      <x:c r="A6222" t="n">
        <x:v>10</x:v>
      </x:c>
      <x:c r="B6222" t="str">
        <x:v>Heart</x:v>
      </x:c>
      <x:c r="C6222" t="str">
        <x:v>E</x:v>
      </x:c>
      <x:c r="D6222" t="str">
        <x:v>VS1</x:v>
      </x:c>
      <x:c r="E6222" s="36" t="n">
        <x:v>548000</x:v>
      </x:c>
      <x:c r="F6222" s="36" t="n">
        <x:v>6307</x:v>
      </x:c>
      <x:c r="G6222" s="42" t="n">
        <x:v>1.352852852852853</x:v>
      </x:c>
      <x:c r="H6222" s="36" t="n">
        <x:f>E6222*G6222</x:f>
        <x:v>741363.3633633634</x:v>
      </x:c>
      <x:c r="I6222" s="36" t="n">
        <x:f>IFERROR(H6222/A6222,0)</x:f>
        <x:v>74136.33633633635</x:v>
      </x:c>
      <x:c r="J6222" s="67" t="str">
        <x:v>Modeled from live base + Sep-2026 quality ratio</x:v>
      </x:c>
      <x:c r="K6222" s="67" t="str">
        <x:v>https://www.stonealgo.com/diamond-prices/</x:v>
      </x:c>
      <x:c r="L6222" s="67" t="str">
        <x:v>https://www.pricescope.com/blog/natural-diamond-prices-september-2026</x:v>
      </x:c>
    </x:row>
    <x:row r="6223">
      <x:c r="A6223" t="n">
        <x:v>10</x:v>
      </x:c>
      <x:c r="B6223" t="str">
        <x:v>Heart</x:v>
      </x:c>
      <x:c r="C6223" t="str">
        <x:v>E</x:v>
      </x:c>
      <x:c r="D6223" t="str">
        <x:v>VS2</x:v>
      </x:c>
      <x:c r="E6223" s="36" t="n">
        <x:v>548000</x:v>
      </x:c>
      <x:c r="F6223" s="36" t="n">
        <x:v>5249</x:v>
      </x:c>
      <x:c r="G6223" s="42" t="n">
        <x:v>1.125911625911626</x:v>
      </x:c>
      <x:c r="H6223" s="36" t="n">
        <x:f>E6223*G6223</x:f>
        <x:v>616999.570999571</x:v>
      </x:c>
      <x:c r="I6223" s="36" t="n">
        <x:f>IFERROR(H6223/A6223,0)</x:f>
        <x:v>61699.9570999571</x:v>
      </x:c>
      <x:c r="J6223" s="67" t="str">
        <x:v>Modeled from live base + Sep-2026 quality ratio</x:v>
      </x:c>
      <x:c r="K6223" s="67" t="str">
        <x:v>https://www.stonealgo.com/diamond-prices/</x:v>
      </x:c>
      <x:c r="L6223" s="67" t="str">
        <x:v>https://www.pricescope.com/blog/natural-diamond-prices-september-2026</x:v>
      </x:c>
    </x:row>
    <x:row r="6224">
      <x:c r="A6224" t="n">
        <x:v>10</x:v>
      </x:c>
      <x:c r="B6224" t="str">
        <x:v>Heart</x:v>
      </x:c>
      <x:c r="C6224" t="str">
        <x:v>E</x:v>
      </x:c>
      <x:c r="D6224" t="str">
        <x:v>SI1</x:v>
      </x:c>
      <x:c r="E6224" s="36" t="n">
        <x:v>548000</x:v>
      </x:c>
      <x:c r="F6224" s="36" t="n">
        <x:v>3551</x:v>
      </x:c>
      <x:c r="G6224" s="42" t="n">
        <x:v>0.7616902616902617</x:v>
      </x:c>
      <x:c r="H6224" s="36" t="n">
        <x:f>E6224*G6224</x:f>
        <x:v>417406.2634062634</x:v>
      </x:c>
      <x:c r="I6224" s="36" t="n">
        <x:f>IFERROR(H6224/A6224,0)</x:f>
        <x:v>41740.62634062634</x:v>
      </x:c>
      <x:c r="J6224" s="67" t="str">
        <x:v>Modeled from live base + Sep-2026 quality ratio</x:v>
      </x:c>
      <x:c r="K6224" s="67" t="str">
        <x:v>https://www.stonealgo.com/diamond-prices/</x:v>
      </x:c>
      <x:c r="L6224" s="67" t="str">
        <x:v>https://www.pricescope.com/blog/natural-diamond-prices-september-2026</x:v>
      </x:c>
    </x:row>
    <x:row r="6225">
      <x:c r="A6225" t="n">
        <x:v>10</x:v>
      </x:c>
      <x:c r="B6225" t="str">
        <x:v>Heart</x:v>
      </x:c>
      <x:c r="C6225" t="str">
        <x:v>E</x:v>
      </x:c>
      <x:c r="D6225" t="str">
        <x:v>SI2</x:v>
      </x:c>
      <x:c r="E6225" s="36" t="n">
        <x:v>548000</x:v>
      </x:c>
      <x:c r="F6225" s="36" t="n">
        <x:v>2993</x:v>
      </x:c>
      <x:c r="G6225" s="42" t="n">
        <x:v>0.641999141999142</x:v>
      </x:c>
      <x:c r="H6225" s="36" t="n">
        <x:f>E6225*G6225</x:f>
        <x:v>351815.5298155298</x:v>
      </x:c>
      <x:c r="I6225" s="36" t="n">
        <x:f>IFERROR(H6225/A6225,0)</x:f>
        <x:v>35181.55298155298</x:v>
      </x:c>
      <x:c r="J6225" s="67" t="str">
        <x:v>Modeled from live base + Sep-2026 quality ratio</x:v>
      </x:c>
      <x:c r="K6225" s="67" t="str">
        <x:v>https://www.stonealgo.com/diamond-prices/</x:v>
      </x:c>
      <x:c r="L6225" s="67" t="str">
        <x:v>https://www.pricescope.com/blog/natural-diamond-prices-september-2026</x:v>
      </x:c>
    </x:row>
    <x:row r="6226">
      <x:c r="A6226" t="n">
        <x:v>10</x:v>
      </x:c>
      <x:c r="B6226" t="str">
        <x:v>Heart</x:v>
      </x:c>
      <x:c r="C6226" t="str">
        <x:v>F</x:v>
      </x:c>
      <x:c r="D6226" t="str">
        <x:v>FL</x:v>
      </x:c>
      <x:c r="E6226" s="36" t="n">
        <x:v>548000</x:v>
      </x:c>
      <x:c r="F6226" s="36" t="n">
        <x:v>6830</x:v>
      </x:c>
      <x:c r="G6226" s="42" t="n">
        <x:v>1.4650364650364651</x:v>
      </x:c>
      <x:c r="H6226" s="36" t="n">
        <x:f>E6226*G6226</x:f>
        <x:v>802839.9828399828</x:v>
      </x:c>
      <x:c r="I6226" s="36" t="n">
        <x:f>IFERROR(H6226/A6226,0)</x:f>
        <x:v>80283.99828399828</x:v>
      </x:c>
      <x:c r="J6226" s="67" t="str">
        <x:v>Modeled from live base + Sep-2026 quality ratio</x:v>
      </x:c>
      <x:c r="K6226" s="67" t="str">
        <x:v>https://www.stonealgo.com/diamond-prices/</x:v>
      </x:c>
      <x:c r="L6226" s="67" t="str">
        <x:v>https://www.pricescope.com/blog/natural-diamond-prices-september-2026</x:v>
      </x:c>
    </x:row>
    <x:row r="6227">
      <x:c r="A6227" t="n">
        <x:v>10</x:v>
      </x:c>
      <x:c r="B6227" t="str">
        <x:v>Heart</x:v>
      </x:c>
      <x:c r="C6227" t="str">
        <x:v>F</x:v>
      </x:c>
      <x:c r="D6227" t="str">
        <x:v>IF</x:v>
      </x:c>
      <x:c r="E6227" s="36" t="n">
        <x:v>548000</x:v>
      </x:c>
      <x:c r="F6227" s="36" t="n">
        <x:v>7302</x:v>
      </x:c>
      <x:c r="G6227" s="42" t="n">
        <x:v>1.5662805662805663</x:v>
      </x:c>
      <x:c r="H6227" s="36" t="n">
        <x:f>E6227*G6227</x:f>
        <x:v>858321.7503217503</x:v>
      </x:c>
      <x:c r="I6227" s="36" t="n">
        <x:f>IFERROR(H6227/A6227,0)</x:f>
        <x:v>85832.17503217503</x:v>
      </x:c>
      <x:c r="J6227" s="67" t="str">
        <x:v>Modeled from live base + Sep-2026 quality ratio</x:v>
      </x:c>
      <x:c r="K6227" s="67" t="str">
        <x:v>https://www.stonealgo.com/diamond-prices/</x:v>
      </x:c>
      <x:c r="L6227" s="67" t="str">
        <x:v>https://www.pricescope.com/blog/natural-diamond-prices-september-2026</x:v>
      </x:c>
    </x:row>
    <x:row r="6228">
      <x:c r="A6228" t="n">
        <x:v>10</x:v>
      </x:c>
      <x:c r="B6228" t="str">
        <x:v>Heart</x:v>
      </x:c>
      <x:c r="C6228" t="str">
        <x:v>F</x:v>
      </x:c>
      <x:c r="D6228" t="str">
        <x:v>VVS1</x:v>
      </x:c>
      <x:c r="E6228" s="36" t="n">
        <x:v>548000</x:v>
      </x:c>
      <x:c r="F6228" s="36" t="n">
        <x:v>7542</x:v>
      </x:c>
      <x:c r="G6228" s="42" t="n">
        <x:v>1.6177606177606179</x:v>
      </x:c>
      <x:c r="H6228" s="36" t="n">
        <x:f>E6228*G6228</x:f>
        <x:v>886532.8185328186</x:v>
      </x:c>
      <x:c r="I6228" s="36" t="n">
        <x:f>IFERROR(H6228/A6228,0)</x:f>
        <x:v>88653.28185328186</x:v>
      </x:c>
      <x:c r="J6228" s="67" t="str">
        <x:v>Modeled from live base + Sep-2026 quality ratio</x:v>
      </x:c>
      <x:c r="K6228" s="67" t="str">
        <x:v>https://www.stonealgo.com/diamond-prices/</x:v>
      </x:c>
      <x:c r="L6228" s="67" t="str">
        <x:v>https://www.pricescope.com/blog/natural-diamond-prices-september-2026</x:v>
      </x:c>
    </x:row>
    <x:row r="6229">
      <x:c r="A6229" t="n">
        <x:v>10</x:v>
      </x:c>
      <x:c r="B6229" t="str">
        <x:v>Heart</x:v>
      </x:c>
      <x:c r="C6229" t="str">
        <x:v>F</x:v>
      </x:c>
      <x:c r="D6229" t="str">
        <x:v>VVS2</x:v>
      </x:c>
      <x:c r="E6229" s="36" t="n">
        <x:v>548000</x:v>
      </x:c>
      <x:c r="F6229" s="36" t="n">
        <x:v>6352</x:v>
      </x:c>
      <x:c r="G6229" s="42" t="n">
        <x:v>1.3625053625053625</x:v>
      </x:c>
      <x:c r="H6229" s="36" t="n">
        <x:f>E6229*G6229</x:f>
        <x:v>746652.9386529386</x:v>
      </x:c>
      <x:c r="I6229" s="36" t="n">
        <x:f>IFERROR(H6229/A6229,0)</x:f>
        <x:v>74665.29386529386</x:v>
      </x:c>
      <x:c r="J6229" s="67" t="str">
        <x:v>Modeled from live base + Sep-2026 quality ratio</x:v>
      </x:c>
      <x:c r="K6229" s="67" t="str">
        <x:v>https://www.stonealgo.com/diamond-prices/</x:v>
      </x:c>
      <x:c r="L6229" s="67" t="str">
        <x:v>https://www.pricescope.com/blog/natural-diamond-prices-september-2026</x:v>
      </x:c>
    </x:row>
    <x:row r="6230">
      <x:c r="A6230" t="n">
        <x:v>10</x:v>
      </x:c>
      <x:c r="B6230" t="str">
        <x:v>Heart</x:v>
      </x:c>
      <x:c r="C6230" t="str">
        <x:v>F</x:v>
      </x:c>
      <x:c r="D6230" t="str">
        <x:v>VS1</x:v>
      </x:c>
      <x:c r="E6230" s="36" t="n">
        <x:v>548000</x:v>
      </x:c>
      <x:c r="F6230" s="36" t="n">
        <x:v>5647</x:v>
      </x:c>
      <x:c r="G6230" s="42" t="n">
        <x:v>1.2112827112827114</x:v>
      </x:c>
      <x:c r="H6230" s="36" t="n">
        <x:f>E6230*G6230</x:f>
        <x:v>663782.9257829258</x:v>
      </x:c>
      <x:c r="I6230" s="36" t="n">
        <x:f>IFERROR(H6230/A6230,0)</x:f>
        <x:v>66378.29257829257</x:v>
      </x:c>
      <x:c r="J6230" s="67" t="str">
        <x:v>Modeled from live base + Sep-2026 quality ratio</x:v>
      </x:c>
      <x:c r="K6230" s="67" t="str">
        <x:v>https://www.stonealgo.com/diamond-prices/</x:v>
      </x:c>
      <x:c r="L6230" s="67" t="str">
        <x:v>https://www.pricescope.com/blog/natural-diamond-prices-september-2026</x:v>
      </x:c>
    </x:row>
    <x:row r="6231">
      <x:c r="A6231" t="n">
        <x:v>10</x:v>
      </x:c>
      <x:c r="B6231" t="str">
        <x:v>Heart</x:v>
      </x:c>
      <x:c r="C6231" t="str">
        <x:v>F</x:v>
      </x:c>
      <x:c r="D6231" t="str">
        <x:v>VS2</x:v>
      </x:c>
      <x:c r="E6231" s="36" t="n">
        <x:v>548000</x:v>
      </x:c>
      <x:c r="F6231" s="36" t="n">
        <x:v>4730</x:v>
      </x:c>
      <x:c r="G6231" s="42" t="n">
        <x:v>1.0145860145860146</x:v>
      </x:c>
      <x:c r="H6231" s="36" t="n">
        <x:f>E6231*G6231</x:f>
        <x:v>555993.135993136</x:v>
      </x:c>
      <x:c r="I6231" s="36" t="n">
        <x:f>IFERROR(H6231/A6231,0)</x:f>
        <x:v>55599.313599313595</x:v>
      </x:c>
      <x:c r="J6231" s="67" t="str">
        <x:v>Modeled from live base + Sep-2026 quality ratio</x:v>
      </x:c>
      <x:c r="K6231" s="67" t="str">
        <x:v>https://www.stonealgo.com/diamond-prices/</x:v>
      </x:c>
      <x:c r="L6231" s="67" t="str">
        <x:v>https://www.pricescope.com/blog/natural-diamond-prices-september-2026</x:v>
      </x:c>
    </x:row>
    <x:row r="6232">
      <x:c r="A6232" t="n">
        <x:v>10</x:v>
      </x:c>
      <x:c r="B6232" t="str">
        <x:v>Heart</x:v>
      </x:c>
      <x:c r="C6232" t="str">
        <x:v>F</x:v>
      </x:c>
      <x:c r="D6232" t="str">
        <x:v>SI1</x:v>
      </x:c>
      <x:c r="E6232" s="36" t="n">
        <x:v>548000</x:v>
      </x:c>
      <x:c r="F6232" s="36" t="n">
        <x:v>3331</x:v>
      </x:c>
      <x:c r="G6232" s="42" t="n">
        <x:v>0.7145002145002145</x:v>
      </x:c>
      <x:c r="H6232" s="36" t="n">
        <x:f>E6232*G6232</x:f>
        <x:v>391546.1175461176</x:v>
      </x:c>
      <x:c r="I6232" s="36" t="n">
        <x:f>IFERROR(H6232/A6232,0)</x:f>
        <x:v>39154.61175461176</x:v>
      </x:c>
      <x:c r="J6232" s="67" t="str">
        <x:v>Modeled from live base + Sep-2026 quality ratio</x:v>
      </x:c>
      <x:c r="K6232" s="67" t="str">
        <x:v>https://www.stonealgo.com/diamond-prices/</x:v>
      </x:c>
      <x:c r="L6232" s="67" t="str">
        <x:v>https://www.pricescope.com/blog/natural-diamond-prices-september-2026</x:v>
      </x:c>
    </x:row>
    <x:row r="6233">
      <x:c r="A6233" t="n">
        <x:v>10</x:v>
      </x:c>
      <x:c r="B6233" t="str">
        <x:v>Heart</x:v>
      </x:c>
      <x:c r="C6233" t="str">
        <x:v>F</x:v>
      </x:c>
      <x:c r="D6233" t="str">
        <x:v>SI2</x:v>
      </x:c>
      <x:c r="E6233" s="36" t="n">
        <x:v>548000</x:v>
      </x:c>
      <x:c r="F6233" s="36" t="n">
        <x:v>2733</x:v>
      </x:c>
      <x:c r="G6233" s="42" t="n">
        <x:v>0.5862290862290862</x:v>
      </x:c>
      <x:c r="H6233" s="36" t="n">
        <x:f>E6233*G6233</x:f>
        <x:v>321253.53925353923</x:v>
      </x:c>
      <x:c r="I6233" s="36" t="n">
        <x:f>IFERROR(H6233/A6233,0)</x:f>
        <x:v>32125.353925353924</x:v>
      </x:c>
      <x:c r="J6233" s="67" t="str">
        <x:v>Modeled from live base + Sep-2026 quality ratio</x:v>
      </x:c>
      <x:c r="K6233" s="67" t="str">
        <x:v>https://www.stonealgo.com/diamond-prices/</x:v>
      </x:c>
      <x:c r="L6233" s="67" t="str">
        <x:v>https://www.pricescope.com/blog/natural-diamond-prices-september-2026</x:v>
      </x:c>
    </x:row>
    <x:row r="6234">
      <x:c r="A6234" t="n">
        <x:v>10</x:v>
      </x:c>
      <x:c r="B6234" t="str">
        <x:v>Heart</x:v>
      </x:c>
      <x:c r="C6234" t="str">
        <x:v>G</x:v>
      </x:c>
      <x:c r="D6234" t="str">
        <x:v>FL</x:v>
      </x:c>
      <x:c r="E6234" s="36" t="n">
        <x:v>548000</x:v>
      </x:c>
      <x:c r="F6234" s="36" t="n">
        <x:v>5905</x:v>
      </x:c>
      <x:c r="G6234" s="42" t="n">
        <x:v>1.2666237666237665</x:v>
      </x:c>
      <x:c r="H6234" s="36" t="n">
        <x:f>E6234*G6234</x:f>
        <x:v>694109.824109824</x:v>
      </x:c>
      <x:c r="I6234" s="36" t="n">
        <x:f>IFERROR(H6234/A6234,0)</x:f>
        <x:v>69410.9824109824</x:v>
      </x:c>
      <x:c r="J6234" s="67" t="str">
        <x:v>Modeled from live base + Sep-2026 quality ratio</x:v>
      </x:c>
      <x:c r="K6234" s="67" t="str">
        <x:v>https://www.stonealgo.com/diamond-prices/</x:v>
      </x:c>
      <x:c r="L6234" s="67" t="str">
        <x:v>https://www.pricescope.com/blog/natural-diamond-prices-september-2026</x:v>
      </x:c>
    </x:row>
    <x:row r="6235">
      <x:c r="A6235" t="n">
        <x:v>10</x:v>
      </x:c>
      <x:c r="B6235" t="str">
        <x:v>Heart</x:v>
      </x:c>
      <x:c r="C6235" t="str">
        <x:v>G</x:v>
      </x:c>
      <x:c r="D6235" t="str">
        <x:v>IF</x:v>
      </x:c>
      <x:c r="E6235" s="36" t="n">
        <x:v>548000</x:v>
      </x:c>
      <x:c r="F6235" s="36" t="n">
        <x:v>5601</x:v>
      </x:c>
      <x:c r="G6235" s="42" t="n">
        <x:v>1.2014157014157014</x:v>
      </x:c>
      <x:c r="H6235" s="36" t="n">
        <x:f>E6235*G6235</x:f>
        <x:v>658375.8043758044</x:v>
      </x:c>
      <x:c r="I6235" s="36" t="n">
        <x:f>IFERROR(H6235/A6235,0)</x:f>
        <x:v>65837.58043758044</x:v>
      </x:c>
      <x:c r="J6235" s="67" t="str">
        <x:v>Modeled from live base + Sep-2026 quality ratio</x:v>
      </x:c>
      <x:c r="K6235" s="67" t="str">
        <x:v>https://www.stonealgo.com/diamond-prices/</x:v>
      </x:c>
      <x:c r="L6235" s="67" t="str">
        <x:v>https://www.pricescope.com/blog/natural-diamond-prices-september-2026</x:v>
      </x:c>
    </x:row>
    <x:row r="6236">
      <x:c r="A6236" t="n">
        <x:v>10</x:v>
      </x:c>
      <x:c r="B6236" t="str">
        <x:v>Heart</x:v>
      </x:c>
      <x:c r="C6236" t="str">
        <x:v>G</x:v>
      </x:c>
      <x:c r="D6236" t="str">
        <x:v>VVS1</x:v>
      </x:c>
      <x:c r="E6236" s="36" t="n">
        <x:v>548000</x:v>
      </x:c>
      <x:c r="F6236" s="36" t="n">
        <x:v>5124</x:v>
      </x:c>
      <x:c r="G6236" s="42" t="n">
        <x:v>1.0990990990990992</x:v>
      </x:c>
      <x:c r="H6236" s="36" t="n">
        <x:f>E6236*G6236</x:f>
        <x:v>602306.3063063064</x:v>
      </x:c>
      <x:c r="I6236" s="36" t="n">
        <x:f>IFERROR(H6236/A6236,0)</x:f>
        <x:v>60230.630630630636</x:v>
      </x:c>
      <x:c r="J6236" s="67" t="str">
        <x:v>Modeled from live base + Sep-2026 quality ratio</x:v>
      </x:c>
      <x:c r="K6236" s="67" t="str">
        <x:v>https://www.stonealgo.com/diamond-prices/</x:v>
      </x:c>
      <x:c r="L6236" s="67" t="str">
        <x:v>https://www.pricescope.com/blog/natural-diamond-prices-september-2026</x:v>
      </x:c>
    </x:row>
    <x:row r="6237">
      <x:c r="A6237" t="n">
        <x:v>10</x:v>
      </x:c>
      <x:c r="B6237" t="str">
        <x:v>Heart</x:v>
      </x:c>
      <x:c r="C6237" t="str">
        <x:v>G</x:v>
      </x:c>
      <x:c r="D6237" t="str">
        <x:v>VVS2</x:v>
      </x:c>
      <x:c r="E6237" s="36" t="n">
        <x:v>548000</x:v>
      </x:c>
      <x:c r="F6237" s="36" t="n">
        <x:v>4962</x:v>
      </x:c>
      <x:c r="G6237" s="42" t="n">
        <x:v>1.0643500643500643</x:v>
      </x:c>
      <x:c r="H6237" s="36" t="n">
        <x:f>E6237*G6237</x:f>
        <x:v>583263.8352638353</x:v>
      </x:c>
      <x:c r="I6237" s="36" t="n">
        <x:f>IFERROR(H6237/A6237,0)</x:f>
        <x:v>58326.38352638353</x:v>
      </x:c>
      <x:c r="J6237" s="67" t="str">
        <x:v>Modeled from live base + Sep-2026 quality ratio</x:v>
      </x:c>
      <x:c r="K6237" s="67" t="str">
        <x:v>https://www.stonealgo.com/diamond-prices/</x:v>
      </x:c>
      <x:c r="L6237" s="67" t="str">
        <x:v>https://www.pricescope.com/blog/natural-diamond-prices-september-2026</x:v>
      </x:c>
    </x:row>
    <x:row r="6238">
      <x:c r="A6238" t="n">
        <x:v>10</x:v>
      </x:c>
      <x:c r="B6238" t="str">
        <x:v>Heart</x:v>
      </x:c>
      <x:c r="C6238" t="str">
        <x:v>G</x:v>
      </x:c>
      <x:c r="D6238" t="str">
        <x:v>VS1</x:v>
      </x:c>
      <x:c r="E6238" s="36" t="n">
        <x:v>548000</x:v>
      </x:c>
      <x:c r="F6238" s="36" t="n">
        <x:v>4615</x:v>
      </x:c>
      <x:c r="G6238" s="42" t="n">
        <x:v>0.98991848991849</x:v>
      </x:c>
      <x:c r="H6238" s="36" t="n">
        <x:f>E6238*G6238</x:f>
        <x:v>542475.3324753325</x:v>
      </x:c>
      <x:c r="I6238" s="36" t="n">
        <x:f>IFERROR(H6238/A6238,0)</x:f>
        <x:v>54247.533247533254</x:v>
      </x:c>
      <x:c r="J6238" s="67" t="str">
        <x:v>Modeled from live base + Sep-2026 quality ratio</x:v>
      </x:c>
      <x:c r="K6238" s="67" t="str">
        <x:v>https://www.stonealgo.com/diamond-prices/</x:v>
      </x:c>
      <x:c r="L6238" s="67" t="str">
        <x:v>https://www.pricescope.com/blog/natural-diamond-prices-september-2026</x:v>
      </x:c>
    </x:row>
    <x:row r="6239">
      <x:c r="A6239" t="n">
        <x:v>10</x:v>
      </x:c>
      <x:c r="B6239" t="str">
        <x:v>Heart</x:v>
      </x:c>
      <x:c r="C6239" t="str">
        <x:v>G</x:v>
      </x:c>
      <x:c r="D6239" t="str">
        <x:v>VS2</x:v>
      </x:c>
      <x:c r="E6239" s="36" t="n">
        <x:v>548000</x:v>
      </x:c>
      <x:c r="F6239" s="36" t="n">
        <x:v>4585</x:v>
      </x:c>
      <x:c r="G6239" s="42" t="n">
        <x:v>0.9834834834834835</x:v>
      </x:c>
      <x:c r="H6239" s="36" t="n">
        <x:f>E6239*G6239</x:f>
        <x:v>538948.948948949</x:v>
      </x:c>
      <x:c r="I6239" s="36" t="n">
        <x:f>IFERROR(H6239/A6239,0)</x:f>
        <x:v>53894.8948948949</x:v>
      </x:c>
      <x:c r="J6239" s="67" t="str">
        <x:v>Modeled from live base + Sep-2026 quality ratio</x:v>
      </x:c>
      <x:c r="K6239" s="67" t="str">
        <x:v>https://www.stonealgo.com/diamond-prices/</x:v>
      </x:c>
      <x:c r="L6239" s="67" t="str">
        <x:v>https://www.pricescope.com/blog/natural-diamond-prices-september-2026</x:v>
      </x:c>
    </x:row>
    <x:row r="6240">
      <x:c r="A6240" t="n">
        <x:v>10</x:v>
      </x:c>
      <x:c r="B6240" t="str">
        <x:v>Heart</x:v>
      </x:c>
      <x:c r="C6240" t="str">
        <x:v>G</x:v>
      </x:c>
      <x:c r="D6240" t="str">
        <x:v>SI1</x:v>
      </x:c>
      <x:c r="E6240" s="36" t="n">
        <x:v>548000</x:v>
      </x:c>
      <x:c r="F6240" s="36" t="n">
        <x:v>3664</x:v>
      </x:c>
      <x:c r="G6240" s="42" t="n">
        <x:v>0.7859287859287859</x:v>
      </x:c>
      <x:c r="H6240" s="36" t="n">
        <x:f>E6240*G6240</x:f>
        <x:v>430688.9746889747</x:v>
      </x:c>
      <x:c r="I6240" s="36" t="n">
        <x:f>IFERROR(H6240/A6240,0)</x:f>
        <x:v>43068.89746889747</x:v>
      </x:c>
      <x:c r="J6240" s="67" t="str">
        <x:v>Modeled from live base + Sep-2026 quality ratio</x:v>
      </x:c>
      <x:c r="K6240" s="67" t="str">
        <x:v>https://www.stonealgo.com/diamond-prices/</x:v>
      </x:c>
      <x:c r="L6240" s="67" t="str">
        <x:v>https://www.pricescope.com/blog/natural-diamond-prices-september-2026</x:v>
      </x:c>
    </x:row>
    <x:row r="6241">
      <x:c r="A6241" t="n">
        <x:v>10</x:v>
      </x:c>
      <x:c r="B6241" t="str">
        <x:v>Heart</x:v>
      </x:c>
      <x:c r="C6241" t="str">
        <x:v>G</x:v>
      </x:c>
      <x:c r="D6241" t="str">
        <x:v>SI2</x:v>
      </x:c>
      <x:c r="E6241" s="36" t="n">
        <x:v>548000</x:v>
      </x:c>
      <x:c r="F6241" s="36" t="n">
        <x:v>2537</x:v>
      </x:c>
      <x:c r="G6241" s="42" t="n">
        <x:v>0.5441870441870442</x:v>
      </x:c>
      <x:c r="H6241" s="36" t="n">
        <x:f>E6241*G6241</x:f>
        <x:v>298214.50021450024</x:v>
      </x:c>
      <x:c r="I6241" s="36" t="n">
        <x:f>IFERROR(H6241/A6241,0)</x:f>
        <x:v>29821.450021450022</x:v>
      </x:c>
      <x:c r="J6241" s="67" t="str">
        <x:v>Modeled from live base + Sep-2026 quality ratio</x:v>
      </x:c>
      <x:c r="K6241" s="67" t="str">
        <x:v>https://www.stonealgo.com/diamond-prices/</x:v>
      </x:c>
      <x:c r="L6241" s="67" t="str">
        <x:v>https://www.pricescope.com/blog/natural-diamond-prices-september-2026</x:v>
      </x:c>
    </x:row>
    <x:row r="6242">
      <x:c r="A6242" t="n">
        <x:v>10</x:v>
      </x:c>
      <x:c r="B6242" t="str">
        <x:v>Heart</x:v>
      </x:c>
      <x:c r="C6242" t="str">
        <x:v>H</x:v>
      </x:c>
      <x:c r="D6242" t="str">
        <x:v>FL</x:v>
      </x:c>
      <x:c r="E6242" s="36" t="n">
        <x:v>548000</x:v>
      </x:c>
      <x:c r="F6242" s="36" t="n">
        <x:v>4563</x:v>
      </x:c>
      <x:c r="G6242" s="42" t="n">
        <x:v>0.9787644787644788</x:v>
      </x:c>
      <x:c r="H6242" s="36" t="n">
        <x:f>E6242*G6242</x:f>
        <x:v>536362.9343629344</x:v>
      </x:c>
      <x:c r="I6242" s="36" t="n">
        <x:f>IFERROR(H6242/A6242,0)</x:f>
        <x:v>53636.29343629345</x:v>
      </x:c>
      <x:c r="J6242" s="67" t="str">
        <x:v>Modeled from live base + Sep-2026 quality ratio</x:v>
      </x:c>
      <x:c r="K6242" s="67" t="str">
        <x:v>https://www.stonealgo.com/diamond-prices/</x:v>
      </x:c>
      <x:c r="L6242" s="67" t="str">
        <x:v>https://www.pricescope.com/blog/natural-diamond-prices-september-2026</x:v>
      </x:c>
    </x:row>
    <x:row r="6243">
      <x:c r="A6243" t="n">
        <x:v>10</x:v>
      </x:c>
      <x:c r="B6243" t="str">
        <x:v>Heart</x:v>
      </x:c>
      <x:c r="C6243" t="str">
        <x:v>H</x:v>
      </x:c>
      <x:c r="D6243" t="str">
        <x:v>IF</x:v>
      </x:c>
      <x:c r="E6243" s="36" t="n">
        <x:v>548000</x:v>
      </x:c>
      <x:c r="F6243" s="36" t="n">
        <x:v>4809</x:v>
      </x:c>
      <x:c r="G6243" s="42" t="n">
        <x:v>1.0315315315315314</x:v>
      </x:c>
      <x:c r="H6243" s="36" t="n">
        <x:f>E6243*G6243</x:f>
        <x:v>565279.2792792792</x:v>
      </x:c>
      <x:c r="I6243" s="36" t="n">
        <x:f>IFERROR(H6243/A6243,0)</x:f>
        <x:v>56527.927927927914</x:v>
      </x:c>
      <x:c r="J6243" s="67" t="str">
        <x:v>Modeled from live base + Sep-2026 quality ratio</x:v>
      </x:c>
      <x:c r="K6243" s="67" t="str">
        <x:v>https://www.stonealgo.com/diamond-prices/</x:v>
      </x:c>
      <x:c r="L6243" s="67" t="str">
        <x:v>https://www.pricescope.com/blog/natural-diamond-prices-september-2026</x:v>
      </x:c>
    </x:row>
    <x:row r="6244">
      <x:c r="A6244" t="n">
        <x:v>10</x:v>
      </x:c>
      <x:c r="B6244" t="str">
        <x:v>Heart</x:v>
      </x:c>
      <x:c r="C6244" t="str">
        <x:v>H</x:v>
      </x:c>
      <x:c r="D6244" t="str">
        <x:v>VVS1</x:v>
      </x:c>
      <x:c r="E6244" s="36" t="n">
        <x:v>548000</x:v>
      </x:c>
      <x:c r="F6244" s="36" t="n">
        <x:v>4911</x:v>
      </x:c>
      <x:c r="G6244" s="42" t="n">
        <x:v>1.0534105534105533</x:v>
      </x:c>
      <x:c r="H6244" s="36" t="n">
        <x:f>E6244*G6244</x:f>
        <x:v>577268.9832689832</x:v>
      </x:c>
      <x:c r="I6244" s="36" t="n">
        <x:f>IFERROR(H6244/A6244,0)</x:f>
        <x:v>57726.89832689832</x:v>
      </x:c>
      <x:c r="J6244" s="67" t="str">
        <x:v>Modeled from live base + Sep-2026 quality ratio</x:v>
      </x:c>
      <x:c r="K6244" s="67" t="str">
        <x:v>https://www.stonealgo.com/diamond-prices/</x:v>
      </x:c>
      <x:c r="L6244" s="67" t="str">
        <x:v>https://www.pricescope.com/blog/natural-diamond-prices-september-2026</x:v>
      </x:c>
    </x:row>
    <x:row r="6245">
      <x:c r="A6245" t="n">
        <x:v>10</x:v>
      </x:c>
      <x:c r="B6245" t="str">
        <x:v>Heart</x:v>
      </x:c>
      <x:c r="C6245" t="str">
        <x:v>H</x:v>
      </x:c>
      <x:c r="D6245" t="str">
        <x:v>VVS2</x:v>
      </x:c>
      <x:c r="E6245" s="36" t="n">
        <x:v>548000</x:v>
      </x:c>
      <x:c r="F6245" s="36" t="n">
        <x:v>4046</x:v>
      </x:c>
      <x:c r="G6245" s="42" t="n">
        <x:v>0.8678678678678678</x:v>
      </x:c>
      <x:c r="H6245" s="36" t="n">
        <x:f>E6245*G6245</x:f>
        <x:v>475591.5915915916</x:v>
      </x:c>
      <x:c r="I6245" s="36" t="n">
        <x:f>IFERROR(H6245/A6245,0)</x:f>
        <x:v>47559.15915915916</x:v>
      </x:c>
      <x:c r="J6245" s="67" t="str">
        <x:v>Modeled from live base + Sep-2026 quality ratio</x:v>
      </x:c>
      <x:c r="K6245" s="67" t="str">
        <x:v>https://www.stonealgo.com/diamond-prices/</x:v>
      </x:c>
      <x:c r="L6245" s="67" t="str">
        <x:v>https://www.pricescope.com/blog/natural-diamond-prices-september-2026</x:v>
      </x:c>
    </x:row>
    <x:row r="6246">
      <x:c r="A6246" t="n">
        <x:v>10</x:v>
      </x:c>
      <x:c r="B6246" t="str">
        <x:v>Heart</x:v>
      </x:c>
      <x:c r="C6246" t="str">
        <x:v>H</x:v>
      </x:c>
      <x:c r="D6246" t="str">
        <x:v>VS1</x:v>
      </x:c>
      <x:c r="E6246" s="36" t="n">
        <x:v>548000</x:v>
      </x:c>
      <x:c r="F6246" s="36" t="n">
        <x:v>3893</x:v>
      </x:c>
      <x:c r="G6246" s="42" t="n">
        <x:v>0.8350493350493351</x:v>
      </x:c>
      <x:c r="H6246" s="36" t="n">
        <x:f>E6246*G6246</x:f>
        <x:v>457607.0356070356</x:v>
      </x:c>
      <x:c r="I6246" s="36" t="n">
        <x:f>IFERROR(H6246/A6246,0)</x:f>
        <x:v>45760.703560703565</x:v>
      </x:c>
      <x:c r="J6246" s="67" t="str">
        <x:v>Modeled from live base + Sep-2026 quality ratio</x:v>
      </x:c>
      <x:c r="K6246" s="67" t="str">
        <x:v>https://www.stonealgo.com/diamond-prices/</x:v>
      </x:c>
      <x:c r="L6246" s="67" t="str">
        <x:v>https://www.pricescope.com/blog/natural-diamond-prices-september-2026</x:v>
      </x:c>
    </x:row>
    <x:row r="6247">
      <x:c r="A6247" t="n">
        <x:v>10</x:v>
      </x:c>
      <x:c r="B6247" t="str">
        <x:v>Heart</x:v>
      </x:c>
      <x:c r="C6247" t="str">
        <x:v>H</x:v>
      </x:c>
      <x:c r="D6247" t="str">
        <x:v>VS2</x:v>
      </x:c>
      <x:c r="E6247" s="36" t="n">
        <x:v>548000</x:v>
      </x:c>
      <x:c r="F6247" s="36" t="n">
        <x:v>3989</x:v>
      </x:c>
      <x:c r="G6247" s="42" t="n">
        <x:v>0.8556413556413557</x:v>
      </x:c>
      <x:c r="H6247" s="36" t="n">
        <x:f>E6247*G6247</x:f>
        <x:v>468891.4628914629</x:v>
      </x:c>
      <x:c r="I6247" s="36" t="n">
        <x:f>IFERROR(H6247/A6247,0)</x:f>
        <x:v>46889.14628914629</x:v>
      </x:c>
      <x:c r="J6247" s="67" t="str">
        <x:v>Modeled from live base + Sep-2026 quality ratio</x:v>
      </x:c>
      <x:c r="K6247" s="67" t="str">
        <x:v>https://www.stonealgo.com/diamond-prices/</x:v>
      </x:c>
      <x:c r="L6247" s="67" t="str">
        <x:v>https://www.pricescope.com/blog/natural-diamond-prices-september-2026</x:v>
      </x:c>
    </x:row>
    <x:row r="6248">
      <x:c r="A6248" t="n">
        <x:v>10</x:v>
      </x:c>
      <x:c r="B6248" t="str">
        <x:v>Heart</x:v>
      </x:c>
      <x:c r="C6248" t="str">
        <x:v>H</x:v>
      </x:c>
      <x:c r="D6248" t="str">
        <x:v>SI1</x:v>
      </x:c>
      <x:c r="E6248" s="36" t="n">
        <x:v>548000</x:v>
      </x:c>
      <x:c r="F6248" s="36" t="n">
        <x:v>2828</x:v>
      </x:c>
      <x:c r="G6248" s="42" t="n">
        <x:v>0.6066066066066066</x:v>
      </x:c>
      <x:c r="H6248" s="36" t="n">
        <x:f>E6248*G6248</x:f>
        <x:v>332420.4204204204</x:v>
      </x:c>
      <x:c r="I6248" s="36" t="n">
        <x:f>IFERROR(H6248/A6248,0)</x:f>
        <x:v>33242.04204204204</x:v>
      </x:c>
      <x:c r="J6248" s="67" t="str">
        <x:v>Modeled from live base + Sep-2026 quality ratio</x:v>
      </x:c>
      <x:c r="K6248" s="67" t="str">
        <x:v>https://www.stonealgo.com/diamond-prices/</x:v>
      </x:c>
      <x:c r="L6248" s="67" t="str">
        <x:v>https://www.pricescope.com/blog/natural-diamond-prices-september-2026</x:v>
      </x:c>
    </x:row>
    <x:row r="6249">
      <x:c r="A6249" t="n">
        <x:v>10</x:v>
      </x:c>
      <x:c r="B6249" t="str">
        <x:v>Heart</x:v>
      </x:c>
      <x:c r="C6249" t="str">
        <x:v>H</x:v>
      </x:c>
      <x:c r="D6249" t="str">
        <x:v>SI2</x:v>
      </x:c>
      <x:c r="E6249" s="36" t="n">
        <x:v>548000</x:v>
      </x:c>
      <x:c r="F6249" s="36" t="n">
        <x:v>2328</x:v>
      </x:c>
      <x:c r="G6249" s="42" t="n">
        <x:v>0.49935649935649934</x:v>
      </x:c>
      <x:c r="H6249" s="36" t="n">
        <x:f>E6249*G6249</x:f>
        <x:v>273647.36164736166</x:v>
      </x:c>
      <x:c r="I6249" s="36" t="n">
        <x:f>IFERROR(H6249/A6249,0)</x:f>
        <x:v>27364.736164736165</x:v>
      </x:c>
      <x:c r="J6249" s="67" t="str">
        <x:v>Modeled from live base + Sep-2026 quality ratio</x:v>
      </x:c>
      <x:c r="K6249" s="67" t="str">
        <x:v>https://www.stonealgo.com/diamond-prices/</x:v>
      </x:c>
      <x:c r="L6249" s="67" t="str">
        <x:v>https://www.pricescope.com/blog/natural-diamond-prices-september-2026</x:v>
      </x:c>
    </x:row>
    <x:row r="6250">
      <x:c r="A6250" t="n">
        <x:v>10</x:v>
      </x:c>
      <x:c r="B6250" t="str">
        <x:v>Heart</x:v>
      </x:c>
      <x:c r="C6250" t="str">
        <x:v>I</x:v>
      </x:c>
      <x:c r="D6250" t="str">
        <x:v>FL</x:v>
      </x:c>
      <x:c r="E6250" s="36" t="n">
        <x:v>548000</x:v>
      </x:c>
      <x:c r="F6250" s="36" t="n">
        <x:v>4623</x:v>
      </x:c>
      <x:c r="G6250" s="42" t="n">
        <x:v>0.9916344916344917</x:v>
      </x:c>
      <x:c r="H6250" s="36" t="n">
        <x:f>E6250*G6250</x:f>
        <x:v>543415.7014157014</x:v>
      </x:c>
      <x:c r="I6250" s="36" t="n">
        <x:f>IFERROR(H6250/A6250,0)</x:f>
        <x:v>54341.57014157014</x:v>
      </x:c>
      <x:c r="J6250" s="67" t="str">
        <x:v>Modeled from live base + Sep-2026 quality ratio</x:v>
      </x:c>
      <x:c r="K6250" s="67" t="str">
        <x:v>https://www.stonealgo.com/diamond-prices/</x:v>
      </x:c>
      <x:c r="L6250" s="67" t="str">
        <x:v>https://www.pricescope.com/blog/natural-diamond-prices-september-2026</x:v>
      </x:c>
    </x:row>
    <x:row r="6251">
      <x:c r="A6251" t="n">
        <x:v>10</x:v>
      </x:c>
      <x:c r="B6251" t="str">
        <x:v>Heart</x:v>
      </x:c>
      <x:c r="C6251" t="str">
        <x:v>I</x:v>
      </x:c>
      <x:c r="D6251" t="str">
        <x:v>IF</x:v>
      </x:c>
      <x:c r="E6251" s="36" t="n">
        <x:v>548000</x:v>
      </x:c>
      <x:c r="F6251" s="36" t="n">
        <x:v>4005</x:v>
      </x:c>
      <x:c r="G6251" s="42" t="n">
        <x:v>0.859073359073359</x:v>
      </x:c>
      <x:c r="H6251" s="36" t="n">
        <x:f>E6251*G6251</x:f>
        <x:v>470772.20077220077</x:v>
      </x:c>
      <x:c r="I6251" s="36" t="n">
        <x:f>IFERROR(H6251/A6251,0)</x:f>
        <x:v>47077.220077220074</x:v>
      </x:c>
      <x:c r="J6251" s="67" t="str">
        <x:v>Modeled from live base + Sep-2026 quality ratio</x:v>
      </x:c>
      <x:c r="K6251" s="67" t="str">
        <x:v>https://www.stonealgo.com/diamond-prices/</x:v>
      </x:c>
      <x:c r="L6251" s="67" t="str">
        <x:v>https://www.pricescope.com/blog/natural-diamond-prices-september-2026</x:v>
      </x:c>
    </x:row>
    <x:row r="6252">
      <x:c r="A6252" t="n">
        <x:v>10</x:v>
      </x:c>
      <x:c r="B6252" t="str">
        <x:v>Heart</x:v>
      </x:c>
      <x:c r="C6252" t="str">
        <x:v>I</x:v>
      </x:c>
      <x:c r="D6252" t="str">
        <x:v>VVS1</x:v>
      </x:c>
      <x:c r="E6252" s="36" t="n">
        <x:v>548000</x:v>
      </x:c>
      <x:c r="F6252" s="36" t="n">
        <x:v>3670</x:v>
      </x:c>
      <x:c r="G6252" s="42" t="n">
        <x:v>0.7872157872157872</x:v>
      </x:c>
      <x:c r="H6252" s="36" t="n">
        <x:f>E6252*G6252</x:f>
        <x:v>431394.2513942514</x:v>
      </x:c>
      <x:c r="I6252" s="36" t="n">
        <x:f>IFERROR(H6252/A6252,0)</x:f>
        <x:v>43139.42513942514</x:v>
      </x:c>
      <x:c r="J6252" s="67" t="str">
        <x:v>Modeled from live base + Sep-2026 quality ratio</x:v>
      </x:c>
      <x:c r="K6252" s="67" t="str">
        <x:v>https://www.stonealgo.com/diamond-prices/</x:v>
      </x:c>
      <x:c r="L6252" s="67" t="str">
        <x:v>https://www.pricescope.com/blog/natural-diamond-prices-september-2026</x:v>
      </x:c>
    </x:row>
    <x:row r="6253">
      <x:c r="A6253" t="n">
        <x:v>10</x:v>
      </x:c>
      <x:c r="B6253" t="str">
        <x:v>Heart</x:v>
      </x:c>
      <x:c r="C6253" t="str">
        <x:v>I</x:v>
      </x:c>
      <x:c r="D6253" t="str">
        <x:v>VVS2</x:v>
      </x:c>
      <x:c r="E6253" s="36" t="n">
        <x:v>548000</x:v>
      </x:c>
      <x:c r="F6253" s="36" t="n">
        <x:v>3447</x:v>
      </x:c>
      <x:c r="G6253" s="42" t="n">
        <x:v>0.7393822393822393</x:v>
      </x:c>
      <x:c r="H6253" s="36" t="n">
        <x:f>E6253*G6253</x:f>
        <x:v>405181.46718146716</x:v>
      </x:c>
      <x:c r="I6253" s="36" t="n">
        <x:f>IFERROR(H6253/A6253,0)</x:f>
        <x:v>40518.146718146716</x:v>
      </x:c>
      <x:c r="J6253" s="67" t="str">
        <x:v>Modeled from live base + Sep-2026 quality ratio</x:v>
      </x:c>
      <x:c r="K6253" s="67" t="str">
        <x:v>https://www.stonealgo.com/diamond-prices/</x:v>
      </x:c>
      <x:c r="L6253" s="67" t="str">
        <x:v>https://www.pricescope.com/blog/natural-diamond-prices-september-2026</x:v>
      </x:c>
    </x:row>
    <x:row r="6254">
      <x:c r="A6254" t="n">
        <x:v>10</x:v>
      </x:c>
      <x:c r="B6254" t="str">
        <x:v>Heart</x:v>
      </x:c>
      <x:c r="C6254" t="str">
        <x:v>I</x:v>
      </x:c>
      <x:c r="D6254" t="str">
        <x:v>VS1</x:v>
      </x:c>
      <x:c r="E6254" s="36" t="n">
        <x:v>548000</x:v>
      </x:c>
      <x:c r="F6254" s="36" t="n">
        <x:v>3313</x:v>
      </x:c>
      <x:c r="G6254" s="42" t="n">
        <x:v>0.7106392106392107</x:v>
      </x:c>
      <x:c r="H6254" s="36" t="n">
        <x:f>E6254*G6254</x:f>
        <x:v>389430.28743028746</x:v>
      </x:c>
      <x:c r="I6254" s="36" t="n">
        <x:f>IFERROR(H6254/A6254,0)</x:f>
        <x:v>38943.02874302874</x:v>
      </x:c>
      <x:c r="J6254" s="67" t="str">
        <x:v>Modeled from live base + Sep-2026 quality ratio</x:v>
      </x:c>
      <x:c r="K6254" s="67" t="str">
        <x:v>https://www.stonealgo.com/diamond-prices/</x:v>
      </x:c>
      <x:c r="L6254" s="67" t="str">
        <x:v>https://www.pricescope.com/blog/natural-diamond-prices-september-2026</x:v>
      </x:c>
    </x:row>
    <x:row r="6255">
      <x:c r="A6255" t="n">
        <x:v>10</x:v>
      </x:c>
      <x:c r="B6255" t="str">
        <x:v>Heart</x:v>
      </x:c>
      <x:c r="C6255" t="str">
        <x:v>I</x:v>
      </x:c>
      <x:c r="D6255" t="str">
        <x:v>VS2</x:v>
      </x:c>
      <x:c r="E6255" s="36" t="n">
        <x:v>548000</x:v>
      </x:c>
      <x:c r="F6255" s="36" t="n">
        <x:v>3240</x:v>
      </x:c>
      <x:c r="G6255" s="42" t="n">
        <x:v>0.694980694980695</x:v>
      </x:c>
      <x:c r="H6255" s="36" t="n">
        <x:f>E6255*G6255</x:f>
        <x:v>380849.4208494209</x:v>
      </x:c>
      <x:c r="I6255" s="36" t="n">
        <x:f>IFERROR(H6255/A6255,0)</x:f>
        <x:v>38084.942084942086</x:v>
      </x:c>
      <x:c r="J6255" s="67" t="str">
        <x:v>Modeled from live base + Sep-2026 quality ratio</x:v>
      </x:c>
      <x:c r="K6255" s="67" t="str">
        <x:v>https://www.stonealgo.com/diamond-prices/</x:v>
      </x:c>
      <x:c r="L6255" s="67" t="str">
        <x:v>https://www.pricescope.com/blog/natural-diamond-prices-september-2026</x:v>
      </x:c>
    </x:row>
    <x:row r="6256">
      <x:c r="A6256" t="n">
        <x:v>10</x:v>
      </x:c>
      <x:c r="B6256" t="str">
        <x:v>Heart</x:v>
      </x:c>
      <x:c r="C6256" t="str">
        <x:v>I</x:v>
      </x:c>
      <x:c r="D6256" t="str">
        <x:v>SI1</x:v>
      </x:c>
      <x:c r="E6256" s="36" t="n">
        <x:v>548000</x:v>
      </x:c>
      <x:c r="F6256" s="36" t="n">
        <x:v>3199</x:v>
      </x:c>
      <x:c r="G6256" s="42" t="n">
        <x:v>0.6861861861861862</x:v>
      </x:c>
      <x:c r="H6256" s="36" t="n">
        <x:f>E6256*G6256</x:f>
        <x:v>376030.03003003006</x:v>
      </x:c>
      <x:c r="I6256" s="36" t="n">
        <x:f>IFERROR(H6256/A6256,0)</x:f>
        <x:v>37603.003003003</x:v>
      </x:c>
      <x:c r="J6256" s="67" t="str">
        <x:v>Modeled from live base + Sep-2026 quality ratio</x:v>
      </x:c>
      <x:c r="K6256" s="67" t="str">
        <x:v>https://www.stonealgo.com/diamond-prices/</x:v>
      </x:c>
      <x:c r="L6256" s="67" t="str">
        <x:v>https://www.pricescope.com/blog/natural-diamond-prices-september-2026</x:v>
      </x:c>
    </x:row>
    <x:row r="6257">
      <x:c r="A6257" t="n">
        <x:v>10</x:v>
      </x:c>
      <x:c r="B6257" t="str">
        <x:v>Heart</x:v>
      </x:c>
      <x:c r="C6257" t="str">
        <x:v>I</x:v>
      </x:c>
      <x:c r="D6257" t="str">
        <x:v>SI2</x:v>
      </x:c>
      <x:c r="E6257" s="36" t="n">
        <x:v>548000</x:v>
      </x:c>
      <x:c r="F6257" s="36" t="n">
        <x:v>2874</x:v>
      </x:c>
      <x:c r="G6257" s="42" t="n">
        <x:v>0.6164736164736164</x:v>
      </x:c>
      <x:c r="H6257" s="36" t="n">
        <x:f>E6257*G6257</x:f>
        <x:v>337827.5418275418</x:v>
      </x:c>
      <x:c r="I6257" s="36" t="n">
        <x:f>IFERROR(H6257/A6257,0)</x:f>
        <x:v>33782.75418275418</x:v>
      </x:c>
      <x:c r="J6257" s="67" t="str">
        <x:v>Modeled from live base + Sep-2026 quality ratio</x:v>
      </x:c>
      <x:c r="K6257" s="67" t="str">
        <x:v>https://www.stonealgo.com/diamond-prices/</x:v>
      </x:c>
      <x:c r="L6257" s="67" t="str">
        <x:v>https://www.pricescope.com/blog/natural-diamond-prices-september-2026</x:v>
      </x:c>
    </x:row>
    <x:row r="6258">
      <x:c r="A6258" t="n">
        <x:v>10</x:v>
      </x:c>
      <x:c r="B6258" t="str">
        <x:v>Heart</x:v>
      </x:c>
      <x:c r="C6258" t="str">
        <x:v>J</x:v>
      </x:c>
      <x:c r="D6258" t="str">
        <x:v>FL</x:v>
      </x:c>
      <x:c r="E6258" s="36" t="n">
        <x:v>548000</x:v>
      </x:c>
      <x:c r="F6258" s="36" t="n">
        <x:v>3646</x:v>
      </x:c>
      <x:c r="G6258" s="42" t="n">
        <x:v>0.782067782067782</x:v>
      </x:c>
      <x:c r="H6258" s="36" t="n">
        <x:f>E6258*G6258</x:f>
        <x:v>428573.14457314456</x:v>
      </x:c>
      <x:c r="I6258" s="36" t="n">
        <x:f>IFERROR(H6258/A6258,0)</x:f>
        <x:v>42857.31445731445</x:v>
      </x:c>
      <x:c r="J6258" s="67" t="str">
        <x:v>Modeled from live base + Sep-2026 quality ratio</x:v>
      </x:c>
      <x:c r="K6258" s="67" t="str">
        <x:v>https://www.stonealgo.com/diamond-prices/</x:v>
      </x:c>
      <x:c r="L6258" s="67" t="str">
        <x:v>https://www.pricescope.com/blog/natural-diamond-prices-september-2026</x:v>
      </x:c>
    </x:row>
    <x:row r="6259">
      <x:c r="A6259" t="n">
        <x:v>10</x:v>
      </x:c>
      <x:c r="B6259" t="str">
        <x:v>Heart</x:v>
      </x:c>
      <x:c r="C6259" t="str">
        <x:v>J</x:v>
      </x:c>
      <x:c r="D6259" t="str">
        <x:v>IF</x:v>
      </x:c>
      <x:c r="E6259" s="36" t="n">
        <x:v>548000</x:v>
      </x:c>
      <x:c r="F6259" s="36" t="n">
        <x:v>3368</x:v>
      </x:c>
      <x:c r="G6259" s="42" t="n">
        <x:v>0.7224367224367224</x:v>
      </x:c>
      <x:c r="H6259" s="36" t="n">
        <x:f>E6259*G6259</x:f>
        <x:v>395895.3238953239</x:v>
      </x:c>
      <x:c r="I6259" s="36" t="n">
        <x:f>IFERROR(H6259/A6259,0)</x:f>
        <x:v>39589.53238953239</x:v>
      </x:c>
      <x:c r="J6259" s="67" t="str">
        <x:v>Modeled from live base + Sep-2026 quality ratio</x:v>
      </x:c>
      <x:c r="K6259" s="67" t="str">
        <x:v>https://www.stonealgo.com/diamond-prices/</x:v>
      </x:c>
      <x:c r="L6259" s="67" t="str">
        <x:v>https://www.pricescope.com/blog/natural-diamond-prices-september-2026</x:v>
      </x:c>
    </x:row>
    <x:row r="6260">
      <x:c r="A6260" t="n">
        <x:v>10</x:v>
      </x:c>
      <x:c r="B6260" t="str">
        <x:v>Heart</x:v>
      </x:c>
      <x:c r="C6260" t="str">
        <x:v>J</x:v>
      </x:c>
      <x:c r="D6260" t="str">
        <x:v>VVS1</x:v>
      </x:c>
      <x:c r="E6260" s="36" t="n">
        <x:v>548000</x:v>
      </x:c>
      <x:c r="F6260" s="36" t="n">
        <x:v>2956</x:v>
      </x:c>
      <x:c r="G6260" s="42" t="n">
        <x:v>0.6340626340626341</x:v>
      </x:c>
      <x:c r="H6260" s="36" t="n">
        <x:f>E6260*G6260</x:f>
        <x:v>347466.3234663235</x:v>
      </x:c>
      <x:c r="I6260" s="36" t="n">
        <x:f>IFERROR(H6260/A6260,0)</x:f>
        <x:v>34746.63234663235</x:v>
      </x:c>
      <x:c r="J6260" s="67" t="str">
        <x:v>Modeled from live base + Sep-2026 quality ratio</x:v>
      </x:c>
      <x:c r="K6260" s="67" t="str">
        <x:v>https://www.stonealgo.com/diamond-prices/</x:v>
      </x:c>
      <x:c r="L6260" s="67" t="str">
        <x:v>https://www.pricescope.com/blog/natural-diamond-prices-september-2026</x:v>
      </x:c>
    </x:row>
    <x:row r="6261">
      <x:c r="A6261" t="n">
        <x:v>10</x:v>
      </x:c>
      <x:c r="B6261" t="str">
        <x:v>Heart</x:v>
      </x:c>
      <x:c r="C6261" t="str">
        <x:v>J</x:v>
      </x:c>
      <x:c r="D6261" t="str">
        <x:v>VVS2</x:v>
      </x:c>
      <x:c r="E6261" s="36" t="n">
        <x:v>548000</x:v>
      </x:c>
      <x:c r="F6261" s="36" t="n">
        <x:v>2612</x:v>
      </x:c>
      <x:c r="G6261" s="42" t="n">
        <x:v>0.5602745602745602</x:v>
      </x:c>
      <x:c r="H6261" s="36" t="n">
        <x:f>E6261*G6261</x:f>
        <x:v>307030.459030459</x:v>
      </x:c>
      <x:c r="I6261" s="36" t="n">
        <x:f>IFERROR(H6261/A6261,0)</x:f>
        <x:v>30703.0459030459</x:v>
      </x:c>
      <x:c r="J6261" s="67" t="str">
        <x:v>Modeled from live base + Sep-2026 quality ratio</x:v>
      </x:c>
      <x:c r="K6261" s="67" t="str">
        <x:v>https://www.stonealgo.com/diamond-prices/</x:v>
      </x:c>
      <x:c r="L6261" s="67" t="str">
        <x:v>https://www.pricescope.com/blog/natural-diamond-prices-september-2026</x:v>
      </x:c>
    </x:row>
    <x:row r="6262">
      <x:c r="A6262" t="n">
        <x:v>10</x:v>
      </x:c>
      <x:c r="B6262" t="str">
        <x:v>Heart</x:v>
      </x:c>
      <x:c r="C6262" t="str">
        <x:v>J</x:v>
      </x:c>
      <x:c r="D6262" t="str">
        <x:v>VS1</x:v>
      </x:c>
      <x:c r="E6262" s="36" t="n">
        <x:v>548000</x:v>
      </x:c>
      <x:c r="F6262" s="36" t="n">
        <x:v>3002</x:v>
      </x:c>
      <x:c r="G6262" s="42" t="n">
        <x:v>0.6439296439296439</x:v>
      </x:c>
      <x:c r="H6262" s="36" t="n">
        <x:f>E6262*G6262</x:f>
        <x:v>352873.44487344485</x:v>
      </x:c>
      <x:c r="I6262" s="36" t="n">
        <x:f>IFERROR(H6262/A6262,0)</x:f>
        <x:v>35287.34448734448</x:v>
      </x:c>
      <x:c r="J6262" s="67" t="str">
        <x:v>Modeled from live base + Sep-2026 quality ratio</x:v>
      </x:c>
      <x:c r="K6262" s="67" t="str">
        <x:v>https://www.stonealgo.com/diamond-prices/</x:v>
      </x:c>
      <x:c r="L6262" s="67" t="str">
        <x:v>https://www.pricescope.com/blog/natural-diamond-prices-september-2026</x:v>
      </x:c>
    </x:row>
    <x:row r="6263">
      <x:c r="A6263" t="n">
        <x:v>10</x:v>
      </x:c>
      <x:c r="B6263" t="str">
        <x:v>Heart</x:v>
      </x:c>
      <x:c r="C6263" t="str">
        <x:v>J</x:v>
      </x:c>
      <x:c r="D6263" t="str">
        <x:v>VS2</x:v>
      </x:c>
      <x:c r="E6263" s="36" t="n">
        <x:v>548000</x:v>
      </x:c>
      <x:c r="F6263" s="36" t="n">
        <x:v>2559</x:v>
      </x:c>
      <x:c r="G6263" s="42" t="n">
        <x:v>0.5489060489060489</x:v>
      </x:c>
      <x:c r="H6263" s="36" t="n">
        <x:f>E6263*G6263</x:f>
        <x:v>300800.5148005148</x:v>
      </x:c>
      <x:c r="I6263" s="36" t="n">
        <x:f>IFERROR(H6263/A6263,0)</x:f>
        <x:v>30080.05148005148</x:v>
      </x:c>
      <x:c r="J6263" s="67" t="str">
        <x:v>Modeled from live base + Sep-2026 quality ratio</x:v>
      </x:c>
      <x:c r="K6263" s="67" t="str">
        <x:v>https://www.stonealgo.com/diamond-prices/</x:v>
      </x:c>
      <x:c r="L6263" s="67" t="str">
        <x:v>https://www.pricescope.com/blog/natural-diamond-prices-september-2026</x:v>
      </x:c>
    </x:row>
    <x:row r="6264">
      <x:c r="A6264" t="n">
        <x:v>10</x:v>
      </x:c>
      <x:c r="B6264" t="str">
        <x:v>Heart</x:v>
      </x:c>
      <x:c r="C6264" t="str">
        <x:v>J</x:v>
      </x:c>
      <x:c r="D6264" t="str">
        <x:v>SI1</x:v>
      </x:c>
      <x:c r="E6264" s="36" t="n">
        <x:v>548000</x:v>
      </x:c>
      <x:c r="F6264" s="36" t="n">
        <x:v>2195</x:v>
      </x:c>
      <x:c r="G6264" s="42" t="n">
        <x:v>0.47082797082797084</x:v>
      </x:c>
      <x:c r="H6264" s="36" t="n">
        <x:f>E6264*G6264</x:f>
        <x:v>258013.72801372802</x:v>
      </x:c>
      <x:c r="I6264" s="36" t="n">
        <x:f>IFERROR(H6264/A6264,0)</x:f>
        <x:v>25801.372801372803</x:v>
      </x:c>
      <x:c r="J6264" s="67" t="str">
        <x:v>Modeled from live base + Sep-2026 quality ratio</x:v>
      </x:c>
      <x:c r="K6264" s="67" t="str">
        <x:v>https://www.stonealgo.com/diamond-prices/</x:v>
      </x:c>
      <x:c r="L6264" s="67" t="str">
        <x:v>https://www.pricescope.com/blog/natural-diamond-prices-september-2026</x:v>
      </x:c>
    </x:row>
    <x:row r="6265">
      <x:c r="A6265" t="n">
        <x:v>10</x:v>
      </x:c>
      <x:c r="B6265" t="str">
        <x:v>Heart</x:v>
      </x:c>
      <x:c r="C6265" t="str">
        <x:v>J</x:v>
      </x:c>
      <x:c r="D6265" t="str">
        <x:v>SI2</x:v>
      </x:c>
      <x:c r="E6265" s="36" t="n">
        <x:v>548000</x:v>
      </x:c>
      <x:c r="F6265" s="36" t="n">
        <x:v>2079</x:v>
      </x:c>
      <x:c r="G6265" s="42" t="n">
        <x:v>0.44594594594594594</x:v>
      </x:c>
      <x:c r="H6265" s="36" t="n">
        <x:f>E6265*G6265</x:f>
        <x:v>244378.37837837837</x:v>
      </x:c>
      <x:c r="I6265" s="36" t="n">
        <x:f>IFERROR(H6265/A6265,0)</x:f>
        <x:v>24437.837837837837</x:v>
      </x:c>
      <x:c r="J6265" s="67" t="str">
        <x:v>Modeled from live base + Sep-2026 quality ratio</x:v>
      </x:c>
      <x:c r="K6265" s="67" t="str">
        <x:v>https://www.stonealgo.com/diamond-prices/</x:v>
      </x:c>
      <x:c r="L6265" s="67" t="str">
        <x:v>https://www.pricescope.com/blog/natural-diamond-prices-september-2026</x:v>
      </x:c>
    </x:row>
    <x:row r="6266">
      <x:c r="A6266" t="n">
        <x:v>10</x:v>
      </x:c>
      <x:c r="B6266" t="str">
        <x:v>Heart</x:v>
      </x:c>
      <x:c r="C6266" t="str">
        <x:v>K</x:v>
      </x:c>
      <x:c r="D6266" t="str">
        <x:v>FL</x:v>
      </x:c>
      <x:c r="E6266" s="36" t="n">
        <x:v>548000</x:v>
      </x:c>
      <x:c r="F6266" s="36" t="n">
        <x:v>2858</x:v>
      </x:c>
      <x:c r="G6266" s="42" t="n">
        <x:v>0.6130416130416131</x:v>
      </x:c>
      <x:c r="H6266" s="36" t="n">
        <x:f>E6266*G6266</x:f>
        <x:v>335946.80394680396</x:v>
      </x:c>
      <x:c r="I6266" s="36" t="n">
        <x:f>IFERROR(H6266/A6266,0)</x:f>
        <x:v>33594.6803946804</x:v>
      </x:c>
      <x:c r="J6266" s="67" t="str">
        <x:v>Modeled from live base + Sep-2026 quality ratio; K/FL quality cell modeled</x:v>
      </x:c>
      <x:c r="K6266" s="67" t="str">
        <x:v>https://www.stonealgo.com/diamond-prices/</x:v>
      </x:c>
      <x:c r="L6266" s="67" t="str">
        <x:v>https://www.pricescope.com/blog/natural-diamond-prices-september-2026</x:v>
      </x:c>
    </x:row>
    <x:row r="6267">
      <x:c r="A6267" t="n">
        <x:v>10</x:v>
      </x:c>
      <x:c r="B6267" t="str">
        <x:v>Heart</x:v>
      </x:c>
      <x:c r="C6267" t="str">
        <x:v>K</x:v>
      </x:c>
      <x:c r="D6267" t="str">
        <x:v>IF</x:v>
      </x:c>
      <x:c r="E6267" s="36" t="n">
        <x:v>548000</x:v>
      </x:c>
      <x:c r="F6267" s="36" t="n">
        <x:v>2743</x:v>
      </x:c>
      <x:c r="G6267" s="42" t="n">
        <x:v>0.5883740883740883</x:v>
      </x:c>
      <x:c r="H6267" s="36" t="n">
        <x:f>E6267*G6267</x:f>
        <x:v>322429.0004290004</x:v>
      </x:c>
      <x:c r="I6267" s="36" t="n">
        <x:f>IFERROR(H6267/A6267,0)</x:f>
        <x:v>32242.90004290004</x:v>
      </x:c>
      <x:c r="J6267" s="67" t="str">
        <x:v>Modeled from live base + Sep-2026 quality ratio</x:v>
      </x:c>
      <x:c r="K6267" s="67" t="str">
        <x:v>https://www.stonealgo.com/diamond-prices/</x:v>
      </x:c>
      <x:c r="L6267" s="67" t="str">
        <x:v>https://www.pricescope.com/blog/natural-diamond-prices-september-2026</x:v>
      </x:c>
    </x:row>
    <x:row r="6268">
      <x:c r="A6268" t="n">
        <x:v>10</x:v>
      </x:c>
      <x:c r="B6268" t="str">
        <x:v>Heart</x:v>
      </x:c>
      <x:c r="C6268" t="str">
        <x:v>K</x:v>
      </x:c>
      <x:c r="D6268" t="str">
        <x:v>VVS1</x:v>
      </x:c>
      <x:c r="E6268" s="36" t="n">
        <x:v>548000</x:v>
      </x:c>
      <x:c r="F6268" s="36" t="n">
        <x:v>2529</x:v>
      </x:c>
      <x:c r="G6268" s="42" t="n">
        <x:v>0.5424710424710425</x:v>
      </x:c>
      <x:c r="H6268" s="36" t="n">
        <x:f>E6268*G6268</x:f>
        <x:v>297274.1312741313</x:v>
      </x:c>
      <x:c r="I6268" s="36" t="n">
        <x:f>IFERROR(H6268/A6268,0)</x:f>
        <x:v>29727.41312741313</x:v>
      </x:c>
      <x:c r="J6268" s="67" t="str">
        <x:v>Modeled from live base + Sep-2026 quality ratio</x:v>
      </x:c>
      <x:c r="K6268" s="67" t="str">
        <x:v>https://www.stonealgo.com/diamond-prices/</x:v>
      </x:c>
      <x:c r="L6268" s="67" t="str">
        <x:v>https://www.pricescope.com/blog/natural-diamond-prices-september-2026</x:v>
      </x:c>
    </x:row>
    <x:row r="6269">
      <x:c r="A6269" t="n">
        <x:v>10</x:v>
      </x:c>
      <x:c r="B6269" t="str">
        <x:v>Heart</x:v>
      </x:c>
      <x:c r="C6269" t="str">
        <x:v>K</x:v>
      </x:c>
      <x:c r="D6269" t="str">
        <x:v>VVS2</x:v>
      </x:c>
      <x:c r="E6269" s="36" t="n">
        <x:v>548000</x:v>
      </x:c>
      <x:c r="F6269" s="36" t="n">
        <x:v>2374</x:v>
      </x:c>
      <x:c r="G6269" s="42" t="n">
        <x:v>0.5092235092235092</x:v>
      </x:c>
      <x:c r="H6269" s="36" t="n">
        <x:f>E6269*G6269</x:f>
        <x:v>279054.4830544831</x:v>
      </x:c>
      <x:c r="I6269" s="36" t="n">
        <x:f>IFERROR(H6269/A6269,0)</x:f>
        <x:v>27905.448305448306</x:v>
      </x:c>
      <x:c r="J6269" s="67" t="str">
        <x:v>Modeled from live base + Sep-2026 quality ratio</x:v>
      </x:c>
      <x:c r="K6269" s="67" t="str">
        <x:v>https://www.stonealgo.com/diamond-prices/</x:v>
      </x:c>
      <x:c r="L6269" s="67" t="str">
        <x:v>https://www.pricescope.com/blog/natural-diamond-prices-september-2026</x:v>
      </x:c>
    </x:row>
    <x:row r="6270">
      <x:c r="A6270" t="n">
        <x:v>10</x:v>
      </x:c>
      <x:c r="B6270" t="str">
        <x:v>Heart</x:v>
      </x:c>
      <x:c r="C6270" t="str">
        <x:v>K</x:v>
      </x:c>
      <x:c r="D6270" t="str">
        <x:v>VS1</x:v>
      </x:c>
      <x:c r="E6270" s="36" t="n">
        <x:v>548000</x:v>
      </x:c>
      <x:c r="F6270" s="36" t="n">
        <x:v>2223</x:v>
      </x:c>
      <x:c r="G6270" s="42" t="n">
        <x:v>0.4768339768339768</x:v>
      </x:c>
      <x:c r="H6270" s="36" t="n">
        <x:f>E6270*G6270</x:f>
        <x:v>261305.0193050193</x:v>
      </x:c>
      <x:c r="I6270" s="36" t="n">
        <x:f>IFERROR(H6270/A6270,0)</x:f>
        <x:v>26130.50193050193</x:v>
      </x:c>
      <x:c r="J6270" s="67" t="str">
        <x:v>Modeled from live base + Sep-2026 quality ratio</x:v>
      </x:c>
      <x:c r="K6270" s="67" t="str">
        <x:v>https://www.stonealgo.com/diamond-prices/</x:v>
      </x:c>
      <x:c r="L6270" s="67" t="str">
        <x:v>https://www.pricescope.com/blog/natural-diamond-prices-september-2026</x:v>
      </x:c>
    </x:row>
    <x:row r="6271">
      <x:c r="A6271" t="n">
        <x:v>10</x:v>
      </x:c>
      <x:c r="B6271" t="str">
        <x:v>Heart</x:v>
      </x:c>
      <x:c r="C6271" t="str">
        <x:v>K</x:v>
      </x:c>
      <x:c r="D6271" t="str">
        <x:v>VS2</x:v>
      </x:c>
      <x:c r="E6271" s="36" t="n">
        <x:v>548000</x:v>
      </x:c>
      <x:c r="F6271" s="36" t="n">
        <x:v>2098</x:v>
      </x:c>
      <x:c r="G6271" s="42" t="n">
        <x:v>0.45002145002145</x:v>
      </x:c>
      <x:c r="H6271" s="36" t="n">
        <x:f>E6271*G6271</x:f>
        <x:v>246611.7546117546</x:v>
      </x:c>
      <x:c r="I6271" s="36" t="n">
        <x:f>IFERROR(H6271/A6271,0)</x:f>
        <x:v>24661.17546117546</x:v>
      </x:c>
      <x:c r="J6271" s="67" t="str">
        <x:v>Modeled from live base + Sep-2026 quality ratio</x:v>
      </x:c>
      <x:c r="K6271" s="67" t="str">
        <x:v>https://www.stonealgo.com/diamond-prices/</x:v>
      </x:c>
      <x:c r="L6271" s="67" t="str">
        <x:v>https://www.pricescope.com/blog/natural-diamond-prices-september-2026</x:v>
      </x:c>
    </x:row>
    <x:row r="6272">
      <x:c r="A6272" t="n">
        <x:v>10</x:v>
      </x:c>
      <x:c r="B6272" t="str">
        <x:v>Heart</x:v>
      </x:c>
      <x:c r="C6272" t="str">
        <x:v>K</x:v>
      </x:c>
      <x:c r="D6272" t="str">
        <x:v>SI1</x:v>
      </x:c>
      <x:c r="E6272" s="36" t="n">
        <x:v>548000</x:v>
      </x:c>
      <x:c r="F6272" s="36" t="n">
        <x:v>1922</x:v>
      </x:c>
      <x:c r="G6272" s="42" t="n">
        <x:v>0.41226941226941227</x:v>
      </x:c>
      <x:c r="H6272" s="36" t="n">
        <x:f>E6272*G6272</x:f>
        <x:v>225923.63792363793</x:v>
      </x:c>
      <x:c r="I6272" s="36" t="n">
        <x:f>IFERROR(H6272/A6272,0)</x:f>
        <x:v>22592.363792363794</x:v>
      </x:c>
      <x:c r="J6272" s="67" t="str">
        <x:v>Modeled from live base + Sep-2026 quality ratio</x:v>
      </x:c>
      <x:c r="K6272" s="67" t="str">
        <x:v>https://www.stonealgo.com/diamond-prices/</x:v>
      </x:c>
      <x:c r="L6272" s="67" t="str">
        <x:v>https://www.pricescope.com/blog/natural-diamond-prices-september-2026</x:v>
      </x:c>
    </x:row>
    <x:row r="6273">
      <x:c r="A6273" t="n">
        <x:v>10</x:v>
      </x:c>
      <x:c r="B6273" t="str">
        <x:v>Heart</x:v>
      </x:c>
      <x:c r="C6273" t="str">
        <x:v>K</x:v>
      </x:c>
      <x:c r="D6273" t="str">
        <x:v>SI2</x:v>
      </x:c>
      <x:c r="E6273" s="36" t="n">
        <x:v>548000</x:v>
      </x:c>
      <x:c r="F6273" s="36" t="n">
        <x:v>1764</x:v>
      </x:c>
      <x:c r="G6273" s="42" t="n">
        <x:v>0.3783783783783784</x:v>
      </x:c>
      <x:c r="H6273" s="36" t="n">
        <x:f>E6273*G6273</x:f>
        <x:v>207351.35135135136</x:v>
      </x:c>
      <x:c r="I6273" s="36" t="n">
        <x:f>IFERROR(H6273/A6273,0)</x:f>
        <x:v>20735.135135135137</x:v>
      </x:c>
      <x:c r="J6273" s="67" t="str">
        <x:v>Modeled from live base + Sep-2026 quality ratio</x:v>
      </x:c>
      <x:c r="K6273" s="67" t="str">
        <x:v>https://www.stonealgo.com/diamond-prices/</x:v>
      </x:c>
      <x:c r="L6273" s="67" t="str">
        <x:v>https://www.pricescope.com/blog/natural-diamond-prices-september-2026</x:v>
      </x:c>
    </x:row>
    <x:row r="6274">
      <x:c r="A6274" t="n">
        <x:v>10</x:v>
      </x:c>
      <x:c r="B6274" t="str">
        <x:v>Marquise</x:v>
      </x:c>
      <x:c r="C6274" t="str">
        <x:v>D</x:v>
      </x:c>
      <x:c r="D6274" t="str">
        <x:v>FL</x:v>
      </x:c>
      <x:c r="E6274" s="36" t="n">
        <x:v>608000</x:v>
      </x:c>
      <x:c r="F6274" s="36" t="n">
        <x:v>12665</x:v>
      </x:c>
      <x:c r="G6274" s="42" t="n">
        <x:v>2.7166452166452166</x:v>
      </x:c>
      <x:c r="H6274" s="36" t="n">
        <x:f>E6274*G6274</x:f>
        <x:v>1651720.2917202916</x:v>
      </x:c>
      <x:c r="I6274" s="36" t="n">
        <x:f>IFERROR(H6274/A6274,0)</x:f>
        <x:v>165172.02917202917</x:v>
      </x:c>
      <x:c r="J6274" s="67" t="str">
        <x:v>Modeled from live base + Sep-2026 quality ratio</x:v>
      </x:c>
      <x:c r="K6274" s="67" t="str">
        <x:v>https://www.stonealgo.com/diamond-prices/</x:v>
      </x:c>
      <x:c r="L6274" s="67" t="str">
        <x:v>https://www.pricescope.com/blog/natural-diamond-prices-september-2026</x:v>
      </x:c>
    </x:row>
    <x:row r="6275">
      <x:c r="A6275" t="n">
        <x:v>10</x:v>
      </x:c>
      <x:c r="B6275" t="str">
        <x:v>Marquise</x:v>
      </x:c>
      <x:c r="C6275" t="str">
        <x:v>D</x:v>
      </x:c>
      <x:c r="D6275" t="str">
        <x:v>IF</x:v>
      </x:c>
      <x:c r="E6275" s="36" t="n">
        <x:v>608000</x:v>
      </x:c>
      <x:c r="F6275" s="36" t="n">
        <x:v>13240</x:v>
      </x:c>
      <x:c r="G6275" s="42" t="n">
        <x:v>2.83998283998284</x:v>
      </x:c>
      <x:c r="H6275" s="36" t="n">
        <x:f>E6275*G6275</x:f>
        <x:v>1726709.5667095669</x:v>
      </x:c>
      <x:c r="I6275" s="36" t="n">
        <x:f>IFERROR(H6275/A6275,0)</x:f>
        <x:v>172670.9566709567</x:v>
      </x:c>
      <x:c r="J6275" s="67" t="str">
        <x:v>Modeled from live base + Sep-2026 quality ratio</x:v>
      </x:c>
      <x:c r="K6275" s="67" t="str">
        <x:v>https://www.stonealgo.com/diamond-prices/</x:v>
      </x:c>
      <x:c r="L6275" s="67" t="str">
        <x:v>https://www.pricescope.com/blog/natural-diamond-prices-september-2026</x:v>
      </x:c>
    </x:row>
    <x:row r="6276">
      <x:c r="A6276" t="n">
        <x:v>10</x:v>
      </x:c>
      <x:c r="B6276" t="str">
        <x:v>Marquise</x:v>
      </x:c>
      <x:c r="C6276" t="str">
        <x:v>D</x:v>
      </x:c>
      <x:c r="D6276" t="str">
        <x:v>VVS1</x:v>
      </x:c>
      <x:c r="E6276" s="36" t="n">
        <x:v>608000</x:v>
      </x:c>
      <x:c r="F6276" s="36" t="n">
        <x:v>9555</x:v>
      </x:c>
      <x:c r="G6276" s="42" t="n">
        <x:v>2.0495495495495497</x:v>
      </x:c>
      <x:c r="H6276" s="36" t="n">
        <x:f>E6276*G6276</x:f>
        <x:v>1246126.1261261262</x:v>
      </x:c>
      <x:c r="I6276" s="36" t="n">
        <x:f>IFERROR(H6276/A6276,0)</x:f>
        <x:v>124612.61261261262</x:v>
      </x:c>
      <x:c r="J6276" s="67" t="str">
        <x:v>Modeled from live base + Sep-2026 quality ratio</x:v>
      </x:c>
      <x:c r="K6276" s="67" t="str">
        <x:v>https://www.stonealgo.com/diamond-prices/</x:v>
      </x:c>
      <x:c r="L6276" s="67" t="str">
        <x:v>https://www.pricescope.com/blog/natural-diamond-prices-september-2026</x:v>
      </x:c>
    </x:row>
    <x:row r="6277">
      <x:c r="A6277" t="n">
        <x:v>10</x:v>
      </x:c>
      <x:c r="B6277" t="str">
        <x:v>Marquise</x:v>
      </x:c>
      <x:c r="C6277" t="str">
        <x:v>D</x:v>
      </x:c>
      <x:c r="D6277" t="str">
        <x:v>VVS2</x:v>
      </x:c>
      <x:c r="E6277" s="36" t="n">
        <x:v>608000</x:v>
      </x:c>
      <x:c r="F6277" s="36" t="n">
        <x:v>6660</x:v>
      </x:c>
      <x:c r="G6277" s="42" t="n">
        <x:v>1.4285714285714286</x:v>
      </x:c>
      <x:c r="H6277" s="36" t="n">
        <x:f>E6277*G6277</x:f>
        <x:v>868571.4285714286</x:v>
      </x:c>
      <x:c r="I6277" s="36" t="n">
        <x:f>IFERROR(H6277/A6277,0)</x:f>
        <x:v>86857.14285714287</x:v>
      </x:c>
      <x:c r="J6277" s="67" t="str">
        <x:v>Modeled from live base + Sep-2026 quality ratio</x:v>
      </x:c>
      <x:c r="K6277" s="67" t="str">
        <x:v>https://www.stonealgo.com/diamond-prices/</x:v>
      </x:c>
      <x:c r="L6277" s="67" t="str">
        <x:v>https://www.pricescope.com/blog/natural-diamond-prices-september-2026</x:v>
      </x:c>
    </x:row>
    <x:row r="6278">
      <x:c r="A6278" t="n">
        <x:v>10</x:v>
      </x:c>
      <x:c r="B6278" t="str">
        <x:v>Marquise</x:v>
      </x:c>
      <x:c r="C6278" t="str">
        <x:v>D</x:v>
      </x:c>
      <x:c r="D6278" t="str">
        <x:v>VS1</x:v>
      </x:c>
      <x:c r="E6278" s="36" t="n">
        <x:v>608000</x:v>
      </x:c>
      <x:c r="F6278" s="36" t="n">
        <x:v>6247</x:v>
      </x:c>
      <x:c r="G6278" s="42" t="n">
        <x:v>1.33998283998284</x:v>
      </x:c>
      <x:c r="H6278" s="36" t="n">
        <x:f>E6278*G6278</x:f>
        <x:v>814709.5667095667</x:v>
      </x:c>
      <x:c r="I6278" s="36" t="n">
        <x:f>IFERROR(H6278/A6278,0)</x:f>
        <x:v>81470.95667095667</x:v>
      </x:c>
      <x:c r="J6278" s="67" t="str">
        <x:v>Modeled from live base + Sep-2026 quality ratio</x:v>
      </x:c>
      <x:c r="K6278" s="67" t="str">
        <x:v>https://www.stonealgo.com/diamond-prices/</x:v>
      </x:c>
      <x:c r="L6278" s="67" t="str">
        <x:v>https://www.pricescope.com/blog/natural-diamond-prices-september-2026</x:v>
      </x:c>
    </x:row>
    <x:row r="6279">
      <x:c r="A6279" t="n">
        <x:v>10</x:v>
      </x:c>
      <x:c r="B6279" t="str">
        <x:v>Marquise</x:v>
      </x:c>
      <x:c r="C6279" t="str">
        <x:v>D</x:v>
      </x:c>
      <x:c r="D6279" t="str">
        <x:v>VS2</x:v>
      </x:c>
      <x:c r="E6279" s="36" t="n">
        <x:v>608000</x:v>
      </x:c>
      <x:c r="F6279" s="36" t="n">
        <x:v>5841</x:v>
      </x:c>
      <x:c r="G6279" s="42" t="n">
        <x:v>1.252895752895753</x:v>
      </x:c>
      <x:c r="H6279" s="36" t="n">
        <x:f>E6279*G6279</x:f>
        <x:v>761760.6177606178</x:v>
      </x:c>
      <x:c r="I6279" s="36" t="n">
        <x:f>IFERROR(H6279/A6279,0)</x:f>
        <x:v>76176.06177606178</x:v>
      </x:c>
      <x:c r="J6279" s="67" t="str">
        <x:v>Modeled from live base + Sep-2026 quality ratio</x:v>
      </x:c>
      <x:c r="K6279" s="67" t="str">
        <x:v>https://www.stonealgo.com/diamond-prices/</x:v>
      </x:c>
      <x:c r="L6279" s="67" t="str">
        <x:v>https://www.pricescope.com/blog/natural-diamond-prices-september-2026</x:v>
      </x:c>
    </x:row>
    <x:row r="6280">
      <x:c r="A6280" t="n">
        <x:v>10</x:v>
      </x:c>
      <x:c r="B6280" t="str">
        <x:v>Marquise</x:v>
      </x:c>
      <x:c r="C6280" t="str">
        <x:v>D</x:v>
      </x:c>
      <x:c r="D6280" t="str">
        <x:v>SI1</x:v>
      </x:c>
      <x:c r="E6280" s="36" t="n">
        <x:v>608000</x:v>
      </x:c>
      <x:c r="F6280" s="36" t="n">
        <x:v>3762</x:v>
      </x:c>
      <x:c r="G6280" s="42" t="n">
        <x:v>0.806949806949807</x:v>
      </x:c>
      <x:c r="H6280" s="36" t="n">
        <x:f>E6280*G6280</x:f>
        <x:v>490625.48262548266</x:v>
      </x:c>
      <x:c r="I6280" s="36" t="n">
        <x:f>IFERROR(H6280/A6280,0)</x:f>
        <x:v>49062.54826254827</x:v>
      </x:c>
      <x:c r="J6280" s="67" t="str">
        <x:v>Modeled from live base + Sep-2026 quality ratio</x:v>
      </x:c>
      <x:c r="K6280" s="67" t="str">
        <x:v>https://www.stonealgo.com/diamond-prices/</x:v>
      </x:c>
      <x:c r="L6280" s="67" t="str">
        <x:v>https://www.pricescope.com/blog/natural-diamond-prices-september-2026</x:v>
      </x:c>
    </x:row>
    <x:row r="6281">
      <x:c r="A6281" t="n">
        <x:v>10</x:v>
      </x:c>
      <x:c r="B6281" t="str">
        <x:v>Marquise</x:v>
      </x:c>
      <x:c r="C6281" t="str">
        <x:v>D</x:v>
      </x:c>
      <x:c r="D6281" t="str">
        <x:v>SI2</x:v>
      </x:c>
      <x:c r="E6281" s="36" t="n">
        <x:v>608000</x:v>
      </x:c>
      <x:c r="F6281" s="36" t="n">
        <x:v>3026</x:v>
      </x:c>
      <x:c r="G6281" s="42" t="n">
        <x:v>0.6490776490776491</x:v>
      </x:c>
      <x:c r="H6281" s="36" t="n">
        <x:f>E6281*G6281</x:f>
        <x:v>394639.21063921065</x:v>
      </x:c>
      <x:c r="I6281" s="36" t="n">
        <x:f>IFERROR(H6281/A6281,0)</x:f>
        <x:v>39463.921063921065</x:v>
      </x:c>
      <x:c r="J6281" s="67" t="str">
        <x:v>Modeled from live base + Sep-2026 quality ratio</x:v>
      </x:c>
      <x:c r="K6281" s="67" t="str">
        <x:v>https://www.stonealgo.com/diamond-prices/</x:v>
      </x:c>
      <x:c r="L6281" s="67" t="str">
        <x:v>https://www.pricescope.com/blog/natural-diamond-prices-september-2026</x:v>
      </x:c>
    </x:row>
    <x:row r="6282">
      <x:c r="A6282" t="n">
        <x:v>10</x:v>
      </x:c>
      <x:c r="B6282" t="str">
        <x:v>Marquise</x:v>
      </x:c>
      <x:c r="C6282" t="str">
        <x:v>E</x:v>
      </x:c>
      <x:c r="D6282" t="str">
        <x:v>FL</x:v>
      </x:c>
      <x:c r="E6282" s="36" t="n">
        <x:v>608000</x:v>
      </x:c>
      <x:c r="F6282" s="36" t="n">
        <x:v>10072</x:v>
      </x:c>
      <x:c r="G6282" s="42" t="n">
        <x:v>2.1604461604461602</x:v>
      </x:c>
      <x:c r="H6282" s="36" t="n">
        <x:f>E6282*G6282</x:f>
        <x:v>1313551.2655512653</x:v>
      </x:c>
      <x:c r="I6282" s="36" t="n">
        <x:f>IFERROR(H6282/A6282,0)</x:f>
        <x:v>131355.12655512654</x:v>
      </x:c>
      <x:c r="J6282" s="67" t="str">
        <x:v>Modeled from live base + Sep-2026 quality ratio</x:v>
      </x:c>
      <x:c r="K6282" s="67" t="str">
        <x:v>https://www.stonealgo.com/diamond-prices/</x:v>
      </x:c>
      <x:c r="L6282" s="67" t="str">
        <x:v>https://www.pricescope.com/blog/natural-diamond-prices-september-2026</x:v>
      </x:c>
    </x:row>
    <x:row r="6283">
      <x:c r="A6283" t="n">
        <x:v>10</x:v>
      </x:c>
      <x:c r="B6283" t="str">
        <x:v>Marquise</x:v>
      </x:c>
      <x:c r="C6283" t="str">
        <x:v>E</x:v>
      </x:c>
      <x:c r="D6283" t="str">
        <x:v>IF</x:v>
      </x:c>
      <x:c r="E6283" s="36" t="n">
        <x:v>608000</x:v>
      </x:c>
      <x:c r="F6283" s="36" t="n">
        <x:v>8672</x:v>
      </x:c>
      <x:c r="G6283" s="42" t="n">
        <x:v>1.8601458601458603</x:v>
      </x:c>
      <x:c r="H6283" s="36" t="n">
        <x:f>E6283*G6283</x:f>
        <x:v>1130968.682968683</x:v>
      </x:c>
      <x:c r="I6283" s="36" t="n">
        <x:f>IFERROR(H6283/A6283,0)</x:f>
        <x:v>113096.86829686831</x:v>
      </x:c>
      <x:c r="J6283" s="67" t="str">
        <x:v>Modeled from live base + Sep-2026 quality ratio</x:v>
      </x:c>
      <x:c r="K6283" s="67" t="str">
        <x:v>https://www.stonealgo.com/diamond-prices/</x:v>
      </x:c>
      <x:c r="L6283" s="67" t="str">
        <x:v>https://www.pricescope.com/blog/natural-diamond-prices-september-2026</x:v>
      </x:c>
    </x:row>
    <x:row r="6284">
      <x:c r="A6284" t="n">
        <x:v>10</x:v>
      </x:c>
      <x:c r="B6284" t="str">
        <x:v>Marquise</x:v>
      </x:c>
      <x:c r="C6284" t="str">
        <x:v>E</x:v>
      </x:c>
      <x:c r="D6284" t="str">
        <x:v>VVS1</x:v>
      </x:c>
      <x:c r="E6284" s="36" t="n">
        <x:v>608000</x:v>
      </x:c>
      <x:c r="F6284" s="36" t="n">
        <x:v>7842</x:v>
      </x:c>
      <x:c r="G6284" s="42" t="n">
        <x:v>1.6821106821106822</x:v>
      </x:c>
      <x:c r="H6284" s="36" t="n">
        <x:f>E6284*G6284</x:f>
        <x:v>1022723.2947232948</x:v>
      </x:c>
      <x:c r="I6284" s="36" t="n">
        <x:f>IFERROR(H6284/A6284,0)</x:f>
        <x:v>102272.32947232948</x:v>
      </x:c>
      <x:c r="J6284" s="67" t="str">
        <x:v>Modeled from live base + Sep-2026 quality ratio</x:v>
      </x:c>
      <x:c r="K6284" s="67" t="str">
        <x:v>https://www.stonealgo.com/diamond-prices/</x:v>
      </x:c>
      <x:c r="L6284" s="67" t="str">
        <x:v>https://www.pricescope.com/blog/natural-diamond-prices-september-2026</x:v>
      </x:c>
    </x:row>
    <x:row r="6285">
      <x:c r="A6285" t="n">
        <x:v>10</x:v>
      </x:c>
      <x:c r="B6285" t="str">
        <x:v>Marquise</x:v>
      </x:c>
      <x:c r="C6285" t="str">
        <x:v>E</x:v>
      </x:c>
      <x:c r="D6285" t="str">
        <x:v>VVS2</x:v>
      </x:c>
      <x:c r="E6285" s="36" t="n">
        <x:v>608000</x:v>
      </x:c>
      <x:c r="F6285" s="36" t="n">
        <x:v>6880</x:v>
      </x:c>
      <x:c r="G6285" s="42" t="n">
        <x:v>1.4757614757614759</x:v>
      </x:c>
      <x:c r="H6285" s="36" t="n">
        <x:f>E6285*G6285</x:f>
        <x:v>897262.9772629773</x:v>
      </x:c>
      <x:c r="I6285" s="36" t="n">
        <x:f>IFERROR(H6285/A6285,0)</x:f>
        <x:v>89726.29772629772</x:v>
      </x:c>
      <x:c r="J6285" s="67" t="str">
        <x:v>Modeled from live base + Sep-2026 quality ratio</x:v>
      </x:c>
      <x:c r="K6285" s="67" t="str">
        <x:v>https://www.stonealgo.com/diamond-prices/</x:v>
      </x:c>
      <x:c r="L6285" s="67" t="str">
        <x:v>https://www.pricescope.com/blog/natural-diamond-prices-september-2026</x:v>
      </x:c>
    </x:row>
    <x:row r="6286">
      <x:c r="A6286" t="n">
        <x:v>10</x:v>
      </x:c>
      <x:c r="B6286" t="str">
        <x:v>Marquise</x:v>
      </x:c>
      <x:c r="C6286" t="str">
        <x:v>E</x:v>
      </x:c>
      <x:c r="D6286" t="str">
        <x:v>VS1</x:v>
      </x:c>
      <x:c r="E6286" s="36" t="n">
        <x:v>608000</x:v>
      </x:c>
      <x:c r="F6286" s="36" t="n">
        <x:v>6307</x:v>
      </x:c>
      <x:c r="G6286" s="42" t="n">
        <x:v>1.352852852852853</x:v>
      </x:c>
      <x:c r="H6286" s="36" t="n">
        <x:f>E6286*G6286</x:f>
        <x:v>822534.5345345346</x:v>
      </x:c>
      <x:c r="I6286" s="36" t="n">
        <x:f>IFERROR(H6286/A6286,0)</x:f>
        <x:v>82253.45345345346</x:v>
      </x:c>
      <x:c r="J6286" s="67" t="str">
        <x:v>Modeled from live base + Sep-2026 quality ratio</x:v>
      </x:c>
      <x:c r="K6286" s="67" t="str">
        <x:v>https://www.stonealgo.com/diamond-prices/</x:v>
      </x:c>
      <x:c r="L6286" s="67" t="str">
        <x:v>https://www.pricescope.com/blog/natural-diamond-prices-september-2026</x:v>
      </x:c>
    </x:row>
    <x:row r="6287">
      <x:c r="A6287" t="n">
        <x:v>10</x:v>
      </x:c>
      <x:c r="B6287" t="str">
        <x:v>Marquise</x:v>
      </x:c>
      <x:c r="C6287" t="str">
        <x:v>E</x:v>
      </x:c>
      <x:c r="D6287" t="str">
        <x:v>VS2</x:v>
      </x:c>
      <x:c r="E6287" s="36" t="n">
        <x:v>608000</x:v>
      </x:c>
      <x:c r="F6287" s="36" t="n">
        <x:v>5249</x:v>
      </x:c>
      <x:c r="G6287" s="42" t="n">
        <x:v>1.125911625911626</x:v>
      </x:c>
      <x:c r="H6287" s="36" t="n">
        <x:f>E6287*G6287</x:f>
        <x:v>684554.2685542686</x:v>
      </x:c>
      <x:c r="I6287" s="36" t="n">
        <x:f>IFERROR(H6287/A6287,0)</x:f>
        <x:v>68455.42685542686</x:v>
      </x:c>
      <x:c r="J6287" s="67" t="str">
        <x:v>Modeled from live base + Sep-2026 quality ratio</x:v>
      </x:c>
      <x:c r="K6287" s="67" t="str">
        <x:v>https://www.stonealgo.com/diamond-prices/</x:v>
      </x:c>
      <x:c r="L6287" s="67" t="str">
        <x:v>https://www.pricescope.com/blog/natural-diamond-prices-september-2026</x:v>
      </x:c>
    </x:row>
    <x:row r="6288">
      <x:c r="A6288" t="n">
        <x:v>10</x:v>
      </x:c>
      <x:c r="B6288" t="str">
        <x:v>Marquise</x:v>
      </x:c>
      <x:c r="C6288" t="str">
        <x:v>E</x:v>
      </x:c>
      <x:c r="D6288" t="str">
        <x:v>SI1</x:v>
      </x:c>
      <x:c r="E6288" s="36" t="n">
        <x:v>608000</x:v>
      </x:c>
      <x:c r="F6288" s="36" t="n">
        <x:v>3551</x:v>
      </x:c>
      <x:c r="G6288" s="42" t="n">
        <x:v>0.7616902616902617</x:v>
      </x:c>
      <x:c r="H6288" s="36" t="n">
        <x:f>E6288*G6288</x:f>
        <x:v>463107.6791076791</x:v>
      </x:c>
      <x:c r="I6288" s="36" t="n">
        <x:f>IFERROR(H6288/A6288,0)</x:f>
        <x:v>46310.767910767914</x:v>
      </x:c>
      <x:c r="J6288" s="67" t="str">
        <x:v>Modeled from live base + Sep-2026 quality ratio</x:v>
      </x:c>
      <x:c r="K6288" s="67" t="str">
        <x:v>https://www.stonealgo.com/diamond-prices/</x:v>
      </x:c>
      <x:c r="L6288" s="67" t="str">
        <x:v>https://www.pricescope.com/blog/natural-diamond-prices-september-2026</x:v>
      </x:c>
    </x:row>
    <x:row r="6289">
      <x:c r="A6289" t="n">
        <x:v>10</x:v>
      </x:c>
      <x:c r="B6289" t="str">
        <x:v>Marquise</x:v>
      </x:c>
      <x:c r="C6289" t="str">
        <x:v>E</x:v>
      </x:c>
      <x:c r="D6289" t="str">
        <x:v>SI2</x:v>
      </x:c>
      <x:c r="E6289" s="36" t="n">
        <x:v>608000</x:v>
      </x:c>
      <x:c r="F6289" s="36" t="n">
        <x:v>2993</x:v>
      </x:c>
      <x:c r="G6289" s="42" t="n">
        <x:v>0.641999141999142</x:v>
      </x:c>
      <x:c r="H6289" s="36" t="n">
        <x:f>E6289*G6289</x:f>
        <x:v>390335.47833547834</x:v>
      </x:c>
      <x:c r="I6289" s="36" t="n">
        <x:f>IFERROR(H6289/A6289,0)</x:f>
        <x:v>39033.54783354783</x:v>
      </x:c>
      <x:c r="J6289" s="67" t="str">
        <x:v>Modeled from live base + Sep-2026 quality ratio</x:v>
      </x:c>
      <x:c r="K6289" s="67" t="str">
        <x:v>https://www.stonealgo.com/diamond-prices/</x:v>
      </x:c>
      <x:c r="L6289" s="67" t="str">
        <x:v>https://www.pricescope.com/blog/natural-diamond-prices-september-2026</x:v>
      </x:c>
    </x:row>
    <x:row r="6290">
      <x:c r="A6290" t="n">
        <x:v>10</x:v>
      </x:c>
      <x:c r="B6290" t="str">
        <x:v>Marquise</x:v>
      </x:c>
      <x:c r="C6290" t="str">
        <x:v>F</x:v>
      </x:c>
      <x:c r="D6290" t="str">
        <x:v>FL</x:v>
      </x:c>
      <x:c r="E6290" s="36" t="n">
        <x:v>608000</x:v>
      </x:c>
      <x:c r="F6290" s="36" t="n">
        <x:v>6830</x:v>
      </x:c>
      <x:c r="G6290" s="42" t="n">
        <x:v>1.4650364650364651</x:v>
      </x:c>
      <x:c r="H6290" s="36" t="n">
        <x:f>E6290*G6290</x:f>
        <x:v>890742.1707421708</x:v>
      </x:c>
      <x:c r="I6290" s="36" t="n">
        <x:f>IFERROR(H6290/A6290,0)</x:f>
        <x:v>89074.21707421707</x:v>
      </x:c>
      <x:c r="J6290" s="67" t="str">
        <x:v>Modeled from live base + Sep-2026 quality ratio</x:v>
      </x:c>
      <x:c r="K6290" s="67" t="str">
        <x:v>https://www.stonealgo.com/diamond-prices/</x:v>
      </x:c>
      <x:c r="L6290" s="67" t="str">
        <x:v>https://www.pricescope.com/blog/natural-diamond-prices-september-2026</x:v>
      </x:c>
    </x:row>
    <x:row r="6291">
      <x:c r="A6291" t="n">
        <x:v>10</x:v>
      </x:c>
      <x:c r="B6291" t="str">
        <x:v>Marquise</x:v>
      </x:c>
      <x:c r="C6291" t="str">
        <x:v>F</x:v>
      </x:c>
      <x:c r="D6291" t="str">
        <x:v>IF</x:v>
      </x:c>
      <x:c r="E6291" s="36" t="n">
        <x:v>608000</x:v>
      </x:c>
      <x:c r="F6291" s="36" t="n">
        <x:v>7302</x:v>
      </x:c>
      <x:c r="G6291" s="42" t="n">
        <x:v>1.5662805662805663</x:v>
      </x:c>
      <x:c r="H6291" s="36" t="n">
        <x:f>E6291*G6291</x:f>
        <x:v>952298.5842985844</x:v>
      </x:c>
      <x:c r="I6291" s="36" t="n">
        <x:f>IFERROR(H6291/A6291,0)</x:f>
        <x:v>95229.85842985843</x:v>
      </x:c>
      <x:c r="J6291" s="67" t="str">
        <x:v>Modeled from live base + Sep-2026 quality ratio</x:v>
      </x:c>
      <x:c r="K6291" s="67" t="str">
        <x:v>https://www.stonealgo.com/diamond-prices/</x:v>
      </x:c>
      <x:c r="L6291" s="67" t="str">
        <x:v>https://www.pricescope.com/blog/natural-diamond-prices-september-2026</x:v>
      </x:c>
    </x:row>
    <x:row r="6292">
      <x:c r="A6292" t="n">
        <x:v>10</x:v>
      </x:c>
      <x:c r="B6292" t="str">
        <x:v>Marquise</x:v>
      </x:c>
      <x:c r="C6292" t="str">
        <x:v>F</x:v>
      </x:c>
      <x:c r="D6292" t="str">
        <x:v>VVS1</x:v>
      </x:c>
      <x:c r="E6292" s="36" t="n">
        <x:v>608000</x:v>
      </x:c>
      <x:c r="F6292" s="36" t="n">
        <x:v>7542</x:v>
      </x:c>
      <x:c r="G6292" s="42" t="n">
        <x:v>1.6177606177606179</x:v>
      </x:c>
      <x:c r="H6292" s="36" t="n">
        <x:f>E6292*G6292</x:f>
        <x:v>983598.4555984556</x:v>
      </x:c>
      <x:c r="I6292" s="36" t="n">
        <x:f>IFERROR(H6292/A6292,0)</x:f>
        <x:v>98359.84555984556</x:v>
      </x:c>
      <x:c r="J6292" s="67" t="str">
        <x:v>Modeled from live base + Sep-2026 quality ratio</x:v>
      </x:c>
      <x:c r="K6292" s="67" t="str">
        <x:v>https://www.stonealgo.com/diamond-prices/</x:v>
      </x:c>
      <x:c r="L6292" s="67" t="str">
        <x:v>https://www.pricescope.com/blog/natural-diamond-prices-september-2026</x:v>
      </x:c>
    </x:row>
    <x:row r="6293">
      <x:c r="A6293" t="n">
        <x:v>10</x:v>
      </x:c>
      <x:c r="B6293" t="str">
        <x:v>Marquise</x:v>
      </x:c>
      <x:c r="C6293" t="str">
        <x:v>F</x:v>
      </x:c>
      <x:c r="D6293" t="str">
        <x:v>VVS2</x:v>
      </x:c>
      <x:c r="E6293" s="36" t="n">
        <x:v>608000</x:v>
      </x:c>
      <x:c r="F6293" s="36" t="n">
        <x:v>6352</x:v>
      </x:c>
      <x:c r="G6293" s="42" t="n">
        <x:v>1.3625053625053625</x:v>
      </x:c>
      <x:c r="H6293" s="36" t="n">
        <x:f>E6293*G6293</x:f>
        <x:v>828403.2604032604</x:v>
      </x:c>
      <x:c r="I6293" s="36" t="n">
        <x:f>IFERROR(H6293/A6293,0)</x:f>
        <x:v>82840.32604032604</x:v>
      </x:c>
      <x:c r="J6293" s="67" t="str">
        <x:v>Modeled from live base + Sep-2026 quality ratio</x:v>
      </x:c>
      <x:c r="K6293" s="67" t="str">
        <x:v>https://www.stonealgo.com/diamond-prices/</x:v>
      </x:c>
      <x:c r="L6293" s="67" t="str">
        <x:v>https://www.pricescope.com/blog/natural-diamond-prices-september-2026</x:v>
      </x:c>
    </x:row>
    <x:row r="6294">
      <x:c r="A6294" t="n">
        <x:v>10</x:v>
      </x:c>
      <x:c r="B6294" t="str">
        <x:v>Marquise</x:v>
      </x:c>
      <x:c r="C6294" t="str">
        <x:v>F</x:v>
      </x:c>
      <x:c r="D6294" t="str">
        <x:v>VS1</x:v>
      </x:c>
      <x:c r="E6294" s="36" t="n">
        <x:v>608000</x:v>
      </x:c>
      <x:c r="F6294" s="36" t="n">
        <x:v>5647</x:v>
      </x:c>
      <x:c r="G6294" s="42" t="n">
        <x:v>1.2112827112827114</x:v>
      </x:c>
      <x:c r="H6294" s="36" t="n">
        <x:f>E6294*G6294</x:f>
        <x:v>736459.8884598885</x:v>
      </x:c>
      <x:c r="I6294" s="36" t="n">
        <x:f>IFERROR(H6294/A6294,0)</x:f>
        <x:v>73645.98884598885</x:v>
      </x:c>
      <x:c r="J6294" s="67" t="str">
        <x:v>Modeled from live base + Sep-2026 quality ratio</x:v>
      </x:c>
      <x:c r="K6294" s="67" t="str">
        <x:v>https://www.stonealgo.com/diamond-prices/</x:v>
      </x:c>
      <x:c r="L6294" s="67" t="str">
        <x:v>https://www.pricescope.com/blog/natural-diamond-prices-september-2026</x:v>
      </x:c>
    </x:row>
    <x:row r="6295">
      <x:c r="A6295" t="n">
        <x:v>10</x:v>
      </x:c>
      <x:c r="B6295" t="str">
        <x:v>Marquise</x:v>
      </x:c>
      <x:c r="C6295" t="str">
        <x:v>F</x:v>
      </x:c>
      <x:c r="D6295" t="str">
        <x:v>VS2</x:v>
      </x:c>
      <x:c r="E6295" s="36" t="n">
        <x:v>608000</x:v>
      </x:c>
      <x:c r="F6295" s="36" t="n">
        <x:v>4730</x:v>
      </x:c>
      <x:c r="G6295" s="42" t="n">
        <x:v>1.0145860145860146</x:v>
      </x:c>
      <x:c r="H6295" s="36" t="n">
        <x:f>E6295*G6295</x:f>
        <x:v>616868.2968682969</x:v>
      </x:c>
      <x:c r="I6295" s="36" t="n">
        <x:f>IFERROR(H6295/A6295,0)</x:f>
        <x:v>61686.82968682969</x:v>
      </x:c>
      <x:c r="J6295" s="67" t="str">
        <x:v>Modeled from live base + Sep-2026 quality ratio</x:v>
      </x:c>
      <x:c r="K6295" s="67" t="str">
        <x:v>https://www.stonealgo.com/diamond-prices/</x:v>
      </x:c>
      <x:c r="L6295" s="67" t="str">
        <x:v>https://www.pricescope.com/blog/natural-diamond-prices-september-2026</x:v>
      </x:c>
    </x:row>
    <x:row r="6296">
      <x:c r="A6296" t="n">
        <x:v>10</x:v>
      </x:c>
      <x:c r="B6296" t="str">
        <x:v>Marquise</x:v>
      </x:c>
      <x:c r="C6296" t="str">
        <x:v>F</x:v>
      </x:c>
      <x:c r="D6296" t="str">
        <x:v>SI1</x:v>
      </x:c>
      <x:c r="E6296" s="36" t="n">
        <x:v>608000</x:v>
      </x:c>
      <x:c r="F6296" s="36" t="n">
        <x:v>3331</x:v>
      </x:c>
      <x:c r="G6296" s="42" t="n">
        <x:v>0.7145002145002145</x:v>
      </x:c>
      <x:c r="H6296" s="36" t="n">
        <x:f>E6296*G6296</x:f>
        <x:v>434416.1304161304</x:v>
      </x:c>
      <x:c r="I6296" s="36" t="n">
        <x:f>IFERROR(H6296/A6296,0)</x:f>
        <x:v>43441.61304161304</x:v>
      </x:c>
      <x:c r="J6296" s="67" t="str">
        <x:v>Modeled from live base + Sep-2026 quality ratio</x:v>
      </x:c>
      <x:c r="K6296" s="67" t="str">
        <x:v>https://www.stonealgo.com/diamond-prices/</x:v>
      </x:c>
      <x:c r="L6296" s="67" t="str">
        <x:v>https://www.pricescope.com/blog/natural-diamond-prices-september-2026</x:v>
      </x:c>
    </x:row>
    <x:row r="6297">
      <x:c r="A6297" t="n">
        <x:v>10</x:v>
      </x:c>
      <x:c r="B6297" t="str">
        <x:v>Marquise</x:v>
      </x:c>
      <x:c r="C6297" t="str">
        <x:v>F</x:v>
      </x:c>
      <x:c r="D6297" t="str">
        <x:v>SI2</x:v>
      </x:c>
      <x:c r="E6297" s="36" t="n">
        <x:v>608000</x:v>
      </x:c>
      <x:c r="F6297" s="36" t="n">
        <x:v>2733</x:v>
      </x:c>
      <x:c r="G6297" s="42" t="n">
        <x:v>0.5862290862290862</x:v>
      </x:c>
      <x:c r="H6297" s="36" t="n">
        <x:f>E6297*G6297</x:f>
        <x:v>356427.28442728444</x:v>
      </x:c>
      <x:c r="I6297" s="36" t="n">
        <x:f>IFERROR(H6297/A6297,0)</x:f>
        <x:v>35642.72844272845</x:v>
      </x:c>
      <x:c r="J6297" s="67" t="str">
        <x:v>Modeled from live base + Sep-2026 quality ratio</x:v>
      </x:c>
      <x:c r="K6297" s="67" t="str">
        <x:v>https://www.stonealgo.com/diamond-prices/</x:v>
      </x:c>
      <x:c r="L6297" s="67" t="str">
        <x:v>https://www.pricescope.com/blog/natural-diamond-prices-september-2026</x:v>
      </x:c>
    </x:row>
    <x:row r="6298">
      <x:c r="A6298" t="n">
        <x:v>10</x:v>
      </x:c>
      <x:c r="B6298" t="str">
        <x:v>Marquise</x:v>
      </x:c>
      <x:c r="C6298" t="str">
        <x:v>G</x:v>
      </x:c>
      <x:c r="D6298" t="str">
        <x:v>FL</x:v>
      </x:c>
      <x:c r="E6298" s="36" t="n">
        <x:v>608000</x:v>
      </x:c>
      <x:c r="F6298" s="36" t="n">
        <x:v>5905</x:v>
      </x:c>
      <x:c r="G6298" s="42" t="n">
        <x:v>1.2666237666237665</x:v>
      </x:c>
      <x:c r="H6298" s="36" t="n">
        <x:f>E6298*G6298</x:f>
        <x:v>770107.2501072501</x:v>
      </x:c>
      <x:c r="I6298" s="36" t="n">
        <x:f>IFERROR(H6298/A6298,0)</x:f>
        <x:v>77010.725010725</x:v>
      </x:c>
      <x:c r="J6298" s="67" t="str">
        <x:v>Modeled from live base + Sep-2026 quality ratio</x:v>
      </x:c>
      <x:c r="K6298" s="67" t="str">
        <x:v>https://www.stonealgo.com/diamond-prices/</x:v>
      </x:c>
      <x:c r="L6298" s="67" t="str">
        <x:v>https://www.pricescope.com/blog/natural-diamond-prices-september-2026</x:v>
      </x:c>
    </x:row>
    <x:row r="6299">
      <x:c r="A6299" t="n">
        <x:v>10</x:v>
      </x:c>
      <x:c r="B6299" t="str">
        <x:v>Marquise</x:v>
      </x:c>
      <x:c r="C6299" t="str">
        <x:v>G</x:v>
      </x:c>
      <x:c r="D6299" t="str">
        <x:v>IF</x:v>
      </x:c>
      <x:c r="E6299" s="36" t="n">
        <x:v>608000</x:v>
      </x:c>
      <x:c r="F6299" s="36" t="n">
        <x:v>5601</x:v>
      </x:c>
      <x:c r="G6299" s="42" t="n">
        <x:v>1.2014157014157014</x:v>
      </x:c>
      <x:c r="H6299" s="36" t="n">
        <x:f>E6299*G6299</x:f>
        <x:v>730460.7464607465</x:v>
      </x:c>
      <x:c r="I6299" s="36" t="n">
        <x:f>IFERROR(H6299/A6299,0)</x:f>
        <x:v>73046.07464607464</x:v>
      </x:c>
      <x:c r="J6299" s="67" t="str">
        <x:v>Modeled from live base + Sep-2026 quality ratio</x:v>
      </x:c>
      <x:c r="K6299" s="67" t="str">
        <x:v>https://www.stonealgo.com/diamond-prices/</x:v>
      </x:c>
      <x:c r="L6299" s="67" t="str">
        <x:v>https://www.pricescope.com/blog/natural-diamond-prices-september-2026</x:v>
      </x:c>
    </x:row>
    <x:row r="6300">
      <x:c r="A6300" t="n">
        <x:v>10</x:v>
      </x:c>
      <x:c r="B6300" t="str">
        <x:v>Marquise</x:v>
      </x:c>
      <x:c r="C6300" t="str">
        <x:v>G</x:v>
      </x:c>
      <x:c r="D6300" t="str">
        <x:v>VVS1</x:v>
      </x:c>
      <x:c r="E6300" s="36" t="n">
        <x:v>608000</x:v>
      </x:c>
      <x:c r="F6300" s="36" t="n">
        <x:v>5124</x:v>
      </x:c>
      <x:c r="G6300" s="42" t="n">
        <x:v>1.0990990990990992</x:v>
      </x:c>
      <x:c r="H6300" s="36" t="n">
        <x:f>E6300*G6300</x:f>
        <x:v>668252.2522522523</x:v>
      </x:c>
      <x:c r="I6300" s="36" t="n">
        <x:f>IFERROR(H6300/A6300,0)</x:f>
        <x:v>66825.22522522524</x:v>
      </x:c>
      <x:c r="J6300" s="67" t="str">
        <x:v>Modeled from live base + Sep-2026 quality ratio</x:v>
      </x:c>
      <x:c r="K6300" s="67" t="str">
        <x:v>https://www.stonealgo.com/diamond-prices/</x:v>
      </x:c>
      <x:c r="L6300" s="67" t="str">
        <x:v>https://www.pricescope.com/blog/natural-diamond-prices-september-2026</x:v>
      </x:c>
    </x:row>
    <x:row r="6301">
      <x:c r="A6301" t="n">
        <x:v>10</x:v>
      </x:c>
      <x:c r="B6301" t="str">
        <x:v>Marquise</x:v>
      </x:c>
      <x:c r="C6301" t="str">
        <x:v>G</x:v>
      </x:c>
      <x:c r="D6301" t="str">
        <x:v>VVS2</x:v>
      </x:c>
      <x:c r="E6301" s="36" t="n">
        <x:v>608000</x:v>
      </x:c>
      <x:c r="F6301" s="36" t="n">
        <x:v>4962</x:v>
      </x:c>
      <x:c r="G6301" s="42" t="n">
        <x:v>1.0643500643500643</x:v>
      </x:c>
      <x:c r="H6301" s="36" t="n">
        <x:f>E6301*G6301</x:f>
        <x:v>647124.839124839</x:v>
      </x:c>
      <x:c r="I6301" s="36" t="n">
        <x:f>IFERROR(H6301/A6301,0)</x:f>
        <x:v>64712.483912483905</x:v>
      </x:c>
      <x:c r="J6301" s="67" t="str">
        <x:v>Modeled from live base + Sep-2026 quality ratio</x:v>
      </x:c>
      <x:c r="K6301" s="67" t="str">
        <x:v>https://www.stonealgo.com/diamond-prices/</x:v>
      </x:c>
      <x:c r="L6301" s="67" t="str">
        <x:v>https://www.pricescope.com/blog/natural-diamond-prices-september-2026</x:v>
      </x:c>
    </x:row>
    <x:row r="6302">
      <x:c r="A6302" t="n">
        <x:v>10</x:v>
      </x:c>
      <x:c r="B6302" t="str">
        <x:v>Marquise</x:v>
      </x:c>
      <x:c r="C6302" t="str">
        <x:v>G</x:v>
      </x:c>
      <x:c r="D6302" t="str">
        <x:v>VS1</x:v>
      </x:c>
      <x:c r="E6302" s="36" t="n">
        <x:v>608000</x:v>
      </x:c>
      <x:c r="F6302" s="36" t="n">
        <x:v>4615</x:v>
      </x:c>
      <x:c r="G6302" s="42" t="n">
        <x:v>0.98991848991849</x:v>
      </x:c>
      <x:c r="H6302" s="36" t="n">
        <x:f>E6302*G6302</x:f>
        <x:v>601870.4418704419</x:v>
      </x:c>
      <x:c r="I6302" s="36" t="n">
        <x:f>IFERROR(H6302/A6302,0)</x:f>
        <x:v>60187.04418704419</x:v>
      </x:c>
      <x:c r="J6302" s="67" t="str">
        <x:v>Modeled from live base + Sep-2026 quality ratio</x:v>
      </x:c>
      <x:c r="K6302" s="67" t="str">
        <x:v>https://www.stonealgo.com/diamond-prices/</x:v>
      </x:c>
      <x:c r="L6302" s="67" t="str">
        <x:v>https://www.pricescope.com/blog/natural-diamond-prices-september-2026</x:v>
      </x:c>
    </x:row>
    <x:row r="6303">
      <x:c r="A6303" t="n">
        <x:v>10</x:v>
      </x:c>
      <x:c r="B6303" t="str">
        <x:v>Marquise</x:v>
      </x:c>
      <x:c r="C6303" t="str">
        <x:v>G</x:v>
      </x:c>
      <x:c r="D6303" t="str">
        <x:v>VS2</x:v>
      </x:c>
      <x:c r="E6303" s="36" t="n">
        <x:v>608000</x:v>
      </x:c>
      <x:c r="F6303" s="36" t="n">
        <x:v>4585</x:v>
      </x:c>
      <x:c r="G6303" s="42" t="n">
        <x:v>0.9834834834834835</x:v>
      </x:c>
      <x:c r="H6303" s="36" t="n">
        <x:f>E6303*G6303</x:f>
        <x:v>597957.957957958</x:v>
      </x:c>
      <x:c r="I6303" s="36" t="n">
        <x:f>IFERROR(H6303/A6303,0)</x:f>
        <x:v>59795.7957957958</x:v>
      </x:c>
      <x:c r="J6303" s="67" t="str">
        <x:v>Modeled from live base + Sep-2026 quality ratio</x:v>
      </x:c>
      <x:c r="K6303" s="67" t="str">
        <x:v>https://www.stonealgo.com/diamond-prices/</x:v>
      </x:c>
      <x:c r="L6303" s="67" t="str">
        <x:v>https://www.pricescope.com/blog/natural-diamond-prices-september-2026</x:v>
      </x:c>
    </x:row>
    <x:row r="6304">
      <x:c r="A6304" t="n">
        <x:v>10</x:v>
      </x:c>
      <x:c r="B6304" t="str">
        <x:v>Marquise</x:v>
      </x:c>
      <x:c r="C6304" t="str">
        <x:v>G</x:v>
      </x:c>
      <x:c r="D6304" t="str">
        <x:v>SI1</x:v>
      </x:c>
      <x:c r="E6304" s="36" t="n">
        <x:v>608000</x:v>
      </x:c>
      <x:c r="F6304" s="36" t="n">
        <x:v>3664</x:v>
      </x:c>
      <x:c r="G6304" s="42" t="n">
        <x:v>0.7859287859287859</x:v>
      </x:c>
      <x:c r="H6304" s="36" t="n">
        <x:f>E6304*G6304</x:f>
        <x:v>477844.70184470183</x:v>
      </x:c>
      <x:c r="I6304" s="36" t="n">
        <x:f>IFERROR(H6304/A6304,0)</x:f>
        <x:v>47784.470184470185</x:v>
      </x:c>
      <x:c r="J6304" s="67" t="str">
        <x:v>Modeled from live base + Sep-2026 quality ratio</x:v>
      </x:c>
      <x:c r="K6304" s="67" t="str">
        <x:v>https://www.stonealgo.com/diamond-prices/</x:v>
      </x:c>
      <x:c r="L6304" s="67" t="str">
        <x:v>https://www.pricescope.com/blog/natural-diamond-prices-september-2026</x:v>
      </x:c>
    </x:row>
    <x:row r="6305">
      <x:c r="A6305" t="n">
        <x:v>10</x:v>
      </x:c>
      <x:c r="B6305" t="str">
        <x:v>Marquise</x:v>
      </x:c>
      <x:c r="C6305" t="str">
        <x:v>G</x:v>
      </x:c>
      <x:c r="D6305" t="str">
        <x:v>SI2</x:v>
      </x:c>
      <x:c r="E6305" s="36" t="n">
        <x:v>608000</x:v>
      </x:c>
      <x:c r="F6305" s="36" t="n">
        <x:v>2537</x:v>
      </x:c>
      <x:c r="G6305" s="42" t="n">
        <x:v>0.5441870441870442</x:v>
      </x:c>
      <x:c r="H6305" s="36" t="n">
        <x:f>E6305*G6305</x:f>
        <x:v>330865.7228657229</x:v>
      </x:c>
      <x:c r="I6305" s="36" t="n">
        <x:f>IFERROR(H6305/A6305,0)</x:f>
        <x:v>33086.57228657229</x:v>
      </x:c>
      <x:c r="J6305" s="67" t="str">
        <x:v>Modeled from live base + Sep-2026 quality ratio</x:v>
      </x:c>
      <x:c r="K6305" s="67" t="str">
        <x:v>https://www.stonealgo.com/diamond-prices/</x:v>
      </x:c>
      <x:c r="L6305" s="67" t="str">
        <x:v>https://www.pricescope.com/blog/natural-diamond-prices-september-2026</x:v>
      </x:c>
    </x:row>
    <x:row r="6306">
      <x:c r="A6306" t="n">
        <x:v>10</x:v>
      </x:c>
      <x:c r="B6306" t="str">
        <x:v>Marquise</x:v>
      </x:c>
      <x:c r="C6306" t="str">
        <x:v>H</x:v>
      </x:c>
      <x:c r="D6306" t="str">
        <x:v>FL</x:v>
      </x:c>
      <x:c r="E6306" s="36" t="n">
        <x:v>608000</x:v>
      </x:c>
      <x:c r="F6306" s="36" t="n">
        <x:v>4563</x:v>
      </x:c>
      <x:c r="G6306" s="42" t="n">
        <x:v>0.9787644787644788</x:v>
      </x:c>
      <x:c r="H6306" s="36" t="n">
        <x:f>E6306*G6306</x:f>
        <x:v>595088.8030888031</x:v>
      </x:c>
      <x:c r="I6306" s="36" t="n">
        <x:f>IFERROR(H6306/A6306,0)</x:f>
        <x:v>59508.88030888031</x:v>
      </x:c>
      <x:c r="J6306" s="67" t="str">
        <x:v>Modeled from live base + Sep-2026 quality ratio</x:v>
      </x:c>
      <x:c r="K6306" s="67" t="str">
        <x:v>https://www.stonealgo.com/diamond-prices/</x:v>
      </x:c>
      <x:c r="L6306" s="67" t="str">
        <x:v>https://www.pricescope.com/blog/natural-diamond-prices-september-2026</x:v>
      </x:c>
    </x:row>
    <x:row r="6307">
      <x:c r="A6307" t="n">
        <x:v>10</x:v>
      </x:c>
      <x:c r="B6307" t="str">
        <x:v>Marquise</x:v>
      </x:c>
      <x:c r="C6307" t="str">
        <x:v>H</x:v>
      </x:c>
      <x:c r="D6307" t="str">
        <x:v>IF</x:v>
      </x:c>
      <x:c r="E6307" s="36" t="n">
        <x:v>608000</x:v>
      </x:c>
      <x:c r="F6307" s="36" t="n">
        <x:v>4809</x:v>
      </x:c>
      <x:c r="G6307" s="42" t="n">
        <x:v>1.0315315315315314</x:v>
      </x:c>
      <x:c r="H6307" s="36" t="n">
        <x:f>E6307*G6307</x:f>
        <x:v>627171.1711711711</x:v>
      </x:c>
      <x:c r="I6307" s="36" t="n">
        <x:f>IFERROR(H6307/A6307,0)</x:f>
        <x:v>62717.117117117115</x:v>
      </x:c>
      <x:c r="J6307" s="67" t="str">
        <x:v>Modeled from live base + Sep-2026 quality ratio</x:v>
      </x:c>
      <x:c r="K6307" s="67" t="str">
        <x:v>https://www.stonealgo.com/diamond-prices/</x:v>
      </x:c>
      <x:c r="L6307" s="67" t="str">
        <x:v>https://www.pricescope.com/blog/natural-diamond-prices-september-2026</x:v>
      </x:c>
    </x:row>
    <x:row r="6308">
      <x:c r="A6308" t="n">
        <x:v>10</x:v>
      </x:c>
      <x:c r="B6308" t="str">
        <x:v>Marquise</x:v>
      </x:c>
      <x:c r="C6308" t="str">
        <x:v>H</x:v>
      </x:c>
      <x:c r="D6308" t="str">
        <x:v>VVS1</x:v>
      </x:c>
      <x:c r="E6308" s="36" t="n">
        <x:v>608000</x:v>
      </x:c>
      <x:c r="F6308" s="36" t="n">
        <x:v>4911</x:v>
      </x:c>
      <x:c r="G6308" s="42" t="n">
        <x:v>1.0534105534105533</x:v>
      </x:c>
      <x:c r="H6308" s="36" t="n">
        <x:f>E6308*G6308</x:f>
        <x:v>640473.6164736165</x:v>
      </x:c>
      <x:c r="I6308" s="36" t="n">
        <x:f>IFERROR(H6308/A6308,0)</x:f>
        <x:v>64047.36164736164</x:v>
      </x:c>
      <x:c r="J6308" s="67" t="str">
        <x:v>Modeled from live base + Sep-2026 quality ratio</x:v>
      </x:c>
      <x:c r="K6308" s="67" t="str">
        <x:v>https://www.stonealgo.com/diamond-prices/</x:v>
      </x:c>
      <x:c r="L6308" s="67" t="str">
        <x:v>https://www.pricescope.com/blog/natural-diamond-prices-september-2026</x:v>
      </x:c>
    </x:row>
    <x:row r="6309">
      <x:c r="A6309" t="n">
        <x:v>10</x:v>
      </x:c>
      <x:c r="B6309" t="str">
        <x:v>Marquise</x:v>
      </x:c>
      <x:c r="C6309" t="str">
        <x:v>H</x:v>
      </x:c>
      <x:c r="D6309" t="str">
        <x:v>VVS2</x:v>
      </x:c>
      <x:c r="E6309" s="36" t="n">
        <x:v>608000</x:v>
      </x:c>
      <x:c r="F6309" s="36" t="n">
        <x:v>4046</x:v>
      </x:c>
      <x:c r="G6309" s="42" t="n">
        <x:v>0.8678678678678678</x:v>
      </x:c>
      <x:c r="H6309" s="36" t="n">
        <x:f>E6309*G6309</x:f>
        <x:v>527663.6636636637</x:v>
      </x:c>
      <x:c r="I6309" s="36" t="n">
        <x:f>IFERROR(H6309/A6309,0)</x:f>
        <x:v>52766.36636636637</x:v>
      </x:c>
      <x:c r="J6309" s="67" t="str">
        <x:v>Modeled from live base + Sep-2026 quality ratio</x:v>
      </x:c>
      <x:c r="K6309" s="67" t="str">
        <x:v>https://www.stonealgo.com/diamond-prices/</x:v>
      </x:c>
      <x:c r="L6309" s="67" t="str">
        <x:v>https://www.pricescope.com/blog/natural-diamond-prices-september-2026</x:v>
      </x:c>
    </x:row>
    <x:row r="6310">
      <x:c r="A6310" t="n">
        <x:v>10</x:v>
      </x:c>
      <x:c r="B6310" t="str">
        <x:v>Marquise</x:v>
      </x:c>
      <x:c r="C6310" t="str">
        <x:v>H</x:v>
      </x:c>
      <x:c r="D6310" t="str">
        <x:v>VS1</x:v>
      </x:c>
      <x:c r="E6310" s="36" t="n">
        <x:v>608000</x:v>
      </x:c>
      <x:c r="F6310" s="36" t="n">
        <x:v>3893</x:v>
      </x:c>
      <x:c r="G6310" s="42" t="n">
        <x:v>0.8350493350493351</x:v>
      </x:c>
      <x:c r="H6310" s="36" t="n">
        <x:f>E6310*G6310</x:f>
        <x:v>507709.99570999574</x:v>
      </x:c>
      <x:c r="I6310" s="36" t="n">
        <x:f>IFERROR(H6310/A6310,0)</x:f>
        <x:v>50770.99957099957</x:v>
      </x:c>
      <x:c r="J6310" s="67" t="str">
        <x:v>Modeled from live base + Sep-2026 quality ratio</x:v>
      </x:c>
      <x:c r="K6310" s="67" t="str">
        <x:v>https://www.stonealgo.com/diamond-prices/</x:v>
      </x:c>
      <x:c r="L6310" s="67" t="str">
        <x:v>https://www.pricescope.com/blog/natural-diamond-prices-september-2026</x:v>
      </x:c>
    </x:row>
    <x:row r="6311">
      <x:c r="A6311" t="n">
        <x:v>10</x:v>
      </x:c>
      <x:c r="B6311" t="str">
        <x:v>Marquise</x:v>
      </x:c>
      <x:c r="C6311" t="str">
        <x:v>H</x:v>
      </x:c>
      <x:c r="D6311" t="str">
        <x:v>VS2</x:v>
      </x:c>
      <x:c r="E6311" s="36" t="n">
        <x:v>608000</x:v>
      </x:c>
      <x:c r="F6311" s="36" t="n">
        <x:v>3989</x:v>
      </x:c>
      <x:c r="G6311" s="42" t="n">
        <x:v>0.8556413556413557</x:v>
      </x:c>
      <x:c r="H6311" s="36" t="n">
        <x:f>E6311*G6311</x:f>
        <x:v>520229.94422994426</x:v>
      </x:c>
      <x:c r="I6311" s="36" t="n">
        <x:f>IFERROR(H6311/A6311,0)</x:f>
        <x:v>52022.99442299442</x:v>
      </x:c>
      <x:c r="J6311" s="67" t="str">
        <x:v>Modeled from live base + Sep-2026 quality ratio</x:v>
      </x:c>
      <x:c r="K6311" s="67" t="str">
        <x:v>https://www.stonealgo.com/diamond-prices/</x:v>
      </x:c>
      <x:c r="L6311" s="67" t="str">
        <x:v>https://www.pricescope.com/blog/natural-diamond-prices-september-2026</x:v>
      </x:c>
    </x:row>
    <x:row r="6312">
      <x:c r="A6312" t="n">
        <x:v>10</x:v>
      </x:c>
      <x:c r="B6312" t="str">
        <x:v>Marquise</x:v>
      </x:c>
      <x:c r="C6312" t="str">
        <x:v>H</x:v>
      </x:c>
      <x:c r="D6312" t="str">
        <x:v>SI1</x:v>
      </x:c>
      <x:c r="E6312" s="36" t="n">
        <x:v>608000</x:v>
      </x:c>
      <x:c r="F6312" s="36" t="n">
        <x:v>2828</x:v>
      </x:c>
      <x:c r="G6312" s="42" t="n">
        <x:v>0.6066066066066066</x:v>
      </x:c>
      <x:c r="H6312" s="36" t="n">
        <x:f>E6312*G6312</x:f>
        <x:v>368816.8168168168</x:v>
      </x:c>
      <x:c r="I6312" s="36" t="n">
        <x:f>IFERROR(H6312/A6312,0)</x:f>
        <x:v>36881.68168168168</x:v>
      </x:c>
      <x:c r="J6312" s="67" t="str">
        <x:v>Modeled from live base + Sep-2026 quality ratio</x:v>
      </x:c>
      <x:c r="K6312" s="67" t="str">
        <x:v>https://www.stonealgo.com/diamond-prices/</x:v>
      </x:c>
      <x:c r="L6312" s="67" t="str">
        <x:v>https://www.pricescope.com/blog/natural-diamond-prices-september-2026</x:v>
      </x:c>
    </x:row>
    <x:row r="6313">
      <x:c r="A6313" t="n">
        <x:v>10</x:v>
      </x:c>
      <x:c r="B6313" t="str">
        <x:v>Marquise</x:v>
      </x:c>
      <x:c r="C6313" t="str">
        <x:v>H</x:v>
      </x:c>
      <x:c r="D6313" t="str">
        <x:v>SI2</x:v>
      </x:c>
      <x:c r="E6313" s="36" t="n">
        <x:v>608000</x:v>
      </x:c>
      <x:c r="F6313" s="36" t="n">
        <x:v>2328</x:v>
      </x:c>
      <x:c r="G6313" s="42" t="n">
        <x:v>0.49935649935649934</x:v>
      </x:c>
      <x:c r="H6313" s="36" t="n">
        <x:f>E6313*G6313</x:f>
        <x:v>303608.7516087516</x:v>
      </x:c>
      <x:c r="I6313" s="36" t="n">
        <x:f>IFERROR(H6313/A6313,0)</x:f>
        <x:v>30360.87516087516</x:v>
      </x:c>
      <x:c r="J6313" s="67" t="str">
        <x:v>Modeled from live base + Sep-2026 quality ratio</x:v>
      </x:c>
      <x:c r="K6313" s="67" t="str">
        <x:v>https://www.stonealgo.com/diamond-prices/</x:v>
      </x:c>
      <x:c r="L6313" s="67" t="str">
        <x:v>https://www.pricescope.com/blog/natural-diamond-prices-september-2026</x:v>
      </x:c>
    </x:row>
    <x:row r="6314">
      <x:c r="A6314" t="n">
        <x:v>10</x:v>
      </x:c>
      <x:c r="B6314" t="str">
        <x:v>Marquise</x:v>
      </x:c>
      <x:c r="C6314" t="str">
        <x:v>I</x:v>
      </x:c>
      <x:c r="D6314" t="str">
        <x:v>FL</x:v>
      </x:c>
      <x:c r="E6314" s="36" t="n">
        <x:v>608000</x:v>
      </x:c>
      <x:c r="F6314" s="36" t="n">
        <x:v>4623</x:v>
      </x:c>
      <x:c r="G6314" s="42" t="n">
        <x:v>0.9916344916344917</x:v>
      </x:c>
      <x:c r="H6314" s="36" t="n">
        <x:f>E6314*G6314</x:f>
        <x:v>602913.770913771</x:v>
      </x:c>
      <x:c r="I6314" s="36" t="n">
        <x:f>IFERROR(H6314/A6314,0)</x:f>
        <x:v>60291.3770913771</x:v>
      </x:c>
      <x:c r="J6314" s="67" t="str">
        <x:v>Modeled from live base + Sep-2026 quality ratio</x:v>
      </x:c>
      <x:c r="K6314" s="67" t="str">
        <x:v>https://www.stonealgo.com/diamond-prices/</x:v>
      </x:c>
      <x:c r="L6314" s="67" t="str">
        <x:v>https://www.pricescope.com/blog/natural-diamond-prices-september-2026</x:v>
      </x:c>
    </x:row>
    <x:row r="6315">
      <x:c r="A6315" t="n">
        <x:v>10</x:v>
      </x:c>
      <x:c r="B6315" t="str">
        <x:v>Marquise</x:v>
      </x:c>
      <x:c r="C6315" t="str">
        <x:v>I</x:v>
      </x:c>
      <x:c r="D6315" t="str">
        <x:v>IF</x:v>
      </x:c>
      <x:c r="E6315" s="36" t="n">
        <x:v>608000</x:v>
      </x:c>
      <x:c r="F6315" s="36" t="n">
        <x:v>4005</x:v>
      </x:c>
      <x:c r="G6315" s="42" t="n">
        <x:v>0.859073359073359</x:v>
      </x:c>
      <x:c r="H6315" s="36" t="n">
        <x:f>E6315*G6315</x:f>
        <x:v>522316.6023166023</x:v>
      </x:c>
      <x:c r="I6315" s="36" t="n">
        <x:f>IFERROR(H6315/A6315,0)</x:f>
        <x:v>52231.66023166023</x:v>
      </x:c>
      <x:c r="J6315" s="67" t="str">
        <x:v>Modeled from live base + Sep-2026 quality ratio</x:v>
      </x:c>
      <x:c r="K6315" s="67" t="str">
        <x:v>https://www.stonealgo.com/diamond-prices/</x:v>
      </x:c>
      <x:c r="L6315" s="67" t="str">
        <x:v>https://www.pricescope.com/blog/natural-diamond-prices-september-2026</x:v>
      </x:c>
    </x:row>
    <x:row r="6316">
      <x:c r="A6316" t="n">
        <x:v>10</x:v>
      </x:c>
      <x:c r="B6316" t="str">
        <x:v>Marquise</x:v>
      </x:c>
      <x:c r="C6316" t="str">
        <x:v>I</x:v>
      </x:c>
      <x:c r="D6316" t="str">
        <x:v>VVS1</x:v>
      </x:c>
      <x:c r="E6316" s="36" t="n">
        <x:v>608000</x:v>
      </x:c>
      <x:c r="F6316" s="36" t="n">
        <x:v>3670</x:v>
      </x:c>
      <x:c r="G6316" s="42" t="n">
        <x:v>0.7872157872157872</x:v>
      </x:c>
      <x:c r="H6316" s="36" t="n">
        <x:f>E6316*G6316</x:f>
        <x:v>478627.19862719864</x:v>
      </x:c>
      <x:c r="I6316" s="36" t="n">
        <x:f>IFERROR(H6316/A6316,0)</x:f>
        <x:v>47862.71986271987</x:v>
      </x:c>
      <x:c r="J6316" s="67" t="str">
        <x:v>Modeled from live base + Sep-2026 quality ratio</x:v>
      </x:c>
      <x:c r="K6316" s="67" t="str">
        <x:v>https://www.stonealgo.com/diamond-prices/</x:v>
      </x:c>
      <x:c r="L6316" s="67" t="str">
        <x:v>https://www.pricescope.com/blog/natural-diamond-prices-september-2026</x:v>
      </x:c>
    </x:row>
    <x:row r="6317">
      <x:c r="A6317" t="n">
        <x:v>10</x:v>
      </x:c>
      <x:c r="B6317" t="str">
        <x:v>Marquise</x:v>
      </x:c>
      <x:c r="C6317" t="str">
        <x:v>I</x:v>
      </x:c>
      <x:c r="D6317" t="str">
        <x:v>VVS2</x:v>
      </x:c>
      <x:c r="E6317" s="36" t="n">
        <x:v>608000</x:v>
      </x:c>
      <x:c r="F6317" s="36" t="n">
        <x:v>3447</x:v>
      </x:c>
      <x:c r="G6317" s="42" t="n">
        <x:v>0.7393822393822393</x:v>
      </x:c>
      <x:c r="H6317" s="36" t="n">
        <x:f>E6317*G6317</x:f>
        <x:v>449544.40154440154</x:v>
      </x:c>
      <x:c r="I6317" s="36" t="n">
        <x:f>IFERROR(H6317/A6317,0)</x:f>
        <x:v>44954.440154440155</x:v>
      </x:c>
      <x:c r="J6317" s="67" t="str">
        <x:v>Modeled from live base + Sep-2026 quality ratio</x:v>
      </x:c>
      <x:c r="K6317" s="67" t="str">
        <x:v>https://www.stonealgo.com/diamond-prices/</x:v>
      </x:c>
      <x:c r="L6317" s="67" t="str">
        <x:v>https://www.pricescope.com/blog/natural-diamond-prices-september-2026</x:v>
      </x:c>
    </x:row>
    <x:row r="6318">
      <x:c r="A6318" t="n">
        <x:v>10</x:v>
      </x:c>
      <x:c r="B6318" t="str">
        <x:v>Marquise</x:v>
      </x:c>
      <x:c r="C6318" t="str">
        <x:v>I</x:v>
      </x:c>
      <x:c r="D6318" t="str">
        <x:v>VS1</x:v>
      </x:c>
      <x:c r="E6318" s="36" t="n">
        <x:v>608000</x:v>
      </x:c>
      <x:c r="F6318" s="36" t="n">
        <x:v>3313</x:v>
      </x:c>
      <x:c r="G6318" s="42" t="n">
        <x:v>0.7106392106392107</x:v>
      </x:c>
      <x:c r="H6318" s="36" t="n">
        <x:f>E6318*G6318</x:f>
        <x:v>432068.64006864006</x:v>
      </x:c>
      <x:c r="I6318" s="36" t="n">
        <x:f>IFERROR(H6318/A6318,0)</x:f>
        <x:v>43206.86400686401</x:v>
      </x:c>
      <x:c r="J6318" s="67" t="str">
        <x:v>Modeled from live base + Sep-2026 quality ratio</x:v>
      </x:c>
      <x:c r="K6318" s="67" t="str">
        <x:v>https://www.stonealgo.com/diamond-prices/</x:v>
      </x:c>
      <x:c r="L6318" s="67" t="str">
        <x:v>https://www.pricescope.com/blog/natural-diamond-prices-september-2026</x:v>
      </x:c>
    </x:row>
    <x:row r="6319">
      <x:c r="A6319" t="n">
        <x:v>10</x:v>
      </x:c>
      <x:c r="B6319" t="str">
        <x:v>Marquise</x:v>
      </x:c>
      <x:c r="C6319" t="str">
        <x:v>I</x:v>
      </x:c>
      <x:c r="D6319" t="str">
        <x:v>VS2</x:v>
      </x:c>
      <x:c r="E6319" s="36" t="n">
        <x:v>608000</x:v>
      </x:c>
      <x:c r="F6319" s="36" t="n">
        <x:v>3240</x:v>
      </x:c>
      <x:c r="G6319" s="42" t="n">
        <x:v>0.694980694980695</x:v>
      </x:c>
      <x:c r="H6319" s="36" t="n">
        <x:f>E6319*G6319</x:f>
        <x:v>422548.2625482626</x:v>
      </x:c>
      <x:c r="I6319" s="36" t="n">
        <x:f>IFERROR(H6319/A6319,0)</x:f>
        <x:v>42254.82625482626</x:v>
      </x:c>
      <x:c r="J6319" s="67" t="str">
        <x:v>Modeled from live base + Sep-2026 quality ratio</x:v>
      </x:c>
      <x:c r="K6319" s="67" t="str">
        <x:v>https://www.stonealgo.com/diamond-prices/</x:v>
      </x:c>
      <x:c r="L6319" s="67" t="str">
        <x:v>https://www.pricescope.com/blog/natural-diamond-prices-september-2026</x:v>
      </x:c>
    </x:row>
    <x:row r="6320">
      <x:c r="A6320" t="n">
        <x:v>10</x:v>
      </x:c>
      <x:c r="B6320" t="str">
        <x:v>Marquise</x:v>
      </x:c>
      <x:c r="C6320" t="str">
        <x:v>I</x:v>
      </x:c>
      <x:c r="D6320" t="str">
        <x:v>SI1</x:v>
      </x:c>
      <x:c r="E6320" s="36" t="n">
        <x:v>608000</x:v>
      </x:c>
      <x:c r="F6320" s="36" t="n">
        <x:v>3199</x:v>
      </x:c>
      <x:c r="G6320" s="42" t="n">
        <x:v>0.6861861861861862</x:v>
      </x:c>
      <x:c r="H6320" s="36" t="n">
        <x:f>E6320*G6320</x:f>
        <x:v>417201.20120120124</x:v>
      </x:c>
      <x:c r="I6320" s="36" t="n">
        <x:f>IFERROR(H6320/A6320,0)</x:f>
        <x:v>41720.120120120126</x:v>
      </x:c>
      <x:c r="J6320" s="67" t="str">
        <x:v>Modeled from live base + Sep-2026 quality ratio</x:v>
      </x:c>
      <x:c r="K6320" s="67" t="str">
        <x:v>https://www.stonealgo.com/diamond-prices/</x:v>
      </x:c>
      <x:c r="L6320" s="67" t="str">
        <x:v>https://www.pricescope.com/blog/natural-diamond-prices-september-2026</x:v>
      </x:c>
    </x:row>
    <x:row r="6321">
      <x:c r="A6321" t="n">
        <x:v>10</x:v>
      </x:c>
      <x:c r="B6321" t="str">
        <x:v>Marquise</x:v>
      </x:c>
      <x:c r="C6321" t="str">
        <x:v>I</x:v>
      </x:c>
      <x:c r="D6321" t="str">
        <x:v>SI2</x:v>
      </x:c>
      <x:c r="E6321" s="36" t="n">
        <x:v>608000</x:v>
      </x:c>
      <x:c r="F6321" s="36" t="n">
        <x:v>2874</x:v>
      </x:c>
      <x:c r="G6321" s="42" t="n">
        <x:v>0.6164736164736164</x:v>
      </x:c>
      <x:c r="H6321" s="36" t="n">
        <x:f>E6321*G6321</x:f>
        <x:v>374815.95881595876</x:v>
      </x:c>
      <x:c r="I6321" s="36" t="n">
        <x:f>IFERROR(H6321/A6321,0)</x:f>
        <x:v>37481.59588159587</x:v>
      </x:c>
      <x:c r="J6321" s="67" t="str">
        <x:v>Modeled from live base + Sep-2026 quality ratio</x:v>
      </x:c>
      <x:c r="K6321" s="67" t="str">
        <x:v>https://www.stonealgo.com/diamond-prices/</x:v>
      </x:c>
      <x:c r="L6321" s="67" t="str">
        <x:v>https://www.pricescope.com/blog/natural-diamond-prices-september-2026</x:v>
      </x:c>
    </x:row>
    <x:row r="6322">
      <x:c r="A6322" t="n">
        <x:v>10</x:v>
      </x:c>
      <x:c r="B6322" t="str">
        <x:v>Marquise</x:v>
      </x:c>
      <x:c r="C6322" t="str">
        <x:v>J</x:v>
      </x:c>
      <x:c r="D6322" t="str">
        <x:v>FL</x:v>
      </x:c>
      <x:c r="E6322" s="36" t="n">
        <x:v>608000</x:v>
      </x:c>
      <x:c r="F6322" s="36" t="n">
        <x:v>3646</x:v>
      </x:c>
      <x:c r="G6322" s="42" t="n">
        <x:v>0.782067782067782</x:v>
      </x:c>
      <x:c r="H6322" s="36" t="n">
        <x:f>E6322*G6322</x:f>
        <x:v>475497.2114972115</x:v>
      </x:c>
      <x:c r="I6322" s="36" t="n">
        <x:f>IFERROR(H6322/A6322,0)</x:f>
        <x:v>47549.72114972115</x:v>
      </x:c>
      <x:c r="J6322" s="67" t="str">
        <x:v>Modeled from live base + Sep-2026 quality ratio</x:v>
      </x:c>
      <x:c r="K6322" s="67" t="str">
        <x:v>https://www.stonealgo.com/diamond-prices/</x:v>
      </x:c>
      <x:c r="L6322" s="67" t="str">
        <x:v>https://www.pricescope.com/blog/natural-diamond-prices-september-2026</x:v>
      </x:c>
    </x:row>
    <x:row r="6323">
      <x:c r="A6323" t="n">
        <x:v>10</x:v>
      </x:c>
      <x:c r="B6323" t="str">
        <x:v>Marquise</x:v>
      </x:c>
      <x:c r="C6323" t="str">
        <x:v>J</x:v>
      </x:c>
      <x:c r="D6323" t="str">
        <x:v>IF</x:v>
      </x:c>
      <x:c r="E6323" s="36" t="n">
        <x:v>608000</x:v>
      </x:c>
      <x:c r="F6323" s="36" t="n">
        <x:v>3368</x:v>
      </x:c>
      <x:c r="G6323" s="42" t="n">
        <x:v>0.7224367224367224</x:v>
      </x:c>
      <x:c r="H6323" s="36" t="n">
        <x:f>E6323*G6323</x:f>
        <x:v>439241.5272415272</x:v>
      </x:c>
      <x:c r="I6323" s="36" t="n">
        <x:f>IFERROR(H6323/A6323,0)</x:f>
        <x:v>43924.15272415272</x:v>
      </x:c>
      <x:c r="J6323" s="67" t="str">
        <x:v>Modeled from live base + Sep-2026 quality ratio</x:v>
      </x:c>
      <x:c r="K6323" s="67" t="str">
        <x:v>https://www.stonealgo.com/diamond-prices/</x:v>
      </x:c>
      <x:c r="L6323" s="67" t="str">
        <x:v>https://www.pricescope.com/blog/natural-diamond-prices-september-2026</x:v>
      </x:c>
    </x:row>
    <x:row r="6324">
      <x:c r="A6324" t="n">
        <x:v>10</x:v>
      </x:c>
      <x:c r="B6324" t="str">
        <x:v>Marquise</x:v>
      </x:c>
      <x:c r="C6324" t="str">
        <x:v>J</x:v>
      </x:c>
      <x:c r="D6324" t="str">
        <x:v>VVS1</x:v>
      </x:c>
      <x:c r="E6324" s="36" t="n">
        <x:v>608000</x:v>
      </x:c>
      <x:c r="F6324" s="36" t="n">
        <x:v>2956</x:v>
      </x:c>
      <x:c r="G6324" s="42" t="n">
        <x:v>0.6340626340626341</x:v>
      </x:c>
      <x:c r="H6324" s="36" t="n">
        <x:f>E6324*G6324</x:f>
        <x:v>385510.08151008154</x:v>
      </x:c>
      <x:c r="I6324" s="36" t="n">
        <x:f>IFERROR(H6324/A6324,0)</x:f>
        <x:v>38551.00815100815</x:v>
      </x:c>
      <x:c r="J6324" s="67" t="str">
        <x:v>Modeled from live base + Sep-2026 quality ratio</x:v>
      </x:c>
      <x:c r="K6324" s="67" t="str">
        <x:v>https://www.stonealgo.com/diamond-prices/</x:v>
      </x:c>
      <x:c r="L6324" s="67" t="str">
        <x:v>https://www.pricescope.com/blog/natural-diamond-prices-september-2026</x:v>
      </x:c>
    </x:row>
    <x:row r="6325">
      <x:c r="A6325" t="n">
        <x:v>10</x:v>
      </x:c>
      <x:c r="B6325" t="str">
        <x:v>Marquise</x:v>
      </x:c>
      <x:c r="C6325" t="str">
        <x:v>J</x:v>
      </x:c>
      <x:c r="D6325" t="str">
        <x:v>VVS2</x:v>
      </x:c>
      <x:c r="E6325" s="36" t="n">
        <x:v>608000</x:v>
      </x:c>
      <x:c r="F6325" s="36" t="n">
        <x:v>2612</x:v>
      </x:c>
      <x:c r="G6325" s="42" t="n">
        <x:v>0.5602745602745602</x:v>
      </x:c>
      <x:c r="H6325" s="36" t="n">
        <x:f>E6325*G6325</x:f>
        <x:v>340646.9326469326</x:v>
      </x:c>
      <x:c r="I6325" s="36" t="n">
        <x:f>IFERROR(H6325/A6325,0)</x:f>
        <x:v>34064.69326469326</x:v>
      </x:c>
      <x:c r="J6325" s="67" t="str">
        <x:v>Modeled from live base + Sep-2026 quality ratio</x:v>
      </x:c>
      <x:c r="K6325" s="67" t="str">
        <x:v>https://www.stonealgo.com/diamond-prices/</x:v>
      </x:c>
      <x:c r="L6325" s="67" t="str">
        <x:v>https://www.pricescope.com/blog/natural-diamond-prices-september-2026</x:v>
      </x:c>
    </x:row>
    <x:row r="6326">
      <x:c r="A6326" t="n">
        <x:v>10</x:v>
      </x:c>
      <x:c r="B6326" t="str">
        <x:v>Marquise</x:v>
      </x:c>
      <x:c r="C6326" t="str">
        <x:v>J</x:v>
      </x:c>
      <x:c r="D6326" t="str">
        <x:v>VS1</x:v>
      </x:c>
      <x:c r="E6326" s="36" t="n">
        <x:v>608000</x:v>
      </x:c>
      <x:c r="F6326" s="36" t="n">
        <x:v>3002</x:v>
      </x:c>
      <x:c r="G6326" s="42" t="n">
        <x:v>0.6439296439296439</x:v>
      </x:c>
      <x:c r="H6326" s="36" t="n">
        <x:f>E6326*G6326</x:f>
        <x:v>391509.2235092235</x:v>
      </x:c>
      <x:c r="I6326" s="36" t="n">
        <x:f>IFERROR(H6326/A6326,0)</x:f>
        <x:v>39150.92235092235</x:v>
      </x:c>
      <x:c r="J6326" s="67" t="str">
        <x:v>Modeled from live base + Sep-2026 quality ratio</x:v>
      </x:c>
      <x:c r="K6326" s="67" t="str">
        <x:v>https://www.stonealgo.com/diamond-prices/</x:v>
      </x:c>
      <x:c r="L6326" s="67" t="str">
        <x:v>https://www.pricescope.com/blog/natural-diamond-prices-september-2026</x:v>
      </x:c>
    </x:row>
    <x:row r="6327">
      <x:c r="A6327" t="n">
        <x:v>10</x:v>
      </x:c>
      <x:c r="B6327" t="str">
        <x:v>Marquise</x:v>
      </x:c>
      <x:c r="C6327" t="str">
        <x:v>J</x:v>
      </x:c>
      <x:c r="D6327" t="str">
        <x:v>VS2</x:v>
      </x:c>
      <x:c r="E6327" s="36" t="n">
        <x:v>608000</x:v>
      </x:c>
      <x:c r="F6327" s="36" t="n">
        <x:v>2559</x:v>
      </x:c>
      <x:c r="G6327" s="42" t="n">
        <x:v>0.5489060489060489</x:v>
      </x:c>
      <x:c r="H6327" s="36" t="n">
        <x:f>E6327*G6327</x:f>
        <x:v>333734.8777348777</x:v>
      </x:c>
      <x:c r="I6327" s="36" t="n">
        <x:f>IFERROR(H6327/A6327,0)</x:f>
        <x:v>33373.48777348777</x:v>
      </x:c>
      <x:c r="J6327" s="67" t="str">
        <x:v>Modeled from live base + Sep-2026 quality ratio</x:v>
      </x:c>
      <x:c r="K6327" s="67" t="str">
        <x:v>https://www.stonealgo.com/diamond-prices/</x:v>
      </x:c>
      <x:c r="L6327" s="67" t="str">
        <x:v>https://www.pricescope.com/blog/natural-diamond-prices-september-2026</x:v>
      </x:c>
    </x:row>
    <x:row r="6328">
      <x:c r="A6328" t="n">
        <x:v>10</x:v>
      </x:c>
      <x:c r="B6328" t="str">
        <x:v>Marquise</x:v>
      </x:c>
      <x:c r="C6328" t="str">
        <x:v>J</x:v>
      </x:c>
      <x:c r="D6328" t="str">
        <x:v>SI1</x:v>
      </x:c>
      <x:c r="E6328" s="36" t="n">
        <x:v>608000</x:v>
      </x:c>
      <x:c r="F6328" s="36" t="n">
        <x:v>2195</x:v>
      </x:c>
      <x:c r="G6328" s="42" t="n">
        <x:v>0.47082797082797084</x:v>
      </x:c>
      <x:c r="H6328" s="36" t="n">
        <x:f>E6328*G6328</x:f>
        <x:v>286263.4062634063</x:v>
      </x:c>
      <x:c r="I6328" s="36" t="n">
        <x:f>IFERROR(H6328/A6328,0)</x:f>
        <x:v>28626.34062634063</x:v>
      </x:c>
      <x:c r="J6328" s="67" t="str">
        <x:v>Modeled from live base + Sep-2026 quality ratio</x:v>
      </x:c>
      <x:c r="K6328" s="67" t="str">
        <x:v>https://www.stonealgo.com/diamond-prices/</x:v>
      </x:c>
      <x:c r="L6328" s="67" t="str">
        <x:v>https://www.pricescope.com/blog/natural-diamond-prices-september-2026</x:v>
      </x:c>
    </x:row>
    <x:row r="6329">
      <x:c r="A6329" t="n">
        <x:v>10</x:v>
      </x:c>
      <x:c r="B6329" t="str">
        <x:v>Marquise</x:v>
      </x:c>
      <x:c r="C6329" t="str">
        <x:v>J</x:v>
      </x:c>
      <x:c r="D6329" t="str">
        <x:v>SI2</x:v>
      </x:c>
      <x:c r="E6329" s="36" t="n">
        <x:v>608000</x:v>
      </x:c>
      <x:c r="F6329" s="36" t="n">
        <x:v>2079</x:v>
      </x:c>
      <x:c r="G6329" s="42" t="n">
        <x:v>0.44594594594594594</x:v>
      </x:c>
      <x:c r="H6329" s="36" t="n">
        <x:f>E6329*G6329</x:f>
        <x:v>271135.13513513515</x:v>
      </x:c>
      <x:c r="I6329" s="36" t="n">
        <x:f>IFERROR(H6329/A6329,0)</x:f>
        <x:v>27113.513513513513</x:v>
      </x:c>
      <x:c r="J6329" s="67" t="str">
        <x:v>Modeled from live base + Sep-2026 quality ratio</x:v>
      </x:c>
      <x:c r="K6329" s="67" t="str">
        <x:v>https://www.stonealgo.com/diamond-prices/</x:v>
      </x:c>
      <x:c r="L6329" s="67" t="str">
        <x:v>https://www.pricescope.com/blog/natural-diamond-prices-september-2026</x:v>
      </x:c>
    </x:row>
    <x:row r="6330">
      <x:c r="A6330" t="n">
        <x:v>10</x:v>
      </x:c>
      <x:c r="B6330" t="str">
        <x:v>Marquise</x:v>
      </x:c>
      <x:c r="C6330" t="str">
        <x:v>K</x:v>
      </x:c>
      <x:c r="D6330" t="str">
        <x:v>FL</x:v>
      </x:c>
      <x:c r="E6330" s="36" t="n">
        <x:v>608000</x:v>
      </x:c>
      <x:c r="F6330" s="36" t="n">
        <x:v>2858</x:v>
      </x:c>
      <x:c r="G6330" s="42" t="n">
        <x:v>0.6130416130416131</x:v>
      </x:c>
      <x:c r="H6330" s="36" t="n">
        <x:f>E6330*G6330</x:f>
        <x:v>372729.30072930077</x:v>
      </x:c>
      <x:c r="I6330" s="36" t="n">
        <x:f>IFERROR(H6330/A6330,0)</x:f>
        <x:v>37272.930072930074</x:v>
      </x:c>
      <x:c r="J6330" s="67" t="str">
        <x:v>Modeled from live base + Sep-2026 quality ratio; K/FL quality cell modeled</x:v>
      </x:c>
      <x:c r="K6330" s="67" t="str">
        <x:v>https://www.stonealgo.com/diamond-prices/</x:v>
      </x:c>
      <x:c r="L6330" s="67" t="str">
        <x:v>https://www.pricescope.com/blog/natural-diamond-prices-september-2026</x:v>
      </x:c>
    </x:row>
    <x:row r="6331">
      <x:c r="A6331" t="n">
        <x:v>10</x:v>
      </x:c>
      <x:c r="B6331" t="str">
        <x:v>Marquise</x:v>
      </x:c>
      <x:c r="C6331" t="str">
        <x:v>K</x:v>
      </x:c>
      <x:c r="D6331" t="str">
        <x:v>IF</x:v>
      </x:c>
      <x:c r="E6331" s="36" t="n">
        <x:v>608000</x:v>
      </x:c>
      <x:c r="F6331" s="36" t="n">
        <x:v>2743</x:v>
      </x:c>
      <x:c r="G6331" s="42" t="n">
        <x:v>0.5883740883740883</x:v>
      </x:c>
      <x:c r="H6331" s="36" t="n">
        <x:f>E6331*G6331</x:f>
        <x:v>357731.4457314457</x:v>
      </x:c>
      <x:c r="I6331" s="36" t="n">
        <x:f>IFERROR(H6331/A6331,0)</x:f>
        <x:v>35773.14457314457</x:v>
      </x:c>
      <x:c r="J6331" s="67" t="str">
        <x:v>Modeled from live base + Sep-2026 quality ratio</x:v>
      </x:c>
      <x:c r="K6331" s="67" t="str">
        <x:v>https://www.stonealgo.com/diamond-prices/</x:v>
      </x:c>
      <x:c r="L6331" s="67" t="str">
        <x:v>https://www.pricescope.com/blog/natural-diamond-prices-september-2026</x:v>
      </x:c>
    </x:row>
    <x:row r="6332">
      <x:c r="A6332" t="n">
        <x:v>10</x:v>
      </x:c>
      <x:c r="B6332" t="str">
        <x:v>Marquise</x:v>
      </x:c>
      <x:c r="C6332" t="str">
        <x:v>K</x:v>
      </x:c>
      <x:c r="D6332" t="str">
        <x:v>VVS1</x:v>
      </x:c>
      <x:c r="E6332" s="36" t="n">
        <x:v>608000</x:v>
      </x:c>
      <x:c r="F6332" s="36" t="n">
        <x:v>2529</x:v>
      </x:c>
      <x:c r="G6332" s="42" t="n">
        <x:v>0.5424710424710425</x:v>
      </x:c>
      <x:c r="H6332" s="36" t="n">
        <x:f>E6332*G6332</x:f>
        <x:v>329822.39382239385</x:v>
      </x:c>
      <x:c r="I6332" s="36" t="n">
        <x:f>IFERROR(H6332/A6332,0)</x:f>
        <x:v>32982.239382239386</x:v>
      </x:c>
      <x:c r="J6332" s="67" t="str">
        <x:v>Modeled from live base + Sep-2026 quality ratio</x:v>
      </x:c>
      <x:c r="K6332" s="67" t="str">
        <x:v>https://www.stonealgo.com/diamond-prices/</x:v>
      </x:c>
      <x:c r="L6332" s="67" t="str">
        <x:v>https://www.pricescope.com/blog/natural-diamond-prices-september-2026</x:v>
      </x:c>
    </x:row>
    <x:row r="6333">
      <x:c r="A6333" t="n">
        <x:v>10</x:v>
      </x:c>
      <x:c r="B6333" t="str">
        <x:v>Marquise</x:v>
      </x:c>
      <x:c r="C6333" t="str">
        <x:v>K</x:v>
      </x:c>
      <x:c r="D6333" t="str">
        <x:v>VVS2</x:v>
      </x:c>
      <x:c r="E6333" s="36" t="n">
        <x:v>608000</x:v>
      </x:c>
      <x:c r="F6333" s="36" t="n">
        <x:v>2374</x:v>
      </x:c>
      <x:c r="G6333" s="42" t="n">
        <x:v>0.5092235092235092</x:v>
      </x:c>
      <x:c r="H6333" s="36" t="n">
        <x:f>E6333*G6333</x:f>
        <x:v>309607.8936078936</x:v>
      </x:c>
      <x:c r="I6333" s="36" t="n">
        <x:f>IFERROR(H6333/A6333,0)</x:f>
        <x:v>30960.78936078936</x:v>
      </x:c>
      <x:c r="J6333" s="67" t="str">
        <x:v>Modeled from live base + Sep-2026 quality ratio</x:v>
      </x:c>
      <x:c r="K6333" s="67" t="str">
        <x:v>https://www.stonealgo.com/diamond-prices/</x:v>
      </x:c>
      <x:c r="L6333" s="67" t="str">
        <x:v>https://www.pricescope.com/blog/natural-diamond-prices-september-2026</x:v>
      </x:c>
    </x:row>
    <x:row r="6334">
      <x:c r="A6334" t="n">
        <x:v>10</x:v>
      </x:c>
      <x:c r="B6334" t="str">
        <x:v>Marquise</x:v>
      </x:c>
      <x:c r="C6334" t="str">
        <x:v>K</x:v>
      </x:c>
      <x:c r="D6334" t="str">
        <x:v>VS1</x:v>
      </x:c>
      <x:c r="E6334" s="36" t="n">
        <x:v>608000</x:v>
      </x:c>
      <x:c r="F6334" s="36" t="n">
        <x:v>2223</x:v>
      </x:c>
      <x:c r="G6334" s="42" t="n">
        <x:v>0.4768339768339768</x:v>
      </x:c>
      <x:c r="H6334" s="36" t="n">
        <x:f>E6334*G6334</x:f>
        <x:v>289915.0579150579</x:v>
      </x:c>
      <x:c r="I6334" s="36" t="n">
        <x:f>IFERROR(H6334/A6334,0)</x:f>
        <x:v>28991.50579150579</x:v>
      </x:c>
      <x:c r="J6334" s="67" t="str">
        <x:v>Modeled from live base + Sep-2026 quality ratio</x:v>
      </x:c>
      <x:c r="K6334" s="67" t="str">
        <x:v>https://www.stonealgo.com/diamond-prices/</x:v>
      </x:c>
      <x:c r="L6334" s="67" t="str">
        <x:v>https://www.pricescope.com/blog/natural-diamond-prices-september-2026</x:v>
      </x:c>
    </x:row>
    <x:row r="6335">
      <x:c r="A6335" t="n">
        <x:v>10</x:v>
      </x:c>
      <x:c r="B6335" t="str">
        <x:v>Marquise</x:v>
      </x:c>
      <x:c r="C6335" t="str">
        <x:v>K</x:v>
      </x:c>
      <x:c r="D6335" t="str">
        <x:v>VS2</x:v>
      </x:c>
      <x:c r="E6335" s="36" t="n">
        <x:v>608000</x:v>
      </x:c>
      <x:c r="F6335" s="36" t="n">
        <x:v>2098</x:v>
      </x:c>
      <x:c r="G6335" s="42" t="n">
        <x:v>0.45002145002145</x:v>
      </x:c>
      <x:c r="H6335" s="36" t="n">
        <x:f>E6335*G6335</x:f>
        <x:v>273613.0416130416</x:v>
      </x:c>
      <x:c r="I6335" s="36" t="n">
        <x:f>IFERROR(H6335/A6335,0)</x:f>
        <x:v>27361.30416130416</x:v>
      </x:c>
      <x:c r="J6335" s="67" t="str">
        <x:v>Modeled from live base + Sep-2026 quality ratio</x:v>
      </x:c>
      <x:c r="K6335" s="67" t="str">
        <x:v>https://www.stonealgo.com/diamond-prices/</x:v>
      </x:c>
      <x:c r="L6335" s="67" t="str">
        <x:v>https://www.pricescope.com/blog/natural-diamond-prices-september-2026</x:v>
      </x:c>
    </x:row>
    <x:row r="6336">
      <x:c r="A6336" t="n">
        <x:v>10</x:v>
      </x:c>
      <x:c r="B6336" t="str">
        <x:v>Marquise</x:v>
      </x:c>
      <x:c r="C6336" t="str">
        <x:v>K</x:v>
      </x:c>
      <x:c r="D6336" t="str">
        <x:v>SI1</x:v>
      </x:c>
      <x:c r="E6336" s="36" t="n">
        <x:v>608000</x:v>
      </x:c>
      <x:c r="F6336" s="36" t="n">
        <x:v>1922</x:v>
      </x:c>
      <x:c r="G6336" s="42" t="n">
        <x:v>0.41226941226941227</x:v>
      </x:c>
      <x:c r="H6336" s="36" t="n">
        <x:f>E6336*G6336</x:f>
        <x:v>250659.80265980266</x:v>
      </x:c>
      <x:c r="I6336" s="36" t="n">
        <x:f>IFERROR(H6336/A6336,0)</x:f>
        <x:v>25065.980265980266</x:v>
      </x:c>
      <x:c r="J6336" s="67" t="str">
        <x:v>Modeled from live base + Sep-2026 quality ratio</x:v>
      </x:c>
      <x:c r="K6336" s="67" t="str">
        <x:v>https://www.stonealgo.com/diamond-prices/</x:v>
      </x:c>
      <x:c r="L6336" s="67" t="str">
        <x:v>https://www.pricescope.com/blog/natural-diamond-prices-september-2026</x:v>
      </x:c>
    </x:row>
    <x:row r="6337">
      <x:c r="A6337" t="n">
        <x:v>10</x:v>
      </x:c>
      <x:c r="B6337" t="str">
        <x:v>Marquise</x:v>
      </x:c>
      <x:c r="C6337" t="str">
        <x:v>K</x:v>
      </x:c>
      <x:c r="D6337" t="str">
        <x:v>SI2</x:v>
      </x:c>
      <x:c r="E6337" s="36" t="n">
        <x:v>608000</x:v>
      </x:c>
      <x:c r="F6337" s="36" t="n">
        <x:v>1764</x:v>
      </x:c>
      <x:c r="G6337" s="42" t="n">
        <x:v>0.3783783783783784</x:v>
      </x:c>
      <x:c r="H6337" s="36" t="n">
        <x:f>E6337*G6337</x:f>
        <x:v>230054.05405405405</x:v>
      </x:c>
      <x:c r="I6337" s="36" t="n">
        <x:f>IFERROR(H6337/A6337,0)</x:f>
        <x:v>23005.405405405407</x:v>
      </x:c>
      <x:c r="J6337" s="67" t="str">
        <x:v>Modeled from live base + Sep-2026 quality ratio</x:v>
      </x:c>
      <x:c r="K6337" s="67" t="str">
        <x:v>https://www.stonealgo.com/diamond-prices/</x:v>
      </x:c>
      <x:c r="L6337" s="67" t="str">
        <x:v>https://www.pricescope.com/blog/natural-diamond-prices-september-2026</x:v>
      </x:c>
    </x:row>
    <x:row r="6338">
      <x:c r="A6338" t="n">
        <x:v>10</x:v>
      </x:c>
      <x:c r="B6338" t="str">
        <x:v>Asscher</x:v>
      </x:c>
      <x:c r="C6338" t="str">
        <x:v>D</x:v>
      </x:c>
      <x:c r="D6338" t="str">
        <x:v>FL</x:v>
      </x:c>
      <x:c r="E6338" s="36" t="n">
        <x:v>305000</x:v>
      </x:c>
      <x:c r="F6338" s="36" t="n">
        <x:v>12665</x:v>
      </x:c>
      <x:c r="G6338" s="42" t="n">
        <x:v>2.7166452166452166</x:v>
      </x:c>
      <x:c r="H6338" s="36" t="n">
        <x:f>E6338*G6338</x:f>
        <x:v>828576.7910767911</x:v>
      </x:c>
      <x:c r="I6338" s="36" t="n">
        <x:f>IFERROR(H6338/A6338,0)</x:f>
        <x:v>82857.67910767911</x:v>
      </x:c>
      <x:c r="J6338" s="67" t="str">
        <x:v>Modeled from live base + Sep-2026 quality ratio</x:v>
      </x:c>
      <x:c r="K6338" s="67" t="str">
        <x:v>https://www.stonealgo.com/diamond-prices/</x:v>
      </x:c>
      <x:c r="L6338" s="67" t="str">
        <x:v>https://www.pricescope.com/blog/natural-diamond-prices-september-2026</x:v>
      </x:c>
    </x:row>
    <x:row r="6339">
      <x:c r="A6339" t="n">
        <x:v>10</x:v>
      </x:c>
      <x:c r="B6339" t="str">
        <x:v>Asscher</x:v>
      </x:c>
      <x:c r="C6339" t="str">
        <x:v>D</x:v>
      </x:c>
      <x:c r="D6339" t="str">
        <x:v>IF</x:v>
      </x:c>
      <x:c r="E6339" s="36" t="n">
        <x:v>305000</x:v>
      </x:c>
      <x:c r="F6339" s="36" t="n">
        <x:v>13240</x:v>
      </x:c>
      <x:c r="G6339" s="42" t="n">
        <x:v>2.83998283998284</x:v>
      </x:c>
      <x:c r="H6339" s="36" t="n">
        <x:f>E6339*G6339</x:f>
        <x:v>866194.7661947663</x:v>
      </x:c>
      <x:c r="I6339" s="36" t="n">
        <x:f>IFERROR(H6339/A6339,0)</x:f>
        <x:v>86619.47661947663</x:v>
      </x:c>
      <x:c r="J6339" s="67" t="str">
        <x:v>Modeled from live base + Sep-2026 quality ratio</x:v>
      </x:c>
      <x:c r="K6339" s="67" t="str">
        <x:v>https://www.stonealgo.com/diamond-prices/</x:v>
      </x:c>
      <x:c r="L6339" s="67" t="str">
        <x:v>https://www.pricescope.com/blog/natural-diamond-prices-september-2026</x:v>
      </x:c>
    </x:row>
    <x:row r="6340">
      <x:c r="A6340" t="n">
        <x:v>10</x:v>
      </x:c>
      <x:c r="B6340" t="str">
        <x:v>Asscher</x:v>
      </x:c>
      <x:c r="C6340" t="str">
        <x:v>D</x:v>
      </x:c>
      <x:c r="D6340" t="str">
        <x:v>VVS1</x:v>
      </x:c>
      <x:c r="E6340" s="36" t="n">
        <x:v>305000</x:v>
      </x:c>
      <x:c r="F6340" s="36" t="n">
        <x:v>9555</x:v>
      </x:c>
      <x:c r="G6340" s="42" t="n">
        <x:v>2.0495495495495497</x:v>
      </x:c>
      <x:c r="H6340" s="36" t="n">
        <x:f>E6340*G6340</x:f>
        <x:v>625112.6126126127</x:v>
      </x:c>
      <x:c r="I6340" s="36" t="n">
        <x:f>IFERROR(H6340/A6340,0)</x:f>
        <x:v>62511.261261261265</x:v>
      </x:c>
      <x:c r="J6340" s="67" t="str">
        <x:v>Modeled from live base + Sep-2026 quality ratio</x:v>
      </x:c>
      <x:c r="K6340" s="67" t="str">
        <x:v>https://www.stonealgo.com/diamond-prices/</x:v>
      </x:c>
      <x:c r="L6340" s="67" t="str">
        <x:v>https://www.pricescope.com/blog/natural-diamond-prices-september-2026</x:v>
      </x:c>
    </x:row>
    <x:row r="6341">
      <x:c r="A6341" t="n">
        <x:v>10</x:v>
      </x:c>
      <x:c r="B6341" t="str">
        <x:v>Asscher</x:v>
      </x:c>
      <x:c r="C6341" t="str">
        <x:v>D</x:v>
      </x:c>
      <x:c r="D6341" t="str">
        <x:v>VVS2</x:v>
      </x:c>
      <x:c r="E6341" s="36" t="n">
        <x:v>305000</x:v>
      </x:c>
      <x:c r="F6341" s="36" t="n">
        <x:v>6660</x:v>
      </x:c>
      <x:c r="G6341" s="42" t="n">
        <x:v>1.4285714285714286</x:v>
      </x:c>
      <x:c r="H6341" s="36" t="n">
        <x:f>E6341*G6341</x:f>
        <x:v>435714.28571428574</x:v>
      </x:c>
      <x:c r="I6341" s="36" t="n">
        <x:f>IFERROR(H6341/A6341,0)</x:f>
        <x:v>43571.42857142857</x:v>
      </x:c>
      <x:c r="J6341" s="67" t="str">
        <x:v>Modeled from live base + Sep-2026 quality ratio</x:v>
      </x:c>
      <x:c r="K6341" s="67" t="str">
        <x:v>https://www.stonealgo.com/diamond-prices/</x:v>
      </x:c>
      <x:c r="L6341" s="67" t="str">
        <x:v>https://www.pricescope.com/blog/natural-diamond-prices-september-2026</x:v>
      </x:c>
    </x:row>
    <x:row r="6342">
      <x:c r="A6342" t="n">
        <x:v>10</x:v>
      </x:c>
      <x:c r="B6342" t="str">
        <x:v>Asscher</x:v>
      </x:c>
      <x:c r="C6342" t="str">
        <x:v>D</x:v>
      </x:c>
      <x:c r="D6342" t="str">
        <x:v>VS1</x:v>
      </x:c>
      <x:c r="E6342" s="36" t="n">
        <x:v>305000</x:v>
      </x:c>
      <x:c r="F6342" s="36" t="n">
        <x:v>6247</x:v>
      </x:c>
      <x:c r="G6342" s="42" t="n">
        <x:v>1.33998283998284</x:v>
      </x:c>
      <x:c r="H6342" s="36" t="n">
        <x:f>E6342*G6342</x:f>
        <x:v>408694.7661947662</x:v>
      </x:c>
      <x:c r="I6342" s="36" t="n">
        <x:f>IFERROR(H6342/A6342,0)</x:f>
        <x:v>40869.47661947662</x:v>
      </x:c>
      <x:c r="J6342" s="67" t="str">
        <x:v>Modeled from live base + Sep-2026 quality ratio</x:v>
      </x:c>
      <x:c r="K6342" s="67" t="str">
        <x:v>https://www.stonealgo.com/diamond-prices/</x:v>
      </x:c>
      <x:c r="L6342" s="67" t="str">
        <x:v>https://www.pricescope.com/blog/natural-diamond-prices-september-2026</x:v>
      </x:c>
    </x:row>
    <x:row r="6343">
      <x:c r="A6343" t="n">
        <x:v>10</x:v>
      </x:c>
      <x:c r="B6343" t="str">
        <x:v>Asscher</x:v>
      </x:c>
      <x:c r="C6343" t="str">
        <x:v>D</x:v>
      </x:c>
      <x:c r="D6343" t="str">
        <x:v>VS2</x:v>
      </x:c>
      <x:c r="E6343" s="36" t="n">
        <x:v>305000</x:v>
      </x:c>
      <x:c r="F6343" s="36" t="n">
        <x:v>5841</x:v>
      </x:c>
      <x:c r="G6343" s="42" t="n">
        <x:v>1.252895752895753</x:v>
      </x:c>
      <x:c r="H6343" s="36" t="n">
        <x:f>E6343*G6343</x:f>
        <x:v>382133.2046332047</x:v>
      </x:c>
      <x:c r="I6343" s="36" t="n">
        <x:f>IFERROR(H6343/A6343,0)</x:f>
        <x:v>38213.320463320466</x:v>
      </x:c>
      <x:c r="J6343" s="67" t="str">
        <x:v>Modeled from live base + Sep-2026 quality ratio</x:v>
      </x:c>
      <x:c r="K6343" s="67" t="str">
        <x:v>https://www.stonealgo.com/diamond-prices/</x:v>
      </x:c>
      <x:c r="L6343" s="67" t="str">
        <x:v>https://www.pricescope.com/blog/natural-diamond-prices-september-2026</x:v>
      </x:c>
    </x:row>
    <x:row r="6344">
      <x:c r="A6344" t="n">
        <x:v>10</x:v>
      </x:c>
      <x:c r="B6344" t="str">
        <x:v>Asscher</x:v>
      </x:c>
      <x:c r="C6344" t="str">
        <x:v>D</x:v>
      </x:c>
      <x:c r="D6344" t="str">
        <x:v>SI1</x:v>
      </x:c>
      <x:c r="E6344" s="36" t="n">
        <x:v>305000</x:v>
      </x:c>
      <x:c r="F6344" s="36" t="n">
        <x:v>3762</x:v>
      </x:c>
      <x:c r="G6344" s="42" t="n">
        <x:v>0.806949806949807</x:v>
      </x:c>
      <x:c r="H6344" s="36" t="n">
        <x:f>E6344*G6344</x:f>
        <x:v>246119.69111969112</x:v>
      </x:c>
      <x:c r="I6344" s="36" t="n">
        <x:f>IFERROR(H6344/A6344,0)</x:f>
        <x:v>24611.969111969112</x:v>
      </x:c>
      <x:c r="J6344" s="67" t="str">
        <x:v>Modeled from live base + Sep-2026 quality ratio</x:v>
      </x:c>
      <x:c r="K6344" s="67" t="str">
        <x:v>https://www.stonealgo.com/diamond-prices/</x:v>
      </x:c>
      <x:c r="L6344" s="67" t="str">
        <x:v>https://www.pricescope.com/blog/natural-diamond-prices-september-2026</x:v>
      </x:c>
    </x:row>
    <x:row r="6345">
      <x:c r="A6345" t="n">
        <x:v>10</x:v>
      </x:c>
      <x:c r="B6345" t="str">
        <x:v>Asscher</x:v>
      </x:c>
      <x:c r="C6345" t="str">
        <x:v>D</x:v>
      </x:c>
      <x:c r="D6345" t="str">
        <x:v>SI2</x:v>
      </x:c>
      <x:c r="E6345" s="36" t="n">
        <x:v>305000</x:v>
      </x:c>
      <x:c r="F6345" s="36" t="n">
        <x:v>3026</x:v>
      </x:c>
      <x:c r="G6345" s="42" t="n">
        <x:v>0.6490776490776491</x:v>
      </x:c>
      <x:c r="H6345" s="36" t="n">
        <x:f>E6345*G6345</x:f>
        <x:v>197968.68296868296</x:v>
      </x:c>
      <x:c r="I6345" s="36" t="n">
        <x:f>IFERROR(H6345/A6345,0)</x:f>
        <x:v>19796.868296868295</x:v>
      </x:c>
      <x:c r="J6345" s="67" t="str">
        <x:v>Modeled from live base + Sep-2026 quality ratio</x:v>
      </x:c>
      <x:c r="K6345" s="67" t="str">
        <x:v>https://www.stonealgo.com/diamond-prices/</x:v>
      </x:c>
      <x:c r="L6345" s="67" t="str">
        <x:v>https://www.pricescope.com/blog/natural-diamond-prices-september-2026</x:v>
      </x:c>
    </x:row>
    <x:row r="6346">
      <x:c r="A6346" t="n">
        <x:v>10</x:v>
      </x:c>
      <x:c r="B6346" t="str">
        <x:v>Asscher</x:v>
      </x:c>
      <x:c r="C6346" t="str">
        <x:v>E</x:v>
      </x:c>
      <x:c r="D6346" t="str">
        <x:v>FL</x:v>
      </x:c>
      <x:c r="E6346" s="36" t="n">
        <x:v>305000</x:v>
      </x:c>
      <x:c r="F6346" s="36" t="n">
        <x:v>10072</x:v>
      </x:c>
      <x:c r="G6346" s="42" t="n">
        <x:v>2.1604461604461602</x:v>
      </x:c>
      <x:c r="H6346" s="36" t="n">
        <x:f>E6346*G6346</x:f>
        <x:v>658936.0789360788</x:v>
      </x:c>
      <x:c r="I6346" s="36" t="n">
        <x:f>IFERROR(H6346/A6346,0)</x:f>
        <x:v>65893.60789360788</x:v>
      </x:c>
      <x:c r="J6346" s="67" t="str">
        <x:v>Modeled from live base + Sep-2026 quality ratio</x:v>
      </x:c>
      <x:c r="K6346" s="67" t="str">
        <x:v>https://www.stonealgo.com/diamond-prices/</x:v>
      </x:c>
      <x:c r="L6346" s="67" t="str">
        <x:v>https://www.pricescope.com/blog/natural-diamond-prices-september-2026</x:v>
      </x:c>
    </x:row>
    <x:row r="6347">
      <x:c r="A6347" t="n">
        <x:v>10</x:v>
      </x:c>
      <x:c r="B6347" t="str">
        <x:v>Asscher</x:v>
      </x:c>
      <x:c r="C6347" t="str">
        <x:v>E</x:v>
      </x:c>
      <x:c r="D6347" t="str">
        <x:v>IF</x:v>
      </x:c>
      <x:c r="E6347" s="36" t="n">
        <x:v>305000</x:v>
      </x:c>
      <x:c r="F6347" s="36" t="n">
        <x:v>8672</x:v>
      </x:c>
      <x:c r="G6347" s="42" t="n">
        <x:v>1.8601458601458603</x:v>
      </x:c>
      <x:c r="H6347" s="36" t="n">
        <x:f>E6347*G6347</x:f>
        <x:v>567344.4873444873</x:v>
      </x:c>
      <x:c r="I6347" s="36" t="n">
        <x:f>IFERROR(H6347/A6347,0)</x:f>
        <x:v>56734.448734448735</x:v>
      </x:c>
      <x:c r="J6347" s="67" t="str">
        <x:v>Modeled from live base + Sep-2026 quality ratio</x:v>
      </x:c>
      <x:c r="K6347" s="67" t="str">
        <x:v>https://www.stonealgo.com/diamond-prices/</x:v>
      </x:c>
      <x:c r="L6347" s="67" t="str">
        <x:v>https://www.pricescope.com/blog/natural-diamond-prices-september-2026</x:v>
      </x:c>
    </x:row>
    <x:row r="6348">
      <x:c r="A6348" t="n">
        <x:v>10</x:v>
      </x:c>
      <x:c r="B6348" t="str">
        <x:v>Asscher</x:v>
      </x:c>
      <x:c r="C6348" t="str">
        <x:v>E</x:v>
      </x:c>
      <x:c r="D6348" t="str">
        <x:v>VVS1</x:v>
      </x:c>
      <x:c r="E6348" s="36" t="n">
        <x:v>305000</x:v>
      </x:c>
      <x:c r="F6348" s="36" t="n">
        <x:v>7842</x:v>
      </x:c>
      <x:c r="G6348" s="42" t="n">
        <x:v>1.6821106821106822</x:v>
      </x:c>
      <x:c r="H6348" s="36" t="n">
        <x:f>E6348*G6348</x:f>
        <x:v>513043.75804375805</x:v>
      </x:c>
      <x:c r="I6348" s="36" t="n">
        <x:f>IFERROR(H6348/A6348,0)</x:f>
        <x:v>51304.375804375806</x:v>
      </x:c>
      <x:c r="J6348" s="67" t="str">
        <x:v>Modeled from live base + Sep-2026 quality ratio</x:v>
      </x:c>
      <x:c r="K6348" s="67" t="str">
        <x:v>https://www.stonealgo.com/diamond-prices/</x:v>
      </x:c>
      <x:c r="L6348" s="67" t="str">
        <x:v>https://www.pricescope.com/blog/natural-diamond-prices-september-2026</x:v>
      </x:c>
    </x:row>
    <x:row r="6349">
      <x:c r="A6349" t="n">
        <x:v>10</x:v>
      </x:c>
      <x:c r="B6349" t="str">
        <x:v>Asscher</x:v>
      </x:c>
      <x:c r="C6349" t="str">
        <x:v>E</x:v>
      </x:c>
      <x:c r="D6349" t="str">
        <x:v>VVS2</x:v>
      </x:c>
      <x:c r="E6349" s="36" t="n">
        <x:v>305000</x:v>
      </x:c>
      <x:c r="F6349" s="36" t="n">
        <x:v>6880</x:v>
      </x:c>
      <x:c r="G6349" s="42" t="n">
        <x:v>1.4757614757614759</x:v>
      </x:c>
      <x:c r="H6349" s="36" t="n">
        <x:f>E6349*G6349</x:f>
        <x:v>450107.2501072501</x:v>
      </x:c>
      <x:c r="I6349" s="36" t="n">
        <x:f>IFERROR(H6349/A6349,0)</x:f>
        <x:v>45010.725010725015</x:v>
      </x:c>
      <x:c r="J6349" s="67" t="str">
        <x:v>Modeled from live base + Sep-2026 quality ratio</x:v>
      </x:c>
      <x:c r="K6349" s="67" t="str">
        <x:v>https://www.stonealgo.com/diamond-prices/</x:v>
      </x:c>
      <x:c r="L6349" s="67" t="str">
        <x:v>https://www.pricescope.com/blog/natural-diamond-prices-september-2026</x:v>
      </x:c>
    </x:row>
    <x:row r="6350">
      <x:c r="A6350" t="n">
        <x:v>10</x:v>
      </x:c>
      <x:c r="B6350" t="str">
        <x:v>Asscher</x:v>
      </x:c>
      <x:c r="C6350" t="str">
        <x:v>E</x:v>
      </x:c>
      <x:c r="D6350" t="str">
        <x:v>VS1</x:v>
      </x:c>
      <x:c r="E6350" s="36" t="n">
        <x:v>305000</x:v>
      </x:c>
      <x:c r="F6350" s="36" t="n">
        <x:v>6307</x:v>
      </x:c>
      <x:c r="G6350" s="42" t="n">
        <x:v>1.352852852852853</x:v>
      </x:c>
      <x:c r="H6350" s="36" t="n">
        <x:f>E6350*G6350</x:f>
        <x:v>412620.1201201202</x:v>
      </x:c>
      <x:c r="I6350" s="36" t="n">
        <x:f>IFERROR(H6350/A6350,0)</x:f>
        <x:v>41262.01201201202</x:v>
      </x:c>
      <x:c r="J6350" s="67" t="str">
        <x:v>Modeled from live base + Sep-2026 quality ratio</x:v>
      </x:c>
      <x:c r="K6350" s="67" t="str">
        <x:v>https://www.stonealgo.com/diamond-prices/</x:v>
      </x:c>
      <x:c r="L6350" s="67" t="str">
        <x:v>https://www.pricescope.com/blog/natural-diamond-prices-september-2026</x:v>
      </x:c>
    </x:row>
    <x:row r="6351">
      <x:c r="A6351" t="n">
        <x:v>10</x:v>
      </x:c>
      <x:c r="B6351" t="str">
        <x:v>Asscher</x:v>
      </x:c>
      <x:c r="C6351" t="str">
        <x:v>E</x:v>
      </x:c>
      <x:c r="D6351" t="str">
        <x:v>VS2</x:v>
      </x:c>
      <x:c r="E6351" s="36" t="n">
        <x:v>305000</x:v>
      </x:c>
      <x:c r="F6351" s="36" t="n">
        <x:v>5249</x:v>
      </x:c>
      <x:c r="G6351" s="42" t="n">
        <x:v>1.125911625911626</x:v>
      </x:c>
      <x:c r="H6351" s="36" t="n">
        <x:f>E6351*G6351</x:f>
        <x:v>343403.0459030459</x:v>
      </x:c>
      <x:c r="I6351" s="36" t="n">
        <x:f>IFERROR(H6351/A6351,0)</x:f>
        <x:v>34340.30459030459</x:v>
      </x:c>
      <x:c r="J6351" s="67" t="str">
        <x:v>Modeled from live base + Sep-2026 quality ratio</x:v>
      </x:c>
      <x:c r="K6351" s="67" t="str">
        <x:v>https://www.stonealgo.com/diamond-prices/</x:v>
      </x:c>
      <x:c r="L6351" s="67" t="str">
        <x:v>https://www.pricescope.com/blog/natural-diamond-prices-september-2026</x:v>
      </x:c>
    </x:row>
    <x:row r="6352">
      <x:c r="A6352" t="n">
        <x:v>10</x:v>
      </x:c>
      <x:c r="B6352" t="str">
        <x:v>Asscher</x:v>
      </x:c>
      <x:c r="C6352" t="str">
        <x:v>E</x:v>
      </x:c>
      <x:c r="D6352" t="str">
        <x:v>SI1</x:v>
      </x:c>
      <x:c r="E6352" s="36" t="n">
        <x:v>305000</x:v>
      </x:c>
      <x:c r="F6352" s="36" t="n">
        <x:v>3551</x:v>
      </x:c>
      <x:c r="G6352" s="42" t="n">
        <x:v>0.7616902616902617</x:v>
      </x:c>
      <x:c r="H6352" s="36" t="n">
        <x:f>E6352*G6352</x:f>
        <x:v>232315.5298155298</x:v>
      </x:c>
      <x:c r="I6352" s="36" t="n">
        <x:f>IFERROR(H6352/A6352,0)</x:f>
        <x:v>23231.55298155298</x:v>
      </x:c>
      <x:c r="J6352" s="67" t="str">
        <x:v>Modeled from live base + Sep-2026 quality ratio</x:v>
      </x:c>
      <x:c r="K6352" s="67" t="str">
        <x:v>https://www.stonealgo.com/diamond-prices/</x:v>
      </x:c>
      <x:c r="L6352" s="67" t="str">
        <x:v>https://www.pricescope.com/blog/natural-diamond-prices-september-2026</x:v>
      </x:c>
    </x:row>
    <x:row r="6353">
      <x:c r="A6353" t="n">
        <x:v>10</x:v>
      </x:c>
      <x:c r="B6353" t="str">
        <x:v>Asscher</x:v>
      </x:c>
      <x:c r="C6353" t="str">
        <x:v>E</x:v>
      </x:c>
      <x:c r="D6353" t="str">
        <x:v>SI2</x:v>
      </x:c>
      <x:c r="E6353" s="36" t="n">
        <x:v>305000</x:v>
      </x:c>
      <x:c r="F6353" s="36" t="n">
        <x:v>2993</x:v>
      </x:c>
      <x:c r="G6353" s="42" t="n">
        <x:v>0.641999141999142</x:v>
      </x:c>
      <x:c r="H6353" s="36" t="n">
        <x:f>E6353*G6353</x:f>
        <x:v>195809.7383097383</x:v>
      </x:c>
      <x:c r="I6353" s="36" t="n">
        <x:f>IFERROR(H6353/A6353,0)</x:f>
        <x:v>19580.97383097383</x:v>
      </x:c>
      <x:c r="J6353" s="67" t="str">
        <x:v>Modeled from live base + Sep-2026 quality ratio</x:v>
      </x:c>
      <x:c r="K6353" s="67" t="str">
        <x:v>https://www.stonealgo.com/diamond-prices/</x:v>
      </x:c>
      <x:c r="L6353" s="67" t="str">
        <x:v>https://www.pricescope.com/blog/natural-diamond-prices-september-2026</x:v>
      </x:c>
    </x:row>
    <x:row r="6354">
      <x:c r="A6354" t="n">
        <x:v>10</x:v>
      </x:c>
      <x:c r="B6354" t="str">
        <x:v>Asscher</x:v>
      </x:c>
      <x:c r="C6354" t="str">
        <x:v>F</x:v>
      </x:c>
      <x:c r="D6354" t="str">
        <x:v>FL</x:v>
      </x:c>
      <x:c r="E6354" s="36" t="n">
        <x:v>305000</x:v>
      </x:c>
      <x:c r="F6354" s="36" t="n">
        <x:v>6830</x:v>
      </x:c>
      <x:c r="G6354" s="42" t="n">
        <x:v>1.4650364650364651</x:v>
      </x:c>
      <x:c r="H6354" s="36" t="n">
        <x:f>E6354*G6354</x:f>
        <x:v>446836.12183612183</x:v>
      </x:c>
      <x:c r="I6354" s="36" t="n">
        <x:f>IFERROR(H6354/A6354,0)</x:f>
        <x:v>44683.61218361218</x:v>
      </x:c>
      <x:c r="J6354" s="67" t="str">
        <x:v>Modeled from live base + Sep-2026 quality ratio</x:v>
      </x:c>
      <x:c r="K6354" s="67" t="str">
        <x:v>https://www.stonealgo.com/diamond-prices/</x:v>
      </x:c>
      <x:c r="L6354" s="67" t="str">
        <x:v>https://www.pricescope.com/blog/natural-diamond-prices-september-2026</x:v>
      </x:c>
    </x:row>
    <x:row r="6355">
      <x:c r="A6355" t="n">
        <x:v>10</x:v>
      </x:c>
      <x:c r="B6355" t="str">
        <x:v>Asscher</x:v>
      </x:c>
      <x:c r="C6355" t="str">
        <x:v>F</x:v>
      </x:c>
      <x:c r="D6355" t="str">
        <x:v>IF</x:v>
      </x:c>
      <x:c r="E6355" s="36" t="n">
        <x:v>305000</x:v>
      </x:c>
      <x:c r="F6355" s="36" t="n">
        <x:v>7302</x:v>
      </x:c>
      <x:c r="G6355" s="42" t="n">
        <x:v>1.5662805662805663</x:v>
      </x:c>
      <x:c r="H6355" s="36" t="n">
        <x:f>E6355*G6355</x:f>
        <x:v>477715.5727155727</x:v>
      </x:c>
      <x:c r="I6355" s="36" t="n">
        <x:f>IFERROR(H6355/A6355,0)</x:f>
        <x:v>47771.55727155727</x:v>
      </x:c>
      <x:c r="J6355" s="67" t="str">
        <x:v>Modeled from live base + Sep-2026 quality ratio</x:v>
      </x:c>
      <x:c r="K6355" s="67" t="str">
        <x:v>https://www.stonealgo.com/diamond-prices/</x:v>
      </x:c>
      <x:c r="L6355" s="67" t="str">
        <x:v>https://www.pricescope.com/blog/natural-diamond-prices-september-2026</x:v>
      </x:c>
    </x:row>
    <x:row r="6356">
      <x:c r="A6356" t="n">
        <x:v>10</x:v>
      </x:c>
      <x:c r="B6356" t="str">
        <x:v>Asscher</x:v>
      </x:c>
      <x:c r="C6356" t="str">
        <x:v>F</x:v>
      </x:c>
      <x:c r="D6356" t="str">
        <x:v>VVS1</x:v>
      </x:c>
      <x:c r="E6356" s="36" t="n">
        <x:v>305000</x:v>
      </x:c>
      <x:c r="F6356" s="36" t="n">
        <x:v>7542</x:v>
      </x:c>
      <x:c r="G6356" s="42" t="n">
        <x:v>1.6177606177606179</x:v>
      </x:c>
      <x:c r="H6356" s="36" t="n">
        <x:f>E6356*G6356</x:f>
        <x:v>493416.98841698846</x:v>
      </x:c>
      <x:c r="I6356" s="36" t="n">
        <x:f>IFERROR(H6356/A6356,0)</x:f>
        <x:v>49341.698841698846</x:v>
      </x:c>
      <x:c r="J6356" s="67" t="str">
        <x:v>Modeled from live base + Sep-2026 quality ratio</x:v>
      </x:c>
      <x:c r="K6356" s="67" t="str">
        <x:v>https://www.stonealgo.com/diamond-prices/</x:v>
      </x:c>
      <x:c r="L6356" s="67" t="str">
        <x:v>https://www.pricescope.com/blog/natural-diamond-prices-september-2026</x:v>
      </x:c>
    </x:row>
    <x:row r="6357">
      <x:c r="A6357" t="n">
        <x:v>10</x:v>
      </x:c>
      <x:c r="B6357" t="str">
        <x:v>Asscher</x:v>
      </x:c>
      <x:c r="C6357" t="str">
        <x:v>F</x:v>
      </x:c>
      <x:c r="D6357" t="str">
        <x:v>VVS2</x:v>
      </x:c>
      <x:c r="E6357" s="36" t="n">
        <x:v>305000</x:v>
      </x:c>
      <x:c r="F6357" s="36" t="n">
        <x:v>6352</x:v>
      </x:c>
      <x:c r="G6357" s="42" t="n">
        <x:v>1.3625053625053625</x:v>
      </x:c>
      <x:c r="H6357" s="36" t="n">
        <x:f>E6357*G6357</x:f>
        <x:v>415564.13556413556</x:v>
      </x:c>
      <x:c r="I6357" s="36" t="n">
        <x:f>IFERROR(H6357/A6357,0)</x:f>
        <x:v>41556.41355641356</x:v>
      </x:c>
      <x:c r="J6357" s="67" t="str">
        <x:v>Modeled from live base + Sep-2026 quality ratio</x:v>
      </x:c>
      <x:c r="K6357" s="67" t="str">
        <x:v>https://www.stonealgo.com/diamond-prices/</x:v>
      </x:c>
      <x:c r="L6357" s="67" t="str">
        <x:v>https://www.pricescope.com/blog/natural-diamond-prices-september-2026</x:v>
      </x:c>
    </x:row>
    <x:row r="6358">
      <x:c r="A6358" t="n">
        <x:v>10</x:v>
      </x:c>
      <x:c r="B6358" t="str">
        <x:v>Asscher</x:v>
      </x:c>
      <x:c r="C6358" t="str">
        <x:v>F</x:v>
      </x:c>
      <x:c r="D6358" t="str">
        <x:v>VS1</x:v>
      </x:c>
      <x:c r="E6358" s="36" t="n">
        <x:v>305000</x:v>
      </x:c>
      <x:c r="F6358" s="36" t="n">
        <x:v>5647</x:v>
      </x:c>
      <x:c r="G6358" s="42" t="n">
        <x:v>1.2112827112827114</x:v>
      </x:c>
      <x:c r="H6358" s="36" t="n">
        <x:f>E6358*G6358</x:f>
        <x:v>369441.226941227</x:v>
      </x:c>
      <x:c r="I6358" s="36" t="n">
        <x:f>IFERROR(H6358/A6358,0)</x:f>
        <x:v>36944.1226941227</x:v>
      </x:c>
      <x:c r="J6358" s="67" t="str">
        <x:v>Modeled from live base + Sep-2026 quality ratio</x:v>
      </x:c>
      <x:c r="K6358" s="67" t="str">
        <x:v>https://www.stonealgo.com/diamond-prices/</x:v>
      </x:c>
      <x:c r="L6358" s="67" t="str">
        <x:v>https://www.pricescope.com/blog/natural-diamond-prices-september-2026</x:v>
      </x:c>
    </x:row>
    <x:row r="6359">
      <x:c r="A6359" t="n">
        <x:v>10</x:v>
      </x:c>
      <x:c r="B6359" t="str">
        <x:v>Asscher</x:v>
      </x:c>
      <x:c r="C6359" t="str">
        <x:v>F</x:v>
      </x:c>
      <x:c r="D6359" t="str">
        <x:v>VS2</x:v>
      </x:c>
      <x:c r="E6359" s="36" t="n">
        <x:v>305000</x:v>
      </x:c>
      <x:c r="F6359" s="36" t="n">
        <x:v>4730</x:v>
      </x:c>
      <x:c r="G6359" s="42" t="n">
        <x:v>1.0145860145860146</x:v>
      </x:c>
      <x:c r="H6359" s="36" t="n">
        <x:f>E6359*G6359</x:f>
        <x:v>309448.73444873444</x:v>
      </x:c>
      <x:c r="I6359" s="36" t="n">
        <x:f>IFERROR(H6359/A6359,0)</x:f>
        <x:v>30944.873444873443</x:v>
      </x:c>
      <x:c r="J6359" s="67" t="str">
        <x:v>Modeled from live base + Sep-2026 quality ratio</x:v>
      </x:c>
      <x:c r="K6359" s="67" t="str">
        <x:v>https://www.stonealgo.com/diamond-prices/</x:v>
      </x:c>
      <x:c r="L6359" s="67" t="str">
        <x:v>https://www.pricescope.com/blog/natural-diamond-prices-september-2026</x:v>
      </x:c>
    </x:row>
    <x:row r="6360">
      <x:c r="A6360" t="n">
        <x:v>10</x:v>
      </x:c>
      <x:c r="B6360" t="str">
        <x:v>Asscher</x:v>
      </x:c>
      <x:c r="C6360" t="str">
        <x:v>F</x:v>
      </x:c>
      <x:c r="D6360" t="str">
        <x:v>SI1</x:v>
      </x:c>
      <x:c r="E6360" s="36" t="n">
        <x:v>305000</x:v>
      </x:c>
      <x:c r="F6360" s="36" t="n">
        <x:v>3331</x:v>
      </x:c>
      <x:c r="G6360" s="42" t="n">
        <x:v>0.7145002145002145</x:v>
      </x:c>
      <x:c r="H6360" s="36" t="n">
        <x:f>E6360*G6360</x:f>
        <x:v>217922.5654225654</x:v>
      </x:c>
      <x:c r="I6360" s="36" t="n">
        <x:f>IFERROR(H6360/A6360,0)</x:f>
        <x:v>21792.256542256542</x:v>
      </x:c>
      <x:c r="J6360" s="67" t="str">
        <x:v>Modeled from live base + Sep-2026 quality ratio</x:v>
      </x:c>
      <x:c r="K6360" s="67" t="str">
        <x:v>https://www.stonealgo.com/diamond-prices/</x:v>
      </x:c>
      <x:c r="L6360" s="67" t="str">
        <x:v>https://www.pricescope.com/blog/natural-diamond-prices-september-2026</x:v>
      </x:c>
    </x:row>
    <x:row r="6361">
      <x:c r="A6361" t="n">
        <x:v>10</x:v>
      </x:c>
      <x:c r="B6361" t="str">
        <x:v>Asscher</x:v>
      </x:c>
      <x:c r="C6361" t="str">
        <x:v>F</x:v>
      </x:c>
      <x:c r="D6361" t="str">
        <x:v>SI2</x:v>
      </x:c>
      <x:c r="E6361" s="36" t="n">
        <x:v>305000</x:v>
      </x:c>
      <x:c r="F6361" s="36" t="n">
        <x:v>2733</x:v>
      </x:c>
      <x:c r="G6361" s="42" t="n">
        <x:v>0.5862290862290862</x:v>
      </x:c>
      <x:c r="H6361" s="36" t="n">
        <x:f>E6361*G6361</x:f>
        <x:v>178799.8712998713</x:v>
      </x:c>
      <x:c r="I6361" s="36" t="n">
        <x:f>IFERROR(H6361/A6361,0)</x:f>
        <x:v>17879.98712998713</x:v>
      </x:c>
      <x:c r="J6361" s="67" t="str">
        <x:v>Modeled from live base + Sep-2026 quality ratio</x:v>
      </x:c>
      <x:c r="K6361" s="67" t="str">
        <x:v>https://www.stonealgo.com/diamond-prices/</x:v>
      </x:c>
      <x:c r="L6361" s="67" t="str">
        <x:v>https://www.pricescope.com/blog/natural-diamond-prices-september-2026</x:v>
      </x:c>
    </x:row>
    <x:row r="6362">
      <x:c r="A6362" t="n">
        <x:v>10</x:v>
      </x:c>
      <x:c r="B6362" t="str">
        <x:v>Asscher</x:v>
      </x:c>
      <x:c r="C6362" t="str">
        <x:v>G</x:v>
      </x:c>
      <x:c r="D6362" t="str">
        <x:v>FL</x:v>
      </x:c>
      <x:c r="E6362" s="36" t="n">
        <x:v>305000</x:v>
      </x:c>
      <x:c r="F6362" s="36" t="n">
        <x:v>5905</x:v>
      </x:c>
      <x:c r="G6362" s="42" t="n">
        <x:v>1.2666237666237665</x:v>
      </x:c>
      <x:c r="H6362" s="36" t="n">
        <x:f>E6362*G6362</x:f>
        <x:v>386320.2488202488</x:v>
      </x:c>
      <x:c r="I6362" s="36" t="n">
        <x:f>IFERROR(H6362/A6362,0)</x:f>
        <x:v>38632.02488202488</x:v>
      </x:c>
      <x:c r="J6362" s="67" t="str">
        <x:v>Modeled from live base + Sep-2026 quality ratio</x:v>
      </x:c>
      <x:c r="K6362" s="67" t="str">
        <x:v>https://www.stonealgo.com/diamond-prices/</x:v>
      </x:c>
      <x:c r="L6362" s="67" t="str">
        <x:v>https://www.pricescope.com/blog/natural-diamond-prices-september-2026</x:v>
      </x:c>
    </x:row>
    <x:row r="6363">
      <x:c r="A6363" t="n">
        <x:v>10</x:v>
      </x:c>
      <x:c r="B6363" t="str">
        <x:v>Asscher</x:v>
      </x:c>
      <x:c r="C6363" t="str">
        <x:v>G</x:v>
      </x:c>
      <x:c r="D6363" t="str">
        <x:v>IF</x:v>
      </x:c>
      <x:c r="E6363" s="36" t="n">
        <x:v>305000</x:v>
      </x:c>
      <x:c r="F6363" s="36" t="n">
        <x:v>5601</x:v>
      </x:c>
      <x:c r="G6363" s="42" t="n">
        <x:v>1.2014157014157014</x:v>
      </x:c>
      <x:c r="H6363" s="36" t="n">
        <x:f>E6363*G6363</x:f>
        <x:v>366431.78893178893</x:v>
      </x:c>
      <x:c r="I6363" s="36" t="n">
        <x:f>IFERROR(H6363/A6363,0)</x:f>
        <x:v>36643.17889317889</x:v>
      </x:c>
      <x:c r="J6363" s="67" t="str">
        <x:v>Modeled from live base + Sep-2026 quality ratio</x:v>
      </x:c>
      <x:c r="K6363" s="67" t="str">
        <x:v>https://www.stonealgo.com/diamond-prices/</x:v>
      </x:c>
      <x:c r="L6363" s="67" t="str">
        <x:v>https://www.pricescope.com/blog/natural-diamond-prices-september-2026</x:v>
      </x:c>
    </x:row>
    <x:row r="6364">
      <x:c r="A6364" t="n">
        <x:v>10</x:v>
      </x:c>
      <x:c r="B6364" t="str">
        <x:v>Asscher</x:v>
      </x:c>
      <x:c r="C6364" t="str">
        <x:v>G</x:v>
      </x:c>
      <x:c r="D6364" t="str">
        <x:v>VVS1</x:v>
      </x:c>
      <x:c r="E6364" s="36" t="n">
        <x:v>305000</x:v>
      </x:c>
      <x:c r="F6364" s="36" t="n">
        <x:v>5124</x:v>
      </x:c>
      <x:c r="G6364" s="42" t="n">
        <x:v>1.0990990990990992</x:v>
      </x:c>
      <x:c r="H6364" s="36" t="n">
        <x:f>E6364*G6364</x:f>
        <x:v>335225.22522522527</x:v>
      </x:c>
      <x:c r="I6364" s="36" t="n">
        <x:f>IFERROR(H6364/A6364,0)</x:f>
        <x:v>33522.52252252253</x:v>
      </x:c>
      <x:c r="J6364" s="67" t="str">
        <x:v>Modeled from live base + Sep-2026 quality ratio</x:v>
      </x:c>
      <x:c r="K6364" s="67" t="str">
        <x:v>https://www.stonealgo.com/diamond-prices/</x:v>
      </x:c>
      <x:c r="L6364" s="67" t="str">
        <x:v>https://www.pricescope.com/blog/natural-diamond-prices-september-2026</x:v>
      </x:c>
    </x:row>
    <x:row r="6365">
      <x:c r="A6365" t="n">
        <x:v>10</x:v>
      </x:c>
      <x:c r="B6365" t="str">
        <x:v>Asscher</x:v>
      </x:c>
      <x:c r="C6365" t="str">
        <x:v>G</x:v>
      </x:c>
      <x:c r="D6365" t="str">
        <x:v>VVS2</x:v>
      </x:c>
      <x:c r="E6365" s="36" t="n">
        <x:v>305000</x:v>
      </x:c>
      <x:c r="F6365" s="36" t="n">
        <x:v>4962</x:v>
      </x:c>
      <x:c r="G6365" s="42" t="n">
        <x:v>1.0643500643500643</x:v>
      </x:c>
      <x:c r="H6365" s="36" t="n">
        <x:f>E6365*G6365</x:f>
        <x:v>324626.7696267696</x:v>
      </x:c>
      <x:c r="I6365" s="36" t="n">
        <x:f>IFERROR(H6365/A6365,0)</x:f>
        <x:v>32462.67696267696</x:v>
      </x:c>
      <x:c r="J6365" s="67" t="str">
        <x:v>Modeled from live base + Sep-2026 quality ratio</x:v>
      </x:c>
      <x:c r="K6365" s="67" t="str">
        <x:v>https://www.stonealgo.com/diamond-prices/</x:v>
      </x:c>
      <x:c r="L6365" s="67" t="str">
        <x:v>https://www.pricescope.com/blog/natural-diamond-prices-september-2026</x:v>
      </x:c>
    </x:row>
    <x:row r="6366">
      <x:c r="A6366" t="n">
        <x:v>10</x:v>
      </x:c>
      <x:c r="B6366" t="str">
        <x:v>Asscher</x:v>
      </x:c>
      <x:c r="C6366" t="str">
        <x:v>G</x:v>
      </x:c>
      <x:c r="D6366" t="str">
        <x:v>VS1</x:v>
      </x:c>
      <x:c r="E6366" s="36" t="n">
        <x:v>305000</x:v>
      </x:c>
      <x:c r="F6366" s="36" t="n">
        <x:v>4615</x:v>
      </x:c>
      <x:c r="G6366" s="42" t="n">
        <x:v>0.98991848991849</x:v>
      </x:c>
      <x:c r="H6366" s="36" t="n">
        <x:f>E6366*G6366</x:f>
        <x:v>301925.13942513947</x:v>
      </x:c>
      <x:c r="I6366" s="36" t="n">
        <x:f>IFERROR(H6366/A6366,0)</x:f>
        <x:v>30192.513942513946</x:v>
      </x:c>
      <x:c r="J6366" s="67" t="str">
        <x:v>Modeled from live base + Sep-2026 quality ratio</x:v>
      </x:c>
      <x:c r="K6366" s="67" t="str">
        <x:v>https://www.stonealgo.com/diamond-prices/</x:v>
      </x:c>
      <x:c r="L6366" s="67" t="str">
        <x:v>https://www.pricescope.com/blog/natural-diamond-prices-september-2026</x:v>
      </x:c>
    </x:row>
    <x:row r="6367">
      <x:c r="A6367" t="n">
        <x:v>10</x:v>
      </x:c>
      <x:c r="B6367" t="str">
        <x:v>Asscher</x:v>
      </x:c>
      <x:c r="C6367" t="str">
        <x:v>G</x:v>
      </x:c>
      <x:c r="D6367" t="str">
        <x:v>VS2</x:v>
      </x:c>
      <x:c r="E6367" s="36" t="n">
        <x:v>305000</x:v>
      </x:c>
      <x:c r="F6367" s="36" t="n">
        <x:v>4585</x:v>
      </x:c>
      <x:c r="G6367" s="42" t="n">
        <x:v>0.9834834834834835</x:v>
      </x:c>
      <x:c r="H6367" s="36" t="n">
        <x:f>E6367*G6367</x:f>
        <x:v>299962.4624624625</x:v>
      </x:c>
      <x:c r="I6367" s="36" t="n">
        <x:f>IFERROR(H6367/A6367,0)</x:f>
        <x:v>29996.24624624625</x:v>
      </x:c>
      <x:c r="J6367" s="67" t="str">
        <x:v>Modeled from live base + Sep-2026 quality ratio</x:v>
      </x:c>
      <x:c r="K6367" s="67" t="str">
        <x:v>https://www.stonealgo.com/diamond-prices/</x:v>
      </x:c>
      <x:c r="L6367" s="67" t="str">
        <x:v>https://www.pricescope.com/blog/natural-diamond-prices-september-2026</x:v>
      </x:c>
    </x:row>
    <x:row r="6368">
      <x:c r="A6368" t="n">
        <x:v>10</x:v>
      </x:c>
      <x:c r="B6368" t="str">
        <x:v>Asscher</x:v>
      </x:c>
      <x:c r="C6368" t="str">
        <x:v>G</x:v>
      </x:c>
      <x:c r="D6368" t="str">
        <x:v>SI1</x:v>
      </x:c>
      <x:c r="E6368" s="36" t="n">
        <x:v>305000</x:v>
      </x:c>
      <x:c r="F6368" s="36" t="n">
        <x:v>3664</x:v>
      </x:c>
      <x:c r="G6368" s="42" t="n">
        <x:v>0.7859287859287859</x:v>
      </x:c>
      <x:c r="H6368" s="36" t="n">
        <x:f>E6368*G6368</x:f>
        <x:v>239708.2797082797</x:v>
      </x:c>
      <x:c r="I6368" s="36" t="n">
        <x:f>IFERROR(H6368/A6368,0)</x:f>
        <x:v>23970.82797082797</x:v>
      </x:c>
      <x:c r="J6368" s="67" t="str">
        <x:v>Modeled from live base + Sep-2026 quality ratio</x:v>
      </x:c>
      <x:c r="K6368" s="67" t="str">
        <x:v>https://www.stonealgo.com/diamond-prices/</x:v>
      </x:c>
      <x:c r="L6368" s="67" t="str">
        <x:v>https://www.pricescope.com/blog/natural-diamond-prices-september-2026</x:v>
      </x:c>
    </x:row>
    <x:row r="6369">
      <x:c r="A6369" t="n">
        <x:v>10</x:v>
      </x:c>
      <x:c r="B6369" t="str">
        <x:v>Asscher</x:v>
      </x:c>
      <x:c r="C6369" t="str">
        <x:v>G</x:v>
      </x:c>
      <x:c r="D6369" t="str">
        <x:v>SI2</x:v>
      </x:c>
      <x:c r="E6369" s="36" t="n">
        <x:v>305000</x:v>
      </x:c>
      <x:c r="F6369" s="36" t="n">
        <x:v>2537</x:v>
      </x:c>
      <x:c r="G6369" s="42" t="n">
        <x:v>0.5441870441870442</x:v>
      </x:c>
      <x:c r="H6369" s="36" t="n">
        <x:f>E6369*G6369</x:f>
        <x:v>165977.0484770485</x:v>
      </x:c>
      <x:c r="I6369" s="36" t="n">
        <x:f>IFERROR(H6369/A6369,0)</x:f>
        <x:v>16597.70484770485</x:v>
      </x:c>
      <x:c r="J6369" s="67" t="str">
        <x:v>Modeled from live base + Sep-2026 quality ratio</x:v>
      </x:c>
      <x:c r="K6369" s="67" t="str">
        <x:v>https://www.stonealgo.com/diamond-prices/</x:v>
      </x:c>
      <x:c r="L6369" s="67" t="str">
        <x:v>https://www.pricescope.com/blog/natural-diamond-prices-september-2026</x:v>
      </x:c>
    </x:row>
    <x:row r="6370">
      <x:c r="A6370" t="n">
        <x:v>10</x:v>
      </x:c>
      <x:c r="B6370" t="str">
        <x:v>Asscher</x:v>
      </x:c>
      <x:c r="C6370" t="str">
        <x:v>H</x:v>
      </x:c>
      <x:c r="D6370" t="str">
        <x:v>FL</x:v>
      </x:c>
      <x:c r="E6370" s="36" t="n">
        <x:v>305000</x:v>
      </x:c>
      <x:c r="F6370" s="36" t="n">
        <x:v>4563</x:v>
      </x:c>
      <x:c r="G6370" s="42" t="n">
        <x:v>0.9787644787644788</x:v>
      </x:c>
      <x:c r="H6370" s="36" t="n">
        <x:f>E6370*G6370</x:f>
        <x:v>298523.16602316604</x:v>
      </x:c>
      <x:c r="I6370" s="36" t="n">
        <x:f>IFERROR(H6370/A6370,0)</x:f>
        <x:v>29852.316602316605</x:v>
      </x:c>
      <x:c r="J6370" s="67" t="str">
        <x:v>Modeled from live base + Sep-2026 quality ratio</x:v>
      </x:c>
      <x:c r="K6370" s="67" t="str">
        <x:v>https://www.stonealgo.com/diamond-prices/</x:v>
      </x:c>
      <x:c r="L6370" s="67" t="str">
        <x:v>https://www.pricescope.com/blog/natural-diamond-prices-september-2026</x:v>
      </x:c>
    </x:row>
    <x:row r="6371">
      <x:c r="A6371" t="n">
        <x:v>10</x:v>
      </x:c>
      <x:c r="B6371" t="str">
        <x:v>Asscher</x:v>
      </x:c>
      <x:c r="C6371" t="str">
        <x:v>H</x:v>
      </x:c>
      <x:c r="D6371" t="str">
        <x:v>IF</x:v>
      </x:c>
      <x:c r="E6371" s="36" t="n">
        <x:v>305000</x:v>
      </x:c>
      <x:c r="F6371" s="36" t="n">
        <x:v>4809</x:v>
      </x:c>
      <x:c r="G6371" s="42" t="n">
        <x:v>1.0315315315315314</x:v>
      </x:c>
      <x:c r="H6371" s="36" t="n">
        <x:f>E6371*G6371</x:f>
        <x:v>314617.1171171171</x:v>
      </x:c>
      <x:c r="I6371" s="36" t="n">
        <x:f>IFERROR(H6371/A6371,0)</x:f>
        <x:v>31461.71171171171</x:v>
      </x:c>
      <x:c r="J6371" s="67" t="str">
        <x:v>Modeled from live base + Sep-2026 quality ratio</x:v>
      </x:c>
      <x:c r="K6371" s="67" t="str">
        <x:v>https://www.stonealgo.com/diamond-prices/</x:v>
      </x:c>
      <x:c r="L6371" s="67" t="str">
        <x:v>https://www.pricescope.com/blog/natural-diamond-prices-september-2026</x:v>
      </x:c>
    </x:row>
    <x:row r="6372">
      <x:c r="A6372" t="n">
        <x:v>10</x:v>
      </x:c>
      <x:c r="B6372" t="str">
        <x:v>Asscher</x:v>
      </x:c>
      <x:c r="C6372" t="str">
        <x:v>H</x:v>
      </x:c>
      <x:c r="D6372" t="str">
        <x:v>VVS1</x:v>
      </x:c>
      <x:c r="E6372" s="36" t="n">
        <x:v>305000</x:v>
      </x:c>
      <x:c r="F6372" s="36" t="n">
        <x:v>4911</x:v>
      </x:c>
      <x:c r="G6372" s="42" t="n">
        <x:v>1.0534105534105533</x:v>
      </x:c>
      <x:c r="H6372" s="36" t="n">
        <x:f>E6372*G6372</x:f>
        <x:v>321290.21879021876</x:v>
      </x:c>
      <x:c r="I6372" s="36" t="n">
        <x:f>IFERROR(H6372/A6372,0)</x:f>
        <x:v>32129.021879021875</x:v>
      </x:c>
      <x:c r="J6372" s="67" t="str">
        <x:v>Modeled from live base + Sep-2026 quality ratio</x:v>
      </x:c>
      <x:c r="K6372" s="67" t="str">
        <x:v>https://www.stonealgo.com/diamond-prices/</x:v>
      </x:c>
      <x:c r="L6372" s="67" t="str">
        <x:v>https://www.pricescope.com/blog/natural-diamond-prices-september-2026</x:v>
      </x:c>
    </x:row>
    <x:row r="6373">
      <x:c r="A6373" t="n">
        <x:v>10</x:v>
      </x:c>
      <x:c r="B6373" t="str">
        <x:v>Asscher</x:v>
      </x:c>
      <x:c r="C6373" t="str">
        <x:v>H</x:v>
      </x:c>
      <x:c r="D6373" t="str">
        <x:v>VVS2</x:v>
      </x:c>
      <x:c r="E6373" s="36" t="n">
        <x:v>305000</x:v>
      </x:c>
      <x:c r="F6373" s="36" t="n">
        <x:v>4046</x:v>
      </x:c>
      <x:c r="G6373" s="42" t="n">
        <x:v>0.8678678678678678</x:v>
      </x:c>
      <x:c r="H6373" s="36" t="n">
        <x:f>E6373*G6373</x:f>
        <x:v>264699.6996996997</x:v>
      </x:c>
      <x:c r="I6373" s="36" t="n">
        <x:f>IFERROR(H6373/A6373,0)</x:f>
        <x:v>26469.96996996997</x:v>
      </x:c>
      <x:c r="J6373" s="67" t="str">
        <x:v>Modeled from live base + Sep-2026 quality ratio</x:v>
      </x:c>
      <x:c r="K6373" s="67" t="str">
        <x:v>https://www.stonealgo.com/diamond-prices/</x:v>
      </x:c>
      <x:c r="L6373" s="67" t="str">
        <x:v>https://www.pricescope.com/blog/natural-diamond-prices-september-2026</x:v>
      </x:c>
    </x:row>
    <x:row r="6374">
      <x:c r="A6374" t="n">
        <x:v>10</x:v>
      </x:c>
      <x:c r="B6374" t="str">
        <x:v>Asscher</x:v>
      </x:c>
      <x:c r="C6374" t="str">
        <x:v>H</x:v>
      </x:c>
      <x:c r="D6374" t="str">
        <x:v>VS1</x:v>
      </x:c>
      <x:c r="E6374" s="36" t="n">
        <x:v>305000</x:v>
      </x:c>
      <x:c r="F6374" s="36" t="n">
        <x:v>3893</x:v>
      </x:c>
      <x:c r="G6374" s="42" t="n">
        <x:v>0.8350493350493351</x:v>
      </x:c>
      <x:c r="H6374" s="36" t="n">
        <x:f>E6374*G6374</x:f>
        <x:v>254690.04719004722</x:v>
      </x:c>
      <x:c r="I6374" s="36" t="n">
        <x:f>IFERROR(H6374/A6374,0)</x:f>
        <x:v>25469.004719004723</x:v>
      </x:c>
      <x:c r="J6374" s="67" t="str">
        <x:v>Modeled from live base + Sep-2026 quality ratio</x:v>
      </x:c>
      <x:c r="K6374" s="67" t="str">
        <x:v>https://www.stonealgo.com/diamond-prices/</x:v>
      </x:c>
      <x:c r="L6374" s="67" t="str">
        <x:v>https://www.pricescope.com/blog/natural-diamond-prices-september-2026</x:v>
      </x:c>
    </x:row>
    <x:row r="6375">
      <x:c r="A6375" t="n">
        <x:v>10</x:v>
      </x:c>
      <x:c r="B6375" t="str">
        <x:v>Asscher</x:v>
      </x:c>
      <x:c r="C6375" t="str">
        <x:v>H</x:v>
      </x:c>
      <x:c r="D6375" t="str">
        <x:v>VS2</x:v>
      </x:c>
      <x:c r="E6375" s="36" t="n">
        <x:v>305000</x:v>
      </x:c>
      <x:c r="F6375" s="36" t="n">
        <x:v>3989</x:v>
      </x:c>
      <x:c r="G6375" s="42" t="n">
        <x:v>0.8556413556413557</x:v>
      </x:c>
      <x:c r="H6375" s="36" t="n">
        <x:f>E6375*G6375</x:f>
        <x:v>260970.6134706135</x:v>
      </x:c>
      <x:c r="I6375" s="36" t="n">
        <x:f>IFERROR(H6375/A6375,0)</x:f>
        <x:v>26097.06134706135</x:v>
      </x:c>
      <x:c r="J6375" s="67" t="str">
        <x:v>Modeled from live base + Sep-2026 quality ratio</x:v>
      </x:c>
      <x:c r="K6375" s="67" t="str">
        <x:v>https://www.stonealgo.com/diamond-prices/</x:v>
      </x:c>
      <x:c r="L6375" s="67" t="str">
        <x:v>https://www.pricescope.com/blog/natural-diamond-prices-september-2026</x:v>
      </x:c>
    </x:row>
    <x:row r="6376">
      <x:c r="A6376" t="n">
        <x:v>10</x:v>
      </x:c>
      <x:c r="B6376" t="str">
        <x:v>Asscher</x:v>
      </x:c>
      <x:c r="C6376" t="str">
        <x:v>H</x:v>
      </x:c>
      <x:c r="D6376" t="str">
        <x:v>SI1</x:v>
      </x:c>
      <x:c r="E6376" s="36" t="n">
        <x:v>305000</x:v>
      </x:c>
      <x:c r="F6376" s="36" t="n">
        <x:v>2828</x:v>
      </x:c>
      <x:c r="G6376" s="42" t="n">
        <x:v>0.6066066066066066</x:v>
      </x:c>
      <x:c r="H6376" s="36" t="n">
        <x:f>E6376*G6376</x:f>
        <x:v>185015.015015015</x:v>
      </x:c>
      <x:c r="I6376" s="36" t="n">
        <x:f>IFERROR(H6376/A6376,0)</x:f>
        <x:v>18501.5015015015</x:v>
      </x:c>
      <x:c r="J6376" s="67" t="str">
        <x:v>Modeled from live base + Sep-2026 quality ratio</x:v>
      </x:c>
      <x:c r="K6376" s="67" t="str">
        <x:v>https://www.stonealgo.com/diamond-prices/</x:v>
      </x:c>
      <x:c r="L6376" s="67" t="str">
        <x:v>https://www.pricescope.com/blog/natural-diamond-prices-september-2026</x:v>
      </x:c>
    </x:row>
    <x:row r="6377">
      <x:c r="A6377" t="n">
        <x:v>10</x:v>
      </x:c>
      <x:c r="B6377" t="str">
        <x:v>Asscher</x:v>
      </x:c>
      <x:c r="C6377" t="str">
        <x:v>H</x:v>
      </x:c>
      <x:c r="D6377" t="str">
        <x:v>SI2</x:v>
      </x:c>
      <x:c r="E6377" s="36" t="n">
        <x:v>305000</x:v>
      </x:c>
      <x:c r="F6377" s="36" t="n">
        <x:v>2328</x:v>
      </x:c>
      <x:c r="G6377" s="42" t="n">
        <x:v>0.49935649935649934</x:v>
      </x:c>
      <x:c r="H6377" s="36" t="n">
        <x:f>E6377*G6377</x:f>
        <x:v>152303.7323037323</x:v>
      </x:c>
      <x:c r="I6377" s="36" t="n">
        <x:f>IFERROR(H6377/A6377,0)</x:f>
        <x:v>15230.37323037323</x:v>
      </x:c>
      <x:c r="J6377" s="67" t="str">
        <x:v>Modeled from live base + Sep-2026 quality ratio</x:v>
      </x:c>
      <x:c r="K6377" s="67" t="str">
        <x:v>https://www.stonealgo.com/diamond-prices/</x:v>
      </x:c>
      <x:c r="L6377" s="67" t="str">
        <x:v>https://www.pricescope.com/blog/natural-diamond-prices-september-2026</x:v>
      </x:c>
    </x:row>
    <x:row r="6378">
      <x:c r="A6378" t="n">
        <x:v>10</x:v>
      </x:c>
      <x:c r="B6378" t="str">
        <x:v>Asscher</x:v>
      </x:c>
      <x:c r="C6378" t="str">
        <x:v>I</x:v>
      </x:c>
      <x:c r="D6378" t="str">
        <x:v>FL</x:v>
      </x:c>
      <x:c r="E6378" s="36" t="n">
        <x:v>305000</x:v>
      </x:c>
      <x:c r="F6378" s="36" t="n">
        <x:v>4623</x:v>
      </x:c>
      <x:c r="G6378" s="42" t="n">
        <x:v>0.9916344916344917</x:v>
      </x:c>
      <x:c r="H6378" s="36" t="n">
        <x:f>E6378*G6378</x:f>
        <x:v>302448.51994851994</x:v>
      </x:c>
      <x:c r="I6378" s="36" t="n">
        <x:f>IFERROR(H6378/A6378,0)</x:f>
        <x:v>30244.851994851993</x:v>
      </x:c>
      <x:c r="J6378" s="67" t="str">
        <x:v>Modeled from live base + Sep-2026 quality ratio</x:v>
      </x:c>
      <x:c r="K6378" s="67" t="str">
        <x:v>https://www.stonealgo.com/diamond-prices/</x:v>
      </x:c>
      <x:c r="L6378" s="67" t="str">
        <x:v>https://www.pricescope.com/blog/natural-diamond-prices-september-2026</x:v>
      </x:c>
    </x:row>
    <x:row r="6379">
      <x:c r="A6379" t="n">
        <x:v>10</x:v>
      </x:c>
      <x:c r="B6379" t="str">
        <x:v>Asscher</x:v>
      </x:c>
      <x:c r="C6379" t="str">
        <x:v>I</x:v>
      </x:c>
      <x:c r="D6379" t="str">
        <x:v>IF</x:v>
      </x:c>
      <x:c r="E6379" s="36" t="n">
        <x:v>305000</x:v>
      </x:c>
      <x:c r="F6379" s="36" t="n">
        <x:v>4005</x:v>
      </x:c>
      <x:c r="G6379" s="42" t="n">
        <x:v>0.859073359073359</x:v>
      </x:c>
      <x:c r="H6379" s="36" t="n">
        <x:f>E6379*G6379</x:f>
        <x:v>262017.3745173745</x:v>
      </x:c>
      <x:c r="I6379" s="36" t="n">
        <x:f>IFERROR(H6379/A6379,0)</x:f>
        <x:v>26201.73745173745</x:v>
      </x:c>
      <x:c r="J6379" s="67" t="str">
        <x:v>Modeled from live base + Sep-2026 quality ratio</x:v>
      </x:c>
      <x:c r="K6379" s="67" t="str">
        <x:v>https://www.stonealgo.com/diamond-prices/</x:v>
      </x:c>
      <x:c r="L6379" s="67" t="str">
        <x:v>https://www.pricescope.com/blog/natural-diamond-prices-september-2026</x:v>
      </x:c>
    </x:row>
    <x:row r="6380">
      <x:c r="A6380" t="n">
        <x:v>10</x:v>
      </x:c>
      <x:c r="B6380" t="str">
        <x:v>Asscher</x:v>
      </x:c>
      <x:c r="C6380" t="str">
        <x:v>I</x:v>
      </x:c>
      <x:c r="D6380" t="str">
        <x:v>VVS1</x:v>
      </x:c>
      <x:c r="E6380" s="36" t="n">
        <x:v>305000</x:v>
      </x:c>
      <x:c r="F6380" s="36" t="n">
        <x:v>3670</x:v>
      </x:c>
      <x:c r="G6380" s="42" t="n">
        <x:v>0.7872157872157872</x:v>
      </x:c>
      <x:c r="H6380" s="36" t="n">
        <x:f>E6380*G6380</x:f>
        <x:v>240100.8151008151</x:v>
      </x:c>
      <x:c r="I6380" s="36" t="n">
        <x:f>IFERROR(H6380/A6380,0)</x:f>
        <x:v>24010.08151008151</x:v>
      </x:c>
      <x:c r="J6380" s="67" t="str">
        <x:v>Modeled from live base + Sep-2026 quality ratio</x:v>
      </x:c>
      <x:c r="K6380" s="67" t="str">
        <x:v>https://www.stonealgo.com/diamond-prices/</x:v>
      </x:c>
      <x:c r="L6380" s="67" t="str">
        <x:v>https://www.pricescope.com/blog/natural-diamond-prices-september-2026</x:v>
      </x:c>
    </x:row>
    <x:row r="6381">
      <x:c r="A6381" t="n">
        <x:v>10</x:v>
      </x:c>
      <x:c r="B6381" t="str">
        <x:v>Asscher</x:v>
      </x:c>
      <x:c r="C6381" t="str">
        <x:v>I</x:v>
      </x:c>
      <x:c r="D6381" t="str">
        <x:v>VVS2</x:v>
      </x:c>
      <x:c r="E6381" s="36" t="n">
        <x:v>305000</x:v>
      </x:c>
      <x:c r="F6381" s="36" t="n">
        <x:v>3447</x:v>
      </x:c>
      <x:c r="G6381" s="42" t="n">
        <x:v>0.7393822393822393</x:v>
      </x:c>
      <x:c r="H6381" s="36" t="n">
        <x:f>E6381*G6381</x:f>
        <x:v>225511.583011583</x:v>
      </x:c>
      <x:c r="I6381" s="36" t="n">
        <x:f>IFERROR(H6381/A6381,0)</x:f>
        <x:v>22551.1583011583</x:v>
      </x:c>
      <x:c r="J6381" s="67" t="str">
        <x:v>Modeled from live base + Sep-2026 quality ratio</x:v>
      </x:c>
      <x:c r="K6381" s="67" t="str">
        <x:v>https://www.stonealgo.com/diamond-prices/</x:v>
      </x:c>
      <x:c r="L6381" s="67" t="str">
        <x:v>https://www.pricescope.com/blog/natural-diamond-prices-september-2026</x:v>
      </x:c>
    </x:row>
    <x:row r="6382">
      <x:c r="A6382" t="n">
        <x:v>10</x:v>
      </x:c>
      <x:c r="B6382" t="str">
        <x:v>Asscher</x:v>
      </x:c>
      <x:c r="C6382" t="str">
        <x:v>I</x:v>
      </x:c>
      <x:c r="D6382" t="str">
        <x:v>VS1</x:v>
      </x:c>
      <x:c r="E6382" s="36" t="n">
        <x:v>305000</x:v>
      </x:c>
      <x:c r="F6382" s="36" t="n">
        <x:v>3313</x:v>
      </x:c>
      <x:c r="G6382" s="42" t="n">
        <x:v>0.7106392106392107</x:v>
      </x:c>
      <x:c r="H6382" s="36" t="n">
        <x:f>E6382*G6382</x:f>
        <x:v>216744.95924495926</x:v>
      </x:c>
      <x:c r="I6382" s="36" t="n">
        <x:f>IFERROR(H6382/A6382,0)</x:f>
        <x:v>21674.495924495925</x:v>
      </x:c>
      <x:c r="J6382" s="67" t="str">
        <x:v>Modeled from live base + Sep-2026 quality ratio</x:v>
      </x:c>
      <x:c r="K6382" s="67" t="str">
        <x:v>https://www.stonealgo.com/diamond-prices/</x:v>
      </x:c>
      <x:c r="L6382" s="67" t="str">
        <x:v>https://www.pricescope.com/blog/natural-diamond-prices-september-2026</x:v>
      </x:c>
    </x:row>
    <x:row r="6383">
      <x:c r="A6383" t="n">
        <x:v>10</x:v>
      </x:c>
      <x:c r="B6383" t="str">
        <x:v>Asscher</x:v>
      </x:c>
      <x:c r="C6383" t="str">
        <x:v>I</x:v>
      </x:c>
      <x:c r="D6383" t="str">
        <x:v>VS2</x:v>
      </x:c>
      <x:c r="E6383" s="36" t="n">
        <x:v>305000</x:v>
      </x:c>
      <x:c r="F6383" s="36" t="n">
        <x:v>3240</x:v>
      </x:c>
      <x:c r="G6383" s="42" t="n">
        <x:v>0.694980694980695</x:v>
      </x:c>
      <x:c r="H6383" s="36" t="n">
        <x:f>E6383*G6383</x:f>
        <x:v>211969.11196911198</x:v>
      </x:c>
      <x:c r="I6383" s="36" t="n">
        <x:f>IFERROR(H6383/A6383,0)</x:f>
        <x:v>21196.9111969112</x:v>
      </x:c>
      <x:c r="J6383" s="67" t="str">
        <x:v>Modeled from live base + Sep-2026 quality ratio</x:v>
      </x:c>
      <x:c r="K6383" s="67" t="str">
        <x:v>https://www.stonealgo.com/diamond-prices/</x:v>
      </x:c>
      <x:c r="L6383" s="67" t="str">
        <x:v>https://www.pricescope.com/blog/natural-diamond-prices-september-2026</x:v>
      </x:c>
    </x:row>
    <x:row r="6384">
      <x:c r="A6384" t="n">
        <x:v>10</x:v>
      </x:c>
      <x:c r="B6384" t="str">
        <x:v>Asscher</x:v>
      </x:c>
      <x:c r="C6384" t="str">
        <x:v>I</x:v>
      </x:c>
      <x:c r="D6384" t="str">
        <x:v>SI1</x:v>
      </x:c>
      <x:c r="E6384" s="36" t="n">
        <x:v>305000</x:v>
      </x:c>
      <x:c r="F6384" s="36" t="n">
        <x:v>3199</x:v>
      </x:c>
      <x:c r="G6384" s="42" t="n">
        <x:v>0.6861861861861862</x:v>
      </x:c>
      <x:c r="H6384" s="36" t="n">
        <x:f>E6384*G6384</x:f>
        <x:v>209286.7867867868</x:v>
      </x:c>
      <x:c r="I6384" s="36" t="n">
        <x:f>IFERROR(H6384/A6384,0)</x:f>
        <x:v>20928.67867867868</x:v>
      </x:c>
      <x:c r="J6384" s="67" t="str">
        <x:v>Modeled from live base + Sep-2026 quality ratio</x:v>
      </x:c>
      <x:c r="K6384" s="67" t="str">
        <x:v>https://www.stonealgo.com/diamond-prices/</x:v>
      </x:c>
      <x:c r="L6384" s="67" t="str">
        <x:v>https://www.pricescope.com/blog/natural-diamond-prices-september-2026</x:v>
      </x:c>
    </x:row>
    <x:row r="6385">
      <x:c r="A6385" t="n">
        <x:v>10</x:v>
      </x:c>
      <x:c r="B6385" t="str">
        <x:v>Asscher</x:v>
      </x:c>
      <x:c r="C6385" t="str">
        <x:v>I</x:v>
      </x:c>
      <x:c r="D6385" t="str">
        <x:v>SI2</x:v>
      </x:c>
      <x:c r="E6385" s="36" t="n">
        <x:v>305000</x:v>
      </x:c>
      <x:c r="F6385" s="36" t="n">
        <x:v>2874</x:v>
      </x:c>
      <x:c r="G6385" s="42" t="n">
        <x:v>0.6164736164736164</x:v>
      </x:c>
      <x:c r="H6385" s="36" t="n">
        <x:f>E6385*G6385</x:f>
        <x:v>188024.45302445302</x:v>
      </x:c>
      <x:c r="I6385" s="36" t="n">
        <x:f>IFERROR(H6385/A6385,0)</x:f>
        <x:v>18802.445302445303</x:v>
      </x:c>
      <x:c r="J6385" s="67" t="str">
        <x:v>Modeled from live base + Sep-2026 quality ratio</x:v>
      </x:c>
      <x:c r="K6385" s="67" t="str">
        <x:v>https://www.stonealgo.com/diamond-prices/</x:v>
      </x:c>
      <x:c r="L6385" s="67" t="str">
        <x:v>https://www.pricescope.com/blog/natural-diamond-prices-september-2026</x:v>
      </x:c>
    </x:row>
    <x:row r="6386">
      <x:c r="A6386" t="n">
        <x:v>10</x:v>
      </x:c>
      <x:c r="B6386" t="str">
        <x:v>Asscher</x:v>
      </x:c>
      <x:c r="C6386" t="str">
        <x:v>J</x:v>
      </x:c>
      <x:c r="D6386" t="str">
        <x:v>FL</x:v>
      </x:c>
      <x:c r="E6386" s="36" t="n">
        <x:v>305000</x:v>
      </x:c>
      <x:c r="F6386" s="36" t="n">
        <x:v>3646</x:v>
      </x:c>
      <x:c r="G6386" s="42" t="n">
        <x:v>0.782067782067782</x:v>
      </x:c>
      <x:c r="H6386" s="36" t="n">
        <x:f>E6386*G6386</x:f>
        <x:v>238530.67353067352</x:v>
      </x:c>
      <x:c r="I6386" s="36" t="n">
        <x:f>IFERROR(H6386/A6386,0)</x:f>
        <x:v>23853.067353067352</x:v>
      </x:c>
      <x:c r="J6386" s="67" t="str">
        <x:v>Modeled from live base + Sep-2026 quality ratio</x:v>
      </x:c>
      <x:c r="K6386" s="67" t="str">
        <x:v>https://www.stonealgo.com/diamond-prices/</x:v>
      </x:c>
      <x:c r="L6386" s="67" t="str">
        <x:v>https://www.pricescope.com/blog/natural-diamond-prices-september-2026</x:v>
      </x:c>
    </x:row>
    <x:row r="6387">
      <x:c r="A6387" t="n">
        <x:v>10</x:v>
      </x:c>
      <x:c r="B6387" t="str">
        <x:v>Asscher</x:v>
      </x:c>
      <x:c r="C6387" t="str">
        <x:v>J</x:v>
      </x:c>
      <x:c r="D6387" t="str">
        <x:v>IF</x:v>
      </x:c>
      <x:c r="E6387" s="36" t="n">
        <x:v>305000</x:v>
      </x:c>
      <x:c r="F6387" s="36" t="n">
        <x:v>3368</x:v>
      </x:c>
      <x:c r="G6387" s="42" t="n">
        <x:v>0.7224367224367224</x:v>
      </x:c>
      <x:c r="H6387" s="36" t="n">
        <x:f>E6387*G6387</x:f>
        <x:v>220343.20034320033</x:v>
      </x:c>
      <x:c r="I6387" s="36" t="n">
        <x:f>IFERROR(H6387/A6387,0)</x:f>
        <x:v>22034.320034320033</x:v>
      </x:c>
      <x:c r="J6387" s="67" t="str">
        <x:v>Modeled from live base + Sep-2026 quality ratio</x:v>
      </x:c>
      <x:c r="K6387" s="67" t="str">
        <x:v>https://www.stonealgo.com/diamond-prices/</x:v>
      </x:c>
      <x:c r="L6387" s="67" t="str">
        <x:v>https://www.pricescope.com/blog/natural-diamond-prices-september-2026</x:v>
      </x:c>
    </x:row>
    <x:row r="6388">
      <x:c r="A6388" t="n">
        <x:v>10</x:v>
      </x:c>
      <x:c r="B6388" t="str">
        <x:v>Asscher</x:v>
      </x:c>
      <x:c r="C6388" t="str">
        <x:v>J</x:v>
      </x:c>
      <x:c r="D6388" t="str">
        <x:v>VVS1</x:v>
      </x:c>
      <x:c r="E6388" s="36" t="n">
        <x:v>305000</x:v>
      </x:c>
      <x:c r="F6388" s="36" t="n">
        <x:v>2956</x:v>
      </x:c>
      <x:c r="G6388" s="42" t="n">
        <x:v>0.6340626340626341</x:v>
      </x:c>
      <x:c r="H6388" s="36" t="n">
        <x:f>E6388*G6388</x:f>
        <x:v>193389.1033891034</x:v>
      </x:c>
      <x:c r="I6388" s="36" t="n">
        <x:f>IFERROR(H6388/A6388,0)</x:f>
        <x:v>19338.91033891034</x:v>
      </x:c>
      <x:c r="J6388" s="67" t="str">
        <x:v>Modeled from live base + Sep-2026 quality ratio</x:v>
      </x:c>
      <x:c r="K6388" s="67" t="str">
        <x:v>https://www.stonealgo.com/diamond-prices/</x:v>
      </x:c>
      <x:c r="L6388" s="67" t="str">
        <x:v>https://www.pricescope.com/blog/natural-diamond-prices-september-2026</x:v>
      </x:c>
    </x:row>
    <x:row r="6389">
      <x:c r="A6389" t="n">
        <x:v>10</x:v>
      </x:c>
      <x:c r="B6389" t="str">
        <x:v>Asscher</x:v>
      </x:c>
      <x:c r="C6389" t="str">
        <x:v>J</x:v>
      </x:c>
      <x:c r="D6389" t="str">
        <x:v>VVS2</x:v>
      </x:c>
      <x:c r="E6389" s="36" t="n">
        <x:v>305000</x:v>
      </x:c>
      <x:c r="F6389" s="36" t="n">
        <x:v>2612</x:v>
      </x:c>
      <x:c r="G6389" s="42" t="n">
        <x:v>0.5602745602745602</x:v>
      </x:c>
      <x:c r="H6389" s="36" t="n">
        <x:f>E6389*G6389</x:f>
        <x:v>170883.7408837409</x:v>
      </x:c>
      <x:c r="I6389" s="36" t="n">
        <x:f>IFERROR(H6389/A6389,0)</x:f>
        <x:v>17088.37408837409</x:v>
      </x:c>
      <x:c r="J6389" s="67" t="str">
        <x:v>Modeled from live base + Sep-2026 quality ratio</x:v>
      </x:c>
      <x:c r="K6389" s="67" t="str">
        <x:v>https://www.stonealgo.com/diamond-prices/</x:v>
      </x:c>
      <x:c r="L6389" s="67" t="str">
        <x:v>https://www.pricescope.com/blog/natural-diamond-prices-september-2026</x:v>
      </x:c>
    </x:row>
    <x:row r="6390">
      <x:c r="A6390" t="n">
        <x:v>10</x:v>
      </x:c>
      <x:c r="B6390" t="str">
        <x:v>Asscher</x:v>
      </x:c>
      <x:c r="C6390" t="str">
        <x:v>J</x:v>
      </x:c>
      <x:c r="D6390" t="str">
        <x:v>VS1</x:v>
      </x:c>
      <x:c r="E6390" s="36" t="n">
        <x:v>305000</x:v>
      </x:c>
      <x:c r="F6390" s="36" t="n">
        <x:v>3002</x:v>
      </x:c>
      <x:c r="G6390" s="42" t="n">
        <x:v>0.6439296439296439</x:v>
      </x:c>
      <x:c r="H6390" s="36" t="n">
        <x:f>E6390*G6390</x:f>
        <x:v>196398.5413985414</x:v>
      </x:c>
      <x:c r="I6390" s="36" t="n">
        <x:f>IFERROR(H6390/A6390,0)</x:f>
        <x:v>19639.85413985414</x:v>
      </x:c>
      <x:c r="J6390" s="67" t="str">
        <x:v>Modeled from live base + Sep-2026 quality ratio</x:v>
      </x:c>
      <x:c r="K6390" s="67" t="str">
        <x:v>https://www.stonealgo.com/diamond-prices/</x:v>
      </x:c>
      <x:c r="L6390" s="67" t="str">
        <x:v>https://www.pricescope.com/blog/natural-diamond-prices-september-2026</x:v>
      </x:c>
    </x:row>
    <x:row r="6391">
      <x:c r="A6391" t="n">
        <x:v>10</x:v>
      </x:c>
      <x:c r="B6391" t="str">
        <x:v>Asscher</x:v>
      </x:c>
      <x:c r="C6391" t="str">
        <x:v>J</x:v>
      </x:c>
      <x:c r="D6391" t="str">
        <x:v>VS2</x:v>
      </x:c>
      <x:c r="E6391" s="36" t="n">
        <x:v>305000</x:v>
      </x:c>
      <x:c r="F6391" s="36" t="n">
        <x:v>2559</x:v>
      </x:c>
      <x:c r="G6391" s="42" t="n">
        <x:v>0.5489060489060489</x:v>
      </x:c>
      <x:c r="H6391" s="36" t="n">
        <x:f>E6391*G6391</x:f>
        <x:v>167416.3449163449</x:v>
      </x:c>
      <x:c r="I6391" s="36" t="n">
        <x:f>IFERROR(H6391/A6391,0)</x:f>
        <x:v>16741.63449163449</x:v>
      </x:c>
      <x:c r="J6391" s="67" t="str">
        <x:v>Modeled from live base + Sep-2026 quality ratio</x:v>
      </x:c>
      <x:c r="K6391" s="67" t="str">
        <x:v>https://www.stonealgo.com/diamond-prices/</x:v>
      </x:c>
      <x:c r="L6391" s="67" t="str">
        <x:v>https://www.pricescope.com/blog/natural-diamond-prices-september-2026</x:v>
      </x:c>
    </x:row>
    <x:row r="6392">
      <x:c r="A6392" t="n">
        <x:v>10</x:v>
      </x:c>
      <x:c r="B6392" t="str">
        <x:v>Asscher</x:v>
      </x:c>
      <x:c r="C6392" t="str">
        <x:v>J</x:v>
      </x:c>
      <x:c r="D6392" t="str">
        <x:v>SI1</x:v>
      </x:c>
      <x:c r="E6392" s="36" t="n">
        <x:v>305000</x:v>
      </x:c>
      <x:c r="F6392" s="36" t="n">
        <x:v>2195</x:v>
      </x:c>
      <x:c r="G6392" s="42" t="n">
        <x:v>0.47082797082797084</x:v>
      </x:c>
      <x:c r="H6392" s="36" t="n">
        <x:f>E6392*G6392</x:f>
        <x:v>143602.5311025311</x:v>
      </x:c>
      <x:c r="I6392" s="36" t="n">
        <x:f>IFERROR(H6392/A6392,0)</x:f>
        <x:v>14360.25311025311</x:v>
      </x:c>
      <x:c r="J6392" s="67" t="str">
        <x:v>Modeled from live base + Sep-2026 quality ratio</x:v>
      </x:c>
      <x:c r="K6392" s="67" t="str">
        <x:v>https://www.stonealgo.com/diamond-prices/</x:v>
      </x:c>
      <x:c r="L6392" s="67" t="str">
        <x:v>https://www.pricescope.com/blog/natural-diamond-prices-september-2026</x:v>
      </x:c>
    </x:row>
    <x:row r="6393">
      <x:c r="A6393" t="n">
        <x:v>10</x:v>
      </x:c>
      <x:c r="B6393" t="str">
        <x:v>Asscher</x:v>
      </x:c>
      <x:c r="C6393" t="str">
        <x:v>J</x:v>
      </x:c>
      <x:c r="D6393" t="str">
        <x:v>SI2</x:v>
      </x:c>
      <x:c r="E6393" s="36" t="n">
        <x:v>305000</x:v>
      </x:c>
      <x:c r="F6393" s="36" t="n">
        <x:v>2079</x:v>
      </x:c>
      <x:c r="G6393" s="42" t="n">
        <x:v>0.44594594594594594</x:v>
      </x:c>
      <x:c r="H6393" s="36" t="n">
        <x:f>E6393*G6393</x:f>
        <x:v>136013.51351351352</x:v>
      </x:c>
      <x:c r="I6393" s="36" t="n">
        <x:f>IFERROR(H6393/A6393,0)</x:f>
        <x:v>13601.351351351352</x:v>
      </x:c>
      <x:c r="J6393" s="67" t="str">
        <x:v>Modeled from live base + Sep-2026 quality ratio</x:v>
      </x:c>
      <x:c r="K6393" s="67" t="str">
        <x:v>https://www.stonealgo.com/diamond-prices/</x:v>
      </x:c>
      <x:c r="L6393" s="67" t="str">
        <x:v>https://www.pricescope.com/blog/natural-diamond-prices-september-2026</x:v>
      </x:c>
    </x:row>
    <x:row r="6394">
      <x:c r="A6394" t="n">
        <x:v>10</x:v>
      </x:c>
      <x:c r="B6394" t="str">
        <x:v>Asscher</x:v>
      </x:c>
      <x:c r="C6394" t="str">
        <x:v>K</x:v>
      </x:c>
      <x:c r="D6394" t="str">
        <x:v>FL</x:v>
      </x:c>
      <x:c r="E6394" s="36" t="n">
        <x:v>305000</x:v>
      </x:c>
      <x:c r="F6394" s="36" t="n">
        <x:v>2858</x:v>
      </x:c>
      <x:c r="G6394" s="42" t="n">
        <x:v>0.6130416130416131</x:v>
      </x:c>
      <x:c r="H6394" s="36" t="n">
        <x:f>E6394*G6394</x:f>
        <x:v>186977.69197769198</x:v>
      </x:c>
      <x:c r="I6394" s="36" t="n">
        <x:f>IFERROR(H6394/A6394,0)</x:f>
        <x:v>18697.769197769197</x:v>
      </x:c>
      <x:c r="J6394" s="67" t="str">
        <x:v>Modeled from live base + Sep-2026 quality ratio; K/FL quality cell modeled</x:v>
      </x:c>
      <x:c r="K6394" s="67" t="str">
        <x:v>https://www.stonealgo.com/diamond-prices/</x:v>
      </x:c>
      <x:c r="L6394" s="67" t="str">
        <x:v>https://www.pricescope.com/blog/natural-diamond-prices-september-2026</x:v>
      </x:c>
    </x:row>
    <x:row r="6395">
      <x:c r="A6395" t="n">
        <x:v>10</x:v>
      </x:c>
      <x:c r="B6395" t="str">
        <x:v>Asscher</x:v>
      </x:c>
      <x:c r="C6395" t="str">
        <x:v>K</x:v>
      </x:c>
      <x:c r="D6395" t="str">
        <x:v>IF</x:v>
      </x:c>
      <x:c r="E6395" s="36" t="n">
        <x:v>305000</x:v>
      </x:c>
      <x:c r="F6395" s="36" t="n">
        <x:v>2743</x:v>
      </x:c>
      <x:c r="G6395" s="42" t="n">
        <x:v>0.5883740883740883</x:v>
      </x:c>
      <x:c r="H6395" s="36" t="n">
        <x:f>E6395*G6395</x:f>
        <x:v>179454.09695409695</x:v>
      </x:c>
      <x:c r="I6395" s="36" t="n">
        <x:f>IFERROR(H6395/A6395,0)</x:f>
        <x:v>17945.409695409697</x:v>
      </x:c>
      <x:c r="J6395" s="67" t="str">
        <x:v>Modeled from live base + Sep-2026 quality ratio</x:v>
      </x:c>
      <x:c r="K6395" s="67" t="str">
        <x:v>https://www.stonealgo.com/diamond-prices/</x:v>
      </x:c>
      <x:c r="L6395" s="67" t="str">
        <x:v>https://www.pricescope.com/blog/natural-diamond-prices-september-2026</x:v>
      </x:c>
    </x:row>
    <x:row r="6396">
      <x:c r="A6396" t="n">
        <x:v>10</x:v>
      </x:c>
      <x:c r="B6396" t="str">
        <x:v>Asscher</x:v>
      </x:c>
      <x:c r="C6396" t="str">
        <x:v>K</x:v>
      </x:c>
      <x:c r="D6396" t="str">
        <x:v>VVS1</x:v>
      </x:c>
      <x:c r="E6396" s="36" t="n">
        <x:v>305000</x:v>
      </x:c>
      <x:c r="F6396" s="36" t="n">
        <x:v>2529</x:v>
      </x:c>
      <x:c r="G6396" s="42" t="n">
        <x:v>0.5424710424710425</x:v>
      </x:c>
      <x:c r="H6396" s="36" t="n">
        <x:f>E6396*G6396</x:f>
        <x:v>165453.66795366796</x:v>
      </x:c>
      <x:c r="I6396" s="36" t="n">
        <x:f>IFERROR(H6396/A6396,0)</x:f>
        <x:v>16545.366795366797</x:v>
      </x:c>
      <x:c r="J6396" s="67" t="str">
        <x:v>Modeled from live base + Sep-2026 quality ratio</x:v>
      </x:c>
      <x:c r="K6396" s="67" t="str">
        <x:v>https://www.stonealgo.com/diamond-prices/</x:v>
      </x:c>
      <x:c r="L6396" s="67" t="str">
        <x:v>https://www.pricescope.com/blog/natural-diamond-prices-september-2026</x:v>
      </x:c>
    </x:row>
    <x:row r="6397">
      <x:c r="A6397" t="n">
        <x:v>10</x:v>
      </x:c>
      <x:c r="B6397" t="str">
        <x:v>Asscher</x:v>
      </x:c>
      <x:c r="C6397" t="str">
        <x:v>K</x:v>
      </x:c>
      <x:c r="D6397" t="str">
        <x:v>VVS2</x:v>
      </x:c>
      <x:c r="E6397" s="36" t="n">
        <x:v>305000</x:v>
      </x:c>
      <x:c r="F6397" s="36" t="n">
        <x:v>2374</x:v>
      </x:c>
      <x:c r="G6397" s="42" t="n">
        <x:v>0.5092235092235092</x:v>
      </x:c>
      <x:c r="H6397" s="36" t="n">
        <x:f>E6397*G6397</x:f>
        <x:v>155313.17031317033</x:v>
      </x:c>
      <x:c r="I6397" s="36" t="n">
        <x:f>IFERROR(H6397/A6397,0)</x:f>
        <x:v>15531.317031317032</x:v>
      </x:c>
      <x:c r="J6397" s="67" t="str">
        <x:v>Modeled from live base + Sep-2026 quality ratio</x:v>
      </x:c>
      <x:c r="K6397" s="67" t="str">
        <x:v>https://www.stonealgo.com/diamond-prices/</x:v>
      </x:c>
      <x:c r="L6397" s="67" t="str">
        <x:v>https://www.pricescope.com/blog/natural-diamond-prices-september-2026</x:v>
      </x:c>
    </x:row>
    <x:row r="6398">
      <x:c r="A6398" t="n">
        <x:v>10</x:v>
      </x:c>
      <x:c r="B6398" t="str">
        <x:v>Asscher</x:v>
      </x:c>
      <x:c r="C6398" t="str">
        <x:v>K</x:v>
      </x:c>
      <x:c r="D6398" t="str">
        <x:v>VS1</x:v>
      </x:c>
      <x:c r="E6398" s="36" t="n">
        <x:v>305000</x:v>
      </x:c>
      <x:c r="F6398" s="36" t="n">
        <x:v>2223</x:v>
      </x:c>
      <x:c r="G6398" s="42" t="n">
        <x:v>0.4768339768339768</x:v>
      </x:c>
      <x:c r="H6398" s="36" t="n">
        <x:f>E6398*G6398</x:f>
        <x:v>145434.36293436293</x:v>
      </x:c>
      <x:c r="I6398" s="36" t="n">
        <x:f>IFERROR(H6398/A6398,0)</x:f>
        <x:v>14543.436293436293</x:v>
      </x:c>
      <x:c r="J6398" s="67" t="str">
        <x:v>Modeled from live base + Sep-2026 quality ratio</x:v>
      </x:c>
      <x:c r="K6398" s="67" t="str">
        <x:v>https://www.stonealgo.com/diamond-prices/</x:v>
      </x:c>
      <x:c r="L6398" s="67" t="str">
        <x:v>https://www.pricescope.com/blog/natural-diamond-prices-september-2026</x:v>
      </x:c>
    </x:row>
    <x:row r="6399">
      <x:c r="A6399" t="n">
        <x:v>10</x:v>
      </x:c>
      <x:c r="B6399" t="str">
        <x:v>Asscher</x:v>
      </x:c>
      <x:c r="C6399" t="str">
        <x:v>K</x:v>
      </x:c>
      <x:c r="D6399" t="str">
        <x:v>VS2</x:v>
      </x:c>
      <x:c r="E6399" s="36" t="n">
        <x:v>305000</x:v>
      </x:c>
      <x:c r="F6399" s="36" t="n">
        <x:v>2098</x:v>
      </x:c>
      <x:c r="G6399" s="42" t="n">
        <x:v>0.45002145002145</x:v>
      </x:c>
      <x:c r="H6399" s="36" t="n">
        <x:f>E6399*G6399</x:f>
        <x:v>137256.54225654225</x:v>
      </x:c>
      <x:c r="I6399" s="36" t="n">
        <x:f>IFERROR(H6399/A6399,0)</x:f>
        <x:v>13725.654225654225</x:v>
      </x:c>
      <x:c r="J6399" s="67" t="str">
        <x:v>Modeled from live base + Sep-2026 quality ratio</x:v>
      </x:c>
      <x:c r="K6399" s="67" t="str">
        <x:v>https://www.stonealgo.com/diamond-prices/</x:v>
      </x:c>
      <x:c r="L6399" s="67" t="str">
        <x:v>https://www.pricescope.com/blog/natural-diamond-prices-september-2026</x:v>
      </x:c>
    </x:row>
    <x:row r="6400">
      <x:c r="A6400" t="n">
        <x:v>10</x:v>
      </x:c>
      <x:c r="B6400" t="str">
        <x:v>Asscher</x:v>
      </x:c>
      <x:c r="C6400" t="str">
        <x:v>K</x:v>
      </x:c>
      <x:c r="D6400" t="str">
        <x:v>SI1</x:v>
      </x:c>
      <x:c r="E6400" s="36" t="n">
        <x:v>305000</x:v>
      </x:c>
      <x:c r="F6400" s="36" t="n">
        <x:v>1922</x:v>
      </x:c>
      <x:c r="G6400" s="42" t="n">
        <x:v>0.41226941226941227</x:v>
      </x:c>
      <x:c r="H6400" s="36" t="n">
        <x:f>E6400*G6400</x:f>
        <x:v>125742.17074217074</x:v>
      </x:c>
      <x:c r="I6400" s="36" t="n">
        <x:f>IFERROR(H6400/A6400,0)</x:f>
        <x:v>12574.217074217075</x:v>
      </x:c>
      <x:c r="J6400" s="67" t="str">
        <x:v>Modeled from live base + Sep-2026 quality ratio</x:v>
      </x:c>
      <x:c r="K6400" s="67" t="str">
        <x:v>https://www.stonealgo.com/diamond-prices/</x:v>
      </x:c>
      <x:c r="L6400" s="67" t="str">
        <x:v>https://www.pricescope.com/blog/natural-diamond-prices-september-2026</x:v>
      </x:c>
    </x:row>
    <x:row r="6401">
      <x:c r="A6401" t="n">
        <x:v>10</x:v>
      </x:c>
      <x:c r="B6401" t="str">
        <x:v>Asscher</x:v>
      </x:c>
      <x:c r="C6401" t="str">
        <x:v>K</x:v>
      </x:c>
      <x:c r="D6401" t="str">
        <x:v>SI2</x:v>
      </x:c>
      <x:c r="E6401" s="36" t="n">
        <x:v>305000</x:v>
      </x:c>
      <x:c r="F6401" s="36" t="n">
        <x:v>1764</x:v>
      </x:c>
      <x:c r="G6401" s="42" t="n">
        <x:v>0.3783783783783784</x:v>
      </x:c>
      <x:c r="H6401" s="36" t="n">
        <x:f>E6401*G6401</x:f>
        <x:v>115405.40540540541</x:v>
      </x:c>
      <x:c r="I6401" s="36" t="n">
        <x:f>IFERROR(H6401/A6401,0)</x:f>
        <x:v>11540.540540540542</x:v>
      </x:c>
      <x:c r="J6401" s="67" t="str">
        <x:v>Modeled from live base + Sep-2026 quality ratio</x:v>
      </x:c>
      <x:c r="K6401" s="67" t="str">
        <x:v>https://www.stonealgo.com/diamond-prices/</x:v>
      </x:c>
      <x:c r="L6401" s="67" t="str">
        <x:v>https://www.pricescope.com/blog/natural-diamond-prices-september-2026</x:v>
      </x:c>
    </x:row>
  </x:sheetData>
  <x:conditionalFormatting sqref="H2:H64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{1C1205B0-9342-47A7-5561-51D2E14A48DC}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952daa42c8481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C1205B0-9342-47A7-5561-51D2E14A48DC}">
            <x14:dataBar gradient="1">
              <x14:cfvo type="min"/>
              <x14:cfvo type="max"/>
              <x14:fillColor rgb="FFA02B93"/>
            </x14:dataBar>
          </x14:cfRule>
          <xm:sqref>H2:H6401</xm:sqref>
        </x14:conditionalFormatting>
      </x14:conditionalFormattings>
    </x:ext>
  </x:extLst>
</x:worksheet>
</file>